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yazdyasa\Downloads\"/>
    </mc:Choice>
  </mc:AlternateContent>
  <xr:revisionPtr revIDLastSave="0" documentId="8_{D038D211-6B12-4FA7-951F-12EAAC9C9F2B}" xr6:coauthVersionLast="47" xr6:coauthVersionMax="47" xr10:uidLastSave="{00000000-0000-0000-0000-000000000000}"/>
  <bookViews>
    <workbookView xWindow="-110" yWindow="-110" windowWidth="38620" windowHeight="21220" xr2:uid="{83EA492E-03CE-40A2-843D-CE249FF7BE59}"/>
  </bookViews>
  <sheets>
    <sheet name="EUR Run" sheetId="5" r:id="rId1"/>
    <sheet name="USD Run" sheetId="14" r:id="rId2"/>
    <sheet name="GBP Run" sheetId="15" r:id="rId3"/>
    <sheet name="CHF Run" sheetId="16" r:id="rId4"/>
    <sheet name="USD Payoff" sheetId="2" state="hidden" r:id="rId5"/>
    <sheet name="EUR Payoff" sheetId="1" state="hidden" r:id="rId6"/>
    <sheet name="GBP Payoff" sheetId="12" state="hidden" r:id="rId7"/>
    <sheet name="CHF Payoff" sheetId="13" state="hidden" r:id="rId8"/>
  </sheets>
  <externalReferences>
    <externalReference r:id="rId9"/>
  </externalReferences>
  <definedNames>
    <definedName name="FDR_loc_2">[1]Static!$V$7:$W$50</definedName>
    <definedName name="Mailbody">'[1]Run Main'!$E$5:$R$207,'[1]Run Main'!$AC$5:$AI$207</definedName>
  </definedName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25" i="16" l="1"/>
  <c r="K324" i="16"/>
  <c r="F324" i="16"/>
  <c r="K323" i="16"/>
  <c r="F323" i="16"/>
  <c r="K322" i="16"/>
  <c r="F322" i="16"/>
  <c r="K321" i="16"/>
  <c r="H321" i="16"/>
  <c r="T321" i="16" s="1"/>
  <c r="G321" i="16"/>
  <c r="F321" i="16"/>
  <c r="K320" i="16"/>
  <c r="F320" i="16"/>
  <c r="O316" i="16"/>
  <c r="N316" i="16"/>
  <c r="L316" i="16"/>
  <c r="K316" i="16"/>
  <c r="J316" i="16"/>
  <c r="I316" i="16"/>
  <c r="G316" i="16"/>
  <c r="F316" i="16"/>
  <c r="O315" i="16"/>
  <c r="N315" i="16"/>
  <c r="L315" i="16"/>
  <c r="K315" i="16"/>
  <c r="J315" i="16"/>
  <c r="I315" i="16"/>
  <c r="G315" i="16"/>
  <c r="F315" i="16"/>
  <c r="O314" i="16"/>
  <c r="N314" i="16"/>
  <c r="L314" i="16"/>
  <c r="K314" i="16"/>
  <c r="J314" i="16"/>
  <c r="I314" i="16"/>
  <c r="G314" i="16"/>
  <c r="F314" i="16"/>
  <c r="O313" i="16"/>
  <c r="N313" i="16"/>
  <c r="L313" i="16"/>
  <c r="K313" i="16"/>
  <c r="J313" i="16"/>
  <c r="I313" i="16"/>
  <c r="G313" i="16"/>
  <c r="F313" i="16"/>
  <c r="O312" i="16"/>
  <c r="N312" i="16"/>
  <c r="K312" i="16"/>
  <c r="J312" i="16"/>
  <c r="I312" i="16"/>
  <c r="G312" i="16"/>
  <c r="F312" i="16"/>
  <c r="O311" i="16"/>
  <c r="N311" i="16"/>
  <c r="K311" i="16"/>
  <c r="J311" i="16"/>
  <c r="I311" i="16"/>
  <c r="G311" i="16"/>
  <c r="F311" i="16"/>
  <c r="O310" i="16"/>
  <c r="N310" i="16"/>
  <c r="K310" i="16"/>
  <c r="J310" i="16"/>
  <c r="I310" i="16"/>
  <c r="F310" i="16"/>
  <c r="O309" i="16"/>
  <c r="N309" i="16"/>
  <c r="K309" i="16"/>
  <c r="J309" i="16"/>
  <c r="I309" i="16"/>
  <c r="G309" i="16"/>
  <c r="F309" i="16"/>
  <c r="O308" i="16"/>
  <c r="N308" i="16"/>
  <c r="L308" i="16"/>
  <c r="K308" i="16"/>
  <c r="J308" i="16"/>
  <c r="I308" i="16"/>
  <c r="F308" i="16"/>
  <c r="O307" i="16"/>
  <c r="N307" i="16"/>
  <c r="K307" i="16"/>
  <c r="J307" i="16"/>
  <c r="I307" i="16"/>
  <c r="F307" i="16"/>
  <c r="O306" i="16"/>
  <c r="N306" i="16"/>
  <c r="K306" i="16"/>
  <c r="J306" i="16"/>
  <c r="I306" i="16"/>
  <c r="F306" i="16"/>
  <c r="O305" i="16"/>
  <c r="N305" i="16"/>
  <c r="K305" i="16"/>
  <c r="J305" i="16"/>
  <c r="I305" i="16"/>
  <c r="F305" i="16"/>
  <c r="O304" i="16"/>
  <c r="N304" i="16"/>
  <c r="K304" i="16"/>
  <c r="J304" i="16"/>
  <c r="I304" i="16"/>
  <c r="F304" i="16"/>
  <c r="O303" i="16"/>
  <c r="N303" i="16"/>
  <c r="K303" i="16"/>
  <c r="J303" i="16"/>
  <c r="I303" i="16"/>
  <c r="F303" i="16"/>
  <c r="O302" i="16"/>
  <c r="N302" i="16"/>
  <c r="K302" i="16"/>
  <c r="J302" i="16"/>
  <c r="I302" i="16"/>
  <c r="H302" i="16"/>
  <c r="T302" i="16" s="1"/>
  <c r="G302" i="16"/>
  <c r="F302" i="16"/>
  <c r="O301" i="16"/>
  <c r="N301" i="16"/>
  <c r="K301" i="16"/>
  <c r="J301" i="16"/>
  <c r="I301" i="16"/>
  <c r="F301" i="16"/>
  <c r="O300" i="16"/>
  <c r="N300" i="16"/>
  <c r="K300" i="16"/>
  <c r="J300" i="16"/>
  <c r="I300" i="16"/>
  <c r="F300" i="16"/>
  <c r="O299" i="16"/>
  <c r="N299" i="16"/>
  <c r="L299" i="16"/>
  <c r="K299" i="16"/>
  <c r="J299" i="16"/>
  <c r="I299" i="16"/>
  <c r="F299" i="16"/>
  <c r="O298" i="16"/>
  <c r="N298" i="16"/>
  <c r="K298" i="16"/>
  <c r="J298" i="16"/>
  <c r="I298" i="16"/>
  <c r="F298" i="16"/>
  <c r="O297" i="16"/>
  <c r="N297" i="16"/>
  <c r="K297" i="16"/>
  <c r="J297" i="16"/>
  <c r="I297" i="16"/>
  <c r="F297" i="16"/>
  <c r="O296" i="16"/>
  <c r="N296" i="16"/>
  <c r="K296" i="16"/>
  <c r="J296" i="16"/>
  <c r="I296" i="16"/>
  <c r="H296" i="16"/>
  <c r="T296" i="16" s="1"/>
  <c r="G296" i="16"/>
  <c r="F296" i="16"/>
  <c r="O295" i="16"/>
  <c r="N295" i="16"/>
  <c r="K295" i="16"/>
  <c r="J295" i="16"/>
  <c r="I295" i="16"/>
  <c r="F295" i="16"/>
  <c r="O294" i="16"/>
  <c r="N294" i="16"/>
  <c r="K294" i="16"/>
  <c r="J294" i="16"/>
  <c r="I294" i="16"/>
  <c r="F294" i="16"/>
  <c r="O293" i="16"/>
  <c r="N293" i="16"/>
  <c r="K293" i="16"/>
  <c r="J293" i="16"/>
  <c r="I293" i="16"/>
  <c r="H293" i="16"/>
  <c r="T293" i="16" s="1"/>
  <c r="G293" i="16"/>
  <c r="F293" i="16"/>
  <c r="O292" i="16"/>
  <c r="N292" i="16"/>
  <c r="K292" i="16"/>
  <c r="J292" i="16"/>
  <c r="I292" i="16"/>
  <c r="F292" i="16"/>
  <c r="O291" i="16"/>
  <c r="N291" i="16"/>
  <c r="K291" i="16"/>
  <c r="J291" i="16"/>
  <c r="I291" i="16"/>
  <c r="H291" i="16"/>
  <c r="T291" i="16" s="1"/>
  <c r="G291" i="16"/>
  <c r="F291" i="16"/>
  <c r="O290" i="16"/>
  <c r="N290" i="16"/>
  <c r="L290" i="16"/>
  <c r="K290" i="16"/>
  <c r="J290" i="16"/>
  <c r="I290" i="16"/>
  <c r="G290" i="16"/>
  <c r="F290" i="16"/>
  <c r="K286" i="16"/>
  <c r="F286" i="16"/>
  <c r="K285" i="16"/>
  <c r="F285" i="16"/>
  <c r="K284" i="16"/>
  <c r="F284" i="16"/>
  <c r="K283" i="16"/>
  <c r="F283" i="16"/>
  <c r="M282" i="16"/>
  <c r="K282" i="16"/>
  <c r="G282" i="16"/>
  <c r="F282" i="16"/>
  <c r="K281" i="16"/>
  <c r="F281" i="16"/>
  <c r="T280" i="16"/>
  <c r="O280" i="16"/>
  <c r="N280" i="16"/>
  <c r="M280" i="16"/>
  <c r="L280" i="16"/>
  <c r="K280" i="16"/>
  <c r="J280" i="16"/>
  <c r="I280" i="16"/>
  <c r="H280" i="16"/>
  <c r="G280" i="16"/>
  <c r="F280" i="16"/>
  <c r="K276" i="16"/>
  <c r="H276" i="16"/>
  <c r="T276" i="16" s="1"/>
  <c r="F276" i="16"/>
  <c r="L275" i="16"/>
  <c r="K275" i="16"/>
  <c r="G275" i="16"/>
  <c r="F275" i="16"/>
  <c r="K274" i="16"/>
  <c r="F274" i="16"/>
  <c r="K272" i="16"/>
  <c r="K271" i="16"/>
  <c r="F271" i="16"/>
  <c r="K270" i="16"/>
  <c r="F270" i="16"/>
  <c r="K269" i="16"/>
  <c r="F269" i="16"/>
  <c r="K268" i="16"/>
  <c r="K267" i="16"/>
  <c r="G267" i="16"/>
  <c r="F267" i="16"/>
  <c r="K266" i="16"/>
  <c r="M264" i="16"/>
  <c r="L264" i="16"/>
  <c r="K264" i="16"/>
  <c r="H264" i="16"/>
  <c r="T264" i="16" s="1"/>
  <c r="F264" i="16"/>
  <c r="K263" i="16"/>
  <c r="K262" i="16"/>
  <c r="T259" i="16"/>
  <c r="O259" i="16"/>
  <c r="N259" i="16"/>
  <c r="M259" i="16"/>
  <c r="L259" i="16"/>
  <c r="K259" i="16"/>
  <c r="J259" i="16"/>
  <c r="I259" i="16"/>
  <c r="H259" i="16"/>
  <c r="G259" i="16"/>
  <c r="F259" i="16"/>
  <c r="K258" i="16"/>
  <c r="F258" i="16"/>
  <c r="L257" i="16"/>
  <c r="K257" i="16"/>
  <c r="G257" i="16"/>
  <c r="F257" i="16"/>
  <c r="K256" i="16"/>
  <c r="F256" i="16"/>
  <c r="K255" i="16"/>
  <c r="F255" i="16"/>
  <c r="K254" i="16"/>
  <c r="F254" i="16"/>
  <c r="L253" i="16"/>
  <c r="K253" i="16"/>
  <c r="F253" i="16"/>
  <c r="L252" i="16"/>
  <c r="K252" i="16"/>
  <c r="F252" i="16"/>
  <c r="K251" i="16"/>
  <c r="F251" i="16"/>
  <c r="M250" i="16"/>
  <c r="L250" i="16"/>
  <c r="K250" i="16"/>
  <c r="H250" i="16"/>
  <c r="T250" i="16" s="1"/>
  <c r="G250" i="16"/>
  <c r="F250" i="16"/>
  <c r="K249" i="16"/>
  <c r="F249" i="16"/>
  <c r="K248" i="16"/>
  <c r="F248" i="16"/>
  <c r="K247" i="16"/>
  <c r="F247" i="16"/>
  <c r="M246" i="16"/>
  <c r="K246" i="16"/>
  <c r="F246" i="16"/>
  <c r="K245" i="16"/>
  <c r="F245" i="16"/>
  <c r="K244" i="16"/>
  <c r="F244" i="16"/>
  <c r="K243" i="16"/>
  <c r="F243" i="16"/>
  <c r="M242" i="16"/>
  <c r="L242" i="16"/>
  <c r="K242" i="16"/>
  <c r="F242" i="16"/>
  <c r="K241" i="16"/>
  <c r="F241" i="16"/>
  <c r="K240" i="16"/>
  <c r="F240" i="16"/>
  <c r="K239" i="16"/>
  <c r="H239" i="16"/>
  <c r="T239" i="16" s="1"/>
  <c r="G239" i="16"/>
  <c r="F239" i="16"/>
  <c r="K238" i="16"/>
  <c r="F238" i="16"/>
  <c r="K237" i="16"/>
  <c r="H237" i="16"/>
  <c r="T237" i="16" s="1"/>
  <c r="F237" i="16"/>
  <c r="K236" i="16"/>
  <c r="H236" i="16"/>
  <c r="T236" i="16" s="1"/>
  <c r="G236" i="16"/>
  <c r="F236" i="16"/>
  <c r="K235" i="16"/>
  <c r="F235" i="16"/>
  <c r="K234" i="16"/>
  <c r="F234" i="16"/>
  <c r="K233" i="16"/>
  <c r="F233" i="16"/>
  <c r="L232" i="16"/>
  <c r="K232" i="16"/>
  <c r="F232" i="16"/>
  <c r="K231" i="16"/>
  <c r="F231" i="16"/>
  <c r="L230" i="16"/>
  <c r="K230" i="16"/>
  <c r="F230" i="16"/>
  <c r="K229" i="16"/>
  <c r="F229" i="16"/>
  <c r="M228" i="16"/>
  <c r="K228" i="16"/>
  <c r="F228" i="16"/>
  <c r="K227" i="16"/>
  <c r="F227" i="16"/>
  <c r="K226" i="16"/>
  <c r="F226" i="16"/>
  <c r="K225" i="16"/>
  <c r="F225" i="16"/>
  <c r="K224" i="16"/>
  <c r="F224" i="16"/>
  <c r="K223" i="16"/>
  <c r="G223" i="16"/>
  <c r="F223" i="16"/>
  <c r="M222" i="16"/>
  <c r="K222" i="16"/>
  <c r="F222" i="16"/>
  <c r="M221" i="16"/>
  <c r="L221" i="16"/>
  <c r="K221" i="16"/>
  <c r="F221" i="16"/>
  <c r="K220" i="16"/>
  <c r="F220" i="16"/>
  <c r="K219" i="16"/>
  <c r="F219" i="16"/>
  <c r="K218" i="16"/>
  <c r="F218" i="16"/>
  <c r="K217" i="16"/>
  <c r="H217" i="16"/>
  <c r="T217" i="16" s="1"/>
  <c r="G217" i="16"/>
  <c r="F217" i="16"/>
  <c r="L216" i="16"/>
  <c r="K216" i="16"/>
  <c r="G216" i="16"/>
  <c r="F216" i="16"/>
  <c r="K215" i="16"/>
  <c r="F215" i="16"/>
  <c r="K214" i="16"/>
  <c r="F214" i="16"/>
  <c r="K213" i="16"/>
  <c r="F213" i="16"/>
  <c r="K212" i="16"/>
  <c r="F212" i="16"/>
  <c r="K211" i="16"/>
  <c r="F211" i="16"/>
  <c r="L210" i="16"/>
  <c r="K210" i="16"/>
  <c r="H210" i="16"/>
  <c r="T210" i="16" s="1"/>
  <c r="G210" i="16"/>
  <c r="F210" i="16"/>
  <c r="K209" i="16"/>
  <c r="F209" i="16"/>
  <c r="K208" i="16"/>
  <c r="G208" i="16"/>
  <c r="F208" i="16"/>
  <c r="L207" i="16"/>
  <c r="K207" i="16"/>
  <c r="F207" i="16"/>
  <c r="K206" i="16"/>
  <c r="F206" i="16"/>
  <c r="K205" i="16"/>
  <c r="F205" i="16"/>
  <c r="K204" i="16"/>
  <c r="F204" i="16"/>
  <c r="K203" i="16"/>
  <c r="F203" i="16"/>
  <c r="K202" i="16"/>
  <c r="H202" i="16"/>
  <c r="T202" i="16" s="1"/>
  <c r="G202" i="16"/>
  <c r="F202" i="16"/>
  <c r="M201" i="16"/>
  <c r="L201" i="16"/>
  <c r="K201" i="16"/>
  <c r="H201" i="16"/>
  <c r="T201" i="16" s="1"/>
  <c r="F201" i="16"/>
  <c r="K200" i="16"/>
  <c r="F200" i="16"/>
  <c r="K199" i="16"/>
  <c r="F199" i="16"/>
  <c r="K198" i="16"/>
  <c r="F198" i="16"/>
  <c r="K197" i="16"/>
  <c r="H197" i="16"/>
  <c r="T197" i="16" s="1"/>
  <c r="G197" i="16"/>
  <c r="F197" i="16"/>
  <c r="K196" i="16"/>
  <c r="F196" i="16"/>
  <c r="M195" i="16"/>
  <c r="L195" i="16"/>
  <c r="K195" i="16"/>
  <c r="F195" i="16"/>
  <c r="K194" i="16"/>
  <c r="F194" i="16"/>
  <c r="K193" i="16"/>
  <c r="F193" i="16"/>
  <c r="K192" i="16"/>
  <c r="F192" i="16"/>
  <c r="K191" i="16"/>
  <c r="H191" i="16"/>
  <c r="T191" i="16" s="1"/>
  <c r="G191" i="16"/>
  <c r="F191" i="16"/>
  <c r="K190" i="16"/>
  <c r="F190" i="16"/>
  <c r="M189" i="16"/>
  <c r="K189" i="16"/>
  <c r="F189" i="16"/>
  <c r="K188" i="16"/>
  <c r="F188" i="16"/>
  <c r="K187" i="16"/>
  <c r="F187" i="16"/>
  <c r="K186" i="16"/>
  <c r="F186" i="16"/>
  <c r="K185" i="16"/>
  <c r="H185" i="16"/>
  <c r="T185" i="16" s="1"/>
  <c r="F185" i="16"/>
  <c r="K184" i="16"/>
  <c r="F184" i="16"/>
  <c r="K183" i="16"/>
  <c r="F183" i="16"/>
  <c r="M182" i="16"/>
  <c r="K182" i="16"/>
  <c r="H182" i="16"/>
  <c r="T182" i="16" s="1"/>
  <c r="G182" i="16"/>
  <c r="F182" i="16"/>
  <c r="K181" i="16"/>
  <c r="F181" i="16"/>
  <c r="K180" i="16"/>
  <c r="F180" i="16"/>
  <c r="K179" i="16"/>
  <c r="H179" i="16"/>
  <c r="T179" i="16" s="1"/>
  <c r="G179" i="16"/>
  <c r="F179" i="16"/>
  <c r="K178" i="16"/>
  <c r="F178" i="16"/>
  <c r="K177" i="16"/>
  <c r="G177" i="16"/>
  <c r="F177" i="16"/>
  <c r="M176" i="16"/>
  <c r="L176" i="16"/>
  <c r="K176" i="16"/>
  <c r="H176" i="16"/>
  <c r="T176" i="16" s="1"/>
  <c r="F176" i="16"/>
  <c r="K175" i="16"/>
  <c r="F175" i="16"/>
  <c r="K174" i="16"/>
  <c r="F174" i="16"/>
  <c r="K173" i="16"/>
  <c r="G173" i="16"/>
  <c r="F173" i="16"/>
  <c r="K172" i="16"/>
  <c r="H172" i="16"/>
  <c r="T172" i="16" s="1"/>
  <c r="F172" i="16"/>
  <c r="K171" i="16"/>
  <c r="H171" i="16"/>
  <c r="T171" i="16" s="1"/>
  <c r="G171" i="16"/>
  <c r="F171" i="16"/>
  <c r="M170" i="16"/>
  <c r="L170" i="16"/>
  <c r="K170" i="16"/>
  <c r="F170" i="16"/>
  <c r="K169" i="16"/>
  <c r="F169" i="16"/>
  <c r="K168" i="16"/>
  <c r="H168" i="16"/>
  <c r="T168" i="16" s="1"/>
  <c r="F168" i="16"/>
  <c r="K167" i="16"/>
  <c r="F167" i="16"/>
  <c r="L166" i="16"/>
  <c r="K166" i="16"/>
  <c r="G166" i="16"/>
  <c r="F166" i="16"/>
  <c r="M165" i="16"/>
  <c r="L165" i="16"/>
  <c r="K165" i="16"/>
  <c r="F165" i="16"/>
  <c r="K164" i="16"/>
  <c r="F164" i="16"/>
  <c r="K163" i="16"/>
  <c r="F163" i="16"/>
  <c r="K162" i="16"/>
  <c r="F162" i="16"/>
  <c r="K161" i="16"/>
  <c r="F161" i="16"/>
  <c r="L160" i="16"/>
  <c r="K160" i="16"/>
  <c r="H160" i="16"/>
  <c r="T160" i="16" s="1"/>
  <c r="G160" i="16"/>
  <c r="F160" i="16"/>
  <c r="K159" i="16"/>
  <c r="F159" i="16"/>
  <c r="K158" i="16"/>
  <c r="F158" i="16"/>
  <c r="M157" i="16"/>
  <c r="K157" i="16"/>
  <c r="F157" i="16"/>
  <c r="K156" i="16"/>
  <c r="F156" i="16"/>
  <c r="K155" i="16"/>
  <c r="F155" i="16"/>
  <c r="K154" i="16"/>
  <c r="F154" i="16"/>
  <c r="K153" i="16"/>
  <c r="F153" i="16"/>
  <c r="L152" i="16"/>
  <c r="K152" i="16"/>
  <c r="G152" i="16"/>
  <c r="F152" i="16"/>
  <c r="K151" i="16"/>
  <c r="G151" i="16"/>
  <c r="K150" i="16"/>
  <c r="G150" i="16"/>
  <c r="F150" i="16"/>
  <c r="M149" i="16"/>
  <c r="K149" i="16"/>
  <c r="K145" i="16"/>
  <c r="H145" i="16"/>
  <c r="T145" i="16" s="1"/>
  <c r="G145" i="16"/>
  <c r="F145" i="16"/>
  <c r="M144" i="16"/>
  <c r="L144" i="16"/>
  <c r="K144" i="16"/>
  <c r="F144" i="16"/>
  <c r="K143" i="16"/>
  <c r="H143" i="16"/>
  <c r="T143" i="16" s="1"/>
  <c r="M138" i="16"/>
  <c r="L138" i="16"/>
  <c r="K138" i="16"/>
  <c r="F138" i="16"/>
  <c r="K137" i="16"/>
  <c r="K136" i="16"/>
  <c r="G136" i="16"/>
  <c r="F136" i="16"/>
  <c r="T135" i="16"/>
  <c r="O135" i="16"/>
  <c r="N135" i="16"/>
  <c r="M135" i="16"/>
  <c r="L135" i="16"/>
  <c r="K135" i="16"/>
  <c r="J135" i="16"/>
  <c r="I135" i="16"/>
  <c r="H135" i="16"/>
  <c r="G135" i="16"/>
  <c r="F135" i="16"/>
  <c r="K134" i="16"/>
  <c r="F134" i="16"/>
  <c r="K133" i="16"/>
  <c r="F133" i="16"/>
  <c r="K132" i="16"/>
  <c r="G132" i="16"/>
  <c r="F132" i="16"/>
  <c r="M131" i="16"/>
  <c r="L131" i="16"/>
  <c r="K131" i="16"/>
  <c r="F131" i="16"/>
  <c r="M130" i="16"/>
  <c r="K130" i="16"/>
  <c r="F130" i="16"/>
  <c r="M129" i="16"/>
  <c r="K129" i="16"/>
  <c r="F129" i="16"/>
  <c r="K128" i="16"/>
  <c r="F128" i="16"/>
  <c r="K127" i="16"/>
  <c r="H127" i="16"/>
  <c r="T127" i="16" s="1"/>
  <c r="F127" i="16"/>
  <c r="M126" i="16"/>
  <c r="L126" i="16"/>
  <c r="K126" i="16"/>
  <c r="H126" i="16"/>
  <c r="T126" i="16" s="1"/>
  <c r="G126" i="16"/>
  <c r="F126" i="16"/>
  <c r="K125" i="16"/>
  <c r="F125" i="16"/>
  <c r="L124" i="16"/>
  <c r="K124" i="16"/>
  <c r="H124" i="16"/>
  <c r="T124" i="16" s="1"/>
  <c r="G124" i="16"/>
  <c r="F124" i="16"/>
  <c r="K123" i="16"/>
  <c r="F123" i="16"/>
  <c r="K122" i="16"/>
  <c r="H122" i="16"/>
  <c r="T122" i="16" s="1"/>
  <c r="G122" i="16"/>
  <c r="F122" i="16"/>
  <c r="L121" i="16"/>
  <c r="K121" i="16"/>
  <c r="F121" i="16"/>
  <c r="L120" i="16"/>
  <c r="K120" i="16"/>
  <c r="H120" i="16"/>
  <c r="T120" i="16" s="1"/>
  <c r="F120" i="16"/>
  <c r="L119" i="16"/>
  <c r="K119" i="16"/>
  <c r="F119" i="16"/>
  <c r="K118" i="16"/>
  <c r="K117" i="16"/>
  <c r="F117" i="16"/>
  <c r="K116" i="16"/>
  <c r="H116" i="16"/>
  <c r="T116" i="16" s="1"/>
  <c r="G116" i="16"/>
  <c r="F116" i="16"/>
  <c r="L115" i="16"/>
  <c r="K115" i="16"/>
  <c r="F115" i="16"/>
  <c r="K110" i="16"/>
  <c r="H110" i="16"/>
  <c r="T110" i="16" s="1"/>
  <c r="F110" i="16"/>
  <c r="L109" i="16"/>
  <c r="K109" i="16"/>
  <c r="F109" i="16"/>
  <c r="K108" i="16"/>
  <c r="K107" i="16"/>
  <c r="G107" i="16"/>
  <c r="F107" i="16"/>
  <c r="M106" i="16"/>
  <c r="L106" i="16"/>
  <c r="K106" i="16"/>
  <c r="F106" i="16"/>
  <c r="K105" i="16"/>
  <c r="G105" i="16"/>
  <c r="F105" i="16"/>
  <c r="M104" i="16"/>
  <c r="L104" i="16"/>
  <c r="K104" i="16"/>
  <c r="F104" i="16"/>
  <c r="K103" i="16"/>
  <c r="F103" i="16"/>
  <c r="K102" i="16"/>
  <c r="F102" i="16"/>
  <c r="L101" i="16"/>
  <c r="K101" i="16"/>
  <c r="H101" i="16"/>
  <c r="T101" i="16" s="1"/>
  <c r="G101" i="16"/>
  <c r="F101" i="16"/>
  <c r="M100" i="16"/>
  <c r="L100" i="16"/>
  <c r="K100" i="16"/>
  <c r="G100" i="16"/>
  <c r="F100" i="16"/>
  <c r="T99" i="16"/>
  <c r="O99" i="16"/>
  <c r="N99" i="16"/>
  <c r="M99" i="16"/>
  <c r="L99" i="16"/>
  <c r="K99" i="16"/>
  <c r="J99" i="16"/>
  <c r="I99" i="16"/>
  <c r="H99" i="16"/>
  <c r="G99" i="16"/>
  <c r="F99" i="16"/>
  <c r="M98" i="16"/>
  <c r="K98" i="16"/>
  <c r="H98" i="16"/>
  <c r="T98" i="16" s="1"/>
  <c r="G98" i="16"/>
  <c r="F98" i="16"/>
  <c r="K97" i="16"/>
  <c r="F97" i="16"/>
  <c r="K96" i="16"/>
  <c r="H96" i="16"/>
  <c r="T96" i="16" s="1"/>
  <c r="G96" i="16"/>
  <c r="F96" i="16"/>
  <c r="M95" i="16"/>
  <c r="K95" i="16"/>
  <c r="F95" i="16"/>
  <c r="K94" i="16"/>
  <c r="G94" i="16"/>
  <c r="F94" i="16"/>
  <c r="M93" i="16"/>
  <c r="L93" i="16"/>
  <c r="K93" i="16"/>
  <c r="F93" i="16"/>
  <c r="M92" i="16"/>
  <c r="K92" i="16"/>
  <c r="G92" i="16"/>
  <c r="F92" i="16"/>
  <c r="L91" i="16"/>
  <c r="K91" i="16"/>
  <c r="F91" i="16"/>
  <c r="L90" i="16"/>
  <c r="K90" i="16"/>
  <c r="F90" i="16"/>
  <c r="K89" i="16"/>
  <c r="G89" i="16"/>
  <c r="F89" i="16"/>
  <c r="K88" i="16"/>
  <c r="G88" i="16"/>
  <c r="F88" i="16"/>
  <c r="K87" i="16"/>
  <c r="H87" i="16"/>
  <c r="T87" i="16" s="1"/>
  <c r="G87" i="16"/>
  <c r="F87" i="16"/>
  <c r="K86" i="16"/>
  <c r="G86" i="16"/>
  <c r="F86" i="16"/>
  <c r="L85" i="16"/>
  <c r="K85" i="16"/>
  <c r="F85" i="16"/>
  <c r="K84" i="16"/>
  <c r="F84" i="16"/>
  <c r="L83" i="16"/>
  <c r="K83" i="16"/>
  <c r="H83" i="16"/>
  <c r="T83" i="16" s="1"/>
  <c r="G83" i="16"/>
  <c r="M82" i="16"/>
  <c r="K82" i="16"/>
  <c r="F82" i="16"/>
  <c r="M81" i="16"/>
  <c r="L81" i="16"/>
  <c r="K81" i="16"/>
  <c r="H81" i="16"/>
  <c r="T81" i="16" s="1"/>
  <c r="G81" i="16"/>
  <c r="F81" i="16"/>
  <c r="K80" i="16"/>
  <c r="F80" i="16"/>
  <c r="T79" i="16"/>
  <c r="O79" i="16"/>
  <c r="N79" i="16"/>
  <c r="M79" i="16"/>
  <c r="L79" i="16"/>
  <c r="K79" i="16"/>
  <c r="J79" i="16"/>
  <c r="I79" i="16"/>
  <c r="H79" i="16"/>
  <c r="G79" i="16"/>
  <c r="F79" i="16"/>
  <c r="M78" i="16"/>
  <c r="K78" i="16"/>
  <c r="H78" i="16"/>
  <c r="T78" i="16" s="1"/>
  <c r="G78" i="16"/>
  <c r="F78" i="16"/>
  <c r="K77" i="16"/>
  <c r="F77" i="16"/>
  <c r="K75" i="16"/>
  <c r="H75" i="16"/>
  <c r="T75" i="16" s="1"/>
  <c r="F75" i="16"/>
  <c r="K74" i="16"/>
  <c r="G74" i="16"/>
  <c r="F74" i="16"/>
  <c r="L73" i="16"/>
  <c r="K73" i="16"/>
  <c r="H73" i="16"/>
  <c r="T73" i="16" s="1"/>
  <c r="G73" i="16"/>
  <c r="F73" i="16"/>
  <c r="K71" i="16"/>
  <c r="H71" i="16"/>
  <c r="T71" i="16" s="1"/>
  <c r="F71" i="16"/>
  <c r="M70" i="16"/>
  <c r="K70" i="16"/>
  <c r="F70" i="16"/>
  <c r="K69" i="16"/>
  <c r="F69" i="16"/>
  <c r="T68" i="16"/>
  <c r="M68" i="16"/>
  <c r="L68" i="16"/>
  <c r="K68" i="16"/>
  <c r="H68" i="16"/>
  <c r="G68" i="16"/>
  <c r="F68" i="16"/>
  <c r="T67" i="16"/>
  <c r="L67" i="16"/>
  <c r="K67" i="16"/>
  <c r="F67" i="16"/>
  <c r="T66" i="16"/>
  <c r="O66" i="16"/>
  <c r="N66" i="16"/>
  <c r="M66" i="16"/>
  <c r="L66" i="16"/>
  <c r="K66" i="16"/>
  <c r="J66" i="16"/>
  <c r="I66" i="16"/>
  <c r="H66" i="16"/>
  <c r="G66" i="16"/>
  <c r="F66" i="16"/>
  <c r="T65" i="16"/>
  <c r="K65" i="16"/>
  <c r="F65" i="16"/>
  <c r="L64" i="16"/>
  <c r="K64" i="16"/>
  <c r="G64" i="16"/>
  <c r="F64" i="16"/>
  <c r="M63" i="16"/>
  <c r="L63" i="16"/>
  <c r="K63" i="16"/>
  <c r="H63" i="16"/>
  <c r="T63" i="16" s="1"/>
  <c r="M62" i="16"/>
  <c r="K62" i="16"/>
  <c r="F62" i="16"/>
  <c r="T61" i="16"/>
  <c r="O61" i="16"/>
  <c r="N61" i="16"/>
  <c r="M61" i="16"/>
  <c r="L61" i="16"/>
  <c r="K61" i="16"/>
  <c r="J61" i="16"/>
  <c r="I61" i="16"/>
  <c r="H61" i="16"/>
  <c r="G61" i="16"/>
  <c r="F61" i="16"/>
  <c r="K60" i="16"/>
  <c r="F60" i="16"/>
  <c r="L59" i="16"/>
  <c r="K59" i="16"/>
  <c r="F59" i="16"/>
  <c r="K58" i="16"/>
  <c r="H58" i="16"/>
  <c r="T58" i="16" s="1"/>
  <c r="G58" i="16"/>
  <c r="F58" i="16"/>
  <c r="M57" i="16"/>
  <c r="L57" i="16"/>
  <c r="K57" i="16"/>
  <c r="H57" i="16"/>
  <c r="T57" i="16" s="1"/>
  <c r="G57" i="16"/>
  <c r="F57" i="16"/>
  <c r="K56" i="16"/>
  <c r="G56" i="16"/>
  <c r="F56" i="16"/>
  <c r="M55" i="16"/>
  <c r="L55" i="16"/>
  <c r="K55" i="16"/>
  <c r="H55" i="16"/>
  <c r="T55" i="16" s="1"/>
  <c r="F55" i="16"/>
  <c r="T54" i="16"/>
  <c r="O54" i="16"/>
  <c r="N54" i="16"/>
  <c r="M54" i="16"/>
  <c r="L54" i="16"/>
  <c r="K54" i="16"/>
  <c r="J54" i="16"/>
  <c r="I54" i="16"/>
  <c r="H54" i="16"/>
  <c r="G54" i="16"/>
  <c r="F54" i="16"/>
  <c r="T53" i="16"/>
  <c r="M53" i="16"/>
  <c r="L53" i="16"/>
  <c r="K53" i="16"/>
  <c r="H53" i="16"/>
  <c r="G53" i="16"/>
  <c r="F53" i="16"/>
  <c r="K52" i="16"/>
  <c r="F52" i="16"/>
  <c r="K51" i="16"/>
  <c r="H51" i="16"/>
  <c r="T51" i="16" s="1"/>
  <c r="F51" i="16"/>
  <c r="L50" i="16"/>
  <c r="K50" i="16"/>
  <c r="H50" i="16"/>
  <c r="T50" i="16" s="1"/>
  <c r="G50" i="16"/>
  <c r="F50" i="16"/>
  <c r="L49" i="16"/>
  <c r="K49" i="16"/>
  <c r="G49" i="16"/>
  <c r="F49" i="16"/>
  <c r="K48" i="16"/>
  <c r="H48" i="16"/>
  <c r="T48" i="16" s="1"/>
  <c r="G48" i="16"/>
  <c r="F48" i="16"/>
  <c r="K47" i="16"/>
  <c r="F47" i="16"/>
  <c r="K46" i="16"/>
  <c r="G46" i="16"/>
  <c r="F46" i="16"/>
  <c r="K45" i="16"/>
  <c r="H45" i="16"/>
  <c r="T45" i="16" s="1"/>
  <c r="G45" i="16"/>
  <c r="F45" i="16"/>
  <c r="T44" i="16"/>
  <c r="O44" i="16"/>
  <c r="N44" i="16"/>
  <c r="M44" i="16"/>
  <c r="L44" i="16"/>
  <c r="K44" i="16"/>
  <c r="J44" i="16"/>
  <c r="I44" i="16"/>
  <c r="H44" i="16"/>
  <c r="G44" i="16"/>
  <c r="F44" i="16"/>
  <c r="M43" i="16"/>
  <c r="L43" i="16"/>
  <c r="K43" i="16"/>
  <c r="H43" i="16"/>
  <c r="T43" i="16" s="1"/>
  <c r="G43" i="16"/>
  <c r="F43" i="16"/>
  <c r="L42" i="16"/>
  <c r="K42" i="16"/>
  <c r="H42" i="16"/>
  <c r="T42" i="16" s="1"/>
  <c r="G42" i="16"/>
  <c r="F42" i="16"/>
  <c r="L41" i="16"/>
  <c r="K41" i="16"/>
  <c r="H41" i="16"/>
  <c r="T41" i="16" s="1"/>
  <c r="G41" i="16"/>
  <c r="F41" i="16"/>
  <c r="T40" i="16"/>
  <c r="O40" i="16"/>
  <c r="N40" i="16"/>
  <c r="M40" i="16"/>
  <c r="L40" i="16"/>
  <c r="K40" i="16"/>
  <c r="J40" i="16"/>
  <c r="I40" i="16"/>
  <c r="H40" i="16"/>
  <c r="G40" i="16"/>
  <c r="F40" i="16"/>
  <c r="T39" i="16"/>
  <c r="L39" i="16"/>
  <c r="K39" i="16"/>
  <c r="F39" i="16"/>
  <c r="M38" i="16"/>
  <c r="K38" i="16"/>
  <c r="H38" i="16"/>
  <c r="T38" i="16" s="1"/>
  <c r="G38" i="16"/>
  <c r="F38" i="16"/>
  <c r="K37" i="16"/>
  <c r="F37" i="16"/>
  <c r="K36" i="16"/>
  <c r="H36" i="16"/>
  <c r="T36" i="16" s="1"/>
  <c r="F36" i="16"/>
  <c r="M35" i="16"/>
  <c r="L35" i="16"/>
  <c r="K35" i="16"/>
  <c r="F35" i="16"/>
  <c r="L34" i="16"/>
  <c r="K34" i="16"/>
  <c r="G34" i="16"/>
  <c r="F34" i="16"/>
  <c r="M33" i="16"/>
  <c r="L33" i="16"/>
  <c r="K33" i="16"/>
  <c r="H33" i="16"/>
  <c r="T33" i="16" s="1"/>
  <c r="F33" i="16"/>
  <c r="K32" i="16"/>
  <c r="F32" i="16"/>
  <c r="L31" i="16"/>
  <c r="K31" i="16"/>
  <c r="F31" i="16"/>
  <c r="N26" i="16"/>
  <c r="L26" i="16"/>
  <c r="K26" i="16"/>
  <c r="I26" i="16"/>
  <c r="H26" i="16"/>
  <c r="G26" i="16"/>
  <c r="F26" i="16"/>
  <c r="O25" i="16"/>
  <c r="N25" i="16"/>
  <c r="M25" i="16"/>
  <c r="K25" i="16"/>
  <c r="J25" i="16"/>
  <c r="I25" i="16"/>
  <c r="H25" i="16"/>
  <c r="F25" i="16"/>
  <c r="K24" i="16"/>
  <c r="H24" i="16"/>
  <c r="G24" i="16"/>
  <c r="O23" i="16"/>
  <c r="N23" i="16"/>
  <c r="M23" i="16"/>
  <c r="L23" i="16"/>
  <c r="K23" i="16"/>
  <c r="J23" i="16"/>
  <c r="I23" i="16"/>
  <c r="K22" i="16"/>
  <c r="G22" i="16"/>
  <c r="F22" i="16"/>
  <c r="K21" i="16"/>
  <c r="F21" i="16"/>
  <c r="N17" i="16"/>
  <c r="K17" i="16"/>
  <c r="I17" i="16"/>
  <c r="G17" i="16"/>
  <c r="F17" i="16"/>
  <c r="O16" i="16"/>
  <c r="N16" i="16"/>
  <c r="M16" i="16"/>
  <c r="L16" i="16"/>
  <c r="K16" i="16"/>
  <c r="J16" i="16"/>
  <c r="I16" i="16"/>
  <c r="H16" i="16"/>
  <c r="G16" i="16"/>
  <c r="F16" i="16"/>
  <c r="O14" i="16"/>
  <c r="N14" i="16"/>
  <c r="L14" i="16"/>
  <c r="J14" i="16"/>
  <c r="I14" i="16"/>
  <c r="G14" i="16"/>
  <c r="F14" i="16"/>
  <c r="L13" i="16"/>
  <c r="K13" i="16"/>
  <c r="H13" i="16"/>
  <c r="G13" i="16"/>
  <c r="F13" i="16"/>
  <c r="M12" i="16"/>
  <c r="L12" i="16"/>
  <c r="K12" i="16"/>
  <c r="F12" i="16"/>
  <c r="E3" i="16"/>
  <c r="H311" i="16" s="1"/>
  <c r="T311" i="16" s="1"/>
  <c r="D3" i="16"/>
  <c r="G294" i="16" s="1"/>
  <c r="C3" i="16"/>
  <c r="F272" i="16" s="1"/>
  <c r="K325" i="15"/>
  <c r="K324" i="15"/>
  <c r="K323" i="15"/>
  <c r="K322" i="15"/>
  <c r="K321" i="15"/>
  <c r="K320" i="15"/>
  <c r="O316" i="15"/>
  <c r="N316" i="15"/>
  <c r="L316" i="15"/>
  <c r="K316" i="15"/>
  <c r="J316" i="15"/>
  <c r="I316" i="15"/>
  <c r="G316" i="15"/>
  <c r="F316" i="15"/>
  <c r="O315" i="15"/>
  <c r="N315" i="15"/>
  <c r="L315" i="15"/>
  <c r="K315" i="15"/>
  <c r="J315" i="15"/>
  <c r="I315" i="15"/>
  <c r="G315" i="15"/>
  <c r="F315" i="15"/>
  <c r="O314" i="15"/>
  <c r="N314" i="15"/>
  <c r="L314" i="15"/>
  <c r="K314" i="15"/>
  <c r="J314" i="15"/>
  <c r="I314" i="15"/>
  <c r="G314" i="15"/>
  <c r="F314" i="15"/>
  <c r="O313" i="15"/>
  <c r="N313" i="15"/>
  <c r="L313" i="15"/>
  <c r="K313" i="15"/>
  <c r="J313" i="15"/>
  <c r="I313" i="15"/>
  <c r="G313" i="15"/>
  <c r="F313" i="15"/>
  <c r="O312" i="15"/>
  <c r="N312" i="15"/>
  <c r="K312" i="15"/>
  <c r="J312" i="15"/>
  <c r="I312" i="15"/>
  <c r="F312" i="15"/>
  <c r="O311" i="15"/>
  <c r="N311" i="15"/>
  <c r="K311" i="15"/>
  <c r="J311" i="15"/>
  <c r="I311" i="15"/>
  <c r="F311" i="15"/>
  <c r="O310" i="15"/>
  <c r="N310" i="15"/>
  <c r="K310" i="15"/>
  <c r="J310" i="15"/>
  <c r="I310" i="15"/>
  <c r="F310" i="15"/>
  <c r="O309" i="15"/>
  <c r="N309" i="15"/>
  <c r="K309" i="15"/>
  <c r="J309" i="15"/>
  <c r="I309" i="15"/>
  <c r="F309" i="15"/>
  <c r="O308" i="15"/>
  <c r="N308" i="15"/>
  <c r="K308" i="15"/>
  <c r="J308" i="15"/>
  <c r="I308" i="15"/>
  <c r="F308" i="15"/>
  <c r="O307" i="15"/>
  <c r="N307" i="15"/>
  <c r="K307" i="15"/>
  <c r="J307" i="15"/>
  <c r="I307" i="15"/>
  <c r="F307" i="15"/>
  <c r="O306" i="15"/>
  <c r="N306" i="15"/>
  <c r="K306" i="15"/>
  <c r="J306" i="15"/>
  <c r="I306" i="15"/>
  <c r="F306" i="15"/>
  <c r="O305" i="15"/>
  <c r="N305" i="15"/>
  <c r="K305" i="15"/>
  <c r="J305" i="15"/>
  <c r="I305" i="15"/>
  <c r="F305" i="15"/>
  <c r="O304" i="15"/>
  <c r="N304" i="15"/>
  <c r="K304" i="15"/>
  <c r="J304" i="15"/>
  <c r="I304" i="15"/>
  <c r="F304" i="15"/>
  <c r="O303" i="15"/>
  <c r="N303" i="15"/>
  <c r="K303" i="15"/>
  <c r="J303" i="15"/>
  <c r="I303" i="15"/>
  <c r="F303" i="15"/>
  <c r="O302" i="15"/>
  <c r="N302" i="15"/>
  <c r="K302" i="15"/>
  <c r="J302" i="15"/>
  <c r="I302" i="15"/>
  <c r="F302" i="15"/>
  <c r="O301" i="15"/>
  <c r="N301" i="15"/>
  <c r="K301" i="15"/>
  <c r="J301" i="15"/>
  <c r="I301" i="15"/>
  <c r="F301" i="15"/>
  <c r="O300" i="15"/>
  <c r="N300" i="15"/>
  <c r="K300" i="15"/>
  <c r="J300" i="15"/>
  <c r="I300" i="15"/>
  <c r="F300" i="15"/>
  <c r="O299" i="15"/>
  <c r="N299" i="15"/>
  <c r="K299" i="15"/>
  <c r="J299" i="15"/>
  <c r="I299" i="15"/>
  <c r="F299" i="15"/>
  <c r="O298" i="15"/>
  <c r="N298" i="15"/>
  <c r="K298" i="15"/>
  <c r="J298" i="15"/>
  <c r="I298" i="15"/>
  <c r="F298" i="15"/>
  <c r="O297" i="15"/>
  <c r="N297" i="15"/>
  <c r="K297" i="15"/>
  <c r="J297" i="15"/>
  <c r="I297" i="15"/>
  <c r="F297" i="15"/>
  <c r="O296" i="15"/>
  <c r="N296" i="15"/>
  <c r="K296" i="15"/>
  <c r="J296" i="15"/>
  <c r="I296" i="15"/>
  <c r="F296" i="15"/>
  <c r="O295" i="15"/>
  <c r="N295" i="15"/>
  <c r="K295" i="15"/>
  <c r="J295" i="15"/>
  <c r="I295" i="15"/>
  <c r="F295" i="15"/>
  <c r="O294" i="15"/>
  <c r="N294" i="15"/>
  <c r="K294" i="15"/>
  <c r="J294" i="15"/>
  <c r="I294" i="15"/>
  <c r="F294" i="15"/>
  <c r="O293" i="15"/>
  <c r="N293" i="15"/>
  <c r="K293" i="15"/>
  <c r="J293" i="15"/>
  <c r="I293" i="15"/>
  <c r="F293" i="15"/>
  <c r="O292" i="15"/>
  <c r="N292" i="15"/>
  <c r="K292" i="15"/>
  <c r="J292" i="15"/>
  <c r="I292" i="15"/>
  <c r="F292" i="15"/>
  <c r="O291" i="15"/>
  <c r="N291" i="15"/>
  <c r="K291" i="15"/>
  <c r="J291" i="15"/>
  <c r="I291" i="15"/>
  <c r="F291" i="15"/>
  <c r="O290" i="15"/>
  <c r="N290" i="15"/>
  <c r="L290" i="15"/>
  <c r="K290" i="15"/>
  <c r="J290" i="15"/>
  <c r="I290" i="15"/>
  <c r="G290" i="15"/>
  <c r="F290" i="15"/>
  <c r="K286" i="15"/>
  <c r="F286" i="15"/>
  <c r="K285" i="15"/>
  <c r="F285" i="15"/>
  <c r="K284" i="15"/>
  <c r="F284" i="15"/>
  <c r="K283" i="15"/>
  <c r="F283" i="15"/>
  <c r="K282" i="15"/>
  <c r="F282" i="15"/>
  <c r="K281" i="15"/>
  <c r="F281" i="15"/>
  <c r="K280" i="15"/>
  <c r="F280" i="15"/>
  <c r="K276" i="15"/>
  <c r="K275" i="15"/>
  <c r="K274" i="15"/>
  <c r="K273" i="15"/>
  <c r="K272" i="15"/>
  <c r="K271" i="15"/>
  <c r="K270" i="15"/>
  <c r="K269" i="15"/>
  <c r="K268" i="15"/>
  <c r="K267" i="15"/>
  <c r="K266" i="15"/>
  <c r="K265" i="15"/>
  <c r="K264" i="15"/>
  <c r="K262" i="15"/>
  <c r="T259" i="15"/>
  <c r="O259" i="15"/>
  <c r="N259" i="15"/>
  <c r="M259" i="15"/>
  <c r="L259" i="15"/>
  <c r="K259" i="15"/>
  <c r="J259" i="15"/>
  <c r="I259" i="15"/>
  <c r="H259" i="15"/>
  <c r="G259" i="15"/>
  <c r="F259" i="15"/>
  <c r="K258" i="15"/>
  <c r="K257" i="15"/>
  <c r="K256" i="15"/>
  <c r="K255" i="15"/>
  <c r="K254" i="15"/>
  <c r="K253" i="15"/>
  <c r="K252" i="15"/>
  <c r="K251" i="15"/>
  <c r="K250" i="15"/>
  <c r="K249" i="15"/>
  <c r="K248" i="15"/>
  <c r="K247" i="15"/>
  <c r="K246" i="15"/>
  <c r="K245" i="15"/>
  <c r="K244" i="15"/>
  <c r="K243" i="15"/>
  <c r="K242" i="15"/>
  <c r="K241" i="15"/>
  <c r="K240" i="15"/>
  <c r="K239" i="15"/>
  <c r="K238" i="15"/>
  <c r="K237" i="15"/>
  <c r="K236" i="15"/>
  <c r="K235" i="15"/>
  <c r="K234" i="15"/>
  <c r="K233" i="15"/>
  <c r="K232" i="15"/>
  <c r="K231" i="15"/>
  <c r="K230" i="15"/>
  <c r="K229" i="15"/>
  <c r="K228" i="15"/>
  <c r="K227" i="15"/>
  <c r="K226" i="15"/>
  <c r="K225" i="15"/>
  <c r="K224" i="15"/>
  <c r="K223" i="15"/>
  <c r="K222" i="15"/>
  <c r="K221" i="15"/>
  <c r="K220" i="15"/>
  <c r="K219" i="15"/>
  <c r="K218" i="15"/>
  <c r="K217" i="15"/>
  <c r="K216" i="15"/>
  <c r="K215" i="15"/>
  <c r="K214" i="15"/>
  <c r="K213" i="15"/>
  <c r="K212" i="15"/>
  <c r="K211" i="15"/>
  <c r="K210" i="15"/>
  <c r="K209" i="15"/>
  <c r="K208" i="15"/>
  <c r="K207" i="15"/>
  <c r="K206" i="15"/>
  <c r="K205" i="15"/>
  <c r="K204" i="15"/>
  <c r="K203" i="15"/>
  <c r="K202" i="15"/>
  <c r="K201" i="15"/>
  <c r="K200" i="15"/>
  <c r="K199" i="15"/>
  <c r="K198" i="15"/>
  <c r="K197" i="15"/>
  <c r="K196" i="15"/>
  <c r="K195" i="15"/>
  <c r="K194" i="15"/>
  <c r="K193" i="15"/>
  <c r="K192" i="15"/>
  <c r="K191" i="15"/>
  <c r="K190" i="15"/>
  <c r="K189" i="15"/>
  <c r="K188" i="15"/>
  <c r="K187" i="15"/>
  <c r="K186" i="15"/>
  <c r="K185" i="15"/>
  <c r="K184" i="15"/>
  <c r="K183" i="15"/>
  <c r="K182" i="15"/>
  <c r="K181" i="15"/>
  <c r="K180" i="15"/>
  <c r="K179" i="15"/>
  <c r="K178" i="15"/>
  <c r="K177" i="15"/>
  <c r="K176" i="15"/>
  <c r="K175" i="15"/>
  <c r="K174" i="15"/>
  <c r="K173" i="15"/>
  <c r="K172" i="15"/>
  <c r="K171" i="15"/>
  <c r="K170" i="15"/>
  <c r="K169" i="15"/>
  <c r="K168" i="15"/>
  <c r="K167" i="15"/>
  <c r="K166" i="15"/>
  <c r="K165" i="15"/>
  <c r="K164" i="15"/>
  <c r="K163" i="15"/>
  <c r="K162" i="15"/>
  <c r="K161" i="15"/>
  <c r="K160" i="15"/>
  <c r="K159" i="15"/>
  <c r="K158" i="15"/>
  <c r="K157" i="15"/>
  <c r="K156" i="15"/>
  <c r="K155" i="15"/>
  <c r="K154" i="15"/>
  <c r="K153" i="15"/>
  <c r="K152" i="15"/>
  <c r="K151" i="15"/>
  <c r="K150" i="15"/>
  <c r="K149" i="15"/>
  <c r="K148" i="15"/>
  <c r="K146" i="15"/>
  <c r="K145" i="15"/>
  <c r="K144" i="15"/>
  <c r="K143" i="15"/>
  <c r="K138" i="15"/>
  <c r="K137" i="15"/>
  <c r="K136" i="15"/>
  <c r="T135" i="15"/>
  <c r="O135" i="15"/>
  <c r="N135" i="15"/>
  <c r="M135" i="15"/>
  <c r="L135" i="15"/>
  <c r="K135" i="15"/>
  <c r="J135" i="15"/>
  <c r="I135" i="15"/>
  <c r="H135" i="15"/>
  <c r="G135" i="15"/>
  <c r="F135" i="15"/>
  <c r="K134" i="15"/>
  <c r="K133" i="15"/>
  <c r="K132" i="15"/>
  <c r="K131" i="15"/>
  <c r="K130" i="15"/>
  <c r="K129" i="15"/>
  <c r="K128" i="15"/>
  <c r="K127" i="15"/>
  <c r="K126" i="15"/>
  <c r="K125" i="15"/>
  <c r="K124" i="15"/>
  <c r="K123" i="15"/>
  <c r="K122" i="15"/>
  <c r="K121" i="15"/>
  <c r="K120" i="15"/>
  <c r="K119" i="15"/>
  <c r="K118" i="15"/>
  <c r="K117" i="15"/>
  <c r="K116" i="15"/>
  <c r="K115" i="15"/>
  <c r="K110" i="15"/>
  <c r="K109" i="15"/>
  <c r="K108" i="15"/>
  <c r="K107" i="15"/>
  <c r="K106" i="15"/>
  <c r="K105" i="15"/>
  <c r="K104" i="15"/>
  <c r="K103" i="15"/>
  <c r="K102" i="15"/>
  <c r="K101" i="15"/>
  <c r="K100" i="15"/>
  <c r="T99" i="15"/>
  <c r="O99" i="15"/>
  <c r="N99" i="15"/>
  <c r="M99" i="15"/>
  <c r="L99" i="15"/>
  <c r="K99" i="15"/>
  <c r="J99" i="15"/>
  <c r="I99" i="15"/>
  <c r="H99" i="15"/>
  <c r="G99" i="15"/>
  <c r="F99" i="15"/>
  <c r="K98" i="15"/>
  <c r="K97" i="15"/>
  <c r="K96" i="15"/>
  <c r="K95" i="15"/>
  <c r="K94" i="15"/>
  <c r="K93" i="15"/>
  <c r="K92" i="15"/>
  <c r="K91" i="15"/>
  <c r="K90" i="15"/>
  <c r="K89" i="15"/>
  <c r="K88" i="15"/>
  <c r="K87" i="15"/>
  <c r="K86" i="15"/>
  <c r="K85" i="15"/>
  <c r="K84" i="15"/>
  <c r="K83" i="15"/>
  <c r="K82" i="15"/>
  <c r="K81" i="15"/>
  <c r="K80" i="15"/>
  <c r="T79" i="15"/>
  <c r="O79" i="15"/>
  <c r="N79" i="15"/>
  <c r="M79" i="15"/>
  <c r="L79" i="15"/>
  <c r="K79" i="15"/>
  <c r="J79" i="15"/>
  <c r="I79" i="15"/>
  <c r="H79" i="15"/>
  <c r="G79" i="15"/>
  <c r="F79" i="15"/>
  <c r="K78" i="15"/>
  <c r="K77" i="15"/>
  <c r="K75" i="15"/>
  <c r="K74" i="15"/>
  <c r="K73" i="15"/>
  <c r="K71" i="15"/>
  <c r="K70" i="15"/>
  <c r="K69" i="15"/>
  <c r="T68" i="15"/>
  <c r="K68" i="15"/>
  <c r="T67" i="15"/>
  <c r="K67" i="15"/>
  <c r="T66" i="15"/>
  <c r="O66" i="15"/>
  <c r="N66" i="15"/>
  <c r="M66" i="15"/>
  <c r="L66" i="15"/>
  <c r="K66" i="15"/>
  <c r="J66" i="15"/>
  <c r="I66" i="15"/>
  <c r="H66" i="15"/>
  <c r="G66" i="15"/>
  <c r="F66" i="15"/>
  <c r="T65" i="15"/>
  <c r="K65" i="15"/>
  <c r="K64" i="15"/>
  <c r="K63" i="15"/>
  <c r="K62" i="15"/>
  <c r="T61" i="15"/>
  <c r="O61" i="15"/>
  <c r="N61" i="15"/>
  <c r="M61" i="15"/>
  <c r="L61" i="15"/>
  <c r="K61" i="15"/>
  <c r="J61" i="15"/>
  <c r="I61" i="15"/>
  <c r="H61" i="15"/>
  <c r="G61" i="15"/>
  <c r="F61" i="15"/>
  <c r="K60" i="15"/>
  <c r="K59" i="15"/>
  <c r="K58" i="15"/>
  <c r="K57" i="15"/>
  <c r="K56" i="15"/>
  <c r="K55" i="15"/>
  <c r="T54" i="15"/>
  <c r="O54" i="15"/>
  <c r="N54" i="15"/>
  <c r="M54" i="15"/>
  <c r="L54" i="15"/>
  <c r="K54" i="15"/>
  <c r="J54" i="15"/>
  <c r="I54" i="15"/>
  <c r="H54" i="15"/>
  <c r="G54" i="15"/>
  <c r="F54" i="15"/>
  <c r="T53" i="15"/>
  <c r="K53" i="15"/>
  <c r="K52" i="15"/>
  <c r="K51" i="15"/>
  <c r="K50" i="15"/>
  <c r="K49" i="15"/>
  <c r="K48" i="15"/>
  <c r="K47" i="15"/>
  <c r="K46" i="15"/>
  <c r="K45" i="15"/>
  <c r="T44" i="15"/>
  <c r="O44" i="15"/>
  <c r="N44" i="15"/>
  <c r="M44" i="15"/>
  <c r="L44" i="15"/>
  <c r="K44" i="15"/>
  <c r="J44" i="15"/>
  <c r="I44" i="15"/>
  <c r="H44" i="15"/>
  <c r="G44" i="15"/>
  <c r="F44" i="15"/>
  <c r="K43" i="15"/>
  <c r="K42" i="15"/>
  <c r="K41" i="15"/>
  <c r="T40" i="15"/>
  <c r="O40" i="15"/>
  <c r="N40" i="15"/>
  <c r="M40" i="15"/>
  <c r="L40" i="15"/>
  <c r="K40" i="15"/>
  <c r="J40" i="15"/>
  <c r="I40" i="15"/>
  <c r="H40" i="15"/>
  <c r="G40" i="15"/>
  <c r="F40" i="15"/>
  <c r="T39" i="15"/>
  <c r="K39" i="15"/>
  <c r="K38" i="15"/>
  <c r="K37" i="15"/>
  <c r="K36" i="15"/>
  <c r="K35" i="15"/>
  <c r="K34" i="15"/>
  <c r="K33" i="15"/>
  <c r="K32" i="15"/>
  <c r="K31" i="15"/>
  <c r="N26" i="15"/>
  <c r="K26" i="15"/>
  <c r="I26" i="15"/>
  <c r="F26" i="15"/>
  <c r="O25" i="15"/>
  <c r="N25" i="15"/>
  <c r="J25" i="15"/>
  <c r="I25" i="15"/>
  <c r="O23" i="15"/>
  <c r="N23" i="15"/>
  <c r="J23" i="15"/>
  <c r="I23" i="15"/>
  <c r="K22" i="15"/>
  <c r="K21" i="15"/>
  <c r="F21" i="15"/>
  <c r="N17" i="15"/>
  <c r="K17" i="15"/>
  <c r="I17" i="15"/>
  <c r="F17" i="15"/>
  <c r="O16" i="15"/>
  <c r="N16" i="15"/>
  <c r="K16" i="15"/>
  <c r="J16" i="15"/>
  <c r="I16" i="15"/>
  <c r="O14" i="15"/>
  <c r="N14" i="15"/>
  <c r="J14" i="15"/>
  <c r="I14" i="15"/>
  <c r="G14" i="15"/>
  <c r="F14" i="15"/>
  <c r="K13" i="15"/>
  <c r="L12" i="15"/>
  <c r="K12" i="15"/>
  <c r="F12" i="15"/>
  <c r="D3" i="15"/>
  <c r="G78" i="15" s="1"/>
  <c r="C3" i="15"/>
  <c r="F96" i="15" s="1"/>
  <c r="K324" i="14"/>
  <c r="K323" i="14"/>
  <c r="K322" i="14"/>
  <c r="K321" i="14"/>
  <c r="O316" i="14"/>
  <c r="N316" i="14"/>
  <c r="L316" i="14"/>
  <c r="K316" i="14"/>
  <c r="J316" i="14"/>
  <c r="I316" i="14"/>
  <c r="G316" i="14"/>
  <c r="F316" i="14"/>
  <c r="O315" i="14"/>
  <c r="N315" i="14"/>
  <c r="L315" i="14"/>
  <c r="K315" i="14"/>
  <c r="J315" i="14"/>
  <c r="I315" i="14"/>
  <c r="G315" i="14"/>
  <c r="F315" i="14"/>
  <c r="O314" i="14"/>
  <c r="N314" i="14"/>
  <c r="L314" i="14"/>
  <c r="K314" i="14"/>
  <c r="J314" i="14"/>
  <c r="I314" i="14"/>
  <c r="G314" i="14"/>
  <c r="F314" i="14"/>
  <c r="O313" i="14"/>
  <c r="N313" i="14"/>
  <c r="K313" i="14"/>
  <c r="J313" i="14"/>
  <c r="I313" i="14"/>
  <c r="F313" i="14"/>
  <c r="O312" i="14"/>
  <c r="N312" i="14"/>
  <c r="K312" i="14"/>
  <c r="J312" i="14"/>
  <c r="I312" i="14"/>
  <c r="F312" i="14"/>
  <c r="O311" i="14"/>
  <c r="N311" i="14"/>
  <c r="K311" i="14"/>
  <c r="J311" i="14"/>
  <c r="I311" i="14"/>
  <c r="F311" i="14"/>
  <c r="O310" i="14"/>
  <c r="N310" i="14"/>
  <c r="K310" i="14"/>
  <c r="J310" i="14"/>
  <c r="I310" i="14"/>
  <c r="F310" i="14"/>
  <c r="O309" i="14"/>
  <c r="N309" i="14"/>
  <c r="K309" i="14"/>
  <c r="J309" i="14"/>
  <c r="I309" i="14"/>
  <c r="F309" i="14"/>
  <c r="O308" i="14"/>
  <c r="N308" i="14"/>
  <c r="K308" i="14"/>
  <c r="J308" i="14"/>
  <c r="I308" i="14"/>
  <c r="F308" i="14"/>
  <c r="O307" i="14"/>
  <c r="N307" i="14"/>
  <c r="K307" i="14"/>
  <c r="J307" i="14"/>
  <c r="I307" i="14"/>
  <c r="F307" i="14"/>
  <c r="O306" i="14"/>
  <c r="N306" i="14"/>
  <c r="K306" i="14"/>
  <c r="J306" i="14"/>
  <c r="I306" i="14"/>
  <c r="F306" i="14"/>
  <c r="O305" i="14"/>
  <c r="N305" i="14"/>
  <c r="K305" i="14"/>
  <c r="J305" i="14"/>
  <c r="I305" i="14"/>
  <c r="F305" i="14"/>
  <c r="O304" i="14"/>
  <c r="N304" i="14"/>
  <c r="K304" i="14"/>
  <c r="J304" i="14"/>
  <c r="I304" i="14"/>
  <c r="F304" i="14"/>
  <c r="O303" i="14"/>
  <c r="N303" i="14"/>
  <c r="K303" i="14"/>
  <c r="J303" i="14"/>
  <c r="I303" i="14"/>
  <c r="F303" i="14"/>
  <c r="O302" i="14"/>
  <c r="N302" i="14"/>
  <c r="K302" i="14"/>
  <c r="J302" i="14"/>
  <c r="I302" i="14"/>
  <c r="F302" i="14"/>
  <c r="O301" i="14"/>
  <c r="N301" i="14"/>
  <c r="K301" i="14"/>
  <c r="J301" i="14"/>
  <c r="I301" i="14"/>
  <c r="F301" i="14"/>
  <c r="O300" i="14"/>
  <c r="N300" i="14"/>
  <c r="K300" i="14"/>
  <c r="J300" i="14"/>
  <c r="I300" i="14"/>
  <c r="F300" i="14"/>
  <c r="O299" i="14"/>
  <c r="N299" i="14"/>
  <c r="K299" i="14"/>
  <c r="J299" i="14"/>
  <c r="I299" i="14"/>
  <c r="F299" i="14"/>
  <c r="O298" i="14"/>
  <c r="N298" i="14"/>
  <c r="K298" i="14"/>
  <c r="J298" i="14"/>
  <c r="I298" i="14"/>
  <c r="F298" i="14"/>
  <c r="O297" i="14"/>
  <c r="N297" i="14"/>
  <c r="K297" i="14"/>
  <c r="J297" i="14"/>
  <c r="I297" i="14"/>
  <c r="F297" i="14"/>
  <c r="O296" i="14"/>
  <c r="N296" i="14"/>
  <c r="K296" i="14"/>
  <c r="J296" i="14"/>
  <c r="I296" i="14"/>
  <c r="F296" i="14"/>
  <c r="O295" i="14"/>
  <c r="N295" i="14"/>
  <c r="K295" i="14"/>
  <c r="J295" i="14"/>
  <c r="I295" i="14"/>
  <c r="F295" i="14"/>
  <c r="O294" i="14"/>
  <c r="N294" i="14"/>
  <c r="K294" i="14"/>
  <c r="J294" i="14"/>
  <c r="I294" i="14"/>
  <c r="F294" i="14"/>
  <c r="O293" i="14"/>
  <c r="N293" i="14"/>
  <c r="K293" i="14"/>
  <c r="J293" i="14"/>
  <c r="I293" i="14"/>
  <c r="F293" i="14"/>
  <c r="O292" i="14"/>
  <c r="N292" i="14"/>
  <c r="K292" i="14"/>
  <c r="J292" i="14"/>
  <c r="I292" i="14"/>
  <c r="F292" i="14"/>
  <c r="O291" i="14"/>
  <c r="N291" i="14"/>
  <c r="K291" i="14"/>
  <c r="J291" i="14"/>
  <c r="I291" i="14"/>
  <c r="F291" i="14"/>
  <c r="O290" i="14"/>
  <c r="N290" i="14"/>
  <c r="L290" i="14"/>
  <c r="K290" i="14"/>
  <c r="J290" i="14"/>
  <c r="I290" i="14"/>
  <c r="G290" i="14"/>
  <c r="F290" i="14"/>
  <c r="K286" i="14"/>
  <c r="F286" i="14"/>
  <c r="K285" i="14"/>
  <c r="F285" i="14"/>
  <c r="K284" i="14"/>
  <c r="F284" i="14"/>
  <c r="K283" i="14"/>
  <c r="F283" i="14"/>
  <c r="L282" i="14"/>
  <c r="K282" i="14"/>
  <c r="F282" i="14"/>
  <c r="K281" i="14"/>
  <c r="F281" i="14"/>
  <c r="K280" i="14"/>
  <c r="F280" i="14"/>
  <c r="K276" i="14"/>
  <c r="K274" i="14"/>
  <c r="K266" i="14"/>
  <c r="K265" i="14"/>
  <c r="K264" i="14"/>
  <c r="K262" i="14"/>
  <c r="T259" i="14"/>
  <c r="O259" i="14"/>
  <c r="N259" i="14"/>
  <c r="M259" i="14"/>
  <c r="L259" i="14"/>
  <c r="K259" i="14"/>
  <c r="J259" i="14"/>
  <c r="I259" i="14"/>
  <c r="H259" i="14"/>
  <c r="G259" i="14"/>
  <c r="F259" i="14"/>
  <c r="K258" i="14"/>
  <c r="K256" i="14"/>
  <c r="K255" i="14"/>
  <c r="K254" i="14"/>
  <c r="K253" i="14"/>
  <c r="K252" i="14"/>
  <c r="K251" i="14"/>
  <c r="K250" i="14"/>
  <c r="K249" i="14"/>
  <c r="K248" i="14"/>
  <c r="K247" i="14"/>
  <c r="K246" i="14"/>
  <c r="K245" i="14"/>
  <c r="K244" i="14"/>
  <c r="K243" i="14"/>
  <c r="K242" i="14"/>
  <c r="K241" i="14"/>
  <c r="K240" i="14"/>
  <c r="K238" i="14"/>
  <c r="K237" i="14"/>
  <c r="K236" i="14"/>
  <c r="K235" i="14"/>
  <c r="K234" i="14"/>
  <c r="K233" i="14"/>
  <c r="K232" i="14"/>
  <c r="K231" i="14"/>
  <c r="K230" i="14"/>
  <c r="K229" i="14"/>
  <c r="K228" i="14"/>
  <c r="K227" i="14"/>
  <c r="K225" i="14"/>
  <c r="K224" i="14"/>
  <c r="K223" i="14"/>
  <c r="K222" i="14"/>
  <c r="K221" i="14"/>
  <c r="K220" i="14"/>
  <c r="K219" i="14"/>
  <c r="K218" i="14"/>
  <c r="K215" i="14"/>
  <c r="K214" i="14"/>
  <c r="K213" i="14"/>
  <c r="K212" i="14"/>
  <c r="K211" i="14"/>
  <c r="K210" i="14"/>
  <c r="K208" i="14"/>
  <c r="K206" i="14"/>
  <c r="K205" i="14"/>
  <c r="K204" i="14"/>
  <c r="K202" i="14"/>
  <c r="K201" i="14"/>
  <c r="K200" i="14"/>
  <c r="K199" i="14"/>
  <c r="K198" i="14"/>
  <c r="K195" i="14"/>
  <c r="K194" i="14"/>
  <c r="K193" i="14"/>
  <c r="K192" i="14"/>
  <c r="K191" i="14"/>
  <c r="K190" i="14"/>
  <c r="K189" i="14"/>
  <c r="K188" i="14"/>
  <c r="K186" i="14"/>
  <c r="K184" i="14"/>
  <c r="K183" i="14"/>
  <c r="K178" i="14"/>
  <c r="K177" i="14"/>
  <c r="K175" i="14"/>
  <c r="K174" i="14"/>
  <c r="K173" i="14"/>
  <c r="K172" i="14"/>
  <c r="K171" i="14"/>
  <c r="K170" i="14"/>
  <c r="K165" i="14"/>
  <c r="K161" i="14"/>
  <c r="K154" i="14"/>
  <c r="K153" i="14"/>
  <c r="K152" i="14"/>
  <c r="K151" i="14"/>
  <c r="T135" i="14"/>
  <c r="O135" i="14"/>
  <c r="N135" i="14"/>
  <c r="M135" i="14"/>
  <c r="L135" i="14"/>
  <c r="K135" i="14"/>
  <c r="J135" i="14"/>
  <c r="I135" i="14"/>
  <c r="H135" i="14"/>
  <c r="G135" i="14"/>
  <c r="F135" i="14"/>
  <c r="K133" i="14"/>
  <c r="K131" i="14"/>
  <c r="T130" i="14"/>
  <c r="K129" i="14"/>
  <c r="K127" i="14"/>
  <c r="T124" i="14"/>
  <c r="T123" i="14"/>
  <c r="K123" i="14"/>
  <c r="K122" i="14"/>
  <c r="K121" i="14"/>
  <c r="K120" i="14"/>
  <c r="T119" i="14"/>
  <c r="K119" i="14"/>
  <c r="T117" i="14"/>
  <c r="K117" i="14"/>
  <c r="K115" i="14"/>
  <c r="K109" i="14"/>
  <c r="K106" i="14"/>
  <c r="K102" i="14"/>
  <c r="K101" i="14"/>
  <c r="K100" i="14"/>
  <c r="T99" i="14"/>
  <c r="O99" i="14"/>
  <c r="N99" i="14"/>
  <c r="M99" i="14"/>
  <c r="L99" i="14"/>
  <c r="K99" i="14"/>
  <c r="J99" i="14"/>
  <c r="I99" i="14"/>
  <c r="H99" i="14"/>
  <c r="G99" i="14"/>
  <c r="F99" i="14"/>
  <c r="T98" i="14"/>
  <c r="T95" i="14"/>
  <c r="K95" i="14"/>
  <c r="K94" i="14"/>
  <c r="K93" i="14"/>
  <c r="T92" i="14"/>
  <c r="K92" i="14"/>
  <c r="T91" i="14"/>
  <c r="K91" i="14"/>
  <c r="T90" i="14"/>
  <c r="K86" i="14"/>
  <c r="T85" i="14"/>
  <c r="T84" i="14"/>
  <c r="K84" i="14"/>
  <c r="T80" i="14"/>
  <c r="K80" i="14"/>
  <c r="T79" i="14"/>
  <c r="O79" i="14"/>
  <c r="N79" i="14"/>
  <c r="M79" i="14"/>
  <c r="L79" i="14"/>
  <c r="K79" i="14"/>
  <c r="J79" i="14"/>
  <c r="I79" i="14"/>
  <c r="H79" i="14"/>
  <c r="G79" i="14"/>
  <c r="F79" i="14"/>
  <c r="T78" i="14"/>
  <c r="K77" i="14"/>
  <c r="T75" i="14"/>
  <c r="K75" i="14"/>
  <c r="K73" i="14"/>
  <c r="K71" i="14"/>
  <c r="K70" i="14"/>
  <c r="K69" i="14"/>
  <c r="T68" i="14"/>
  <c r="K68" i="14"/>
  <c r="T67" i="14"/>
  <c r="K67" i="14"/>
  <c r="T66" i="14"/>
  <c r="O66" i="14"/>
  <c r="N66" i="14"/>
  <c r="M66" i="14"/>
  <c r="L66" i="14"/>
  <c r="K66" i="14"/>
  <c r="J66" i="14"/>
  <c r="I66" i="14"/>
  <c r="H66" i="14"/>
  <c r="G66" i="14"/>
  <c r="F66" i="14"/>
  <c r="T65" i="14"/>
  <c r="K64" i="14"/>
  <c r="K63" i="14"/>
  <c r="K62" i="14"/>
  <c r="T61" i="14"/>
  <c r="O61" i="14"/>
  <c r="N61" i="14"/>
  <c r="M61" i="14"/>
  <c r="L61" i="14"/>
  <c r="K61" i="14"/>
  <c r="J61" i="14"/>
  <c r="I61" i="14"/>
  <c r="H61" i="14"/>
  <c r="G61" i="14"/>
  <c r="F61" i="14"/>
  <c r="K58" i="14"/>
  <c r="T54" i="14"/>
  <c r="O54" i="14"/>
  <c r="N54" i="14"/>
  <c r="M54" i="14"/>
  <c r="L54" i="14"/>
  <c r="K54" i="14"/>
  <c r="J54" i="14"/>
  <c r="I54" i="14"/>
  <c r="H54" i="14"/>
  <c r="G54" i="14"/>
  <c r="F54" i="14"/>
  <c r="T53" i="14"/>
  <c r="K52" i="14"/>
  <c r="K51" i="14"/>
  <c r="T50" i="14"/>
  <c r="K49" i="14"/>
  <c r="K48" i="14"/>
  <c r="F47" i="14"/>
  <c r="K46" i="14"/>
  <c r="K45" i="14"/>
  <c r="T44" i="14"/>
  <c r="O44" i="14"/>
  <c r="N44" i="14"/>
  <c r="M44" i="14"/>
  <c r="L44" i="14"/>
  <c r="K44" i="14"/>
  <c r="J44" i="14"/>
  <c r="I44" i="14"/>
  <c r="H44" i="14"/>
  <c r="G44" i="14"/>
  <c r="F44" i="14"/>
  <c r="K42" i="14"/>
  <c r="T40" i="14"/>
  <c r="O40" i="14"/>
  <c r="N40" i="14"/>
  <c r="M40" i="14"/>
  <c r="L40" i="14"/>
  <c r="K40" i="14"/>
  <c r="J40" i="14"/>
  <c r="I40" i="14"/>
  <c r="H40" i="14"/>
  <c r="G40" i="14"/>
  <c r="F40" i="14"/>
  <c r="T39" i="14"/>
  <c r="K34" i="14"/>
  <c r="K32" i="14"/>
  <c r="K31" i="14"/>
  <c r="N26" i="14"/>
  <c r="K26" i="14"/>
  <c r="I26" i="14"/>
  <c r="F26" i="14"/>
  <c r="O25" i="14"/>
  <c r="N25" i="14"/>
  <c r="J25" i="14"/>
  <c r="I25" i="14"/>
  <c r="O23" i="14"/>
  <c r="N23" i="14"/>
  <c r="J23" i="14"/>
  <c r="I23" i="14"/>
  <c r="K21" i="14"/>
  <c r="F21" i="14"/>
  <c r="N17" i="14"/>
  <c r="K17" i="14"/>
  <c r="I17" i="14"/>
  <c r="F17" i="14"/>
  <c r="O16" i="14"/>
  <c r="N16" i="14"/>
  <c r="J16" i="14"/>
  <c r="I16" i="14"/>
  <c r="O14" i="14"/>
  <c r="N14" i="14"/>
  <c r="J14" i="14"/>
  <c r="I14" i="14"/>
  <c r="K12" i="14"/>
  <c r="F12" i="14"/>
  <c r="D3" i="14"/>
  <c r="G57" i="14" s="1"/>
  <c r="C3" i="14"/>
  <c r="F68" i="14" s="1"/>
  <c r="K323" i="5"/>
  <c r="K320" i="5"/>
  <c r="K321" i="5"/>
  <c r="K322" i="5"/>
  <c r="K324" i="5"/>
  <c r="K325" i="5"/>
  <c r="F301" i="5"/>
  <c r="I301" i="5"/>
  <c r="J301" i="5"/>
  <c r="K301" i="5"/>
  <c r="N301" i="5"/>
  <c r="O301" i="5"/>
  <c r="K269" i="5"/>
  <c r="K270" i="5"/>
  <c r="K271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G259" i="5"/>
  <c r="K104" i="5"/>
  <c r="K105" i="5"/>
  <c r="K106" i="5"/>
  <c r="K107" i="5"/>
  <c r="K71" i="5"/>
  <c r="T78" i="5"/>
  <c r="T75" i="5"/>
  <c r="K78" i="5"/>
  <c r="K77" i="5"/>
  <c r="K75" i="5"/>
  <c r="K74" i="5"/>
  <c r="K73" i="5"/>
  <c r="K47" i="14" l="1"/>
  <c r="K103" i="14"/>
  <c r="K267" i="14"/>
  <c r="K81" i="14"/>
  <c r="K124" i="14"/>
  <c r="K196" i="14"/>
  <c r="K57" i="14"/>
  <c r="K96" i="14"/>
  <c r="K217" i="14"/>
  <c r="K125" i="14"/>
  <c r="K179" i="14"/>
  <c r="F31" i="14"/>
  <c r="K55" i="14"/>
  <c r="K155" i="14"/>
  <c r="K325" i="14"/>
  <c r="K65" i="14"/>
  <c r="K176" i="14"/>
  <c r="K74" i="14"/>
  <c r="K105" i="14"/>
  <c r="K197" i="14"/>
  <c r="K257" i="14"/>
  <c r="K22" i="14"/>
  <c r="K97" i="14"/>
  <c r="K59" i="14"/>
  <c r="K126" i="14"/>
  <c r="K35" i="14"/>
  <c r="F60" i="14"/>
  <c r="K107" i="14"/>
  <c r="K160" i="14"/>
  <c r="K180" i="14"/>
  <c r="F36" i="14"/>
  <c r="K78" i="14"/>
  <c r="K36" i="14"/>
  <c r="K53" i="14"/>
  <c r="K182" i="14"/>
  <c r="K38" i="14"/>
  <c r="K87" i="14"/>
  <c r="K144" i="14"/>
  <c r="K164" i="14"/>
  <c r="K41" i="14"/>
  <c r="F106" i="14"/>
  <c r="K158" i="14"/>
  <c r="K13" i="14"/>
  <c r="K98" i="14"/>
  <c r="K159" i="14"/>
  <c r="L13" i="14"/>
  <c r="K136" i="14"/>
  <c r="K272" i="14"/>
  <c r="K128" i="14"/>
  <c r="K24" i="14"/>
  <c r="K39" i="14"/>
  <c r="K88" i="14"/>
  <c r="K116" i="14"/>
  <c r="K145" i="14"/>
  <c r="K185" i="14"/>
  <c r="L23" i="14"/>
  <c r="K130" i="14"/>
  <c r="K143" i="14"/>
  <c r="K163" i="14"/>
  <c r="K203" i="14"/>
  <c r="K275" i="14"/>
  <c r="F16" i="14"/>
  <c r="K89" i="14"/>
  <c r="K132" i="14"/>
  <c r="K146" i="14"/>
  <c r="K166" i="14"/>
  <c r="K226" i="14"/>
  <c r="K56" i="14"/>
  <c r="K104" i="14"/>
  <c r="K156" i="14"/>
  <c r="K216" i="14"/>
  <c r="K268" i="14"/>
  <c r="K82" i="14"/>
  <c r="K269" i="14"/>
  <c r="K33" i="14"/>
  <c r="K50" i="14"/>
  <c r="K83" i="14"/>
  <c r="K270" i="14"/>
  <c r="F23" i="14"/>
  <c r="K239" i="14"/>
  <c r="K271" i="14"/>
  <c r="K43" i="14"/>
  <c r="K60" i="14"/>
  <c r="K85" i="14"/>
  <c r="K108" i="14"/>
  <c r="K137" i="14"/>
  <c r="K181" i="14"/>
  <c r="K273" i="14"/>
  <c r="K90" i="14"/>
  <c r="K147" i="14"/>
  <c r="K167" i="14"/>
  <c r="K187" i="14"/>
  <c r="K207" i="14"/>
  <c r="K134" i="14"/>
  <c r="K157" i="14"/>
  <c r="K162" i="14"/>
  <c r="K37" i="14"/>
  <c r="K148" i="14"/>
  <c r="K16" i="14"/>
  <c r="K149" i="14"/>
  <c r="K169" i="14"/>
  <c r="K209" i="14"/>
  <c r="K138" i="14"/>
  <c r="L14" i="14"/>
  <c r="K110" i="14"/>
  <c r="K25" i="14"/>
  <c r="K118" i="14"/>
  <c r="K168" i="14"/>
  <c r="K150" i="14"/>
  <c r="K261" i="14"/>
  <c r="K320" i="14"/>
  <c r="M14" i="16"/>
  <c r="L24" i="16"/>
  <c r="M31" i="16"/>
  <c r="G36" i="16"/>
  <c r="G75" i="16"/>
  <c r="M83" i="16"/>
  <c r="H89" i="16"/>
  <c r="T89" i="16" s="1"/>
  <c r="H107" i="16"/>
  <c r="T107" i="16" s="1"/>
  <c r="H117" i="16"/>
  <c r="T117" i="16" s="1"/>
  <c r="M132" i="16"/>
  <c r="M145" i="16"/>
  <c r="G168" i="16"/>
  <c r="M185" i="16"/>
  <c r="H199" i="16"/>
  <c r="T199" i="16" s="1"/>
  <c r="L285" i="16"/>
  <c r="G292" i="16"/>
  <c r="L309" i="16"/>
  <c r="L122" i="16"/>
  <c r="K146" i="16"/>
  <c r="G180" i="16"/>
  <c r="G193" i="16"/>
  <c r="L205" i="16"/>
  <c r="G219" i="16"/>
  <c r="L239" i="16"/>
  <c r="H254" i="16"/>
  <c r="T254" i="16" s="1"/>
  <c r="G298" i="16"/>
  <c r="G307" i="16"/>
  <c r="G21" i="16"/>
  <c r="G32" i="16"/>
  <c r="G47" i="16"/>
  <c r="G84" i="16"/>
  <c r="L89" i="16"/>
  <c r="G108" i="16"/>
  <c r="L117" i="16"/>
  <c r="M122" i="16"/>
  <c r="L137" i="16"/>
  <c r="L146" i="16"/>
  <c r="M154" i="16"/>
  <c r="H180" i="16"/>
  <c r="T180" i="16" s="1"/>
  <c r="L199" i="16"/>
  <c r="L212" i="16"/>
  <c r="H219" i="16"/>
  <c r="T219" i="16" s="1"/>
  <c r="G226" i="16"/>
  <c r="L233" i="16"/>
  <c r="G248" i="16"/>
  <c r="H298" i="16"/>
  <c r="T298" i="16" s="1"/>
  <c r="G304" i="16"/>
  <c r="H307" i="16"/>
  <c r="T307" i="16" s="1"/>
  <c r="F15" i="16"/>
  <c r="H21" i="16"/>
  <c r="H32" i="16"/>
  <c r="T32" i="16" s="1"/>
  <c r="H47" i="16"/>
  <c r="T47" i="16" s="1"/>
  <c r="L51" i="16"/>
  <c r="M89" i="16"/>
  <c r="M94" i="16"/>
  <c r="G103" i="16"/>
  <c r="M117" i="16"/>
  <c r="L133" i="16"/>
  <c r="M137" i="16"/>
  <c r="F147" i="16"/>
  <c r="L168" i="16"/>
  <c r="M174" i="16"/>
  <c r="L193" i="16"/>
  <c r="M233" i="16"/>
  <c r="G15" i="16"/>
  <c r="L58" i="16"/>
  <c r="G62" i="16"/>
  <c r="G70" i="16"/>
  <c r="H77" i="16"/>
  <c r="T77" i="16" s="1"/>
  <c r="H103" i="16"/>
  <c r="T103" i="16" s="1"/>
  <c r="G118" i="16"/>
  <c r="G123" i="16"/>
  <c r="G147" i="16"/>
  <c r="L162" i="16"/>
  <c r="M168" i="16"/>
  <c r="L180" i="16"/>
  <c r="G187" i="16"/>
  <c r="M193" i="16"/>
  <c r="L206" i="16"/>
  <c r="L219" i="16"/>
  <c r="L226" i="16"/>
  <c r="G12" i="16"/>
  <c r="H15" i="16"/>
  <c r="L21" i="16"/>
  <c r="L32" i="16"/>
  <c r="L37" i="16"/>
  <c r="L47" i="16"/>
  <c r="G52" i="16"/>
  <c r="H62" i="16"/>
  <c r="T62" i="16" s="1"/>
  <c r="L80" i="16"/>
  <c r="G85" i="16"/>
  <c r="G90" i="16"/>
  <c r="G109" i="16"/>
  <c r="L128" i="16"/>
  <c r="G134" i="16"/>
  <c r="G138" i="16"/>
  <c r="L147" i="16"/>
  <c r="L155" i="16"/>
  <c r="L260" i="16"/>
  <c r="M271" i="16"/>
  <c r="H12" i="16"/>
  <c r="M21" i="16"/>
  <c r="L25" i="16"/>
  <c r="M37" i="16"/>
  <c r="M47" i="16"/>
  <c r="H52" i="16"/>
  <c r="T52" i="16" s="1"/>
  <c r="H59" i="16"/>
  <c r="T59" i="16" s="1"/>
  <c r="L70" i="16"/>
  <c r="L77" i="16"/>
  <c r="M80" i="16"/>
  <c r="H90" i="16"/>
  <c r="T90" i="16" s="1"/>
  <c r="L95" i="16"/>
  <c r="L103" i="16"/>
  <c r="H109" i="16"/>
  <c r="T109" i="16" s="1"/>
  <c r="L118" i="16"/>
  <c r="M123" i="16"/>
  <c r="M128" i="16"/>
  <c r="H138" i="16"/>
  <c r="T138" i="16" s="1"/>
  <c r="H149" i="16"/>
  <c r="T149" i="16" s="1"/>
  <c r="G181" i="16"/>
  <c r="L187" i="16"/>
  <c r="G201" i="16"/>
  <c r="H214" i="16"/>
  <c r="T214" i="16" s="1"/>
  <c r="G256" i="16"/>
  <c r="G261" i="16"/>
  <c r="H216" i="16"/>
  <c r="T216" i="16" s="1"/>
  <c r="M229" i="16"/>
  <c r="M285" i="16"/>
  <c r="M308" i="16"/>
  <c r="H323" i="16"/>
  <c r="T323" i="16" s="1"/>
  <c r="K260" i="16"/>
  <c r="F273" i="16"/>
  <c r="F262" i="16"/>
  <c r="K265" i="16"/>
  <c r="F260" i="16"/>
  <c r="F325" i="16"/>
  <c r="F266" i="16"/>
  <c r="F108" i="16"/>
  <c r="F151" i="16"/>
  <c r="F143" i="16"/>
  <c r="F137" i="16"/>
  <c r="F265" i="16"/>
  <c r="F268" i="16"/>
  <c r="K273" i="16"/>
  <c r="F149" i="16"/>
  <c r="F63" i="16"/>
  <c r="K261" i="16"/>
  <c r="K148" i="16"/>
  <c r="F146" i="16"/>
  <c r="K15" i="16"/>
  <c r="F261" i="16"/>
  <c r="F118" i="16"/>
  <c r="F24" i="16"/>
  <c r="K147" i="16"/>
  <c r="M199" i="16"/>
  <c r="H14" i="16"/>
  <c r="H22" i="16"/>
  <c r="M51" i="16"/>
  <c r="H56" i="16"/>
  <c r="T56" i="16" s="1"/>
  <c r="H85" i="16"/>
  <c r="T85" i="16" s="1"/>
  <c r="H118" i="16"/>
  <c r="T118" i="16" s="1"/>
  <c r="H144" i="16"/>
  <c r="T144" i="16" s="1"/>
  <c r="H155" i="16"/>
  <c r="T155" i="16" s="1"/>
  <c r="H162" i="16"/>
  <c r="T162" i="16" s="1"/>
  <c r="M187" i="16"/>
  <c r="M262" i="16"/>
  <c r="H266" i="16"/>
  <c r="T266" i="16" s="1"/>
  <c r="H241" i="16"/>
  <c r="T241" i="16" s="1"/>
  <c r="H234" i="16"/>
  <c r="T234" i="16" s="1"/>
  <c r="M214" i="16"/>
  <c r="M208" i="16"/>
  <c r="M58" i="16"/>
  <c r="M34" i="16"/>
  <c r="M32" i="16"/>
  <c r="M26" i="16"/>
  <c r="H255" i="16"/>
  <c r="T255" i="16" s="1"/>
  <c r="M244" i="16"/>
  <c r="M299" i="16"/>
  <c r="H34" i="16"/>
  <c r="T34" i="16" s="1"/>
  <c r="M36" i="16"/>
  <c r="H88" i="16"/>
  <c r="T88" i="16" s="1"/>
  <c r="H97" i="16"/>
  <c r="T97" i="16" s="1"/>
  <c r="M102" i="16"/>
  <c r="M121" i="16"/>
  <c r="M133" i="16"/>
  <c r="H136" i="16"/>
  <c r="T136" i="16" s="1"/>
  <c r="M184" i="16"/>
  <c r="H226" i="16"/>
  <c r="T226" i="16" s="1"/>
  <c r="M249" i="16"/>
  <c r="F263" i="16"/>
  <c r="M320" i="16"/>
  <c r="M39" i="16"/>
  <c r="H46" i="16"/>
  <c r="T46" i="16" s="1"/>
  <c r="M108" i="16"/>
  <c r="M127" i="16"/>
  <c r="H166" i="16"/>
  <c r="T166" i="16" s="1"/>
  <c r="M216" i="16"/>
  <c r="M239" i="16"/>
  <c r="H263" i="16"/>
  <c r="T263" i="16" s="1"/>
  <c r="M306" i="16"/>
  <c r="K14" i="16"/>
  <c r="F23" i="16"/>
  <c r="H70" i="16"/>
  <c r="T70" i="16" s="1"/>
  <c r="F83" i="16"/>
  <c r="H131" i="16"/>
  <c r="T131" i="16" s="1"/>
  <c r="F148" i="16"/>
  <c r="H152" i="16"/>
  <c r="T152" i="16" s="1"/>
  <c r="H177" i="16"/>
  <c r="T177" i="16" s="1"/>
  <c r="H204" i="16"/>
  <c r="T204" i="16" s="1"/>
  <c r="M230" i="16"/>
  <c r="M253" i="16"/>
  <c r="H286" i="16"/>
  <c r="T286" i="16" s="1"/>
  <c r="H17" i="16"/>
  <c r="H23" i="16"/>
  <c r="M41" i="16"/>
  <c r="M59" i="16"/>
  <c r="M67" i="16"/>
  <c r="M73" i="16"/>
  <c r="M124" i="16"/>
  <c r="H128" i="16"/>
  <c r="T128" i="16" s="1"/>
  <c r="H148" i="16"/>
  <c r="T148" i="16" s="1"/>
  <c r="M155" i="16"/>
  <c r="M162" i="16"/>
  <c r="H181" i="16"/>
  <c r="T181" i="16" s="1"/>
  <c r="H275" i="16"/>
  <c r="T275" i="16" s="1"/>
  <c r="H92" i="16"/>
  <c r="T92" i="16" s="1"/>
  <c r="H94" i="16"/>
  <c r="T94" i="16" s="1"/>
  <c r="H105" i="16"/>
  <c r="T105" i="16" s="1"/>
  <c r="M109" i="16"/>
  <c r="M147" i="16"/>
  <c r="H150" i="16"/>
  <c r="T150" i="16" s="1"/>
  <c r="M160" i="16"/>
  <c r="L179" i="16"/>
  <c r="L182" i="16"/>
  <c r="G185" i="16"/>
  <c r="M196" i="16"/>
  <c r="H208" i="16"/>
  <c r="T208" i="16" s="1"/>
  <c r="M210" i="16"/>
  <c r="G214" i="16"/>
  <c r="M219" i="16"/>
  <c r="H223" i="16"/>
  <c r="T223" i="16" s="1"/>
  <c r="M226" i="16"/>
  <c r="G230" i="16"/>
  <c r="G237" i="16"/>
  <c r="H244" i="16"/>
  <c r="T244" i="16" s="1"/>
  <c r="G247" i="16"/>
  <c r="M260" i="16"/>
  <c r="G272" i="16"/>
  <c r="M275" i="16"/>
  <c r="L282" i="16"/>
  <c r="G324" i="16"/>
  <c r="L306" i="16"/>
  <c r="G301" i="16"/>
  <c r="L269" i="16"/>
  <c r="G264" i="16"/>
  <c r="L249" i="16"/>
  <c r="G244" i="16"/>
  <c r="L229" i="16"/>
  <c r="G224" i="16"/>
  <c r="L209" i="16"/>
  <c r="G204" i="16"/>
  <c r="L189" i="16"/>
  <c r="G184" i="16"/>
  <c r="L169" i="16"/>
  <c r="G164" i="16"/>
  <c r="L149" i="16"/>
  <c r="G144" i="16"/>
  <c r="L125" i="16"/>
  <c r="G120" i="16"/>
  <c r="G310" i="16"/>
  <c r="L295" i="16"/>
  <c r="L281" i="16"/>
  <c r="G273" i="16"/>
  <c r="L258" i="16"/>
  <c r="G253" i="16"/>
  <c r="L238" i="16"/>
  <c r="G233" i="16"/>
  <c r="L218" i="16"/>
  <c r="G213" i="16"/>
  <c r="G322" i="16"/>
  <c r="L304" i="16"/>
  <c r="G299" i="16"/>
  <c r="G285" i="16"/>
  <c r="L267" i="16"/>
  <c r="G262" i="16"/>
  <c r="L247" i="16"/>
  <c r="G242" i="16"/>
  <c r="G308" i="16"/>
  <c r="L293" i="16"/>
  <c r="L276" i="16"/>
  <c r="G271" i="16"/>
  <c r="L256" i="16"/>
  <c r="G251" i="16"/>
  <c r="L236" i="16"/>
  <c r="G231" i="16"/>
  <c r="L325" i="16"/>
  <c r="G320" i="16"/>
  <c r="L302" i="16"/>
  <c r="G297" i="16"/>
  <c r="G283" i="16"/>
  <c r="L265" i="16"/>
  <c r="G260" i="16"/>
  <c r="L245" i="16"/>
  <c r="G240" i="16"/>
  <c r="L225" i="16"/>
  <c r="G220" i="16"/>
  <c r="L311" i="16"/>
  <c r="G306" i="16"/>
  <c r="L291" i="16"/>
  <c r="L274" i="16"/>
  <c r="G269" i="16"/>
  <c r="L254" i="16"/>
  <c r="G249" i="16"/>
  <c r="L234" i="16"/>
  <c r="G229" i="16"/>
  <c r="L214" i="16"/>
  <c r="G209" i="16"/>
  <c r="L194" i="16"/>
  <c r="G189" i="16"/>
  <c r="L174" i="16"/>
  <c r="G169" i="16"/>
  <c r="L154" i="16"/>
  <c r="G149" i="16"/>
  <c r="L130" i="16"/>
  <c r="G125" i="16"/>
  <c r="L323" i="16"/>
  <c r="L300" i="16"/>
  <c r="G295" i="16"/>
  <c r="L286" i="16"/>
  <c r="G281" i="16"/>
  <c r="L263" i="16"/>
  <c r="G258" i="16"/>
  <c r="L243" i="16"/>
  <c r="G238" i="16"/>
  <c r="L223" i="16"/>
  <c r="G218" i="16"/>
  <c r="L203" i="16"/>
  <c r="G198" i="16"/>
  <c r="L183" i="16"/>
  <c r="G178" i="16"/>
  <c r="L163" i="16"/>
  <c r="G158" i="16"/>
  <c r="G323" i="16"/>
  <c r="L305" i="16"/>
  <c r="G300" i="16"/>
  <c r="G286" i="16"/>
  <c r="L268" i="16"/>
  <c r="G263" i="16"/>
  <c r="L248" i="16"/>
  <c r="G243" i="16"/>
  <c r="L228" i="16"/>
  <c r="G274" i="16"/>
  <c r="L271" i="16"/>
  <c r="G266" i="16"/>
  <c r="L246" i="16"/>
  <c r="G228" i="16"/>
  <c r="G203" i="16"/>
  <c r="G199" i="16"/>
  <c r="L186" i="16"/>
  <c r="L184" i="16"/>
  <c r="G176" i="16"/>
  <c r="G172" i="16"/>
  <c r="L161" i="16"/>
  <c r="L157" i="16"/>
  <c r="L153" i="16"/>
  <c r="L235" i="16"/>
  <c r="L220" i="16"/>
  <c r="G205" i="16"/>
  <c r="L190" i="16"/>
  <c r="L188" i="16"/>
  <c r="G174" i="16"/>
  <c r="L159" i="16"/>
  <c r="L129" i="16"/>
  <c r="L127" i="16"/>
  <c r="L102" i="16"/>
  <c r="G97" i="16"/>
  <c r="L82" i="16"/>
  <c r="G77" i="16"/>
  <c r="L60" i="16"/>
  <c r="G55" i="16"/>
  <c r="G35" i="16"/>
  <c r="L322" i="16"/>
  <c r="L310" i="16"/>
  <c r="L301" i="16"/>
  <c r="L284" i="16"/>
  <c r="G225" i="16"/>
  <c r="G207" i="16"/>
  <c r="L192" i="16"/>
  <c r="G325" i="16"/>
  <c r="L312" i="16"/>
  <c r="L294" i="16"/>
  <c r="L292" i="16"/>
  <c r="L303" i="16"/>
  <c r="G276" i="16"/>
  <c r="G265" i="16"/>
  <c r="L262" i="16"/>
  <c r="G254" i="16"/>
  <c r="L227" i="16"/>
  <c r="L222" i="16"/>
  <c r="L196" i="16"/>
  <c r="L167" i="16"/>
  <c r="G155" i="16"/>
  <c r="G153" i="16"/>
  <c r="L270" i="16"/>
  <c r="G268" i="16"/>
  <c r="L251" i="16"/>
  <c r="G246" i="16"/>
  <c r="L240" i="16"/>
  <c r="L215" i="16"/>
  <c r="L213" i="16"/>
  <c r="L200" i="16"/>
  <c r="L198" i="16"/>
  <c r="G186" i="16"/>
  <c r="G161" i="16"/>
  <c r="G157" i="16"/>
  <c r="G133" i="16"/>
  <c r="G131" i="16"/>
  <c r="G129" i="16"/>
  <c r="G127" i="16"/>
  <c r="G121" i="16"/>
  <c r="G119" i="16"/>
  <c r="G117" i="16"/>
  <c r="L98" i="16"/>
  <c r="G93" i="16"/>
  <c r="L78" i="16"/>
  <c r="G71" i="16"/>
  <c r="L56" i="16"/>
  <c r="G51" i="16"/>
  <c r="L36" i="16"/>
  <c r="G31" i="16"/>
  <c r="G25" i="16"/>
  <c r="G23" i="16"/>
  <c r="L296" i="16"/>
  <c r="G284" i="16"/>
  <c r="L273" i="16"/>
  <c r="L237" i="16"/>
  <c r="G235" i="16"/>
  <c r="G227" i="16"/>
  <c r="G211" i="16"/>
  <c r="L202" i="16"/>
  <c r="G190" i="16"/>
  <c r="G188" i="16"/>
  <c r="L175" i="16"/>
  <c r="L171" i="16"/>
  <c r="G163" i="16"/>
  <c r="G159" i="16"/>
  <c r="L107" i="16"/>
  <c r="G102" i="16"/>
  <c r="L87" i="16"/>
  <c r="G82" i="16"/>
  <c r="L65" i="16"/>
  <c r="G60" i="16"/>
  <c r="L45" i="16"/>
  <c r="L324" i="16"/>
  <c r="L321" i="16"/>
  <c r="L307" i="16"/>
  <c r="L298" i="16"/>
  <c r="G232" i="16"/>
  <c r="L224" i="16"/>
  <c r="G222" i="16"/>
  <c r="L217" i="16"/>
  <c r="L204" i="16"/>
  <c r="G196" i="16"/>
  <c r="G192" i="16"/>
  <c r="L181" i="16"/>
  <c r="L177" i="16"/>
  <c r="L173" i="16"/>
  <c r="G167" i="16"/>
  <c r="G165" i="16"/>
  <c r="G115" i="16"/>
  <c r="L96" i="16"/>
  <c r="G91" i="16"/>
  <c r="L75" i="16"/>
  <c r="G69" i="16"/>
  <c r="L38" i="16"/>
  <c r="M60" i="16"/>
  <c r="L62" i="16"/>
  <c r="M64" i="16"/>
  <c r="H74" i="16"/>
  <c r="T74" i="16" s="1"/>
  <c r="L92" i="16"/>
  <c r="L94" i="16"/>
  <c r="L105" i="16"/>
  <c r="G110" i="16"/>
  <c r="M120" i="16"/>
  <c r="H125" i="16"/>
  <c r="T125" i="16" s="1"/>
  <c r="G143" i="16"/>
  <c r="L145" i="16"/>
  <c r="G148" i="16"/>
  <c r="L150" i="16"/>
  <c r="M153" i="16"/>
  <c r="L158" i="16"/>
  <c r="H164" i="16"/>
  <c r="T164" i="16" s="1"/>
  <c r="M166" i="16"/>
  <c r="H169" i="16"/>
  <c r="T169" i="16" s="1"/>
  <c r="L185" i="16"/>
  <c r="G194" i="16"/>
  <c r="M205" i="16"/>
  <c r="L208" i="16"/>
  <c r="L211" i="16"/>
  <c r="G234" i="16"/>
  <c r="G241" i="16"/>
  <c r="L244" i="16"/>
  <c r="G255" i="16"/>
  <c r="H265" i="16"/>
  <c r="T265" i="16" s="1"/>
  <c r="M269" i="16"/>
  <c r="L272" i="16"/>
  <c r="L297" i="16"/>
  <c r="G305" i="16"/>
  <c r="M77" i="16"/>
  <c r="H84" i="16"/>
  <c r="T84" i="16" s="1"/>
  <c r="M103" i="16"/>
  <c r="H108" i="16"/>
  <c r="T108" i="16" s="1"/>
  <c r="M118" i="16"/>
  <c r="H151" i="16"/>
  <c r="T151" i="16" s="1"/>
  <c r="G156" i="16"/>
  <c r="M180" i="16"/>
  <c r="G183" i="16"/>
  <c r="L191" i="16"/>
  <c r="M194" i="16"/>
  <c r="G200" i="16"/>
  <c r="H224" i="16"/>
  <c r="T224" i="16" s="1"/>
  <c r="H231" i="16"/>
  <c r="T231" i="16" s="1"/>
  <c r="H248" i="16"/>
  <c r="T248" i="16" s="1"/>
  <c r="H261" i="16"/>
  <c r="T261" i="16" s="1"/>
  <c r="L283" i="16"/>
  <c r="M297" i="16"/>
  <c r="H305" i="16"/>
  <c r="T305" i="16" s="1"/>
  <c r="L320" i="16"/>
  <c r="H324" i="16"/>
  <c r="T324" i="16" s="1"/>
  <c r="L15" i="16"/>
  <c r="L17" i="16"/>
  <c r="L22" i="16"/>
  <c r="M24" i="16"/>
  <c r="M42" i="16"/>
  <c r="L46" i="16"/>
  <c r="L48" i="16"/>
  <c r="M50" i="16"/>
  <c r="L52" i="16"/>
  <c r="M56" i="16"/>
  <c r="L74" i="16"/>
  <c r="L86" i="16"/>
  <c r="L88" i="16"/>
  <c r="M90" i="16"/>
  <c r="G95" i="16"/>
  <c r="M101" i="16"/>
  <c r="G106" i="16"/>
  <c r="L116" i="16"/>
  <c r="H123" i="16"/>
  <c r="T123" i="16" s="1"/>
  <c r="G130" i="16"/>
  <c r="H132" i="16"/>
  <c r="T132" i="16" s="1"/>
  <c r="L134" i="16"/>
  <c r="L136" i="16"/>
  <c r="H156" i="16"/>
  <c r="T156" i="16" s="1"/>
  <c r="M161" i="16"/>
  <c r="G175" i="16"/>
  <c r="H183" i="16"/>
  <c r="T183" i="16" s="1"/>
  <c r="M191" i="16"/>
  <c r="L197" i="16"/>
  <c r="H200" i="16"/>
  <c r="T200" i="16" s="1"/>
  <c r="H203" i="16"/>
  <c r="T203" i="16" s="1"/>
  <c r="G206" i="16"/>
  <c r="G212" i="16"/>
  <c r="H228" i="16"/>
  <c r="T228" i="16" s="1"/>
  <c r="M283" i="16"/>
  <c r="M315" i="16"/>
  <c r="H310" i="16"/>
  <c r="T310" i="16" s="1"/>
  <c r="M295" i="16"/>
  <c r="M281" i="16"/>
  <c r="H273" i="16"/>
  <c r="T273" i="16" s="1"/>
  <c r="M258" i="16"/>
  <c r="H253" i="16"/>
  <c r="T253" i="16" s="1"/>
  <c r="M238" i="16"/>
  <c r="H233" i="16"/>
  <c r="T233" i="16" s="1"/>
  <c r="M218" i="16"/>
  <c r="H213" i="16"/>
  <c r="T213" i="16" s="1"/>
  <c r="M198" i="16"/>
  <c r="H193" i="16"/>
  <c r="T193" i="16" s="1"/>
  <c r="M178" i="16"/>
  <c r="H173" i="16"/>
  <c r="T173" i="16" s="1"/>
  <c r="M158" i="16"/>
  <c r="H153" i="16"/>
  <c r="T153" i="16" s="1"/>
  <c r="M134" i="16"/>
  <c r="H129" i="16"/>
  <c r="T129" i="16" s="1"/>
  <c r="H322" i="16"/>
  <c r="T322" i="16" s="1"/>
  <c r="M304" i="16"/>
  <c r="H299" i="16"/>
  <c r="T299" i="16" s="1"/>
  <c r="H285" i="16"/>
  <c r="T285" i="16" s="1"/>
  <c r="M267" i="16"/>
  <c r="H262" i="16"/>
  <c r="T262" i="16" s="1"/>
  <c r="M247" i="16"/>
  <c r="H242" i="16"/>
  <c r="T242" i="16" s="1"/>
  <c r="M227" i="16"/>
  <c r="H222" i="16"/>
  <c r="T222" i="16" s="1"/>
  <c r="M207" i="16"/>
  <c r="M313" i="16"/>
  <c r="H308" i="16"/>
  <c r="T308" i="16" s="1"/>
  <c r="M293" i="16"/>
  <c r="M276" i="16"/>
  <c r="H271" i="16"/>
  <c r="T271" i="16" s="1"/>
  <c r="M256" i="16"/>
  <c r="H251" i="16"/>
  <c r="T251" i="16" s="1"/>
  <c r="M236" i="16"/>
  <c r="M325" i="16"/>
  <c r="H320" i="16"/>
  <c r="T320" i="16" s="1"/>
  <c r="M302" i="16"/>
  <c r="H297" i="16"/>
  <c r="T297" i="16" s="1"/>
  <c r="H283" i="16"/>
  <c r="T283" i="16" s="1"/>
  <c r="M265" i="16"/>
  <c r="H260" i="16"/>
  <c r="T260" i="16" s="1"/>
  <c r="M245" i="16"/>
  <c r="H240" i="16"/>
  <c r="T240" i="16" s="1"/>
  <c r="M225" i="16"/>
  <c r="M311" i="16"/>
  <c r="H306" i="16"/>
  <c r="T306" i="16" s="1"/>
  <c r="M291" i="16"/>
  <c r="M274" i="16"/>
  <c r="H269" i="16"/>
  <c r="T269" i="16" s="1"/>
  <c r="M254" i="16"/>
  <c r="H249" i="16"/>
  <c r="T249" i="16" s="1"/>
  <c r="M234" i="16"/>
  <c r="H229" i="16"/>
  <c r="T229" i="16" s="1"/>
  <c r="M323" i="16"/>
  <c r="H315" i="16"/>
  <c r="T315" i="16" s="1"/>
  <c r="M300" i="16"/>
  <c r="H295" i="16"/>
  <c r="T295" i="16" s="1"/>
  <c r="M286" i="16"/>
  <c r="H281" i="16"/>
  <c r="T281" i="16" s="1"/>
  <c r="M263" i="16"/>
  <c r="H258" i="16"/>
  <c r="T258" i="16" s="1"/>
  <c r="M243" i="16"/>
  <c r="H238" i="16"/>
  <c r="T238" i="16" s="1"/>
  <c r="M223" i="16"/>
  <c r="H218" i="16"/>
  <c r="T218" i="16" s="1"/>
  <c r="M203" i="16"/>
  <c r="H198" i="16"/>
  <c r="T198" i="16" s="1"/>
  <c r="M183" i="16"/>
  <c r="H178" i="16"/>
  <c r="T178" i="16" s="1"/>
  <c r="M163" i="16"/>
  <c r="H158" i="16"/>
  <c r="T158" i="16" s="1"/>
  <c r="M143" i="16"/>
  <c r="H134" i="16"/>
  <c r="T134" i="16" s="1"/>
  <c r="M119" i="16"/>
  <c r="M309" i="16"/>
  <c r="H304" i="16"/>
  <c r="T304" i="16" s="1"/>
  <c r="M272" i="16"/>
  <c r="H267" i="16"/>
  <c r="T267" i="16" s="1"/>
  <c r="M252" i="16"/>
  <c r="H247" i="16"/>
  <c r="T247" i="16" s="1"/>
  <c r="M232" i="16"/>
  <c r="H227" i="16"/>
  <c r="T227" i="16" s="1"/>
  <c r="M212" i="16"/>
  <c r="H207" i="16"/>
  <c r="T207" i="16" s="1"/>
  <c r="M192" i="16"/>
  <c r="H187" i="16"/>
  <c r="T187" i="16" s="1"/>
  <c r="M172" i="16"/>
  <c r="H167" i="16"/>
  <c r="T167" i="16" s="1"/>
  <c r="M152" i="16"/>
  <c r="M314" i="16"/>
  <c r="H309" i="16"/>
  <c r="T309" i="16" s="1"/>
  <c r="M294" i="16"/>
  <c r="H272" i="16"/>
  <c r="T272" i="16" s="1"/>
  <c r="M257" i="16"/>
  <c r="H252" i="16"/>
  <c r="T252" i="16" s="1"/>
  <c r="M237" i="16"/>
  <c r="H232" i="16"/>
  <c r="T232" i="16" s="1"/>
  <c r="M290" i="16"/>
  <c r="M268" i="16"/>
  <c r="M235" i="16"/>
  <c r="M220" i="16"/>
  <c r="M209" i="16"/>
  <c r="H205" i="16"/>
  <c r="T205" i="16" s="1"/>
  <c r="M190" i="16"/>
  <c r="M188" i="16"/>
  <c r="H174" i="16"/>
  <c r="T174" i="16" s="1"/>
  <c r="M159" i="16"/>
  <c r="M322" i="16"/>
  <c r="M310" i="16"/>
  <c r="M301" i="16"/>
  <c r="M284" i="16"/>
  <c r="H225" i="16"/>
  <c r="T225" i="16" s="1"/>
  <c r="H147" i="16"/>
  <c r="T147" i="16" s="1"/>
  <c r="M115" i="16"/>
  <c r="H106" i="16"/>
  <c r="T106" i="16" s="1"/>
  <c r="M91" i="16"/>
  <c r="H86" i="16"/>
  <c r="T86" i="16" s="1"/>
  <c r="M69" i="16"/>
  <c r="H64" i="16"/>
  <c r="T64" i="16" s="1"/>
  <c r="M49" i="16"/>
  <c r="H325" i="16"/>
  <c r="T325" i="16" s="1"/>
  <c r="M316" i="16"/>
  <c r="M312" i="16"/>
  <c r="M292" i="16"/>
  <c r="H282" i="16"/>
  <c r="T282" i="16" s="1"/>
  <c r="H257" i="16"/>
  <c r="T257" i="16" s="1"/>
  <c r="H230" i="16"/>
  <c r="T230" i="16" s="1"/>
  <c r="M211" i="16"/>
  <c r="M303" i="16"/>
  <c r="M270" i="16"/>
  <c r="H268" i="16"/>
  <c r="T268" i="16" s="1"/>
  <c r="M251" i="16"/>
  <c r="H246" i="16"/>
  <c r="T246" i="16" s="1"/>
  <c r="H243" i="16"/>
  <c r="T243" i="16" s="1"/>
  <c r="M240" i="16"/>
  <c r="H220" i="16"/>
  <c r="T220" i="16" s="1"/>
  <c r="M215" i="16"/>
  <c r="M213" i="16"/>
  <c r="H209" i="16"/>
  <c r="T209" i="16" s="1"/>
  <c r="M200" i="16"/>
  <c r="H186" i="16"/>
  <c r="T186" i="16" s="1"/>
  <c r="H184" i="16"/>
  <c r="T184" i="16" s="1"/>
  <c r="M169" i="16"/>
  <c r="H161" i="16"/>
  <c r="T161" i="16" s="1"/>
  <c r="H157" i="16"/>
  <c r="T157" i="16" s="1"/>
  <c r="H133" i="16"/>
  <c r="T133" i="16" s="1"/>
  <c r="M305" i="16"/>
  <c r="M296" i="16"/>
  <c r="H290" i="16"/>
  <c r="H284" i="16"/>
  <c r="T284" i="16" s="1"/>
  <c r="M273" i="16"/>
  <c r="M248" i="16"/>
  <c r="H235" i="16"/>
  <c r="T235" i="16" s="1"/>
  <c r="H211" i="16"/>
  <c r="T211" i="16" s="1"/>
  <c r="M202" i="16"/>
  <c r="H190" i="16"/>
  <c r="T190" i="16" s="1"/>
  <c r="H188" i="16"/>
  <c r="T188" i="16" s="1"/>
  <c r="M175" i="16"/>
  <c r="M171" i="16"/>
  <c r="H163" i="16"/>
  <c r="T163" i="16" s="1"/>
  <c r="H159" i="16"/>
  <c r="T159" i="16" s="1"/>
  <c r="M107" i="16"/>
  <c r="H102" i="16"/>
  <c r="T102" i="16" s="1"/>
  <c r="M87" i="16"/>
  <c r="H82" i="16"/>
  <c r="T82" i="16" s="1"/>
  <c r="M65" i="16"/>
  <c r="H60" i="16"/>
  <c r="T60" i="16" s="1"/>
  <c r="M45" i="16"/>
  <c r="M324" i="16"/>
  <c r="M321" i="16"/>
  <c r="H314" i="16"/>
  <c r="T314" i="16" s="1"/>
  <c r="M307" i="16"/>
  <c r="H301" i="16"/>
  <c r="T301" i="16" s="1"/>
  <c r="M298" i="16"/>
  <c r="M224" i="16"/>
  <c r="M217" i="16"/>
  <c r="M204" i="16"/>
  <c r="H196" i="16"/>
  <c r="T196" i="16" s="1"/>
  <c r="H192" i="16"/>
  <c r="T192" i="16" s="1"/>
  <c r="M181" i="16"/>
  <c r="M177" i="16"/>
  <c r="M173" i="16"/>
  <c r="H165" i="16"/>
  <c r="T165" i="16" s="1"/>
  <c r="H115" i="16"/>
  <c r="T115" i="16" s="1"/>
  <c r="M96" i="16"/>
  <c r="H91" i="16"/>
  <c r="T91" i="16" s="1"/>
  <c r="M75" i="16"/>
  <c r="H69" i="16"/>
  <c r="T69" i="16" s="1"/>
  <c r="H49" i="16"/>
  <c r="T49" i="16" s="1"/>
  <c r="H316" i="16"/>
  <c r="T316" i="16" s="1"/>
  <c r="H312" i="16"/>
  <c r="T312" i="16" s="1"/>
  <c r="H294" i="16"/>
  <c r="T294" i="16" s="1"/>
  <c r="H292" i="16"/>
  <c r="T292" i="16" s="1"/>
  <c r="M261" i="16"/>
  <c r="H256" i="16"/>
  <c r="T256" i="16" s="1"/>
  <c r="M206" i="16"/>
  <c r="H194" i="16"/>
  <c r="T194" i="16" s="1"/>
  <c r="M179" i="16"/>
  <c r="M150" i="16"/>
  <c r="M148" i="16"/>
  <c r="M146" i="16"/>
  <c r="M105" i="16"/>
  <c r="H100" i="16"/>
  <c r="T100" i="16" s="1"/>
  <c r="M85" i="16"/>
  <c r="H80" i="16"/>
  <c r="T80" i="16" s="1"/>
  <c r="M13" i="16"/>
  <c r="M15" i="16"/>
  <c r="M17" i="16"/>
  <c r="M22" i="16"/>
  <c r="M46" i="16"/>
  <c r="M48" i="16"/>
  <c r="M52" i="16"/>
  <c r="M74" i="16"/>
  <c r="M86" i="16"/>
  <c r="M88" i="16"/>
  <c r="H95" i="16"/>
  <c r="T95" i="16" s="1"/>
  <c r="M116" i="16"/>
  <c r="H121" i="16"/>
  <c r="T121" i="16" s="1"/>
  <c r="M125" i="16"/>
  <c r="H130" i="16"/>
  <c r="T130" i="16" s="1"/>
  <c r="M136" i="16"/>
  <c r="L143" i="16"/>
  <c r="L151" i="16"/>
  <c r="L164" i="16"/>
  <c r="H175" i="16"/>
  <c r="T175" i="16" s="1"/>
  <c r="G195" i="16"/>
  <c r="M197" i="16"/>
  <c r="H206" i="16"/>
  <c r="T206" i="16" s="1"/>
  <c r="H212" i="16"/>
  <c r="T212" i="16" s="1"/>
  <c r="G221" i="16"/>
  <c r="L231" i="16"/>
  <c r="L241" i="16"/>
  <c r="G252" i="16"/>
  <c r="H300" i="16"/>
  <c r="T300" i="16" s="1"/>
  <c r="G37" i="16"/>
  <c r="G39" i="16"/>
  <c r="G65" i="16"/>
  <c r="G67" i="16"/>
  <c r="L71" i="16"/>
  <c r="L84" i="16"/>
  <c r="H93" i="16"/>
  <c r="T93" i="16" s="1"/>
  <c r="L97" i="16"/>
  <c r="G104" i="16"/>
  <c r="L110" i="16"/>
  <c r="G137" i="16"/>
  <c r="G146" i="16"/>
  <c r="L148" i="16"/>
  <c r="M151" i="16"/>
  <c r="G154" i="16"/>
  <c r="L156" i="16"/>
  <c r="M164" i="16"/>
  <c r="G170" i="16"/>
  <c r="L172" i="16"/>
  <c r="H189" i="16"/>
  <c r="T189" i="16" s="1"/>
  <c r="H195" i="16"/>
  <c r="T195" i="16" s="1"/>
  <c r="G215" i="16"/>
  <c r="H221" i="16"/>
  <c r="T221" i="16" s="1"/>
  <c r="M231" i="16"/>
  <c r="M241" i="16"/>
  <c r="G245" i="16"/>
  <c r="L255" i="16"/>
  <c r="L261" i="16"/>
  <c r="L266" i="16"/>
  <c r="G270" i="16"/>
  <c r="H274" i="16"/>
  <c r="T274" i="16" s="1"/>
  <c r="G303" i="16"/>
  <c r="H31" i="16"/>
  <c r="T31" i="16" s="1"/>
  <c r="G33" i="16"/>
  <c r="H35" i="16"/>
  <c r="T35" i="16" s="1"/>
  <c r="H37" i="16"/>
  <c r="T37" i="16" s="1"/>
  <c r="H39" i="16"/>
  <c r="G59" i="16"/>
  <c r="G63" i="16"/>
  <c r="H65" i="16"/>
  <c r="H67" i="16"/>
  <c r="L69" i="16"/>
  <c r="M71" i="16"/>
  <c r="G80" i="16"/>
  <c r="M84" i="16"/>
  <c r="M97" i="16"/>
  <c r="H104" i="16"/>
  <c r="T104" i="16" s="1"/>
  <c r="L108" i="16"/>
  <c r="M110" i="16"/>
  <c r="H119" i="16"/>
  <c r="T119" i="16" s="1"/>
  <c r="L123" i="16"/>
  <c r="G128" i="16"/>
  <c r="L132" i="16"/>
  <c r="H137" i="16"/>
  <c r="T137" i="16" s="1"/>
  <c r="H146" i="16"/>
  <c r="T146" i="16" s="1"/>
  <c r="H154" i="16"/>
  <c r="T154" i="16" s="1"/>
  <c r="M156" i="16"/>
  <c r="G162" i="16"/>
  <c r="M167" i="16"/>
  <c r="H170" i="16"/>
  <c r="T170" i="16" s="1"/>
  <c r="L178" i="16"/>
  <c r="M186" i="16"/>
  <c r="H215" i="16"/>
  <c r="T215" i="16" s="1"/>
  <c r="H245" i="16"/>
  <c r="T245" i="16" s="1"/>
  <c r="M255" i="16"/>
  <c r="M266" i="16"/>
  <c r="H270" i="16"/>
  <c r="T270" i="16" s="1"/>
  <c r="H303" i="16"/>
  <c r="T303" i="16" s="1"/>
  <c r="H313" i="16"/>
  <c r="T313" i="16" s="1"/>
  <c r="L15" i="15"/>
  <c r="L22" i="15"/>
  <c r="F25" i="15"/>
  <c r="L26" i="15"/>
  <c r="G32" i="15"/>
  <c r="L33" i="15"/>
  <c r="F35" i="15"/>
  <c r="L41" i="15"/>
  <c r="F43" i="15"/>
  <c r="G48" i="15"/>
  <c r="L49" i="15"/>
  <c r="F51" i="15"/>
  <c r="L55" i="15"/>
  <c r="G60" i="15"/>
  <c r="G74" i="15"/>
  <c r="L81" i="15"/>
  <c r="F83" i="15"/>
  <c r="L108" i="15"/>
  <c r="G21" i="15"/>
  <c r="K23" i="15"/>
  <c r="G25" i="15"/>
  <c r="G35" i="15"/>
  <c r="L36" i="15"/>
  <c r="F38" i="15"/>
  <c r="G43" i="15"/>
  <c r="F46" i="15"/>
  <c r="G51" i="15"/>
  <c r="L52" i="15"/>
  <c r="F68" i="15"/>
  <c r="L75" i="15"/>
  <c r="G83" i="15"/>
  <c r="L87" i="15"/>
  <c r="F15" i="15"/>
  <c r="L16" i="15"/>
  <c r="F22" i="15"/>
  <c r="L23" i="15"/>
  <c r="L31" i="15"/>
  <c r="F33" i="15"/>
  <c r="G38" i="15"/>
  <c r="L39" i="15"/>
  <c r="F41" i="15"/>
  <c r="G46" i="15"/>
  <c r="L47" i="15"/>
  <c r="F49" i="15"/>
  <c r="L56" i="15"/>
  <c r="L62" i="15"/>
  <c r="L63" i="15"/>
  <c r="G67" i="15"/>
  <c r="G68" i="15"/>
  <c r="L84" i="15"/>
  <c r="F88" i="15"/>
  <c r="G15" i="15"/>
  <c r="G22" i="15"/>
  <c r="K24" i="15"/>
  <c r="G26" i="15"/>
  <c r="G33" i="15"/>
  <c r="L34" i="15"/>
  <c r="F36" i="15"/>
  <c r="G41" i="15"/>
  <c r="L42" i="15"/>
  <c r="G49" i="15"/>
  <c r="L50" i="15"/>
  <c r="F52" i="15"/>
  <c r="L53" i="15"/>
  <c r="F55" i="15"/>
  <c r="L58" i="15"/>
  <c r="L64" i="15"/>
  <c r="F78" i="15"/>
  <c r="G86" i="15"/>
  <c r="G93" i="15"/>
  <c r="L102" i="15"/>
  <c r="F275" i="15"/>
  <c r="F267" i="15"/>
  <c r="K260" i="15"/>
  <c r="F251" i="15"/>
  <c r="F243" i="15"/>
  <c r="F324" i="15"/>
  <c r="F272" i="15"/>
  <c r="F264" i="15"/>
  <c r="F256" i="15"/>
  <c r="F248" i="15"/>
  <c r="F240" i="15"/>
  <c r="F321" i="15"/>
  <c r="F269" i="15"/>
  <c r="F261" i="15"/>
  <c r="F253" i="15"/>
  <c r="F245" i="15"/>
  <c r="F237" i="15"/>
  <c r="F274" i="15"/>
  <c r="F266" i="15"/>
  <c r="F258" i="15"/>
  <c r="F250" i="15"/>
  <c r="F242" i="15"/>
  <c r="F323" i="15"/>
  <c r="F271" i="15"/>
  <c r="F263" i="15"/>
  <c r="F255" i="15"/>
  <c r="F247" i="15"/>
  <c r="F239" i="15"/>
  <c r="F325" i="15"/>
  <c r="F273" i="15"/>
  <c r="F265" i="15"/>
  <c r="F257" i="15"/>
  <c r="F249" i="15"/>
  <c r="F241" i="15"/>
  <c r="F322" i="15"/>
  <c r="F270" i="15"/>
  <c r="K263" i="15"/>
  <c r="F262" i="15"/>
  <c r="F254" i="15"/>
  <c r="F246" i="15"/>
  <c r="F238" i="15"/>
  <c r="F230" i="15"/>
  <c r="F222" i="15"/>
  <c r="F214" i="15"/>
  <c r="F206" i="15"/>
  <c r="F198" i="15"/>
  <c r="F190" i="15"/>
  <c r="F182" i="15"/>
  <c r="F320" i="15"/>
  <c r="F252" i="15"/>
  <c r="F235" i="15"/>
  <c r="F227" i="15"/>
  <c r="F219" i="15"/>
  <c r="F211" i="15"/>
  <c r="F203" i="15"/>
  <c r="F195" i="15"/>
  <c r="F187" i="15"/>
  <c r="F179" i="15"/>
  <c r="F232" i="15"/>
  <c r="F224" i="15"/>
  <c r="F216" i="15"/>
  <c r="F208" i="15"/>
  <c r="F200" i="15"/>
  <c r="F192" i="15"/>
  <c r="F184" i="15"/>
  <c r="F244" i="15"/>
  <c r="F229" i="15"/>
  <c r="F221" i="15"/>
  <c r="F213" i="15"/>
  <c r="F205" i="15"/>
  <c r="F197" i="15"/>
  <c r="F189" i="15"/>
  <c r="F181" i="15"/>
  <c r="F276" i="15"/>
  <c r="K261" i="15"/>
  <c r="F234" i="15"/>
  <c r="F226" i="15"/>
  <c r="F218" i="15"/>
  <c r="F210" i="15"/>
  <c r="F202" i="15"/>
  <c r="F194" i="15"/>
  <c r="F186" i="15"/>
  <c r="F236" i="15"/>
  <c r="F231" i="15"/>
  <c r="F223" i="15"/>
  <c r="F215" i="15"/>
  <c r="F207" i="15"/>
  <c r="F199" i="15"/>
  <c r="F191" i="15"/>
  <c r="F183" i="15"/>
  <c r="F268" i="15"/>
  <c r="F260" i="15"/>
  <c r="F228" i="15"/>
  <c r="F220" i="15"/>
  <c r="F212" i="15"/>
  <c r="F204" i="15"/>
  <c r="F196" i="15"/>
  <c r="F188" i="15"/>
  <c r="F180" i="15"/>
  <c r="F178" i="15"/>
  <c r="F175" i="15"/>
  <c r="F167" i="15"/>
  <c r="F159" i="15"/>
  <c r="F151" i="15"/>
  <c r="F143" i="15"/>
  <c r="F131" i="15"/>
  <c r="F123" i="15"/>
  <c r="F115" i="15"/>
  <c r="F209" i="15"/>
  <c r="F172" i="15"/>
  <c r="F164" i="15"/>
  <c r="F156" i="15"/>
  <c r="F148" i="15"/>
  <c r="F136" i="15"/>
  <c r="F177" i="15"/>
  <c r="F169" i="15"/>
  <c r="F161" i="15"/>
  <c r="F153" i="15"/>
  <c r="F145" i="15"/>
  <c r="F133" i="15"/>
  <c r="F233" i="15"/>
  <c r="F201" i="15"/>
  <c r="F174" i="15"/>
  <c r="F166" i="15"/>
  <c r="F158" i="15"/>
  <c r="F150" i="15"/>
  <c r="F138" i="15"/>
  <c r="F130" i="15"/>
  <c r="F171" i="15"/>
  <c r="F163" i="15"/>
  <c r="F155" i="15"/>
  <c r="F147" i="15"/>
  <c r="F225" i="15"/>
  <c r="F193" i="15"/>
  <c r="F176" i="15"/>
  <c r="F168" i="15"/>
  <c r="F160" i="15"/>
  <c r="F152" i="15"/>
  <c r="F144" i="15"/>
  <c r="F132" i="15"/>
  <c r="F173" i="15"/>
  <c r="F165" i="15"/>
  <c r="F157" i="15"/>
  <c r="F149" i="15"/>
  <c r="F137" i="15"/>
  <c r="F129" i="15"/>
  <c r="F185" i="15"/>
  <c r="F146" i="15"/>
  <c r="F101" i="15"/>
  <c r="F93" i="15"/>
  <c r="F85" i="15"/>
  <c r="F77" i="15"/>
  <c r="F67" i="15"/>
  <c r="F59" i="15"/>
  <c r="F128" i="15"/>
  <c r="F127" i="15"/>
  <c r="F118" i="15"/>
  <c r="F110" i="15"/>
  <c r="F106" i="15"/>
  <c r="F98" i="15"/>
  <c r="F90" i="15"/>
  <c r="F82" i="15"/>
  <c r="F73" i="15"/>
  <c r="F217" i="15"/>
  <c r="F170" i="15"/>
  <c r="F122" i="15"/>
  <c r="F103" i="15"/>
  <c r="F95" i="15"/>
  <c r="F87" i="15"/>
  <c r="F69" i="15"/>
  <c r="F126" i="15"/>
  <c r="F117" i="15"/>
  <c r="F109" i="15"/>
  <c r="F100" i="15"/>
  <c r="F92" i="15"/>
  <c r="F84" i="15"/>
  <c r="F75" i="15"/>
  <c r="F162" i="15"/>
  <c r="F134" i="15"/>
  <c r="F125" i="15"/>
  <c r="F121" i="15"/>
  <c r="F108" i="15"/>
  <c r="F105" i="15"/>
  <c r="F97" i="15"/>
  <c r="K147" i="15"/>
  <c r="F120" i="15"/>
  <c r="F102" i="15"/>
  <c r="F94" i="15"/>
  <c r="F86" i="15"/>
  <c r="F154" i="15"/>
  <c r="F116" i="15"/>
  <c r="F107" i="15"/>
  <c r="F91" i="15"/>
  <c r="F124" i="15"/>
  <c r="F119" i="15"/>
  <c r="L13" i="15"/>
  <c r="F16" i="15"/>
  <c r="L17" i="15"/>
  <c r="F23" i="15"/>
  <c r="L24" i="15"/>
  <c r="F31" i="15"/>
  <c r="G36" i="15"/>
  <c r="L37" i="15"/>
  <c r="F39" i="15"/>
  <c r="L45" i="15"/>
  <c r="F47" i="15"/>
  <c r="G52" i="15"/>
  <c r="G55" i="15"/>
  <c r="L60" i="15"/>
  <c r="F62" i="15"/>
  <c r="L68" i="15"/>
  <c r="L69" i="15"/>
  <c r="G77" i="15"/>
  <c r="L325" i="15"/>
  <c r="G324" i="15"/>
  <c r="L306" i="15"/>
  <c r="G305" i="15"/>
  <c r="L298" i="15"/>
  <c r="G297" i="15"/>
  <c r="L284" i="15"/>
  <c r="G283" i="15"/>
  <c r="L273" i="15"/>
  <c r="G272" i="15"/>
  <c r="L265" i="15"/>
  <c r="G264" i="15"/>
  <c r="L257" i="15"/>
  <c r="G256" i="15"/>
  <c r="L249" i="15"/>
  <c r="G248" i="15"/>
  <c r="L241" i="15"/>
  <c r="G240" i="15"/>
  <c r="L322" i="15"/>
  <c r="G321" i="15"/>
  <c r="L311" i="15"/>
  <c r="G310" i="15"/>
  <c r="L303" i="15"/>
  <c r="G302" i="15"/>
  <c r="L295" i="15"/>
  <c r="G294" i="15"/>
  <c r="L281" i="15"/>
  <c r="G280" i="15"/>
  <c r="L270" i="15"/>
  <c r="G269" i="15"/>
  <c r="L262" i="15"/>
  <c r="G261" i="15"/>
  <c r="L254" i="15"/>
  <c r="G253" i="15"/>
  <c r="L246" i="15"/>
  <c r="G245" i="15"/>
  <c r="L238" i="15"/>
  <c r="G237" i="15"/>
  <c r="L308" i="15"/>
  <c r="G307" i="15"/>
  <c r="L300" i="15"/>
  <c r="G299" i="15"/>
  <c r="L292" i="15"/>
  <c r="G291" i="15"/>
  <c r="L286" i="15"/>
  <c r="G285" i="15"/>
  <c r="L275" i="15"/>
  <c r="G274" i="15"/>
  <c r="L267" i="15"/>
  <c r="G266" i="15"/>
  <c r="G258" i="15"/>
  <c r="L251" i="15"/>
  <c r="G250" i="15"/>
  <c r="L243" i="15"/>
  <c r="G242" i="15"/>
  <c r="L235" i="15"/>
  <c r="L324" i="15"/>
  <c r="G323" i="15"/>
  <c r="G312" i="15"/>
  <c r="L305" i="15"/>
  <c r="G304" i="15"/>
  <c r="L297" i="15"/>
  <c r="G296" i="15"/>
  <c r="L283" i="15"/>
  <c r="G282" i="15"/>
  <c r="L272" i="15"/>
  <c r="G271" i="15"/>
  <c r="L264" i="15"/>
  <c r="G263" i="15"/>
  <c r="L256" i="15"/>
  <c r="G255" i="15"/>
  <c r="L248" i="15"/>
  <c r="G247" i="15"/>
  <c r="L240" i="15"/>
  <c r="G239" i="15"/>
  <c r="L321" i="15"/>
  <c r="G320" i="15"/>
  <c r="L310" i="15"/>
  <c r="G309" i="15"/>
  <c r="L302" i="15"/>
  <c r="G301" i="15"/>
  <c r="L294" i="15"/>
  <c r="G293" i="15"/>
  <c r="L280" i="15"/>
  <c r="G276" i="15"/>
  <c r="L269" i="15"/>
  <c r="G268" i="15"/>
  <c r="L261" i="15"/>
  <c r="G260" i="15"/>
  <c r="L253" i="15"/>
  <c r="G252" i="15"/>
  <c r="L245" i="15"/>
  <c r="G244" i="15"/>
  <c r="L237" i="15"/>
  <c r="G236" i="15"/>
  <c r="L323" i="15"/>
  <c r="G322" i="15"/>
  <c r="L312" i="15"/>
  <c r="G311" i="15"/>
  <c r="L304" i="15"/>
  <c r="G303" i="15"/>
  <c r="L296" i="15"/>
  <c r="G295" i="15"/>
  <c r="L282" i="15"/>
  <c r="G281" i="15"/>
  <c r="L271" i="15"/>
  <c r="G270" i="15"/>
  <c r="L263" i="15"/>
  <c r="G262" i="15"/>
  <c r="L255" i="15"/>
  <c r="G254" i="15"/>
  <c r="L247" i="15"/>
  <c r="G246" i="15"/>
  <c r="L239" i="15"/>
  <c r="G238" i="15"/>
  <c r="L320" i="15"/>
  <c r="L309" i="15"/>
  <c r="G308" i="15"/>
  <c r="L301" i="15"/>
  <c r="G300" i="15"/>
  <c r="L293" i="15"/>
  <c r="G292" i="15"/>
  <c r="G286" i="15"/>
  <c r="L276" i="15"/>
  <c r="G275" i="15"/>
  <c r="L268" i="15"/>
  <c r="G267" i="15"/>
  <c r="L260" i="15"/>
  <c r="L252" i="15"/>
  <c r="G251" i="15"/>
  <c r="L244" i="15"/>
  <c r="G243" i="15"/>
  <c r="L236" i="15"/>
  <c r="G235" i="15"/>
  <c r="G249" i="15"/>
  <c r="L228" i="15"/>
  <c r="G227" i="15"/>
  <c r="L220" i="15"/>
  <c r="G219" i="15"/>
  <c r="L212" i="15"/>
  <c r="G211" i="15"/>
  <c r="L204" i="15"/>
  <c r="G203" i="15"/>
  <c r="L196" i="15"/>
  <c r="G195" i="15"/>
  <c r="L188" i="15"/>
  <c r="G187" i="15"/>
  <c r="L180" i="15"/>
  <c r="G179" i="15"/>
  <c r="L266" i="15"/>
  <c r="L233" i="15"/>
  <c r="G232" i="15"/>
  <c r="L225" i="15"/>
  <c r="G224" i="15"/>
  <c r="L217" i="15"/>
  <c r="G216" i="15"/>
  <c r="L209" i="15"/>
  <c r="G208" i="15"/>
  <c r="L201" i="15"/>
  <c r="G200" i="15"/>
  <c r="L193" i="15"/>
  <c r="G192" i="15"/>
  <c r="L185" i="15"/>
  <c r="G184" i="15"/>
  <c r="L299" i="15"/>
  <c r="L258" i="15"/>
  <c r="G241" i="15"/>
  <c r="L230" i="15"/>
  <c r="G229" i="15"/>
  <c r="L222" i="15"/>
  <c r="G221" i="15"/>
  <c r="L214" i="15"/>
  <c r="G213" i="15"/>
  <c r="L206" i="15"/>
  <c r="G205" i="15"/>
  <c r="L198" i="15"/>
  <c r="G197" i="15"/>
  <c r="L190" i="15"/>
  <c r="G189" i="15"/>
  <c r="L182" i="15"/>
  <c r="G181" i="15"/>
  <c r="G273" i="15"/>
  <c r="G234" i="15"/>
  <c r="L227" i="15"/>
  <c r="G226" i="15"/>
  <c r="L219" i="15"/>
  <c r="G218" i="15"/>
  <c r="L211" i="15"/>
  <c r="G210" i="15"/>
  <c r="L203" i="15"/>
  <c r="G202" i="15"/>
  <c r="L195" i="15"/>
  <c r="G194" i="15"/>
  <c r="L187" i="15"/>
  <c r="G186" i="15"/>
  <c r="L179" i="15"/>
  <c r="G178" i="15"/>
  <c r="G298" i="15"/>
  <c r="G284" i="15"/>
  <c r="L250" i="15"/>
  <c r="L232" i="15"/>
  <c r="G231" i="15"/>
  <c r="L224" i="15"/>
  <c r="G223" i="15"/>
  <c r="L216" i="15"/>
  <c r="G215" i="15"/>
  <c r="L208" i="15"/>
  <c r="G207" i="15"/>
  <c r="L200" i="15"/>
  <c r="G199" i="15"/>
  <c r="L192" i="15"/>
  <c r="G191" i="15"/>
  <c r="L184" i="15"/>
  <c r="G183" i="15"/>
  <c r="L307" i="15"/>
  <c r="G265" i="15"/>
  <c r="L229" i="15"/>
  <c r="G228" i="15"/>
  <c r="L221" i="15"/>
  <c r="G220" i="15"/>
  <c r="L213" i="15"/>
  <c r="G212" i="15"/>
  <c r="L205" i="15"/>
  <c r="G204" i="15"/>
  <c r="L197" i="15"/>
  <c r="G196" i="15"/>
  <c r="L189" i="15"/>
  <c r="G188" i="15"/>
  <c r="L181" i="15"/>
  <c r="G180" i="15"/>
  <c r="G325" i="15"/>
  <c r="G257" i="15"/>
  <c r="L242" i="15"/>
  <c r="L234" i="15"/>
  <c r="G233" i="15"/>
  <c r="L226" i="15"/>
  <c r="G225" i="15"/>
  <c r="L218" i="15"/>
  <c r="G217" i="15"/>
  <c r="L210" i="15"/>
  <c r="G209" i="15"/>
  <c r="L202" i="15"/>
  <c r="G201" i="15"/>
  <c r="L194" i="15"/>
  <c r="G193" i="15"/>
  <c r="L186" i="15"/>
  <c r="G185" i="15"/>
  <c r="L178" i="15"/>
  <c r="L223" i="15"/>
  <c r="G206" i="15"/>
  <c r="L191" i="15"/>
  <c r="L173" i="15"/>
  <c r="G172" i="15"/>
  <c r="L165" i="15"/>
  <c r="G164" i="15"/>
  <c r="L157" i="15"/>
  <c r="G156" i="15"/>
  <c r="L149" i="15"/>
  <c r="G148" i="15"/>
  <c r="L137" i="15"/>
  <c r="G136" i="15"/>
  <c r="L129" i="15"/>
  <c r="G128" i="15"/>
  <c r="L121" i="15"/>
  <c r="G120" i="15"/>
  <c r="L109" i="15"/>
  <c r="G108" i="15"/>
  <c r="G177" i="15"/>
  <c r="L170" i="15"/>
  <c r="G169" i="15"/>
  <c r="L162" i="15"/>
  <c r="G161" i="15"/>
  <c r="L154" i="15"/>
  <c r="G153" i="15"/>
  <c r="L146" i="15"/>
  <c r="G145" i="15"/>
  <c r="L134" i="15"/>
  <c r="G133" i="15"/>
  <c r="G230" i="15"/>
  <c r="L215" i="15"/>
  <c r="G198" i="15"/>
  <c r="L183" i="15"/>
  <c r="L175" i="15"/>
  <c r="G174" i="15"/>
  <c r="L167" i="15"/>
  <c r="G166" i="15"/>
  <c r="L159" i="15"/>
  <c r="G158" i="15"/>
  <c r="L151" i="15"/>
  <c r="G150" i="15"/>
  <c r="L143" i="15"/>
  <c r="G138" i="15"/>
  <c r="L131" i="15"/>
  <c r="G130" i="15"/>
  <c r="L172" i="15"/>
  <c r="G171" i="15"/>
  <c r="L164" i="15"/>
  <c r="G163" i="15"/>
  <c r="L156" i="15"/>
  <c r="G155" i="15"/>
  <c r="L148" i="15"/>
  <c r="G147" i="15"/>
  <c r="L136" i="15"/>
  <c r="L285" i="15"/>
  <c r="L274" i="15"/>
  <c r="G222" i="15"/>
  <c r="L207" i="15"/>
  <c r="G190" i="15"/>
  <c r="G176" i="15"/>
  <c r="L169" i="15"/>
  <c r="G168" i="15"/>
  <c r="L161" i="15"/>
  <c r="G160" i="15"/>
  <c r="L153" i="15"/>
  <c r="G152" i="15"/>
  <c r="L145" i="15"/>
  <c r="G144" i="15"/>
  <c r="L133" i="15"/>
  <c r="G132" i="15"/>
  <c r="G306" i="15"/>
  <c r="L291" i="15"/>
  <c r="L177" i="15"/>
  <c r="L174" i="15"/>
  <c r="G173" i="15"/>
  <c r="L166" i="15"/>
  <c r="G165" i="15"/>
  <c r="L158" i="15"/>
  <c r="G157" i="15"/>
  <c r="L150" i="15"/>
  <c r="G149" i="15"/>
  <c r="L138" i="15"/>
  <c r="G137" i="15"/>
  <c r="L130" i="15"/>
  <c r="G129" i="15"/>
  <c r="L231" i="15"/>
  <c r="G214" i="15"/>
  <c r="L199" i="15"/>
  <c r="G182" i="15"/>
  <c r="L171" i="15"/>
  <c r="G170" i="15"/>
  <c r="L163" i="15"/>
  <c r="G162" i="15"/>
  <c r="L155" i="15"/>
  <c r="G154" i="15"/>
  <c r="L147" i="15"/>
  <c r="G146" i="15"/>
  <c r="G134" i="15"/>
  <c r="G127" i="15"/>
  <c r="G123" i="15"/>
  <c r="L120" i="15"/>
  <c r="G118" i="15"/>
  <c r="L116" i="15"/>
  <c r="G110" i="15"/>
  <c r="G106" i="15"/>
  <c r="G98" i="15"/>
  <c r="L91" i="15"/>
  <c r="G90" i="15"/>
  <c r="L83" i="15"/>
  <c r="G82" i="15"/>
  <c r="L74" i="15"/>
  <c r="G73" i="15"/>
  <c r="L65" i="15"/>
  <c r="G64" i="15"/>
  <c r="L57" i="15"/>
  <c r="G56" i="15"/>
  <c r="G167" i="15"/>
  <c r="L152" i="15"/>
  <c r="L124" i="15"/>
  <c r="G122" i="15"/>
  <c r="L107" i="15"/>
  <c r="L104" i="15"/>
  <c r="G103" i="15"/>
  <c r="L96" i="15"/>
  <c r="G95" i="15"/>
  <c r="L88" i="15"/>
  <c r="G87" i="15"/>
  <c r="L80" i="15"/>
  <c r="L70" i="15"/>
  <c r="G69" i="15"/>
  <c r="G126" i="15"/>
  <c r="L119" i="15"/>
  <c r="G117" i="15"/>
  <c r="L115" i="15"/>
  <c r="G109" i="15"/>
  <c r="L101" i="15"/>
  <c r="G100" i="15"/>
  <c r="L93" i="15"/>
  <c r="G92" i="15"/>
  <c r="L85" i="15"/>
  <c r="G84" i="15"/>
  <c r="L77" i="15"/>
  <c r="G75" i="15"/>
  <c r="L67" i="15"/>
  <c r="L59" i="15"/>
  <c r="G58" i="15"/>
  <c r="L176" i="15"/>
  <c r="G159" i="15"/>
  <c r="L144" i="15"/>
  <c r="G131" i="15"/>
  <c r="G125" i="15"/>
  <c r="L123" i="15"/>
  <c r="G121" i="15"/>
  <c r="L118" i="15"/>
  <c r="L106" i="15"/>
  <c r="G105" i="15"/>
  <c r="L98" i="15"/>
  <c r="G97" i="15"/>
  <c r="L90" i="15"/>
  <c r="G89" i="15"/>
  <c r="L82" i="15"/>
  <c r="G81" i="15"/>
  <c r="L73" i="15"/>
  <c r="G71" i="15"/>
  <c r="L128" i="15"/>
  <c r="L110" i="15"/>
  <c r="L103" i="15"/>
  <c r="G102" i="15"/>
  <c r="L95" i="15"/>
  <c r="G94" i="15"/>
  <c r="L168" i="15"/>
  <c r="G151" i="15"/>
  <c r="L127" i="15"/>
  <c r="L126" i="15"/>
  <c r="L122" i="15"/>
  <c r="G116" i="15"/>
  <c r="G107" i="15"/>
  <c r="L100" i="15"/>
  <c r="L92" i="15"/>
  <c r="G91" i="15"/>
  <c r="G124" i="15"/>
  <c r="G119" i="15"/>
  <c r="L117" i="15"/>
  <c r="L105" i="15"/>
  <c r="G104" i="15"/>
  <c r="L97" i="15"/>
  <c r="G96" i="15"/>
  <c r="L89" i="15"/>
  <c r="G88" i="15"/>
  <c r="G175" i="15"/>
  <c r="L160" i="15"/>
  <c r="G143" i="15"/>
  <c r="L132" i="15"/>
  <c r="L125" i="15"/>
  <c r="G12" i="15"/>
  <c r="K14" i="15"/>
  <c r="G16" i="15"/>
  <c r="G23" i="15"/>
  <c r="K25" i="15"/>
  <c r="G31" i="15"/>
  <c r="L32" i="15"/>
  <c r="F34" i="15"/>
  <c r="H36" i="15"/>
  <c r="T36" i="15" s="1"/>
  <c r="M37" i="15"/>
  <c r="G39" i="15"/>
  <c r="F42" i="15"/>
  <c r="G47" i="15"/>
  <c r="L48" i="15"/>
  <c r="F50" i="15"/>
  <c r="H52" i="15"/>
  <c r="T52" i="15" s="1"/>
  <c r="H55" i="15"/>
  <c r="T55" i="15" s="1"/>
  <c r="F56" i="15"/>
  <c r="G62" i="15"/>
  <c r="F70" i="15"/>
  <c r="F71" i="15"/>
  <c r="G85" i="15"/>
  <c r="L86" i="15"/>
  <c r="G115" i="15"/>
  <c r="E3" i="15"/>
  <c r="H80" i="15" s="1"/>
  <c r="T80" i="15" s="1"/>
  <c r="F13" i="15"/>
  <c r="L14" i="15"/>
  <c r="H16" i="15"/>
  <c r="L21" i="15"/>
  <c r="H23" i="15"/>
  <c r="F24" i="15"/>
  <c r="L25" i="15"/>
  <c r="M32" i="15"/>
  <c r="G34" i="15"/>
  <c r="L35" i="15"/>
  <c r="F37" i="15"/>
  <c r="H39" i="15"/>
  <c r="G42" i="15"/>
  <c r="L43" i="15"/>
  <c r="F45" i="15"/>
  <c r="G50" i="15"/>
  <c r="L51" i="15"/>
  <c r="F53" i="15"/>
  <c r="F57" i="15"/>
  <c r="F63" i="15"/>
  <c r="F64" i="15"/>
  <c r="F65" i="15"/>
  <c r="G70" i="15"/>
  <c r="L78" i="15"/>
  <c r="F80" i="15"/>
  <c r="F81" i="15"/>
  <c r="F89" i="15"/>
  <c r="M91" i="15"/>
  <c r="F104" i="15"/>
  <c r="G13" i="15"/>
  <c r="M14" i="15"/>
  <c r="K15" i="15"/>
  <c r="G17" i="15"/>
  <c r="G24" i="15"/>
  <c r="F32" i="15"/>
  <c r="H34" i="15"/>
  <c r="T34" i="15" s="1"/>
  <c r="M35" i="15"/>
  <c r="G37" i="15"/>
  <c r="L38" i="15"/>
  <c r="M43" i="15"/>
  <c r="G45" i="15"/>
  <c r="L46" i="15"/>
  <c r="F48" i="15"/>
  <c r="H50" i="15"/>
  <c r="T50" i="15" s="1"/>
  <c r="G53" i="15"/>
  <c r="G57" i="15"/>
  <c r="F58" i="15"/>
  <c r="G59" i="15"/>
  <c r="F60" i="15"/>
  <c r="G63" i="15"/>
  <c r="H64" i="15"/>
  <c r="T64" i="15" s="1"/>
  <c r="G65" i="15"/>
  <c r="L71" i="15"/>
  <c r="F74" i="15"/>
  <c r="M78" i="15"/>
  <c r="G80" i="15"/>
  <c r="L94" i="15"/>
  <c r="G101" i="15"/>
  <c r="G49" i="14"/>
  <c r="G22" i="14"/>
  <c r="L37" i="14"/>
  <c r="G60" i="14"/>
  <c r="L53" i="14"/>
  <c r="G65" i="14"/>
  <c r="L77" i="14"/>
  <c r="L17" i="14"/>
  <c r="L58" i="14"/>
  <c r="G74" i="14"/>
  <c r="G26" i="14"/>
  <c r="G36" i="14"/>
  <c r="L42" i="14"/>
  <c r="F52" i="14"/>
  <c r="F63" i="14"/>
  <c r="L101" i="14"/>
  <c r="L24" i="14"/>
  <c r="L45" i="14"/>
  <c r="G52" i="14"/>
  <c r="F134" i="14"/>
  <c r="L321" i="14"/>
  <c r="G320" i="14"/>
  <c r="L310" i="14"/>
  <c r="G309" i="14"/>
  <c r="L302" i="14"/>
  <c r="G301" i="14"/>
  <c r="L294" i="14"/>
  <c r="G293" i="14"/>
  <c r="L280" i="14"/>
  <c r="G276" i="14"/>
  <c r="L269" i="14"/>
  <c r="G268" i="14"/>
  <c r="L261" i="14"/>
  <c r="G260" i="14"/>
  <c r="L253" i="14"/>
  <c r="G252" i="14"/>
  <c r="L245" i="14"/>
  <c r="G244" i="14"/>
  <c r="L237" i="14"/>
  <c r="G236" i="14"/>
  <c r="G325" i="14"/>
  <c r="L307" i="14"/>
  <c r="G306" i="14"/>
  <c r="L299" i="14"/>
  <c r="G298" i="14"/>
  <c r="L291" i="14"/>
  <c r="L285" i="14"/>
  <c r="G284" i="14"/>
  <c r="L274" i="14"/>
  <c r="G273" i="14"/>
  <c r="L266" i="14"/>
  <c r="G265" i="14"/>
  <c r="L258" i="14"/>
  <c r="G257" i="14"/>
  <c r="L250" i="14"/>
  <c r="G249" i="14"/>
  <c r="L242" i="14"/>
  <c r="G241" i="14"/>
  <c r="L323" i="14"/>
  <c r="G322" i="14"/>
  <c r="L312" i="14"/>
  <c r="G311" i="14"/>
  <c r="L304" i="14"/>
  <c r="G303" i="14"/>
  <c r="L296" i="14"/>
  <c r="G295" i="14"/>
  <c r="G281" i="14"/>
  <c r="L271" i="14"/>
  <c r="G270" i="14"/>
  <c r="L263" i="14"/>
  <c r="G262" i="14"/>
  <c r="L255" i="14"/>
  <c r="G254" i="14"/>
  <c r="L247" i="14"/>
  <c r="G246" i="14"/>
  <c r="L239" i="14"/>
  <c r="G238" i="14"/>
  <c r="L320" i="14"/>
  <c r="L309" i="14"/>
  <c r="G308" i="14"/>
  <c r="L301" i="14"/>
  <c r="G300" i="14"/>
  <c r="L293" i="14"/>
  <c r="G292" i="14"/>
  <c r="G286" i="14"/>
  <c r="L276" i="14"/>
  <c r="G275" i="14"/>
  <c r="L268" i="14"/>
  <c r="G267" i="14"/>
  <c r="L260" i="14"/>
  <c r="L252" i="14"/>
  <c r="G251" i="14"/>
  <c r="L244" i="14"/>
  <c r="G243" i="14"/>
  <c r="L236" i="14"/>
  <c r="G235" i="14"/>
  <c r="L308" i="14"/>
  <c r="G307" i="14"/>
  <c r="L300" i="14"/>
  <c r="G299" i="14"/>
  <c r="L292" i="14"/>
  <c r="G291" i="14"/>
  <c r="L286" i="14"/>
  <c r="G285" i="14"/>
  <c r="L275" i="14"/>
  <c r="G274" i="14"/>
  <c r="L267" i="14"/>
  <c r="G266" i="14"/>
  <c r="G258" i="14"/>
  <c r="L251" i="14"/>
  <c r="G250" i="14"/>
  <c r="L243" i="14"/>
  <c r="G242" i="14"/>
  <c r="L235" i="14"/>
  <c r="L324" i="14"/>
  <c r="G323" i="14"/>
  <c r="L313" i="14"/>
  <c r="G312" i="14"/>
  <c r="L305" i="14"/>
  <c r="G304" i="14"/>
  <c r="L297" i="14"/>
  <c r="G296" i="14"/>
  <c r="L283" i="14"/>
  <c r="G282" i="14"/>
  <c r="L272" i="14"/>
  <c r="G271" i="14"/>
  <c r="L264" i="14"/>
  <c r="G263" i="14"/>
  <c r="L256" i="14"/>
  <c r="G255" i="14"/>
  <c r="L325" i="14"/>
  <c r="G297" i="14"/>
  <c r="L273" i="14"/>
  <c r="G234" i="14"/>
  <c r="L229" i="14"/>
  <c r="G228" i="14"/>
  <c r="L221" i="14"/>
  <c r="G220" i="14"/>
  <c r="L213" i="14"/>
  <c r="G212" i="14"/>
  <c r="L205" i="14"/>
  <c r="G204" i="14"/>
  <c r="L197" i="14"/>
  <c r="G196" i="14"/>
  <c r="L189" i="14"/>
  <c r="G188" i="14"/>
  <c r="L181" i="14"/>
  <c r="G180" i="14"/>
  <c r="L173" i="14"/>
  <c r="G321" i="14"/>
  <c r="L303" i="14"/>
  <c r="G269" i="14"/>
  <c r="G264" i="14"/>
  <c r="L254" i="14"/>
  <c r="L248" i="14"/>
  <c r="G247" i="14"/>
  <c r="G240" i="14"/>
  <c r="L238" i="14"/>
  <c r="G237" i="14"/>
  <c r="G233" i="14"/>
  <c r="L226" i="14"/>
  <c r="G225" i="14"/>
  <c r="L218" i="14"/>
  <c r="G217" i="14"/>
  <c r="L210" i="14"/>
  <c r="G209" i="14"/>
  <c r="L202" i="14"/>
  <c r="G201" i="14"/>
  <c r="L194" i="14"/>
  <c r="G193" i="14"/>
  <c r="L186" i="14"/>
  <c r="L241" i="14"/>
  <c r="L231" i="14"/>
  <c r="G230" i="14"/>
  <c r="L223" i="14"/>
  <c r="G222" i="14"/>
  <c r="L215" i="14"/>
  <c r="G214" i="14"/>
  <c r="L207" i="14"/>
  <c r="G206" i="14"/>
  <c r="L199" i="14"/>
  <c r="G198" i="14"/>
  <c r="L191" i="14"/>
  <c r="G190" i="14"/>
  <c r="L322" i="14"/>
  <c r="G310" i="14"/>
  <c r="L295" i="14"/>
  <c r="L270" i="14"/>
  <c r="G256" i="14"/>
  <c r="G248" i="14"/>
  <c r="L246" i="14"/>
  <c r="G245" i="14"/>
  <c r="L228" i="14"/>
  <c r="G227" i="14"/>
  <c r="L220" i="14"/>
  <c r="G219" i="14"/>
  <c r="L212" i="14"/>
  <c r="G211" i="14"/>
  <c r="L204" i="14"/>
  <c r="G203" i="14"/>
  <c r="L196" i="14"/>
  <c r="G195" i="14"/>
  <c r="L188" i="14"/>
  <c r="G187" i="14"/>
  <c r="G313" i="14"/>
  <c r="L306" i="14"/>
  <c r="G280" i="14"/>
  <c r="L265" i="14"/>
  <c r="G261" i="14"/>
  <c r="L249" i="14"/>
  <c r="L234" i="14"/>
  <c r="L233" i="14"/>
  <c r="G232" i="14"/>
  <c r="G324" i="14"/>
  <c r="G302" i="14"/>
  <c r="G283" i="14"/>
  <c r="L281" i="14"/>
  <c r="G272" i="14"/>
  <c r="L230" i="14"/>
  <c r="G229" i="14"/>
  <c r="L222" i="14"/>
  <c r="G221" i="14"/>
  <c r="L214" i="14"/>
  <c r="G213" i="14"/>
  <c r="L206" i="14"/>
  <c r="G205" i="14"/>
  <c r="L198" i="14"/>
  <c r="G197" i="14"/>
  <c r="L190" i="14"/>
  <c r="G189" i="14"/>
  <c r="L311" i="14"/>
  <c r="G305" i="14"/>
  <c r="G239" i="14"/>
  <c r="L227" i="14"/>
  <c r="L203" i="14"/>
  <c r="G184" i="14"/>
  <c r="G179" i="14"/>
  <c r="G175" i="14"/>
  <c r="L167" i="14"/>
  <c r="G166" i="14"/>
  <c r="L159" i="14"/>
  <c r="G158" i="14"/>
  <c r="L151" i="14"/>
  <c r="G150" i="14"/>
  <c r="L143" i="14"/>
  <c r="G138" i="14"/>
  <c r="G210" i="14"/>
  <c r="L208" i="14"/>
  <c r="G207" i="14"/>
  <c r="L201" i="14"/>
  <c r="G200" i="14"/>
  <c r="L185" i="14"/>
  <c r="L176" i="14"/>
  <c r="G174" i="14"/>
  <c r="L172" i="14"/>
  <c r="G171" i="14"/>
  <c r="L164" i="14"/>
  <c r="G163" i="14"/>
  <c r="L156" i="14"/>
  <c r="G155" i="14"/>
  <c r="L148" i="14"/>
  <c r="G147" i="14"/>
  <c r="L298" i="14"/>
  <c r="L284" i="14"/>
  <c r="L211" i="14"/>
  <c r="G183" i="14"/>
  <c r="L180" i="14"/>
  <c r="G178" i="14"/>
  <c r="L169" i="14"/>
  <c r="G168" i="14"/>
  <c r="L161" i="14"/>
  <c r="G160" i="14"/>
  <c r="L153" i="14"/>
  <c r="G152" i="14"/>
  <c r="L145" i="14"/>
  <c r="G144" i="14"/>
  <c r="L262" i="14"/>
  <c r="L257" i="14"/>
  <c r="G218" i="14"/>
  <c r="L216" i="14"/>
  <c r="G215" i="14"/>
  <c r="L209" i="14"/>
  <c r="G208" i="14"/>
  <c r="L184" i="14"/>
  <c r="G182" i="14"/>
  <c r="G177" i="14"/>
  <c r="L175" i="14"/>
  <c r="G173" i="14"/>
  <c r="L166" i="14"/>
  <c r="G165" i="14"/>
  <c r="L158" i="14"/>
  <c r="G157" i="14"/>
  <c r="L150" i="14"/>
  <c r="G149" i="14"/>
  <c r="L138" i="14"/>
  <c r="G137" i="14"/>
  <c r="G253" i="14"/>
  <c r="L240" i="14"/>
  <c r="L219" i="14"/>
  <c r="L187" i="14"/>
  <c r="G186" i="14"/>
  <c r="L179" i="14"/>
  <c r="L171" i="14"/>
  <c r="G170" i="14"/>
  <c r="L163" i="14"/>
  <c r="G162" i="14"/>
  <c r="L155" i="14"/>
  <c r="G154" i="14"/>
  <c r="G231" i="14"/>
  <c r="G226" i="14"/>
  <c r="L224" i="14"/>
  <c r="G223" i="14"/>
  <c r="L217" i="14"/>
  <c r="G216" i="14"/>
  <c r="G194" i="14"/>
  <c r="L192" i="14"/>
  <c r="G191" i="14"/>
  <c r="G185" i="14"/>
  <c r="L183" i="14"/>
  <c r="G181" i="14"/>
  <c r="L178" i="14"/>
  <c r="L174" i="14"/>
  <c r="L168" i="14"/>
  <c r="G167" i="14"/>
  <c r="L160" i="14"/>
  <c r="G159" i="14"/>
  <c r="L152" i="14"/>
  <c r="G151" i="14"/>
  <c r="L144" i="14"/>
  <c r="G143" i="14"/>
  <c r="G294" i="14"/>
  <c r="G224" i="14"/>
  <c r="L162" i="14"/>
  <c r="L134" i="14"/>
  <c r="G133" i="14"/>
  <c r="L126" i="14"/>
  <c r="G125" i="14"/>
  <c r="L118" i="14"/>
  <c r="G117" i="14"/>
  <c r="L106" i="14"/>
  <c r="G105" i="14"/>
  <c r="L98" i="14"/>
  <c r="G97" i="14"/>
  <c r="L90" i="14"/>
  <c r="G89" i="14"/>
  <c r="L82" i="14"/>
  <c r="G81" i="14"/>
  <c r="L232" i="14"/>
  <c r="L157" i="14"/>
  <c r="L131" i="14"/>
  <c r="G130" i="14"/>
  <c r="L123" i="14"/>
  <c r="G122" i="14"/>
  <c r="L115" i="14"/>
  <c r="G110" i="14"/>
  <c r="L103" i="14"/>
  <c r="G102" i="14"/>
  <c r="L95" i="14"/>
  <c r="G94" i="14"/>
  <c r="L87" i="14"/>
  <c r="G86" i="14"/>
  <c r="G78" i="14"/>
  <c r="G199" i="14"/>
  <c r="G176" i="14"/>
  <c r="G169" i="14"/>
  <c r="G164" i="14"/>
  <c r="G153" i="14"/>
  <c r="L136" i="14"/>
  <c r="L128" i="14"/>
  <c r="G127" i="14"/>
  <c r="L120" i="14"/>
  <c r="G119" i="14"/>
  <c r="L108" i="14"/>
  <c r="G107" i="14"/>
  <c r="L100" i="14"/>
  <c r="L92" i="14"/>
  <c r="G91" i="14"/>
  <c r="L84" i="14"/>
  <c r="G83" i="14"/>
  <c r="G202" i="14"/>
  <c r="L193" i="14"/>
  <c r="L137" i="14"/>
  <c r="L133" i="14"/>
  <c r="G132" i="14"/>
  <c r="L125" i="14"/>
  <c r="G124" i="14"/>
  <c r="L117" i="14"/>
  <c r="G116" i="14"/>
  <c r="L105" i="14"/>
  <c r="G104" i="14"/>
  <c r="L97" i="14"/>
  <c r="G96" i="14"/>
  <c r="L89" i="14"/>
  <c r="G88" i="14"/>
  <c r="L81" i="14"/>
  <c r="G80" i="14"/>
  <c r="L170" i="14"/>
  <c r="L154" i="14"/>
  <c r="G148" i="14"/>
  <c r="L146" i="14"/>
  <c r="G145" i="14"/>
  <c r="L130" i="14"/>
  <c r="G129" i="14"/>
  <c r="L122" i="14"/>
  <c r="G121" i="14"/>
  <c r="L110" i="14"/>
  <c r="G109" i="14"/>
  <c r="L102" i="14"/>
  <c r="G101" i="14"/>
  <c r="L94" i="14"/>
  <c r="G93" i="14"/>
  <c r="L225" i="14"/>
  <c r="L182" i="14"/>
  <c r="L177" i="14"/>
  <c r="L165" i="14"/>
  <c r="L149" i="14"/>
  <c r="G134" i="14"/>
  <c r="L127" i="14"/>
  <c r="G126" i="14"/>
  <c r="L119" i="14"/>
  <c r="G118" i="14"/>
  <c r="L107" i="14"/>
  <c r="G106" i="14"/>
  <c r="G98" i="14"/>
  <c r="L91" i="14"/>
  <c r="G90" i="14"/>
  <c r="L83" i="14"/>
  <c r="G82" i="14"/>
  <c r="L195" i="14"/>
  <c r="G172" i="14"/>
  <c r="L147" i="14"/>
  <c r="G136" i="14"/>
  <c r="L129" i="14"/>
  <c r="G123" i="14"/>
  <c r="L116" i="14"/>
  <c r="G95" i="14"/>
  <c r="L71" i="14"/>
  <c r="G70" i="14"/>
  <c r="L63" i="14"/>
  <c r="G62" i="14"/>
  <c r="L55" i="14"/>
  <c r="L47" i="14"/>
  <c r="G46" i="14"/>
  <c r="L39" i="14"/>
  <c r="G38" i="14"/>
  <c r="L31" i="14"/>
  <c r="L16" i="14"/>
  <c r="L12" i="14"/>
  <c r="G131" i="14"/>
  <c r="G108" i="14"/>
  <c r="G103" i="14"/>
  <c r="G87" i="14"/>
  <c r="L78" i="14"/>
  <c r="L68" i="14"/>
  <c r="G67" i="14"/>
  <c r="L60" i="14"/>
  <c r="G59" i="14"/>
  <c r="L52" i="14"/>
  <c r="G51" i="14"/>
  <c r="G43" i="14"/>
  <c r="L36" i="14"/>
  <c r="G35" i="14"/>
  <c r="G25" i="14"/>
  <c r="G21" i="14"/>
  <c r="G14" i="14"/>
  <c r="L200" i="14"/>
  <c r="G156" i="14"/>
  <c r="L124" i="14"/>
  <c r="L96" i="14"/>
  <c r="L88" i="14"/>
  <c r="L85" i="14"/>
  <c r="G84" i="14"/>
  <c r="L80" i="14"/>
  <c r="G77" i="14"/>
  <c r="L74" i="14"/>
  <c r="G73" i="14"/>
  <c r="L65" i="14"/>
  <c r="G64" i="14"/>
  <c r="L57" i="14"/>
  <c r="G56" i="14"/>
  <c r="L49" i="14"/>
  <c r="G48" i="14"/>
  <c r="L41" i="14"/>
  <c r="L33" i="14"/>
  <c r="G32" i="14"/>
  <c r="L26" i="14"/>
  <c r="L22" i="14"/>
  <c r="L15" i="14"/>
  <c r="G161" i="14"/>
  <c r="G146" i="14"/>
  <c r="L109" i="14"/>
  <c r="L86" i="14"/>
  <c r="L70" i="14"/>
  <c r="G69" i="14"/>
  <c r="L62" i="14"/>
  <c r="G53" i="14"/>
  <c r="L46" i="14"/>
  <c r="G45" i="14"/>
  <c r="L38" i="14"/>
  <c r="G37" i="14"/>
  <c r="G24" i="14"/>
  <c r="G17" i="14"/>
  <c r="G13" i="14"/>
  <c r="L132" i="14"/>
  <c r="G120" i="14"/>
  <c r="L104" i="14"/>
  <c r="G92" i="14"/>
  <c r="G85" i="14"/>
  <c r="G75" i="14"/>
  <c r="L67" i="14"/>
  <c r="L59" i="14"/>
  <c r="G58" i="14"/>
  <c r="L51" i="14"/>
  <c r="G50" i="14"/>
  <c r="L43" i="14"/>
  <c r="G42" i="14"/>
  <c r="L35" i="14"/>
  <c r="G34" i="14"/>
  <c r="L25" i="14"/>
  <c r="L21" i="14"/>
  <c r="G192" i="14"/>
  <c r="G115" i="14"/>
  <c r="G100" i="14"/>
  <c r="L73" i="14"/>
  <c r="G71" i="14"/>
  <c r="L64" i="14"/>
  <c r="G63" i="14"/>
  <c r="L56" i="14"/>
  <c r="G55" i="14"/>
  <c r="L48" i="14"/>
  <c r="G47" i="14"/>
  <c r="G39" i="14"/>
  <c r="L32" i="14"/>
  <c r="G31" i="14"/>
  <c r="G23" i="14"/>
  <c r="G16" i="14"/>
  <c r="G12" i="14"/>
  <c r="G128" i="14"/>
  <c r="L121" i="14"/>
  <c r="L93" i="14"/>
  <c r="L69" i="14"/>
  <c r="G33" i="14"/>
  <c r="G15" i="14"/>
  <c r="L34" i="14"/>
  <c r="F39" i="14"/>
  <c r="G41" i="14"/>
  <c r="L50" i="14"/>
  <c r="F323" i="14"/>
  <c r="F271" i="14"/>
  <c r="F263" i="14"/>
  <c r="F255" i="14"/>
  <c r="F247" i="14"/>
  <c r="F239" i="14"/>
  <c r="F320" i="14"/>
  <c r="F276" i="14"/>
  <c r="F268" i="14"/>
  <c r="F260" i="14"/>
  <c r="F252" i="14"/>
  <c r="F244" i="14"/>
  <c r="F236" i="14"/>
  <c r="F325" i="14"/>
  <c r="F273" i="14"/>
  <c r="F265" i="14"/>
  <c r="F257" i="14"/>
  <c r="F249" i="14"/>
  <c r="F241" i="14"/>
  <c r="F322" i="14"/>
  <c r="F270" i="14"/>
  <c r="K263" i="14"/>
  <c r="F262" i="14"/>
  <c r="F254" i="14"/>
  <c r="F246" i="14"/>
  <c r="F238" i="14"/>
  <c r="F321" i="14"/>
  <c r="F269" i="14"/>
  <c r="F261" i="14"/>
  <c r="F253" i="14"/>
  <c r="F245" i="14"/>
  <c r="F237" i="14"/>
  <c r="F274" i="14"/>
  <c r="F266" i="14"/>
  <c r="F258" i="14"/>
  <c r="F231" i="14"/>
  <c r="F223" i="14"/>
  <c r="F215" i="14"/>
  <c r="F207" i="14"/>
  <c r="F199" i="14"/>
  <c r="F191" i="14"/>
  <c r="F183" i="14"/>
  <c r="F175" i="14"/>
  <c r="F242" i="14"/>
  <c r="F235" i="14"/>
  <c r="F234" i="14"/>
  <c r="F228" i="14"/>
  <c r="F220" i="14"/>
  <c r="F212" i="14"/>
  <c r="F204" i="14"/>
  <c r="F196" i="14"/>
  <c r="F188" i="14"/>
  <c r="F264" i="14"/>
  <c r="F240" i="14"/>
  <c r="F233" i="14"/>
  <c r="F225" i="14"/>
  <c r="F217" i="14"/>
  <c r="F209" i="14"/>
  <c r="F201" i="14"/>
  <c r="F193" i="14"/>
  <c r="F275" i="14"/>
  <c r="F250" i="14"/>
  <c r="F243" i="14"/>
  <c r="F230" i="14"/>
  <c r="F222" i="14"/>
  <c r="F214" i="14"/>
  <c r="F206" i="14"/>
  <c r="F198" i="14"/>
  <c r="F190" i="14"/>
  <c r="F256" i="14"/>
  <c r="F248" i="14"/>
  <c r="F227" i="14"/>
  <c r="K260" i="14"/>
  <c r="F251" i="14"/>
  <c r="F232" i="14"/>
  <c r="F224" i="14"/>
  <c r="F216" i="14"/>
  <c r="F208" i="14"/>
  <c r="F200" i="14"/>
  <c r="F192" i="14"/>
  <c r="F202" i="14"/>
  <c r="F197" i="14"/>
  <c r="F195" i="14"/>
  <c r="F169" i="14"/>
  <c r="F161" i="14"/>
  <c r="F153" i="14"/>
  <c r="F145" i="14"/>
  <c r="F184" i="14"/>
  <c r="F179" i="14"/>
  <c r="F166" i="14"/>
  <c r="F158" i="14"/>
  <c r="F150" i="14"/>
  <c r="F138" i="14"/>
  <c r="F324" i="14"/>
  <c r="F210" i="14"/>
  <c r="F205" i="14"/>
  <c r="F203" i="14"/>
  <c r="F174" i="14"/>
  <c r="F171" i="14"/>
  <c r="F163" i="14"/>
  <c r="F155" i="14"/>
  <c r="F147" i="14"/>
  <c r="F229" i="14"/>
  <c r="F178" i="14"/>
  <c r="F168" i="14"/>
  <c r="F160" i="14"/>
  <c r="F152" i="14"/>
  <c r="F144" i="14"/>
  <c r="F218" i="14"/>
  <c r="F213" i="14"/>
  <c r="F211" i="14"/>
  <c r="F182" i="14"/>
  <c r="F177" i="14"/>
  <c r="F173" i="14"/>
  <c r="F165" i="14"/>
  <c r="F157" i="14"/>
  <c r="F267" i="14"/>
  <c r="F186" i="14"/>
  <c r="F170" i="14"/>
  <c r="F162" i="14"/>
  <c r="F154" i="14"/>
  <c r="F146" i="14"/>
  <c r="F167" i="14"/>
  <c r="F151" i="14"/>
  <c r="F136" i="14"/>
  <c r="F128" i="14"/>
  <c r="F120" i="14"/>
  <c r="F108" i="14"/>
  <c r="F100" i="14"/>
  <c r="F92" i="14"/>
  <c r="F84" i="14"/>
  <c r="F272" i="14"/>
  <c r="F219" i="14"/>
  <c r="F133" i="14"/>
  <c r="F125" i="14"/>
  <c r="F117" i="14"/>
  <c r="F105" i="14"/>
  <c r="F97" i="14"/>
  <c r="F89" i="14"/>
  <c r="F81" i="14"/>
  <c r="F194" i="14"/>
  <c r="F181" i="14"/>
  <c r="F130" i="14"/>
  <c r="F122" i="14"/>
  <c r="F110" i="14"/>
  <c r="F102" i="14"/>
  <c r="F94" i="14"/>
  <c r="F86" i="14"/>
  <c r="F78" i="14"/>
  <c r="F189" i="14"/>
  <c r="F176" i="14"/>
  <c r="F164" i="14"/>
  <c r="F127" i="14"/>
  <c r="F119" i="14"/>
  <c r="F107" i="14"/>
  <c r="F91" i="14"/>
  <c r="F83" i="14"/>
  <c r="F226" i="14"/>
  <c r="F159" i="14"/>
  <c r="F132" i="14"/>
  <c r="F124" i="14"/>
  <c r="F116" i="14"/>
  <c r="F104" i="14"/>
  <c r="F96" i="14"/>
  <c r="F221" i="14"/>
  <c r="F185" i="14"/>
  <c r="F148" i="14"/>
  <c r="F143" i="14"/>
  <c r="F129" i="14"/>
  <c r="F121" i="14"/>
  <c r="F109" i="14"/>
  <c r="F101" i="14"/>
  <c r="F93" i="14"/>
  <c r="F85" i="14"/>
  <c r="F77" i="14"/>
  <c r="F74" i="14"/>
  <c r="F65" i="14"/>
  <c r="F57" i="14"/>
  <c r="F49" i="14"/>
  <c r="F41" i="14"/>
  <c r="F33" i="14"/>
  <c r="F22" i="14"/>
  <c r="F15" i="14"/>
  <c r="F172" i="14"/>
  <c r="F123" i="14"/>
  <c r="F95" i="14"/>
  <c r="F70" i="14"/>
  <c r="F62" i="14"/>
  <c r="F46" i="14"/>
  <c r="F38" i="14"/>
  <c r="K23" i="14"/>
  <c r="F131" i="14"/>
  <c r="F103" i="14"/>
  <c r="F87" i="14"/>
  <c r="F67" i="14"/>
  <c r="F59" i="14"/>
  <c r="F51" i="14"/>
  <c r="F43" i="14"/>
  <c r="F35" i="14"/>
  <c r="F25" i="14"/>
  <c r="F14" i="14"/>
  <c r="F187" i="14"/>
  <c r="F156" i="14"/>
  <c r="F118" i="14"/>
  <c r="F82" i="14"/>
  <c r="F73" i="14"/>
  <c r="F64" i="14"/>
  <c r="F56" i="14"/>
  <c r="F48" i="14"/>
  <c r="F32" i="14"/>
  <c r="K15" i="14"/>
  <c r="F137" i="14"/>
  <c r="F126" i="14"/>
  <c r="F90" i="14"/>
  <c r="F88" i="14"/>
  <c r="F80" i="14"/>
  <c r="F69" i="14"/>
  <c r="F53" i="14"/>
  <c r="F45" i="14"/>
  <c r="F37" i="14"/>
  <c r="F24" i="14"/>
  <c r="F13" i="14"/>
  <c r="F180" i="14"/>
  <c r="F98" i="14"/>
  <c r="F75" i="14"/>
  <c r="F58" i="14"/>
  <c r="F50" i="14"/>
  <c r="F42" i="14"/>
  <c r="F34" i="14"/>
  <c r="K14" i="14"/>
  <c r="F149" i="14"/>
  <c r="F115" i="14"/>
  <c r="F71" i="14"/>
  <c r="F55" i="14"/>
  <c r="G68" i="14"/>
  <c r="L75" i="14"/>
  <c r="E3" i="14"/>
  <c r="M13" i="14"/>
  <c r="M17" i="14"/>
  <c r="M24" i="14"/>
  <c r="H36" i="14"/>
  <c r="T36" i="14" s="1"/>
  <c r="H298" i="14"/>
  <c r="T298" i="14" s="1"/>
  <c r="M291" i="14"/>
  <c r="M285" i="14"/>
  <c r="H273" i="14"/>
  <c r="T273" i="14" s="1"/>
  <c r="H275" i="14"/>
  <c r="T275" i="14" s="1"/>
  <c r="M268" i="14"/>
  <c r="H267" i="14"/>
  <c r="T267" i="14" s="1"/>
  <c r="M260" i="14"/>
  <c r="M264" i="14"/>
  <c r="H263" i="14"/>
  <c r="T263" i="14" s="1"/>
  <c r="M302" i="14"/>
  <c r="H301" i="14"/>
  <c r="T301" i="14" s="1"/>
  <c r="H290" i="14"/>
  <c r="M280" i="14"/>
  <c r="M215" i="14"/>
  <c r="H214" i="14"/>
  <c r="T214" i="14" s="1"/>
  <c r="M207" i="14"/>
  <c r="H206" i="14"/>
  <c r="T206" i="14" s="1"/>
  <c r="M199" i="14"/>
  <c r="H280" i="14"/>
  <c r="T280" i="14" s="1"/>
  <c r="M193" i="14"/>
  <c r="H192" i="14"/>
  <c r="T192" i="14" s="1"/>
  <c r="H315" i="14"/>
  <c r="T315" i="14" s="1"/>
  <c r="H302" i="14"/>
  <c r="T302" i="14" s="1"/>
  <c r="H291" i="14"/>
  <c r="T291" i="14" s="1"/>
  <c r="M213" i="14"/>
  <c r="H205" i="14"/>
  <c r="T205" i="14" s="1"/>
  <c r="H183" i="14"/>
  <c r="T183" i="14" s="1"/>
  <c r="H144" i="14"/>
  <c r="T144" i="14" s="1"/>
  <c r="M316" i="14"/>
  <c r="H162" i="14"/>
  <c r="T162" i="14" s="1"/>
  <c r="M192" i="14"/>
  <c r="H191" i="14"/>
  <c r="T191" i="14" s="1"/>
  <c r="M183" i="14"/>
  <c r="M168" i="14"/>
  <c r="H228" i="14"/>
  <c r="T228" i="14" s="1"/>
  <c r="H199" i="14"/>
  <c r="T199" i="14" s="1"/>
  <c r="M173" i="14"/>
  <c r="H169" i="14"/>
  <c r="T169" i="14" s="1"/>
  <c r="H153" i="14"/>
  <c r="T153" i="14" s="1"/>
  <c r="H129" i="14"/>
  <c r="T129" i="14" s="1"/>
  <c r="M122" i="14"/>
  <c r="H121" i="14"/>
  <c r="T121" i="14" s="1"/>
  <c r="M110" i="14"/>
  <c r="H109" i="14"/>
  <c r="T109" i="14" s="1"/>
  <c r="M104" i="14"/>
  <c r="H103" i="14"/>
  <c r="T103" i="14" s="1"/>
  <c r="M96" i="14"/>
  <c r="H95" i="14"/>
  <c r="M46" i="14"/>
  <c r="H21" i="14"/>
  <c r="H25" i="14"/>
  <c r="M82" i="14"/>
  <c r="H89" i="14"/>
  <c r="T89" i="14" s="1"/>
  <c r="H108" i="14"/>
  <c r="T108" i="14" s="1"/>
  <c r="AG8" i="5"/>
  <c r="J23" i="5"/>
  <c r="I23" i="5"/>
  <c r="N26" i="5"/>
  <c r="K26" i="5"/>
  <c r="I26" i="5"/>
  <c r="F26" i="5"/>
  <c r="O25" i="5"/>
  <c r="N25" i="5"/>
  <c r="K25" i="5"/>
  <c r="J25" i="5"/>
  <c r="I25" i="5"/>
  <c r="O23" i="5"/>
  <c r="N23" i="5"/>
  <c r="K22" i="5"/>
  <c r="K21" i="5"/>
  <c r="F21" i="5"/>
  <c r="K264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70" i="5"/>
  <c r="K69" i="5"/>
  <c r="T68" i="5"/>
  <c r="K68" i="5"/>
  <c r="T67" i="5"/>
  <c r="K67" i="5"/>
  <c r="T66" i="5"/>
  <c r="O66" i="5"/>
  <c r="N66" i="5"/>
  <c r="M66" i="5"/>
  <c r="L66" i="5"/>
  <c r="K66" i="5"/>
  <c r="J66" i="5"/>
  <c r="I66" i="5"/>
  <c r="H66" i="5"/>
  <c r="G66" i="5"/>
  <c r="F66" i="5"/>
  <c r="K257" i="5"/>
  <c r="K176" i="5"/>
  <c r="K196" i="5"/>
  <c r="K197" i="5"/>
  <c r="K198" i="5"/>
  <c r="K199" i="5"/>
  <c r="K200" i="5"/>
  <c r="K201" i="5"/>
  <c r="K202" i="5"/>
  <c r="F281" i="5"/>
  <c r="K281" i="5"/>
  <c r="F306" i="5"/>
  <c r="I306" i="5"/>
  <c r="J306" i="5"/>
  <c r="K306" i="5"/>
  <c r="N306" i="5"/>
  <c r="O306" i="5"/>
  <c r="H133" i="14" l="1"/>
  <c r="T133" i="14" s="1"/>
  <c r="M37" i="14"/>
  <c r="M64" i="14"/>
  <c r="M98" i="14"/>
  <c r="H249" i="14"/>
  <c r="T249" i="14" s="1"/>
  <c r="M247" i="14"/>
  <c r="H251" i="14"/>
  <c r="T251" i="14" s="1"/>
  <c r="H256" i="14"/>
  <c r="T256" i="14" s="1"/>
  <c r="M256" i="14"/>
  <c r="H260" i="14"/>
  <c r="T260" i="14" s="1"/>
  <c r="H201" i="14"/>
  <c r="T201" i="14" s="1"/>
  <c r="M191" i="14"/>
  <c r="M188" i="14"/>
  <c r="M281" i="14"/>
  <c r="H212" i="14"/>
  <c r="T212" i="14" s="1"/>
  <c r="M180" i="14"/>
  <c r="M175" i="14"/>
  <c r="M155" i="14"/>
  <c r="M300" i="14"/>
  <c r="H122" i="14"/>
  <c r="T122" i="14" s="1"/>
  <c r="H127" i="14"/>
  <c r="T127" i="14" s="1"/>
  <c r="M105" i="14"/>
  <c r="H101" i="14"/>
  <c r="T101" i="14" s="1"/>
  <c r="H106" i="14"/>
  <c r="T106" i="14" s="1"/>
  <c r="M88" i="14"/>
  <c r="M22" i="14"/>
  <c r="H35" i="14"/>
  <c r="T35" i="14" s="1"/>
  <c r="H178" i="14"/>
  <c r="T178" i="14" s="1"/>
  <c r="M115" i="14"/>
  <c r="H104" i="14"/>
  <c r="T104" i="14" s="1"/>
  <c r="M94" i="14"/>
  <c r="H87" i="14"/>
  <c r="T87" i="14" s="1"/>
  <c r="M26" i="14"/>
  <c r="M36" i="14"/>
  <c r="H52" i="14"/>
  <c r="T52" i="14" s="1"/>
  <c r="M73" i="14"/>
  <c r="H120" i="14"/>
  <c r="T120" i="14" s="1"/>
  <c r="H241" i="14"/>
  <c r="T241" i="14" s="1"/>
  <c r="M239" i="14"/>
  <c r="H243" i="14"/>
  <c r="T243" i="14" s="1"/>
  <c r="H248" i="14"/>
  <c r="T248" i="14" s="1"/>
  <c r="M248" i="14"/>
  <c r="H252" i="14"/>
  <c r="T252" i="14" s="1"/>
  <c r="H193" i="14"/>
  <c r="T193" i="14" s="1"/>
  <c r="M322" i="14"/>
  <c r="H229" i="14"/>
  <c r="T229" i="14" s="1"/>
  <c r="H207" i="14"/>
  <c r="T207" i="14" s="1"/>
  <c r="M169" i="14"/>
  <c r="M166" i="14"/>
  <c r="M147" i="14"/>
  <c r="H221" i="14"/>
  <c r="T221" i="14" s="1"/>
  <c r="H110" i="14"/>
  <c r="T110" i="14" s="1"/>
  <c r="H119" i="14"/>
  <c r="M97" i="14"/>
  <c r="H93" i="14"/>
  <c r="T93" i="14" s="1"/>
  <c r="M91" i="14"/>
  <c r="M80" i="14"/>
  <c r="H43" i="14"/>
  <c r="T43" i="14" s="1"/>
  <c r="H102" i="14"/>
  <c r="T102" i="14" s="1"/>
  <c r="M89" i="14"/>
  <c r="H85" i="14"/>
  <c r="M200" i="14"/>
  <c r="M41" i="14"/>
  <c r="M52" i="14"/>
  <c r="H306" i="14"/>
  <c r="T306" i="14" s="1"/>
  <c r="H174" i="14"/>
  <c r="T174" i="14" s="1"/>
  <c r="M214" i="14"/>
  <c r="M87" i="14"/>
  <c r="H80" i="14"/>
  <c r="H161" i="14"/>
  <c r="T161" i="14" s="1"/>
  <c r="H56" i="14"/>
  <c r="T56" i="14" s="1"/>
  <c r="H67" i="14"/>
  <c r="H34" i="14"/>
  <c r="T34" i="14" s="1"/>
  <c r="M304" i="14"/>
  <c r="H313" i="14"/>
  <c r="T313" i="14" s="1"/>
  <c r="M310" i="14"/>
  <c r="M275" i="14"/>
  <c r="H224" i="14"/>
  <c r="T224" i="14" s="1"/>
  <c r="M172" i="14"/>
  <c r="H164" i="14"/>
  <c r="T164" i="14" s="1"/>
  <c r="M235" i="14"/>
  <c r="M57" i="14"/>
  <c r="M35" i="14"/>
  <c r="H300" i="14"/>
  <c r="T300" i="14" s="1"/>
  <c r="H312" i="14"/>
  <c r="T312" i="14" s="1"/>
  <c r="H242" i="14"/>
  <c r="T242" i="14" s="1"/>
  <c r="M45" i="14"/>
  <c r="H71" i="14"/>
  <c r="T71" i="14" s="1"/>
  <c r="H105" i="14"/>
  <c r="T105" i="14" s="1"/>
  <c r="M242" i="14"/>
  <c r="H246" i="14"/>
  <c r="T246" i="14" s="1"/>
  <c r="M244" i="14"/>
  <c r="M249" i="14"/>
  <c r="H255" i="14"/>
  <c r="T255" i="14" s="1"/>
  <c r="M253" i="14"/>
  <c r="M194" i="14"/>
  <c r="H190" i="14"/>
  <c r="T190" i="14" s="1"/>
  <c r="H187" i="14"/>
  <c r="T187" i="14" s="1"/>
  <c r="M230" i="14"/>
  <c r="M208" i="14"/>
  <c r="H173" i="14"/>
  <c r="T173" i="14" s="1"/>
  <c r="H154" i="14"/>
  <c r="T154" i="14" s="1"/>
  <c r="M286" i="14"/>
  <c r="M120" i="14"/>
  <c r="H98" i="14"/>
  <c r="H32" i="14"/>
  <c r="T32" i="14" s="1"/>
  <c r="M53" i="14"/>
  <c r="H100" i="14"/>
  <c r="T100" i="14" s="1"/>
  <c r="H325" i="14"/>
  <c r="T325" i="14" s="1"/>
  <c r="M234" i="14"/>
  <c r="H238" i="14"/>
  <c r="T238" i="14" s="1"/>
  <c r="M236" i="14"/>
  <c r="M241" i="14"/>
  <c r="H247" i="14"/>
  <c r="T247" i="14" s="1"/>
  <c r="H321" i="14"/>
  <c r="T321" i="14" s="1"/>
  <c r="M186" i="14"/>
  <c r="H310" i="14"/>
  <c r="T310" i="14" s="1"/>
  <c r="H266" i="14"/>
  <c r="T266" i="14" s="1"/>
  <c r="M308" i="14"/>
  <c r="M198" i="14"/>
  <c r="H168" i="14"/>
  <c r="T168" i="14" s="1"/>
  <c r="H165" i="14"/>
  <c r="T165" i="14" s="1"/>
  <c r="H146" i="14"/>
  <c r="T146" i="14" s="1"/>
  <c r="M197" i="14"/>
  <c r="M103" i="14"/>
  <c r="M108" i="14"/>
  <c r="H96" i="14"/>
  <c r="T96" i="14" s="1"/>
  <c r="M86" i="14"/>
  <c r="H90" i="14"/>
  <c r="H13" i="14"/>
  <c r="M33" i="14"/>
  <c r="H51" i="14"/>
  <c r="T51" i="14" s="1"/>
  <c r="H60" i="14"/>
  <c r="T60" i="14" s="1"/>
  <c r="H175" i="14"/>
  <c r="T175" i="14" s="1"/>
  <c r="M315" i="14"/>
  <c r="M323" i="14"/>
  <c r="M320" i="14"/>
  <c r="H235" i="14"/>
  <c r="T235" i="14" s="1"/>
  <c r="H240" i="14"/>
  <c r="T240" i="14" s="1"/>
  <c r="M240" i="14"/>
  <c r="H307" i="14"/>
  <c r="T307" i="14" s="1"/>
  <c r="H185" i="14"/>
  <c r="T185" i="14" s="1"/>
  <c r="H299" i="14"/>
  <c r="T299" i="14" s="1"/>
  <c r="H261" i="14"/>
  <c r="T261" i="14" s="1"/>
  <c r="H285" i="14"/>
  <c r="T285" i="14" s="1"/>
  <c r="M185" i="14"/>
  <c r="M161" i="14"/>
  <c r="M158" i="14"/>
  <c r="H231" i="14"/>
  <c r="T231" i="14" s="1"/>
  <c r="H189" i="14"/>
  <c r="T189" i="14" s="1"/>
  <c r="H107" i="14"/>
  <c r="T107" i="14" s="1"/>
  <c r="H17" i="14"/>
  <c r="M292" i="14"/>
  <c r="M311" i="14"/>
  <c r="H86" i="14"/>
  <c r="T86" i="14" s="1"/>
  <c r="H68" i="14"/>
  <c r="M14" i="14"/>
  <c r="H314" i="14"/>
  <c r="T314" i="14" s="1"/>
  <c r="H322" i="14"/>
  <c r="T322" i="14" s="1"/>
  <c r="H316" i="14"/>
  <c r="T316" i="14" s="1"/>
  <c r="M325" i="14"/>
  <c r="M233" i="14"/>
  <c r="H239" i="14"/>
  <c r="T239" i="14" s="1"/>
  <c r="M303" i="14"/>
  <c r="M178" i="14"/>
  <c r="M295" i="14"/>
  <c r="M251" i="14"/>
  <c r="M267" i="14"/>
  <c r="M181" i="14"/>
  <c r="H160" i="14"/>
  <c r="T160" i="14" s="1"/>
  <c r="H157" i="14"/>
  <c r="T157" i="14" s="1"/>
  <c r="M224" i="14"/>
  <c r="H176" i="14"/>
  <c r="T176" i="14" s="1"/>
  <c r="M95" i="14"/>
  <c r="M100" i="14"/>
  <c r="H88" i="14"/>
  <c r="T88" i="14" s="1"/>
  <c r="M78" i="14"/>
  <c r="H197" i="14"/>
  <c r="T197" i="14" s="1"/>
  <c r="H24" i="14"/>
  <c r="H48" i="14"/>
  <c r="T48" i="14" s="1"/>
  <c r="H59" i="14"/>
  <c r="T59" i="14" s="1"/>
  <c r="M138" i="14"/>
  <c r="M205" i="14"/>
  <c r="H45" i="14"/>
  <c r="T45" i="14" s="1"/>
  <c r="M68" i="14"/>
  <c r="M69" i="14"/>
  <c r="M21" i="14"/>
  <c r="M307" i="14"/>
  <c r="M312" i="14"/>
  <c r="M309" i="14"/>
  <c r="H324" i="14"/>
  <c r="T324" i="14" s="1"/>
  <c r="M324" i="14"/>
  <c r="M321" i="14"/>
  <c r="H269" i="14"/>
  <c r="T269" i="14" s="1"/>
  <c r="H177" i="14"/>
  <c r="T177" i="14" s="1"/>
  <c r="M270" i="14"/>
  <c r="H232" i="14"/>
  <c r="T232" i="14" s="1"/>
  <c r="M262" i="14"/>
  <c r="M176" i="14"/>
  <c r="M153" i="14"/>
  <c r="M150" i="14"/>
  <c r="H223" i="14"/>
  <c r="T223" i="14" s="1"/>
  <c r="H172" i="14"/>
  <c r="T172" i="14" s="1"/>
  <c r="H94" i="14"/>
  <c r="T94" i="14" s="1"/>
  <c r="M92" i="14"/>
  <c r="M81" i="14"/>
  <c r="H77" i="14"/>
  <c r="T77" i="14" s="1"/>
  <c r="H180" i="14"/>
  <c r="T180" i="14" s="1"/>
  <c r="H37" i="14"/>
  <c r="T37" i="14" s="1"/>
  <c r="M49" i="14"/>
  <c r="M60" i="14"/>
  <c r="M93" i="14"/>
  <c r="M25" i="14"/>
  <c r="H311" i="14"/>
  <c r="T311" i="14" s="1"/>
  <c r="H308" i="14"/>
  <c r="T308" i="14" s="1"/>
  <c r="M314" i="14"/>
  <c r="H323" i="14"/>
  <c r="T323" i="14" s="1"/>
  <c r="H320" i="14"/>
  <c r="T320" i="14" s="1"/>
  <c r="M254" i="14"/>
  <c r="H250" i="14"/>
  <c r="T250" i="14" s="1"/>
  <c r="M225" i="14"/>
  <c r="H258" i="14"/>
  <c r="T258" i="14" s="1"/>
  <c r="H152" i="14"/>
  <c r="T152" i="14" s="1"/>
  <c r="H149" i="14"/>
  <c r="T149" i="14" s="1"/>
  <c r="M165" i="14"/>
  <c r="H91" i="14"/>
  <c r="M38" i="14"/>
  <c r="M106" i="14"/>
  <c r="M299" i="14"/>
  <c r="M301" i="14"/>
  <c r="M313" i="14"/>
  <c r="M245" i="14"/>
  <c r="M246" i="14"/>
  <c r="H236" i="14"/>
  <c r="T236" i="14" s="1"/>
  <c r="M145" i="14"/>
  <c r="H196" i="14"/>
  <c r="T196" i="14" s="1"/>
  <c r="M84" i="14"/>
  <c r="M144" i="14"/>
  <c r="M121" i="14"/>
  <c r="H303" i="14"/>
  <c r="T303" i="14" s="1"/>
  <c r="M306" i="14"/>
  <c r="H309" i="14"/>
  <c r="T309" i="14" s="1"/>
  <c r="M243" i="14"/>
  <c r="H204" i="14"/>
  <c r="T204" i="14" s="1"/>
  <c r="H50" i="14"/>
  <c r="H284" i="14"/>
  <c r="T284" i="14" s="1"/>
  <c r="M282" i="14"/>
  <c r="M290" i="14"/>
  <c r="H297" i="14"/>
  <c r="T297" i="14" s="1"/>
  <c r="M297" i="14"/>
  <c r="M294" i="14"/>
  <c r="H233" i="14"/>
  <c r="T233" i="14" s="1"/>
  <c r="M223" i="14"/>
  <c r="M220" i="14"/>
  <c r="H208" i="14"/>
  <c r="T208" i="14" s="1"/>
  <c r="H218" i="14"/>
  <c r="T218" i="14" s="1"/>
  <c r="M156" i="14"/>
  <c r="H234" i="14"/>
  <c r="T234" i="14" s="1"/>
  <c r="H213" i="14"/>
  <c r="T213" i="14" s="1"/>
  <c r="H181" i="14"/>
  <c r="T181" i="14" s="1"/>
  <c r="H148" i="14"/>
  <c r="T148" i="14" s="1"/>
  <c r="H184" i="14"/>
  <c r="T184" i="14" s="1"/>
  <c r="M159" i="14"/>
  <c r="H145" i="14"/>
  <c r="T145" i="14" s="1"/>
  <c r="H150" i="14"/>
  <c r="T150" i="14" s="1"/>
  <c r="M124" i="14"/>
  <c r="H69" i="14"/>
  <c r="T69" i="14" s="1"/>
  <c r="M74" i="14"/>
  <c r="H125" i="14"/>
  <c r="T125" i="14" s="1"/>
  <c r="H294" i="14"/>
  <c r="T294" i="14" s="1"/>
  <c r="M51" i="14"/>
  <c r="M274" i="14"/>
  <c r="H281" i="14"/>
  <c r="T281" i="14" s="1"/>
  <c r="H286" i="14"/>
  <c r="T286" i="14" s="1"/>
  <c r="M284" i="14"/>
  <c r="H296" i="14"/>
  <c r="T296" i="14" s="1"/>
  <c r="H293" i="14"/>
  <c r="T293" i="14" s="1"/>
  <c r="M226" i="14"/>
  <c r="H222" i="14"/>
  <c r="T222" i="14" s="1"/>
  <c r="H219" i="14"/>
  <c r="T219" i="14" s="1"/>
  <c r="M201" i="14"/>
  <c r="M211" i="14"/>
  <c r="H155" i="14"/>
  <c r="T155" i="14" s="1"/>
  <c r="H220" i="14"/>
  <c r="T220" i="14" s="1"/>
  <c r="M189" i="14"/>
  <c r="M174" i="14"/>
  <c r="M137" i="14"/>
  <c r="H179" i="14"/>
  <c r="T179" i="14" s="1"/>
  <c r="M143" i="14"/>
  <c r="M130" i="14"/>
  <c r="H143" i="14"/>
  <c r="T143" i="14" s="1"/>
  <c r="H123" i="14"/>
  <c r="M70" i="14"/>
  <c r="H84" i="14"/>
  <c r="M162" i="14"/>
  <c r="H115" i="14"/>
  <c r="T115" i="14" s="1"/>
  <c r="M229" i="14"/>
  <c r="H292" i="14"/>
  <c r="T292" i="14" s="1"/>
  <c r="M116" i="14"/>
  <c r="M272" i="14"/>
  <c r="M171" i="14"/>
  <c r="H282" i="14"/>
  <c r="T282" i="14" s="1"/>
  <c r="M131" i="14"/>
  <c r="M255" i="14"/>
  <c r="H158" i="14"/>
  <c r="T158" i="14" s="1"/>
  <c r="M210" i="14"/>
  <c r="H58" i="14"/>
  <c r="T58" i="14" s="1"/>
  <c r="H63" i="14"/>
  <c r="T63" i="14" s="1"/>
  <c r="H14" i="14"/>
  <c r="M163" i="14"/>
  <c r="H271" i="14"/>
  <c r="T271" i="14" s="1"/>
  <c r="M123" i="14"/>
  <c r="M231" i="14"/>
  <c r="M170" i="14"/>
  <c r="M148" i="14"/>
  <c r="M67" i="14"/>
  <c r="H116" i="14"/>
  <c r="T116" i="14" s="1"/>
  <c r="M283" i="14"/>
  <c r="H73" i="14"/>
  <c r="T73" i="14" s="1"/>
  <c r="H186" i="14"/>
  <c r="T186" i="14" s="1"/>
  <c r="H304" i="14"/>
  <c r="T304" i="14" s="1"/>
  <c r="M65" i="14"/>
  <c r="M107" i="14"/>
  <c r="M190" i="14"/>
  <c r="H195" i="14"/>
  <c r="T195" i="14" s="1"/>
  <c r="M305" i="14"/>
  <c r="M43" i="14"/>
  <c r="H64" i="14"/>
  <c r="T64" i="14" s="1"/>
  <c r="H118" i="14"/>
  <c r="T118" i="14" s="1"/>
  <c r="M125" i="14"/>
  <c r="M232" i="14"/>
  <c r="H253" i="14"/>
  <c r="T253" i="14" s="1"/>
  <c r="M187" i="14"/>
  <c r="M196" i="14"/>
  <c r="M218" i="14"/>
  <c r="M257" i="14"/>
  <c r="H270" i="14"/>
  <c r="T270" i="14" s="1"/>
  <c r="H42" i="14"/>
  <c r="T42" i="14" s="1"/>
  <c r="M15" i="14"/>
  <c r="M119" i="14"/>
  <c r="H132" i="14"/>
  <c r="T132" i="14" s="1"/>
  <c r="M149" i="14"/>
  <c r="H274" i="14"/>
  <c r="T274" i="14" s="1"/>
  <c r="H194" i="14"/>
  <c r="T194" i="14" s="1"/>
  <c r="H203" i="14"/>
  <c r="T203" i="14" s="1"/>
  <c r="H225" i="14"/>
  <c r="T225" i="14" s="1"/>
  <c r="H264" i="14"/>
  <c r="T264" i="14" s="1"/>
  <c r="M271" i="14"/>
  <c r="M151" i="14"/>
  <c r="H126" i="14"/>
  <c r="T126" i="14" s="1"/>
  <c r="M133" i="14"/>
  <c r="H156" i="14"/>
  <c r="T156" i="14" s="1"/>
  <c r="H182" i="14"/>
  <c r="T182" i="14" s="1"/>
  <c r="M195" i="14"/>
  <c r="M204" i="14"/>
  <c r="H237" i="14"/>
  <c r="T237" i="14" s="1"/>
  <c r="M265" i="14"/>
  <c r="H295" i="14"/>
  <c r="T295" i="14" s="1"/>
  <c r="M56" i="14"/>
  <c r="M209" i="14"/>
  <c r="H209" i="14"/>
  <c r="T209" i="14" s="1"/>
  <c r="H124" i="14"/>
  <c r="H217" i="14"/>
  <c r="T217" i="14" s="1"/>
  <c r="M109" i="14"/>
  <c r="H134" i="14"/>
  <c r="T134" i="14" s="1"/>
  <c r="H244" i="14"/>
  <c r="T244" i="14" s="1"/>
  <c r="H151" i="14"/>
  <c r="T151" i="14" s="1"/>
  <c r="H188" i="14"/>
  <c r="T188" i="14" s="1"/>
  <c r="M203" i="14"/>
  <c r="M212" i="14"/>
  <c r="M261" i="14"/>
  <c r="M273" i="14"/>
  <c r="M250" i="14"/>
  <c r="M48" i="14"/>
  <c r="M217" i="14"/>
  <c r="M221" i="14"/>
  <c r="H272" i="14"/>
  <c r="T272" i="14" s="1"/>
  <c r="M90" i="14"/>
  <c r="H166" i="14"/>
  <c r="T166" i="14" s="1"/>
  <c r="H83" i="14"/>
  <c r="T83" i="14" s="1"/>
  <c r="M152" i="14"/>
  <c r="M206" i="14"/>
  <c r="H210" i="14"/>
  <c r="T210" i="14" s="1"/>
  <c r="H227" i="14"/>
  <c r="T227" i="14" s="1"/>
  <c r="H268" i="14"/>
  <c r="T268" i="14" s="1"/>
  <c r="H283" i="14"/>
  <c r="T283" i="14" s="1"/>
  <c r="H257" i="14"/>
  <c r="T257" i="14" s="1"/>
  <c r="H47" i="14"/>
  <c r="T47" i="14" s="1"/>
  <c r="M154" i="14"/>
  <c r="H171" i="14"/>
  <c r="T171" i="14" s="1"/>
  <c r="M228" i="14"/>
  <c r="M276" i="14"/>
  <c r="M146" i="14"/>
  <c r="H230" i="14"/>
  <c r="T230" i="14" s="1"/>
  <c r="M118" i="14"/>
  <c r="H147" i="14"/>
  <c r="T147" i="14" s="1"/>
  <c r="H75" i="14"/>
  <c r="H97" i="14"/>
  <c r="T97" i="14" s="1"/>
  <c r="H130" i="14"/>
  <c r="H216" i="14"/>
  <c r="T216" i="14" s="1"/>
  <c r="H254" i="14"/>
  <c r="T254" i="14" s="1"/>
  <c r="M132" i="14"/>
  <c r="H163" i="14"/>
  <c r="T163" i="14" s="1"/>
  <c r="M59" i="14"/>
  <c r="M117" i="14"/>
  <c r="M263" i="14"/>
  <c r="M127" i="14"/>
  <c r="M157" i="14"/>
  <c r="H202" i="14"/>
  <c r="T202" i="14" s="1"/>
  <c r="M238" i="14"/>
  <c r="H55" i="14"/>
  <c r="T55" i="14" s="1"/>
  <c r="M177" i="14"/>
  <c r="H159" i="14"/>
  <c r="T159" i="14" s="1"/>
  <c r="M219" i="14"/>
  <c r="M298" i="14"/>
  <c r="H39" i="14"/>
  <c r="M62" i="14"/>
  <c r="M182" i="14"/>
  <c r="M136" i="14"/>
  <c r="M160" i="14"/>
  <c r="M216" i="14"/>
  <c r="H226" i="14"/>
  <c r="T226" i="14" s="1"/>
  <c r="H245" i="14"/>
  <c r="T245" i="14" s="1"/>
  <c r="H276" i="14"/>
  <c r="T276" i="14" s="1"/>
  <c r="H305" i="14"/>
  <c r="T305" i="14" s="1"/>
  <c r="H265" i="14"/>
  <c r="T265" i="14" s="1"/>
  <c r="M134" i="14"/>
  <c r="H92" i="14"/>
  <c r="H78" i="14"/>
  <c r="H200" i="14"/>
  <c r="T200" i="14" s="1"/>
  <c r="M83" i="14"/>
  <c r="H170" i="14"/>
  <c r="T170" i="14" s="1"/>
  <c r="M293" i="14"/>
  <c r="H131" i="14"/>
  <c r="T131" i="14" s="1"/>
  <c r="M202" i="14"/>
  <c r="M85" i="14"/>
  <c r="M179" i="14"/>
  <c r="H137" i="14"/>
  <c r="T137" i="14" s="1"/>
  <c r="M164" i="14"/>
  <c r="H262" i="14"/>
  <c r="T262" i="14" s="1"/>
  <c r="M126" i="14"/>
  <c r="M222" i="14"/>
  <c r="M184" i="14"/>
  <c r="H211" i="14"/>
  <c r="T211" i="14" s="1"/>
  <c r="M296" i="14"/>
  <c r="H82" i="14"/>
  <c r="T82" i="14" s="1"/>
  <c r="M128" i="14"/>
  <c r="H215" i="14"/>
  <c r="T215" i="14" s="1"/>
  <c r="M269" i="14"/>
  <c r="M258" i="14"/>
  <c r="M167" i="14"/>
  <c r="H53" i="14"/>
  <c r="M102" i="14"/>
  <c r="H138" i="14"/>
  <c r="T138" i="14" s="1"/>
  <c r="H167" i="14"/>
  <c r="T167" i="14" s="1"/>
  <c r="M237" i="14"/>
  <c r="M227" i="14"/>
  <c r="H198" i="14"/>
  <c r="T198" i="14" s="1"/>
  <c r="M252" i="14"/>
  <c r="M266" i="14"/>
  <c r="H128" i="14"/>
  <c r="T128" i="14" s="1"/>
  <c r="H98" i="15"/>
  <c r="T98" i="15" s="1"/>
  <c r="M25" i="15"/>
  <c r="M48" i="15"/>
  <c r="M17" i="15"/>
  <c r="H70" i="15"/>
  <c r="T70" i="15" s="1"/>
  <c r="H47" i="15"/>
  <c r="T47" i="15" s="1"/>
  <c r="H77" i="15"/>
  <c r="T77" i="15" s="1"/>
  <c r="I249" i="16"/>
  <c r="N234" i="16"/>
  <c r="I229" i="16"/>
  <c r="N323" i="16"/>
  <c r="N192" i="16"/>
  <c r="I187" i="16"/>
  <c r="N172" i="16"/>
  <c r="I167" i="16"/>
  <c r="N152" i="16"/>
  <c r="I176" i="16"/>
  <c r="N161" i="16"/>
  <c r="I156" i="16"/>
  <c r="I321" i="16"/>
  <c r="I284" i="16"/>
  <c r="I178" i="16"/>
  <c r="N165" i="16"/>
  <c r="I151" i="16"/>
  <c r="N222" i="16"/>
  <c r="N196" i="16"/>
  <c r="N194" i="16"/>
  <c r="N273" i="16"/>
  <c r="N248" i="16"/>
  <c r="N177" i="16"/>
  <c r="N173" i="16"/>
  <c r="I165" i="16"/>
  <c r="I115" i="16"/>
  <c r="N96" i="16"/>
  <c r="I80" i="16"/>
  <c r="N63" i="16"/>
  <c r="I58" i="16"/>
  <c r="N281" i="16"/>
  <c r="N218" i="16"/>
  <c r="N209" i="16"/>
  <c r="N200" i="16"/>
  <c r="I195" i="16"/>
  <c r="N116" i="16"/>
  <c r="N88" i="16"/>
  <c r="N86" i="16"/>
  <c r="N74" i="16"/>
  <c r="N52" i="16"/>
  <c r="N134" i="16"/>
  <c r="I132" i="16"/>
  <c r="I106" i="16"/>
  <c r="N101" i="16"/>
  <c r="N90" i="16"/>
  <c r="I266" i="16"/>
  <c r="I255" i="16"/>
  <c r="N251" i="16"/>
  <c r="N244" i="16"/>
  <c r="F3" i="16"/>
  <c r="I322" i="16" s="1"/>
  <c r="N258" i="16"/>
  <c r="N230" i="16"/>
  <c r="N220" i="16"/>
  <c r="I217" i="16"/>
  <c r="I197" i="16"/>
  <c r="I42" i="16"/>
  <c r="I22" i="16"/>
  <c r="I15" i="16"/>
  <c r="I13" i="16"/>
  <c r="I286" i="16"/>
  <c r="I193" i="16"/>
  <c r="I152" i="16"/>
  <c r="I131" i="16"/>
  <c r="I70" i="16"/>
  <c r="I65" i="16"/>
  <c r="I263" i="16"/>
  <c r="N35" i="16"/>
  <c r="N271" i="16"/>
  <c r="I63" i="16"/>
  <c r="N57" i="16"/>
  <c r="I50" i="16"/>
  <c r="I34" i="16"/>
  <c r="N268" i="16"/>
  <c r="N235" i="16"/>
  <c r="I173" i="16"/>
  <c r="I155" i="16"/>
  <c r="I144" i="16"/>
  <c r="I59" i="16"/>
  <c r="N43" i="16"/>
  <c r="I41" i="16"/>
  <c r="N31" i="16"/>
  <c r="N203" i="16"/>
  <c r="I184" i="16"/>
  <c r="I215" i="16"/>
  <c r="I179" i="16"/>
  <c r="I150" i="16"/>
  <c r="I101" i="16"/>
  <c r="N71" i="16"/>
  <c r="N195" i="16"/>
  <c r="N154" i="16"/>
  <c r="N107" i="16"/>
  <c r="I102" i="16"/>
  <c r="N69" i="16"/>
  <c r="N45" i="16"/>
  <c r="N157" i="16"/>
  <c r="N132" i="16"/>
  <c r="N84" i="16"/>
  <c r="N53" i="16"/>
  <c r="I43" i="16"/>
  <c r="I31" i="16"/>
  <c r="N255" i="16"/>
  <c r="I275" i="16"/>
  <c r="N67" i="16"/>
  <c r="I35" i="16"/>
  <c r="I205" i="16"/>
  <c r="N155" i="16"/>
  <c r="N65" i="16"/>
  <c r="N213" i="16"/>
  <c r="I153" i="16"/>
  <c r="I92" i="16"/>
  <c r="N70" i="16"/>
  <c r="N137" i="16"/>
  <c r="I125" i="16"/>
  <c r="I103" i="16"/>
  <c r="I83" i="16"/>
  <c r="I47" i="16"/>
  <c r="I250" i="16"/>
  <c r="H33" i="15"/>
  <c r="T33" i="15" s="1"/>
  <c r="H15" i="15"/>
  <c r="M63" i="15"/>
  <c r="H14" i="15"/>
  <c r="H74" i="15"/>
  <c r="T74" i="15" s="1"/>
  <c r="M26" i="15"/>
  <c r="M129" i="15"/>
  <c r="M121" i="15"/>
  <c r="M97" i="15"/>
  <c r="M92" i="15"/>
  <c r="M165" i="15"/>
  <c r="H102" i="15"/>
  <c r="T102" i="15" s="1"/>
  <c r="M73" i="15"/>
  <c r="M106" i="15"/>
  <c r="H75" i="15"/>
  <c r="T75" i="15" s="1"/>
  <c r="H109" i="15"/>
  <c r="T109" i="15" s="1"/>
  <c r="M80" i="15"/>
  <c r="H122" i="15"/>
  <c r="T122" i="15" s="1"/>
  <c r="M144" i="15"/>
  <c r="M176" i="15"/>
  <c r="M163" i="15"/>
  <c r="M130" i="15"/>
  <c r="M166" i="15"/>
  <c r="H152" i="15"/>
  <c r="T152" i="15" s="1"/>
  <c r="M204" i="15"/>
  <c r="H155" i="15"/>
  <c r="T155" i="15" s="1"/>
  <c r="H138" i="15"/>
  <c r="T138" i="15" s="1"/>
  <c r="H174" i="15"/>
  <c r="T174" i="15" s="1"/>
  <c r="H125" i="15"/>
  <c r="T125" i="15" s="1"/>
  <c r="H161" i="15"/>
  <c r="T161" i="15" s="1"/>
  <c r="M191" i="15"/>
  <c r="M223" i="15"/>
  <c r="M186" i="15"/>
  <c r="M218" i="15"/>
  <c r="H180" i="15"/>
  <c r="T180" i="15" s="1"/>
  <c r="H212" i="15"/>
  <c r="T212" i="15" s="1"/>
  <c r="H183" i="15"/>
  <c r="T183" i="15" s="1"/>
  <c r="H215" i="15"/>
  <c r="T215" i="15" s="1"/>
  <c r="H178" i="15"/>
  <c r="T178" i="15" s="1"/>
  <c r="H210" i="15"/>
  <c r="T210" i="15" s="1"/>
  <c r="H181" i="15"/>
  <c r="T181" i="15" s="1"/>
  <c r="H213" i="15"/>
  <c r="T213" i="15" s="1"/>
  <c r="M282" i="15"/>
  <c r="H200" i="15"/>
  <c r="T200" i="15" s="1"/>
  <c r="H232" i="15"/>
  <c r="T232" i="15" s="1"/>
  <c r="M257" i="15"/>
  <c r="M298" i="15"/>
  <c r="M236" i="15"/>
  <c r="H275" i="15"/>
  <c r="T275" i="15" s="1"/>
  <c r="H308" i="15"/>
  <c r="T308" i="15" s="1"/>
  <c r="H257" i="15"/>
  <c r="T257" i="15" s="1"/>
  <c r="M291" i="15"/>
  <c r="H236" i="15"/>
  <c r="T236" i="15" s="1"/>
  <c r="H268" i="15"/>
  <c r="T268" i="15" s="1"/>
  <c r="M302" i="15"/>
  <c r="M248" i="15"/>
  <c r="M283" i="15"/>
  <c r="M324" i="15"/>
  <c r="M267" i="15"/>
  <c r="M300" i="15"/>
  <c r="M246" i="15"/>
  <c r="M281" i="15"/>
  <c r="M322" i="15"/>
  <c r="H59" i="15"/>
  <c r="T59" i="15" s="1"/>
  <c r="H45" i="15"/>
  <c r="T45" i="15" s="1"/>
  <c r="H118" i="15"/>
  <c r="T118" i="15" s="1"/>
  <c r="M59" i="15"/>
  <c r="M84" i="15"/>
  <c r="M47" i="15"/>
  <c r="M12" i="15"/>
  <c r="N173" i="15"/>
  <c r="I172" i="15"/>
  <c r="N137" i="15"/>
  <c r="I136" i="15"/>
  <c r="I107" i="15"/>
  <c r="N75" i="15"/>
  <c r="I74" i="15"/>
  <c r="I169" i="15"/>
  <c r="F3" i="15"/>
  <c r="N275" i="15" s="1"/>
  <c r="N107" i="15"/>
  <c r="I77" i="15"/>
  <c r="N68" i="15"/>
  <c r="N37" i="15"/>
  <c r="N80" i="15"/>
  <c r="I73" i="15"/>
  <c r="N62" i="15"/>
  <c r="I35" i="15"/>
  <c r="N89" i="15"/>
  <c r="I63" i="15"/>
  <c r="I53" i="15"/>
  <c r="N51" i="15"/>
  <c r="M86" i="15"/>
  <c r="M125" i="15"/>
  <c r="H104" i="15"/>
  <c r="T104" i="15" s="1"/>
  <c r="M100" i="15"/>
  <c r="H68" i="15"/>
  <c r="M103" i="15"/>
  <c r="H81" i="15"/>
  <c r="T81" i="15" s="1"/>
  <c r="H121" i="15"/>
  <c r="T121" i="15" s="1"/>
  <c r="M77" i="15"/>
  <c r="M115" i="15"/>
  <c r="H87" i="15"/>
  <c r="T87" i="15" s="1"/>
  <c r="M124" i="15"/>
  <c r="H151" i="15"/>
  <c r="T151" i="15" s="1"/>
  <c r="H311" i="15"/>
  <c r="T311" i="15" s="1"/>
  <c r="H170" i="15"/>
  <c r="T170" i="15" s="1"/>
  <c r="H137" i="15"/>
  <c r="T137" i="15" s="1"/>
  <c r="H173" i="15"/>
  <c r="T173" i="15" s="1"/>
  <c r="M153" i="15"/>
  <c r="H219" i="15"/>
  <c r="T219" i="15" s="1"/>
  <c r="M156" i="15"/>
  <c r="M143" i="15"/>
  <c r="M175" i="15"/>
  <c r="M126" i="15"/>
  <c r="M162" i="15"/>
  <c r="H198" i="15"/>
  <c r="T198" i="15" s="1"/>
  <c r="H230" i="15"/>
  <c r="T230" i="15" s="1"/>
  <c r="H193" i="15"/>
  <c r="T193" i="15" s="1"/>
  <c r="H225" i="15"/>
  <c r="T225" i="15" s="1"/>
  <c r="M181" i="15"/>
  <c r="M213" i="15"/>
  <c r="M184" i="15"/>
  <c r="M216" i="15"/>
  <c r="M179" i="15"/>
  <c r="M211" i="15"/>
  <c r="M182" i="15"/>
  <c r="M214" i="15"/>
  <c r="H295" i="15"/>
  <c r="T295" i="15" s="1"/>
  <c r="M201" i="15"/>
  <c r="M233" i="15"/>
  <c r="H264" i="15"/>
  <c r="T264" i="15" s="1"/>
  <c r="H305" i="15"/>
  <c r="T305" i="15" s="1"/>
  <c r="H243" i="15"/>
  <c r="T243" i="15" s="1"/>
  <c r="M276" i="15"/>
  <c r="M309" i="15"/>
  <c r="M258" i="15"/>
  <c r="H298" i="15"/>
  <c r="T298" i="15" s="1"/>
  <c r="M237" i="15"/>
  <c r="M269" i="15"/>
  <c r="H309" i="15"/>
  <c r="T309" i="15" s="1"/>
  <c r="H255" i="15"/>
  <c r="T255" i="15" s="1"/>
  <c r="H296" i="15"/>
  <c r="T296" i="15" s="1"/>
  <c r="M235" i="15"/>
  <c r="H274" i="15"/>
  <c r="T274" i="15" s="1"/>
  <c r="H307" i="15"/>
  <c r="T307" i="15" s="1"/>
  <c r="H253" i="15"/>
  <c r="T253" i="15" s="1"/>
  <c r="H294" i="15"/>
  <c r="T294" i="15" s="1"/>
  <c r="H58" i="15"/>
  <c r="T58" i="15" s="1"/>
  <c r="H91" i="15"/>
  <c r="T91" i="15" s="1"/>
  <c r="M58" i="15"/>
  <c r="M42" i="15"/>
  <c r="H26" i="15"/>
  <c r="H82" i="15"/>
  <c r="T82" i="15" s="1"/>
  <c r="M57" i="15"/>
  <c r="H46" i="15"/>
  <c r="T46" i="15" s="1"/>
  <c r="M31" i="15"/>
  <c r="H106" i="15"/>
  <c r="T106" i="15" s="1"/>
  <c r="H43" i="15"/>
  <c r="T43" i="15" s="1"/>
  <c r="H25" i="15"/>
  <c r="M116" i="15"/>
  <c r="H60" i="15"/>
  <c r="T60" i="15" s="1"/>
  <c r="M41" i="15"/>
  <c r="H93" i="15"/>
  <c r="T93" i="15" s="1"/>
  <c r="H136" i="15"/>
  <c r="T136" i="15" s="1"/>
  <c r="M105" i="15"/>
  <c r="H107" i="15"/>
  <c r="T107" i="15" s="1"/>
  <c r="M69" i="15"/>
  <c r="H108" i="15"/>
  <c r="T108" i="15" s="1"/>
  <c r="M82" i="15"/>
  <c r="M123" i="15"/>
  <c r="H84" i="15"/>
  <c r="T84" i="15" s="1"/>
  <c r="M119" i="15"/>
  <c r="M88" i="15"/>
  <c r="H128" i="15"/>
  <c r="T128" i="15" s="1"/>
  <c r="M152" i="15"/>
  <c r="H134" i="15"/>
  <c r="T134" i="15" s="1"/>
  <c r="M171" i="15"/>
  <c r="M138" i="15"/>
  <c r="M174" i="15"/>
  <c r="H160" i="15"/>
  <c r="T160" i="15" s="1"/>
  <c r="H246" i="15"/>
  <c r="T246" i="15" s="1"/>
  <c r="H163" i="15"/>
  <c r="T163" i="15" s="1"/>
  <c r="H150" i="15"/>
  <c r="T150" i="15" s="1"/>
  <c r="M180" i="15"/>
  <c r="H133" i="15"/>
  <c r="T133" i="15" s="1"/>
  <c r="H169" i="15"/>
  <c r="T169" i="15" s="1"/>
  <c r="M199" i="15"/>
  <c r="M231" i="15"/>
  <c r="M194" i="15"/>
  <c r="M226" i="15"/>
  <c r="H188" i="15"/>
  <c r="T188" i="15" s="1"/>
  <c r="H220" i="15"/>
  <c r="T220" i="15" s="1"/>
  <c r="H191" i="15"/>
  <c r="T191" i="15" s="1"/>
  <c r="H223" i="15"/>
  <c r="T223" i="15" s="1"/>
  <c r="H186" i="15"/>
  <c r="T186" i="15" s="1"/>
  <c r="H218" i="15"/>
  <c r="T218" i="15" s="1"/>
  <c r="H189" i="15"/>
  <c r="T189" i="15" s="1"/>
  <c r="H221" i="15"/>
  <c r="T221" i="15" s="1"/>
  <c r="M304" i="15"/>
  <c r="H208" i="15"/>
  <c r="T208" i="15" s="1"/>
  <c r="M263" i="15"/>
  <c r="M265" i="15"/>
  <c r="M306" i="15"/>
  <c r="M244" i="15"/>
  <c r="H286" i="15"/>
  <c r="T286" i="15" s="1"/>
  <c r="H316" i="15"/>
  <c r="T316" i="15" s="1"/>
  <c r="H265" i="15"/>
  <c r="T265" i="15" s="1"/>
  <c r="M299" i="15"/>
  <c r="H244" i="15"/>
  <c r="T244" i="15" s="1"/>
  <c r="H276" i="15"/>
  <c r="T276" i="15" s="1"/>
  <c r="M310" i="15"/>
  <c r="M256" i="15"/>
  <c r="M297" i="15"/>
  <c r="H242" i="15"/>
  <c r="T242" i="15" s="1"/>
  <c r="M275" i="15"/>
  <c r="M308" i="15"/>
  <c r="M254" i="15"/>
  <c r="M295" i="15"/>
  <c r="H57" i="15"/>
  <c r="T57" i="15" s="1"/>
  <c r="H24" i="15"/>
  <c r="M83" i="15"/>
  <c r="H41" i="15"/>
  <c r="T41" i="15" s="1"/>
  <c r="M56" i="15"/>
  <c r="H90" i="15"/>
  <c r="T90" i="15" s="1"/>
  <c r="M55" i="15"/>
  <c r="M22" i="15"/>
  <c r="M94" i="15"/>
  <c r="M157" i="15"/>
  <c r="M109" i="15"/>
  <c r="H116" i="15"/>
  <c r="T116" i="15" s="1"/>
  <c r="H78" i="15"/>
  <c r="T78" i="15" s="1"/>
  <c r="M110" i="15"/>
  <c r="H89" i="15"/>
  <c r="T89" i="15" s="1"/>
  <c r="M137" i="15"/>
  <c r="M85" i="15"/>
  <c r="H126" i="15"/>
  <c r="T126" i="15" s="1"/>
  <c r="H95" i="15"/>
  <c r="T95" i="15" s="1"/>
  <c r="M149" i="15"/>
  <c r="H159" i="15"/>
  <c r="T159" i="15" s="1"/>
  <c r="H146" i="15"/>
  <c r="T146" i="15" s="1"/>
  <c r="H179" i="15"/>
  <c r="T179" i="15" s="1"/>
  <c r="H149" i="15"/>
  <c r="T149" i="15" s="1"/>
  <c r="M177" i="15"/>
  <c r="M161" i="15"/>
  <c r="H127" i="15"/>
  <c r="T127" i="15" s="1"/>
  <c r="M164" i="15"/>
  <c r="M151" i="15"/>
  <c r="H195" i="15"/>
  <c r="T195" i="15" s="1"/>
  <c r="M134" i="15"/>
  <c r="M170" i="15"/>
  <c r="H206" i="15"/>
  <c r="T206" i="15" s="1"/>
  <c r="M271" i="15"/>
  <c r="H201" i="15"/>
  <c r="T201" i="15" s="1"/>
  <c r="H233" i="15"/>
  <c r="T233" i="15" s="1"/>
  <c r="M189" i="15"/>
  <c r="M221" i="15"/>
  <c r="M192" i="15"/>
  <c r="M224" i="15"/>
  <c r="M187" i="15"/>
  <c r="M219" i="15"/>
  <c r="M190" i="15"/>
  <c r="M222" i="15"/>
  <c r="M323" i="15"/>
  <c r="M209" i="15"/>
  <c r="H240" i="15"/>
  <c r="T240" i="15" s="1"/>
  <c r="H272" i="15"/>
  <c r="T272" i="15" s="1"/>
  <c r="H313" i="15"/>
  <c r="T313" i="15" s="1"/>
  <c r="H251" i="15"/>
  <c r="T251" i="15" s="1"/>
  <c r="M290" i="15"/>
  <c r="M320" i="15"/>
  <c r="M266" i="15"/>
  <c r="H306" i="15"/>
  <c r="T306" i="15" s="1"/>
  <c r="M245" i="15"/>
  <c r="M280" i="15"/>
  <c r="H320" i="15"/>
  <c r="T320" i="15" s="1"/>
  <c r="H263" i="15"/>
  <c r="T263" i="15" s="1"/>
  <c r="H304" i="15"/>
  <c r="T304" i="15" s="1"/>
  <c r="M243" i="15"/>
  <c r="H285" i="15"/>
  <c r="T285" i="15" s="1"/>
  <c r="H315" i="15"/>
  <c r="T315" i="15" s="1"/>
  <c r="H261" i="15"/>
  <c r="T261" i="15" s="1"/>
  <c r="H302" i="15"/>
  <c r="T302" i="15" s="1"/>
  <c r="M38" i="15"/>
  <c r="M13" i="15"/>
  <c r="M53" i="15"/>
  <c r="M74" i="15"/>
  <c r="H101" i="15"/>
  <c r="T101" i="15" s="1"/>
  <c r="H172" i="15"/>
  <c r="T172" i="15" s="1"/>
  <c r="M117" i="15"/>
  <c r="H120" i="15"/>
  <c r="T120" i="15" s="1"/>
  <c r="H86" i="15"/>
  <c r="T86" i="15" s="1"/>
  <c r="M188" i="15"/>
  <c r="M90" i="15"/>
  <c r="H156" i="15"/>
  <c r="T156" i="15" s="1"/>
  <c r="H92" i="15"/>
  <c r="T92" i="15" s="1"/>
  <c r="H53" i="15"/>
  <c r="M96" i="15"/>
  <c r="H164" i="15"/>
  <c r="T164" i="15" s="1"/>
  <c r="M160" i="15"/>
  <c r="M147" i="15"/>
  <c r="M196" i="15"/>
  <c r="M150" i="15"/>
  <c r="H132" i="15"/>
  <c r="T132" i="15" s="1"/>
  <c r="H168" i="15"/>
  <c r="T168" i="15" s="1"/>
  <c r="M128" i="15"/>
  <c r="H171" i="15"/>
  <c r="T171" i="15" s="1"/>
  <c r="H158" i="15"/>
  <c r="T158" i="15" s="1"/>
  <c r="M212" i="15"/>
  <c r="H145" i="15"/>
  <c r="T145" i="15" s="1"/>
  <c r="H177" i="15"/>
  <c r="T177" i="15" s="1"/>
  <c r="M207" i="15"/>
  <c r="H281" i="15"/>
  <c r="T281" i="15" s="1"/>
  <c r="M202" i="15"/>
  <c r="M234" i="15"/>
  <c r="H196" i="15"/>
  <c r="T196" i="15" s="1"/>
  <c r="H228" i="15"/>
  <c r="T228" i="15" s="1"/>
  <c r="H199" i="15"/>
  <c r="T199" i="15" s="1"/>
  <c r="H231" i="15"/>
  <c r="T231" i="15" s="1"/>
  <c r="H194" i="15"/>
  <c r="T194" i="15" s="1"/>
  <c r="H226" i="15"/>
  <c r="T226" i="15" s="1"/>
  <c r="H197" i="15"/>
  <c r="T197" i="15" s="1"/>
  <c r="H229" i="15"/>
  <c r="T229" i="15" s="1"/>
  <c r="H184" i="15"/>
  <c r="T184" i="15" s="1"/>
  <c r="H216" i="15"/>
  <c r="T216" i="15" s="1"/>
  <c r="M241" i="15"/>
  <c r="M273" i="15"/>
  <c r="M314" i="15"/>
  <c r="M252" i="15"/>
  <c r="H292" i="15"/>
  <c r="T292" i="15" s="1"/>
  <c r="H241" i="15"/>
  <c r="T241" i="15" s="1"/>
  <c r="H273" i="15"/>
  <c r="T273" i="15" s="1"/>
  <c r="M307" i="15"/>
  <c r="H252" i="15"/>
  <c r="T252" i="15" s="1"/>
  <c r="H290" i="15"/>
  <c r="M321" i="15"/>
  <c r="M264" i="15"/>
  <c r="M305" i="15"/>
  <c r="H250" i="15"/>
  <c r="T250" i="15" s="1"/>
  <c r="M286" i="15"/>
  <c r="M316" i="15"/>
  <c r="M262" i="15"/>
  <c r="M303" i="15"/>
  <c r="H37" i="15"/>
  <c r="T37" i="15" s="1"/>
  <c r="H17" i="15"/>
  <c r="H42" i="15"/>
  <c r="T42" i="15" s="1"/>
  <c r="M21" i="15"/>
  <c r="H85" i="15"/>
  <c r="T85" i="15" s="1"/>
  <c r="H62" i="15"/>
  <c r="T62" i="15" s="1"/>
  <c r="H31" i="15"/>
  <c r="T31" i="15" s="1"/>
  <c r="H12" i="15"/>
  <c r="M68" i="15"/>
  <c r="H22" i="15"/>
  <c r="H110" i="15"/>
  <c r="T110" i="15" s="1"/>
  <c r="H67" i="15"/>
  <c r="M39" i="15"/>
  <c r="M23" i="15"/>
  <c r="H83" i="15"/>
  <c r="T83" i="15" s="1"/>
  <c r="M52" i="15"/>
  <c r="H21" i="15"/>
  <c r="M15" i="15"/>
  <c r="M102" i="15"/>
  <c r="H88" i="15"/>
  <c r="T88" i="15" s="1"/>
  <c r="H119" i="15"/>
  <c r="T119" i="15" s="1"/>
  <c r="M122" i="15"/>
  <c r="M87" i="15"/>
  <c r="H63" i="15"/>
  <c r="T63" i="15" s="1"/>
  <c r="H97" i="15"/>
  <c r="T97" i="15" s="1"/>
  <c r="M173" i="15"/>
  <c r="M93" i="15"/>
  <c r="M62" i="15"/>
  <c r="H103" i="15"/>
  <c r="T103" i="15" s="1"/>
  <c r="H131" i="15"/>
  <c r="T131" i="15" s="1"/>
  <c r="H167" i="15"/>
  <c r="T167" i="15" s="1"/>
  <c r="H154" i="15"/>
  <c r="T154" i="15" s="1"/>
  <c r="H211" i="15"/>
  <c r="T211" i="15" s="1"/>
  <c r="H157" i="15"/>
  <c r="T157" i="15" s="1"/>
  <c r="M133" i="15"/>
  <c r="M169" i="15"/>
  <c r="M136" i="15"/>
  <c r="M172" i="15"/>
  <c r="M159" i="15"/>
  <c r="H227" i="15"/>
  <c r="T227" i="15" s="1"/>
  <c r="M146" i="15"/>
  <c r="H182" i="15"/>
  <c r="T182" i="15" s="1"/>
  <c r="H214" i="15"/>
  <c r="T214" i="15" s="1"/>
  <c r="M296" i="15"/>
  <c r="H209" i="15"/>
  <c r="T209" i="15" s="1"/>
  <c r="M239" i="15"/>
  <c r="M197" i="15"/>
  <c r="M229" i="15"/>
  <c r="M200" i="15"/>
  <c r="M232" i="15"/>
  <c r="M195" i="15"/>
  <c r="M227" i="15"/>
  <c r="M198" i="15"/>
  <c r="M230" i="15"/>
  <c r="M185" i="15"/>
  <c r="M217" i="15"/>
  <c r="H248" i="15"/>
  <c r="T248" i="15" s="1"/>
  <c r="H283" i="15"/>
  <c r="T283" i="15" s="1"/>
  <c r="H324" i="15"/>
  <c r="T324" i="15" s="1"/>
  <c r="M260" i="15"/>
  <c r="M293" i="15"/>
  <c r="M242" i="15"/>
  <c r="M274" i="15"/>
  <c r="H314" i="15"/>
  <c r="T314" i="15" s="1"/>
  <c r="M253" i="15"/>
  <c r="H293" i="15"/>
  <c r="T293" i="15" s="1"/>
  <c r="H239" i="15"/>
  <c r="T239" i="15" s="1"/>
  <c r="H271" i="15"/>
  <c r="T271" i="15" s="1"/>
  <c r="H312" i="15"/>
  <c r="T312" i="15" s="1"/>
  <c r="M251" i="15"/>
  <c r="H291" i="15"/>
  <c r="T291" i="15" s="1"/>
  <c r="H237" i="15"/>
  <c r="T237" i="15" s="1"/>
  <c r="H269" i="15"/>
  <c r="T269" i="15" s="1"/>
  <c r="H310" i="15"/>
  <c r="T310" i="15" s="1"/>
  <c r="M71" i="15"/>
  <c r="M45" i="15"/>
  <c r="M50" i="15"/>
  <c r="M65" i="15"/>
  <c r="H38" i="15"/>
  <c r="T38" i="15" s="1"/>
  <c r="M75" i="15"/>
  <c r="H51" i="15"/>
  <c r="T51" i="15" s="1"/>
  <c r="M36" i="15"/>
  <c r="M81" i="15"/>
  <c r="M49" i="15"/>
  <c r="M33" i="15"/>
  <c r="M120" i="15"/>
  <c r="M108" i="15"/>
  <c r="M89" i="15"/>
  <c r="H124" i="15"/>
  <c r="T124" i="15" s="1"/>
  <c r="M127" i="15"/>
  <c r="H94" i="15"/>
  <c r="T94" i="15" s="1"/>
  <c r="M64" i="15"/>
  <c r="M98" i="15"/>
  <c r="H203" i="15"/>
  <c r="T203" i="15" s="1"/>
  <c r="H100" i="15"/>
  <c r="T100" i="15" s="1"/>
  <c r="H69" i="15"/>
  <c r="T69" i="15" s="1"/>
  <c r="M104" i="15"/>
  <c r="M132" i="15"/>
  <c r="M168" i="15"/>
  <c r="M155" i="15"/>
  <c r="M228" i="15"/>
  <c r="M158" i="15"/>
  <c r="H144" i="15"/>
  <c r="T144" i="15" s="1"/>
  <c r="H176" i="15"/>
  <c r="T176" i="15" s="1"/>
  <c r="H147" i="15"/>
  <c r="T147" i="15" s="1"/>
  <c r="H130" i="15"/>
  <c r="T130" i="15" s="1"/>
  <c r="H166" i="15"/>
  <c r="T166" i="15" s="1"/>
  <c r="H117" i="15"/>
  <c r="T117" i="15" s="1"/>
  <c r="H153" i="15"/>
  <c r="T153" i="15" s="1"/>
  <c r="M183" i="15"/>
  <c r="M215" i="15"/>
  <c r="M178" i="15"/>
  <c r="M210" i="15"/>
  <c r="H254" i="15"/>
  <c r="T254" i="15" s="1"/>
  <c r="H204" i="15"/>
  <c r="T204" i="15" s="1"/>
  <c r="H303" i="15"/>
  <c r="T303" i="15" s="1"/>
  <c r="H207" i="15"/>
  <c r="T207" i="15" s="1"/>
  <c r="M247" i="15"/>
  <c r="H202" i="15"/>
  <c r="T202" i="15" s="1"/>
  <c r="H234" i="15"/>
  <c r="T234" i="15" s="1"/>
  <c r="H205" i="15"/>
  <c r="T205" i="15" s="1"/>
  <c r="H238" i="15"/>
  <c r="T238" i="15" s="1"/>
  <c r="H192" i="15"/>
  <c r="T192" i="15" s="1"/>
  <c r="H224" i="15"/>
  <c r="T224" i="15" s="1"/>
  <c r="M249" i="15"/>
  <c r="M284" i="15"/>
  <c r="M325" i="15"/>
  <c r="H267" i="15"/>
  <c r="T267" i="15" s="1"/>
  <c r="H300" i="15"/>
  <c r="T300" i="15" s="1"/>
  <c r="H249" i="15"/>
  <c r="T249" i="15" s="1"/>
  <c r="H284" i="15"/>
  <c r="T284" i="15" s="1"/>
  <c r="M315" i="15"/>
  <c r="H260" i="15"/>
  <c r="T260" i="15" s="1"/>
  <c r="M294" i="15"/>
  <c r="M240" i="15"/>
  <c r="M272" i="15"/>
  <c r="M313" i="15"/>
  <c r="H258" i="15"/>
  <c r="T258" i="15" s="1"/>
  <c r="M292" i="15"/>
  <c r="M238" i="15"/>
  <c r="M270" i="15"/>
  <c r="M311" i="15"/>
  <c r="H65" i="15"/>
  <c r="H13" i="15"/>
  <c r="M51" i="15"/>
  <c r="H56" i="15"/>
  <c r="T56" i="15" s="1"/>
  <c r="M60" i="15"/>
  <c r="M24" i="15"/>
  <c r="H49" i="15"/>
  <c r="T49" i="15" s="1"/>
  <c r="M34" i="15"/>
  <c r="M16" i="15"/>
  <c r="H73" i="15"/>
  <c r="T73" i="15" s="1"/>
  <c r="H35" i="15"/>
  <c r="T35" i="15" s="1"/>
  <c r="H48" i="15"/>
  <c r="T48" i="15" s="1"/>
  <c r="H32" i="15"/>
  <c r="T32" i="15" s="1"/>
  <c r="H123" i="15"/>
  <c r="T123" i="15" s="1"/>
  <c r="H115" i="15"/>
  <c r="T115" i="15" s="1"/>
  <c r="H96" i="15"/>
  <c r="T96" i="15" s="1"/>
  <c r="M220" i="15"/>
  <c r="H148" i="15"/>
  <c r="T148" i="15" s="1"/>
  <c r="M95" i="15"/>
  <c r="H71" i="15"/>
  <c r="T71" i="15" s="1"/>
  <c r="H105" i="15"/>
  <c r="T105" i="15" s="1"/>
  <c r="M67" i="15"/>
  <c r="M101" i="15"/>
  <c r="M70" i="15"/>
  <c r="M107" i="15"/>
  <c r="H143" i="15"/>
  <c r="T143" i="15" s="1"/>
  <c r="H175" i="15"/>
  <c r="T175" i="15" s="1"/>
  <c r="H162" i="15"/>
  <c r="T162" i="15" s="1"/>
  <c r="H129" i="15"/>
  <c r="T129" i="15" s="1"/>
  <c r="H165" i="15"/>
  <c r="T165" i="15" s="1"/>
  <c r="M145" i="15"/>
  <c r="H187" i="15"/>
  <c r="T187" i="15" s="1"/>
  <c r="M148" i="15"/>
  <c r="M131" i="15"/>
  <c r="M167" i="15"/>
  <c r="M118" i="15"/>
  <c r="M154" i="15"/>
  <c r="H190" i="15"/>
  <c r="T190" i="15" s="1"/>
  <c r="H222" i="15"/>
  <c r="T222" i="15" s="1"/>
  <c r="H185" i="15"/>
  <c r="T185" i="15" s="1"/>
  <c r="H217" i="15"/>
  <c r="T217" i="15" s="1"/>
  <c r="H322" i="15"/>
  <c r="T322" i="15" s="1"/>
  <c r="M205" i="15"/>
  <c r="M312" i="15"/>
  <c r="M208" i="15"/>
  <c r="H262" i="15"/>
  <c r="T262" i="15" s="1"/>
  <c r="M203" i="15"/>
  <c r="H270" i="15"/>
  <c r="T270" i="15" s="1"/>
  <c r="M206" i="15"/>
  <c r="M255" i="15"/>
  <c r="M193" i="15"/>
  <c r="M225" i="15"/>
  <c r="H256" i="15"/>
  <c r="T256" i="15" s="1"/>
  <c r="H297" i="15"/>
  <c r="T297" i="15" s="1"/>
  <c r="H235" i="15"/>
  <c r="T235" i="15" s="1"/>
  <c r="M268" i="15"/>
  <c r="M301" i="15"/>
  <c r="M250" i="15"/>
  <c r="M285" i="15"/>
  <c r="H325" i="15"/>
  <c r="T325" i="15" s="1"/>
  <c r="M261" i="15"/>
  <c r="H301" i="15"/>
  <c r="T301" i="15" s="1"/>
  <c r="H247" i="15"/>
  <c r="T247" i="15" s="1"/>
  <c r="H282" i="15"/>
  <c r="T282" i="15" s="1"/>
  <c r="H323" i="15"/>
  <c r="T323" i="15" s="1"/>
  <c r="H266" i="15"/>
  <c r="T266" i="15" s="1"/>
  <c r="H299" i="15"/>
  <c r="T299" i="15" s="1"/>
  <c r="H245" i="15"/>
  <c r="T245" i="15" s="1"/>
  <c r="H280" i="15"/>
  <c r="T280" i="15" s="1"/>
  <c r="H321" i="15"/>
  <c r="T321" i="15" s="1"/>
  <c r="M46" i="15"/>
  <c r="N244" i="14"/>
  <c r="N253" i="14"/>
  <c r="I284" i="14"/>
  <c r="N248" i="14"/>
  <c r="I214" i="14"/>
  <c r="I182" i="14"/>
  <c r="I227" i="14"/>
  <c r="I195" i="14"/>
  <c r="I224" i="14"/>
  <c r="I192" i="14"/>
  <c r="N222" i="14"/>
  <c r="N190" i="14"/>
  <c r="I226" i="14"/>
  <c r="N208" i="14"/>
  <c r="I144" i="14"/>
  <c r="N187" i="14"/>
  <c r="I151" i="14"/>
  <c r="I185" i="14"/>
  <c r="N149" i="14"/>
  <c r="N173" i="14"/>
  <c r="I145" i="14"/>
  <c r="N176" i="14"/>
  <c r="N164" i="14"/>
  <c r="I138" i="14"/>
  <c r="N108" i="14"/>
  <c r="I107" i="14"/>
  <c r="N100" i="14"/>
  <c r="N159" i="14"/>
  <c r="N117" i="14"/>
  <c r="I80" i="14"/>
  <c r="N205" i="14"/>
  <c r="I129" i="14"/>
  <c r="N122" i="14"/>
  <c r="I121" i="14"/>
  <c r="I93" i="14"/>
  <c r="N86" i="14"/>
  <c r="I85" i="14"/>
  <c r="I148" i="14"/>
  <c r="I134" i="14"/>
  <c r="N127" i="14"/>
  <c r="I98" i="14"/>
  <c r="N91" i="14"/>
  <c r="I90" i="14"/>
  <c r="N124" i="14"/>
  <c r="I120" i="14"/>
  <c r="N109" i="14"/>
  <c r="N85" i="14"/>
  <c r="I84" i="14"/>
  <c r="N77" i="14"/>
  <c r="N65" i="14"/>
  <c r="I64" i="14"/>
  <c r="N57" i="14"/>
  <c r="I32" i="14"/>
  <c r="N22" i="14"/>
  <c r="N15" i="14"/>
  <c r="N88" i="14"/>
  <c r="N80" i="14"/>
  <c r="N38" i="14"/>
  <c r="N59" i="14"/>
  <c r="I58" i="14"/>
  <c r="N51" i="14"/>
  <c r="I34" i="14"/>
  <c r="N21" i="14"/>
  <c r="N115" i="14"/>
  <c r="N73" i="14"/>
  <c r="I55" i="14"/>
  <c r="N48" i="14"/>
  <c r="I47" i="14"/>
  <c r="I39" i="14"/>
  <c r="N134" i="14"/>
  <c r="I122" i="14"/>
  <c r="N53" i="14"/>
  <c r="F3" i="14"/>
  <c r="N323" i="14" s="1"/>
  <c r="I102" i="14"/>
  <c r="N75" i="14"/>
  <c r="I74" i="14"/>
  <c r="I65" i="14"/>
  <c r="I49" i="14"/>
  <c r="N42" i="14"/>
  <c r="I41" i="14"/>
  <c r="N34" i="14"/>
  <c r="I33" i="14"/>
  <c r="I130" i="14"/>
  <c r="N123" i="14"/>
  <c r="I117" i="14"/>
  <c r="N95" i="14"/>
  <c r="I158" i="14"/>
  <c r="N36" i="14"/>
  <c r="I21" i="14"/>
  <c r="I163" i="14"/>
  <c r="N82" i="14"/>
  <c r="I125" i="14"/>
  <c r="I35" i="14"/>
  <c r="N60" i="14"/>
  <c r="I38" i="14"/>
  <c r="N131" i="14"/>
  <c r="I62" i="14"/>
  <c r="I51" i="14"/>
  <c r="N39" i="14"/>
  <c r="M32" i="14"/>
  <c r="H31" i="14"/>
  <c r="T31" i="14" s="1"/>
  <c r="H23" i="14"/>
  <c r="H16" i="14"/>
  <c r="H12" i="14"/>
  <c r="M101" i="14"/>
  <c r="M77" i="14"/>
  <c r="M75" i="14"/>
  <c r="H74" i="14"/>
  <c r="T74" i="14" s="1"/>
  <c r="M50" i="14"/>
  <c r="H41" i="14"/>
  <c r="T41" i="14" s="1"/>
  <c r="M34" i="14"/>
  <c r="H15" i="14"/>
  <c r="H26" i="14"/>
  <c r="M16" i="14"/>
  <c r="M129" i="14"/>
  <c r="M63" i="14"/>
  <c r="H57" i="14"/>
  <c r="T57" i="14" s="1"/>
  <c r="H46" i="14"/>
  <c r="T46" i="14" s="1"/>
  <c r="M71" i="14"/>
  <c r="M42" i="14"/>
  <c r="M12" i="14"/>
  <c r="H62" i="14"/>
  <c r="T62" i="14" s="1"/>
  <c r="H70" i="14"/>
  <c r="T70" i="14" s="1"/>
  <c r="M58" i="14"/>
  <c r="M47" i="14"/>
  <c r="M31" i="14"/>
  <c r="H22" i="14"/>
  <c r="M39" i="14"/>
  <c r="H65" i="14"/>
  <c r="H136" i="14"/>
  <c r="T136" i="14" s="1"/>
  <c r="H117" i="14"/>
  <c r="H81" i="14"/>
  <c r="T81" i="14" s="1"/>
  <c r="H38" i="14"/>
  <c r="T38" i="14" s="1"/>
  <c r="M55" i="14"/>
  <c r="H49" i="14"/>
  <c r="T49" i="14" s="1"/>
  <c r="H33" i="14"/>
  <c r="T33" i="14" s="1"/>
  <c r="M23" i="14"/>
  <c r="N121" i="14" l="1"/>
  <c r="N321" i="14"/>
  <c r="N52" i="14"/>
  <c r="N37" i="14"/>
  <c r="I13" i="14"/>
  <c r="I175" i="14"/>
  <c r="N81" i="14"/>
  <c r="I186" i="14"/>
  <c r="N262" i="14"/>
  <c r="N63" i="14"/>
  <c r="I43" i="14"/>
  <c r="N67" i="14"/>
  <c r="I154" i="14"/>
  <c r="N45" i="14"/>
  <c r="I24" i="14"/>
  <c r="I95" i="14"/>
  <c r="N105" i="14"/>
  <c r="I137" i="14"/>
  <c r="N241" i="14"/>
  <c r="N103" i="14"/>
  <c r="I52" i="14"/>
  <c r="I37" i="14"/>
  <c r="N96" i="14"/>
  <c r="I116" i="14"/>
  <c r="I173" i="14"/>
  <c r="N273" i="14"/>
  <c r="I286" i="14"/>
  <c r="I70" i="14"/>
  <c r="I94" i="14"/>
  <c r="I69" i="14"/>
  <c r="I131" i="14"/>
  <c r="I147" i="14"/>
  <c r="I178" i="14"/>
  <c r="N87" i="14"/>
  <c r="N106" i="14"/>
  <c r="N70" i="14"/>
  <c r="N132" i="14"/>
  <c r="N148" i="14"/>
  <c r="N229" i="14"/>
  <c r="I262" i="14"/>
  <c r="I88" i="15"/>
  <c r="I24" i="15"/>
  <c r="N46" i="15"/>
  <c r="N74" i="15"/>
  <c r="N91" i="15"/>
  <c r="I103" i="15"/>
  <c r="I69" i="15"/>
  <c r="N22" i="15"/>
  <c r="N42" i="15"/>
  <c r="N146" i="15"/>
  <c r="I71" i="15"/>
  <c r="I116" i="15"/>
  <c r="N104" i="15"/>
  <c r="I13" i="15"/>
  <c r="N56" i="15"/>
  <c r="I86" i="15"/>
  <c r="I90" i="15"/>
  <c r="I59" i="15"/>
  <c r="I15" i="15"/>
  <c r="I133" i="15"/>
  <c r="N209" i="15"/>
  <c r="I32" i="15"/>
  <c r="I49" i="15"/>
  <c r="I101" i="15"/>
  <c r="N98" i="15"/>
  <c r="N33" i="15"/>
  <c r="N50" i="15"/>
  <c r="N102" i="15"/>
  <c r="I105" i="15"/>
  <c r="I120" i="15"/>
  <c r="N48" i="15"/>
  <c r="I46" i="15"/>
  <c r="N69" i="15"/>
  <c r="I56" i="15"/>
  <c r="N21" i="15"/>
  <c r="I48" i="15"/>
  <c r="N13" i="15"/>
  <c r="I104" i="15"/>
  <c r="N67" i="15"/>
  <c r="I47" i="15"/>
  <c r="N57" i="15"/>
  <c r="I108" i="15"/>
  <c r="I82" i="15"/>
  <c r="I123" i="15"/>
  <c r="N53" i="15"/>
  <c r="N59" i="15"/>
  <c r="N43" i="15"/>
  <c r="N81" i="15"/>
  <c r="N24" i="15"/>
  <c r="N105" i="15"/>
  <c r="I100" i="15"/>
  <c r="I95" i="15"/>
  <c r="N160" i="15"/>
  <c r="I232" i="15"/>
  <c r="N47" i="15"/>
  <c r="I78" i="15"/>
  <c r="I192" i="15"/>
  <c r="I57" i="15"/>
  <c r="N110" i="15"/>
  <c r="I65" i="15"/>
  <c r="N118" i="15"/>
  <c r="N41" i="15"/>
  <c r="N108" i="15"/>
  <c r="I50" i="15"/>
  <c r="I21" i="15"/>
  <c r="I36" i="15"/>
  <c r="N109" i="15"/>
  <c r="N101" i="15"/>
  <c r="N254" i="16"/>
  <c r="N163" i="16"/>
  <c r="I271" i="16"/>
  <c r="N276" i="16"/>
  <c r="I118" i="16"/>
  <c r="I221" i="16"/>
  <c r="I180" i="16"/>
  <c r="N123" i="16"/>
  <c r="I78" i="16"/>
  <c r="I87" i="16"/>
  <c r="I157" i="16"/>
  <c r="I234" i="16"/>
  <c r="N275" i="16"/>
  <c r="N211" i="16"/>
  <c r="I138" i="16"/>
  <c r="I230" i="16"/>
  <c r="N33" i="16"/>
  <c r="I257" i="16"/>
  <c r="N231" i="16"/>
  <c r="I254" i="16"/>
  <c r="N181" i="16"/>
  <c r="N225" i="16"/>
  <c r="I48" i="16"/>
  <c r="I274" i="16"/>
  <c r="I162" i="16"/>
  <c r="N242" i="16"/>
  <c r="I94" i="16"/>
  <c r="N62" i="16"/>
  <c r="N191" i="16"/>
  <c r="N217" i="16"/>
  <c r="N201" i="16"/>
  <c r="N49" i="16"/>
  <c r="N260" i="16"/>
  <c r="N102" i="16"/>
  <c r="N103" i="16"/>
  <c r="N224" i="16"/>
  <c r="I216" i="16"/>
  <c r="N59" i="16"/>
  <c r="N55" i="16"/>
  <c r="N68" i="16"/>
  <c r="I175" i="16"/>
  <c r="I260" i="16"/>
  <c r="N166" i="16"/>
  <c r="N178" i="16"/>
  <c r="I237" i="16"/>
  <c r="I127" i="16"/>
  <c r="N81" i="16"/>
  <c r="N94" i="16"/>
  <c r="I282" i="16"/>
  <c r="I110" i="16"/>
  <c r="N119" i="16"/>
  <c r="N174" i="16"/>
  <c r="I210" i="16"/>
  <c r="N83" i="16"/>
  <c r="I220" i="16"/>
  <c r="N176" i="16"/>
  <c r="N158" i="16"/>
  <c r="I37" i="16"/>
  <c r="N126" i="16"/>
  <c r="I88" i="16"/>
  <c r="N127" i="16"/>
  <c r="I224" i="16"/>
  <c r="N283" i="16"/>
  <c r="I212" i="16"/>
  <c r="N136" i="16"/>
  <c r="I194" i="16"/>
  <c r="I163" i="16"/>
  <c r="I74" i="16"/>
  <c r="I225" i="16"/>
  <c r="I256" i="16"/>
  <c r="N272" i="16"/>
  <c r="I320" i="16"/>
  <c r="I222" i="16"/>
  <c r="I121" i="16"/>
  <c r="N147" i="16"/>
  <c r="I21" i="16"/>
  <c r="N64" i="16"/>
  <c r="N36" i="16"/>
  <c r="I186" i="16"/>
  <c r="N204" i="16"/>
  <c r="I196" i="16"/>
  <c r="I201" i="16"/>
  <c r="I239" i="16"/>
  <c r="N60" i="16"/>
  <c r="I130" i="16"/>
  <c r="N167" i="16"/>
  <c r="N131" i="16"/>
  <c r="N129" i="16"/>
  <c r="I71" i="16"/>
  <c r="N146" i="16"/>
  <c r="N232" i="16"/>
  <c r="I246" i="16"/>
  <c r="I124" i="16"/>
  <c r="I64" i="16"/>
  <c r="I203" i="16"/>
  <c r="N38" i="16"/>
  <c r="I247" i="16"/>
  <c r="N282" i="16"/>
  <c r="N21" i="16"/>
  <c r="N98" i="16"/>
  <c r="N197" i="16"/>
  <c r="I53" i="16"/>
  <c r="I236" i="16"/>
  <c r="N159" i="16"/>
  <c r="I96" i="16"/>
  <c r="N87" i="16"/>
  <c r="N133" i="16"/>
  <c r="I120" i="16"/>
  <c r="N180" i="16"/>
  <c r="I206" i="16"/>
  <c r="N179" i="16"/>
  <c r="N58" i="16"/>
  <c r="N241" i="16"/>
  <c r="N207" i="16"/>
  <c r="I107" i="16"/>
  <c r="I128" i="16"/>
  <c r="N149" i="16"/>
  <c r="I185" i="16"/>
  <c r="N250" i="16"/>
  <c r="N110" i="16"/>
  <c r="N89" i="16"/>
  <c r="I253" i="16"/>
  <c r="N199" i="16"/>
  <c r="N184" i="16"/>
  <c r="N39" i="16"/>
  <c r="I166" i="16"/>
  <c r="I116" i="16"/>
  <c r="N145" i="16"/>
  <c r="I248" i="16"/>
  <c r="N320" i="16"/>
  <c r="I252" i="16"/>
  <c r="N138" i="16"/>
  <c r="N206" i="16"/>
  <c r="N171" i="16"/>
  <c r="N80" i="16"/>
  <c r="N238" i="16"/>
  <c r="N261" i="16"/>
  <c r="N223" i="16"/>
  <c r="N325" i="16"/>
  <c r="N227" i="16"/>
  <c r="I46" i="16"/>
  <c r="N32" i="16"/>
  <c r="N85" i="16"/>
  <c r="I207" i="16"/>
  <c r="N170" i="16"/>
  <c r="I199" i="16"/>
  <c r="I73" i="16"/>
  <c r="N228" i="16"/>
  <c r="N77" i="16"/>
  <c r="I100" i="16"/>
  <c r="N212" i="16"/>
  <c r="I68" i="16"/>
  <c r="I45" i="16"/>
  <c r="I52" i="16"/>
  <c r="I67" i="16"/>
  <c r="I240" i="16"/>
  <c r="I117" i="16"/>
  <c r="N82" i="16"/>
  <c r="I56" i="16"/>
  <c r="I200" i="16"/>
  <c r="N73" i="16"/>
  <c r="I33" i="16"/>
  <c r="I233" i="16"/>
  <c r="N156" i="16"/>
  <c r="I214" i="16"/>
  <c r="I51" i="16"/>
  <c r="N92" i="16"/>
  <c r="N148" i="16"/>
  <c r="N187" i="16"/>
  <c r="I146" i="16"/>
  <c r="N121" i="16"/>
  <c r="I97" i="16"/>
  <c r="N324" i="16"/>
  <c r="N252" i="16"/>
  <c r="I62" i="16"/>
  <c r="I98" i="16"/>
  <c r="N153" i="16"/>
  <c r="I55" i="16"/>
  <c r="N130" i="16"/>
  <c r="I243" i="16"/>
  <c r="I86" i="16"/>
  <c r="I228" i="16"/>
  <c r="I109" i="16"/>
  <c r="I159" i="16"/>
  <c r="I325" i="16"/>
  <c r="I267" i="16"/>
  <c r="I283" i="16"/>
  <c r="I119" i="16"/>
  <c r="N188" i="16"/>
  <c r="N240" i="16"/>
  <c r="I213" i="16"/>
  <c r="N47" i="16"/>
  <c r="N210" i="16"/>
  <c r="I223" i="16"/>
  <c r="I268" i="16"/>
  <c r="I244" i="16"/>
  <c r="I208" i="16"/>
  <c r="N91" i="16"/>
  <c r="N168" i="16"/>
  <c r="N122" i="16"/>
  <c r="I148" i="16"/>
  <c r="I324" i="16"/>
  <c r="N205" i="16"/>
  <c r="N269" i="16"/>
  <c r="N144" i="16"/>
  <c r="I232" i="16"/>
  <c r="N175" i="16"/>
  <c r="I95" i="16"/>
  <c r="N322" i="16"/>
  <c r="I276" i="16"/>
  <c r="I238" i="16"/>
  <c r="I211" i="16"/>
  <c r="I242" i="16"/>
  <c r="I218" i="16"/>
  <c r="I154" i="16"/>
  <c r="I209" i="16"/>
  <c r="N270" i="16"/>
  <c r="I60" i="16"/>
  <c r="N41" i="16"/>
  <c r="I104" i="16"/>
  <c r="N104" i="16"/>
  <c r="I164" i="16"/>
  <c r="N215" i="16"/>
  <c r="N285" i="16"/>
  <c r="I226" i="16"/>
  <c r="N97" i="16"/>
  <c r="I171" i="16"/>
  <c r="I134" i="16"/>
  <c r="N169" i="16"/>
  <c r="N24" i="16"/>
  <c r="N13" i="16"/>
  <c r="J127" i="16"/>
  <c r="O325" i="16"/>
  <c r="J320" i="16"/>
  <c r="J283" i="16"/>
  <c r="J196" i="16"/>
  <c r="O181" i="16"/>
  <c r="J176" i="16"/>
  <c r="O161" i="16"/>
  <c r="O194" i="16"/>
  <c r="O192" i="16"/>
  <c r="J182" i="16"/>
  <c r="J155" i="16"/>
  <c r="O105" i="16"/>
  <c r="J100" i="16"/>
  <c r="O85" i="16"/>
  <c r="J80" i="16"/>
  <c r="O122" i="16"/>
  <c r="O103" i="16"/>
  <c r="J98" i="16"/>
  <c r="O83" i="16"/>
  <c r="O56" i="16"/>
  <c r="O50" i="16"/>
  <c r="O42" i="16"/>
  <c r="O24" i="16"/>
  <c r="G3" i="16"/>
  <c r="O236" i="16" s="1"/>
  <c r="J273" i="16"/>
  <c r="O269" i="16"/>
  <c r="O258" i="16"/>
  <c r="J241" i="16"/>
  <c r="O12" i="16"/>
  <c r="J263" i="16"/>
  <c r="O239" i="16"/>
  <c r="J177" i="16"/>
  <c r="J195" i="16"/>
  <c r="O98" i="16"/>
  <c r="O51" i="16"/>
  <c r="J49" i="16"/>
  <c r="O151" i="16"/>
  <c r="O69" i="16"/>
  <c r="J64" i="16"/>
  <c r="O45" i="16"/>
  <c r="J161" i="16"/>
  <c r="O93" i="16"/>
  <c r="O87" i="16"/>
  <c r="O233" i="16"/>
  <c r="J202" i="16"/>
  <c r="J179" i="16"/>
  <c r="J33" i="16"/>
  <c r="J242" i="16"/>
  <c r="J160" i="16"/>
  <c r="O78" i="16"/>
  <c r="J53" i="16"/>
  <c r="O226" i="16"/>
  <c r="J275" i="16"/>
  <c r="J57" i="16"/>
  <c r="J26" i="16"/>
  <c r="J152" i="16"/>
  <c r="I169" i="16"/>
  <c r="N34" i="16"/>
  <c r="I188" i="16"/>
  <c r="N100" i="16"/>
  <c r="N226" i="16"/>
  <c r="N284" i="16"/>
  <c r="N243" i="16"/>
  <c r="N216" i="16"/>
  <c r="N247" i="16"/>
  <c r="I182" i="16"/>
  <c r="N219" i="16"/>
  <c r="I49" i="16"/>
  <c r="I190" i="16"/>
  <c r="I137" i="16"/>
  <c r="I241" i="16"/>
  <c r="N321" i="16"/>
  <c r="I258" i="16"/>
  <c r="I231" i="16"/>
  <c r="I262" i="16"/>
  <c r="I57" i="16"/>
  <c r="I12" i="16"/>
  <c r="I272" i="16"/>
  <c r="I75" i="16"/>
  <c r="N117" i="16"/>
  <c r="N183" i="16"/>
  <c r="N189" i="16"/>
  <c r="N115" i="16"/>
  <c r="N193" i="16"/>
  <c r="I161" i="16"/>
  <c r="N185" i="16"/>
  <c r="N50" i="16"/>
  <c r="N22" i="16"/>
  <c r="N151" i="16"/>
  <c r="N229" i="16"/>
  <c r="I69" i="16"/>
  <c r="N198" i="16"/>
  <c r="I143" i="16"/>
  <c r="N246" i="16"/>
  <c r="I123" i="16"/>
  <c r="N263" i="16"/>
  <c r="N236" i="16"/>
  <c r="N267" i="16"/>
  <c r="N262" i="16"/>
  <c r="I265" i="16"/>
  <c r="N265" i="16"/>
  <c r="N106" i="16"/>
  <c r="I126" i="16"/>
  <c r="N186" i="16"/>
  <c r="I323" i="16"/>
  <c r="N108" i="16"/>
  <c r="I136" i="16"/>
  <c r="N42" i="16"/>
  <c r="N15" i="16"/>
  <c r="N162" i="16"/>
  <c r="N95" i="16"/>
  <c r="N37" i="16"/>
  <c r="I181" i="16"/>
  <c r="I24" i="16"/>
  <c r="I36" i="16"/>
  <c r="N182" i="16"/>
  <c r="I133" i="16"/>
  <c r="N51" i="16"/>
  <c r="I198" i="16"/>
  <c r="I170" i="16"/>
  <c r="N233" i="16"/>
  <c r="I177" i="16"/>
  <c r="N208" i="16"/>
  <c r="N56" i="16"/>
  <c r="N46" i="16"/>
  <c r="N164" i="16"/>
  <c r="N264" i="16"/>
  <c r="N75" i="16"/>
  <c r="N202" i="16"/>
  <c r="I145" i="16"/>
  <c r="I261" i="16"/>
  <c r="N128" i="16"/>
  <c r="I281" i="16"/>
  <c r="I251" i="16"/>
  <c r="I285" i="16"/>
  <c r="I183" i="16"/>
  <c r="I192" i="16"/>
  <c r="I269" i="16"/>
  <c r="I174" i="16"/>
  <c r="I219" i="16"/>
  <c r="I204" i="16"/>
  <c r="N125" i="16"/>
  <c r="N274" i="16"/>
  <c r="I81" i="16"/>
  <c r="I77" i="16"/>
  <c r="I245" i="16"/>
  <c r="I84" i="16"/>
  <c r="N105" i="16"/>
  <c r="I227" i="16"/>
  <c r="I122" i="16"/>
  <c r="I273" i="16"/>
  <c r="N253" i="16"/>
  <c r="N143" i="16"/>
  <c r="N245" i="16"/>
  <c r="I129" i="16"/>
  <c r="I105" i="16"/>
  <c r="I108" i="16"/>
  <c r="I89" i="16"/>
  <c r="N237" i="16"/>
  <c r="N221" i="16"/>
  <c r="I90" i="16"/>
  <c r="N120" i="16"/>
  <c r="N118" i="16"/>
  <c r="N150" i="16"/>
  <c r="I202" i="16"/>
  <c r="N78" i="16"/>
  <c r="I160" i="16"/>
  <c r="N109" i="16"/>
  <c r="N93" i="16"/>
  <c r="N249" i="16"/>
  <c r="N190" i="16"/>
  <c r="I172" i="16"/>
  <c r="I93" i="16"/>
  <c r="I168" i="16"/>
  <c r="N124" i="16"/>
  <c r="I264" i="16"/>
  <c r="I32" i="16"/>
  <c r="N160" i="16"/>
  <c r="I39" i="16"/>
  <c r="I38" i="16"/>
  <c r="I158" i="16"/>
  <c r="I85" i="16"/>
  <c r="N12" i="16"/>
  <c r="N239" i="16"/>
  <c r="N257" i="16"/>
  <c r="I191" i="16"/>
  <c r="N214" i="16"/>
  <c r="I82" i="16"/>
  <c r="N48" i="16"/>
  <c r="I189" i="16"/>
  <c r="I270" i="16"/>
  <c r="I91" i="16"/>
  <c r="I235" i="16"/>
  <c r="I149" i="16"/>
  <c r="N266" i="16"/>
  <c r="I147" i="16"/>
  <c r="N286" i="16"/>
  <c r="N256" i="16"/>
  <c r="I159" i="15"/>
  <c r="N217" i="15"/>
  <c r="N163" i="15"/>
  <c r="I157" i="15"/>
  <c r="I208" i="15"/>
  <c r="N153" i="15"/>
  <c r="N148" i="15"/>
  <c r="N201" i="15"/>
  <c r="I130" i="15"/>
  <c r="I166" i="15"/>
  <c r="I195" i="15"/>
  <c r="I227" i="15"/>
  <c r="I198" i="15"/>
  <c r="I230" i="15"/>
  <c r="I193" i="15"/>
  <c r="I225" i="15"/>
  <c r="N189" i="15"/>
  <c r="N221" i="15"/>
  <c r="N192" i="15"/>
  <c r="N224" i="15"/>
  <c r="I194" i="15"/>
  <c r="I226" i="15"/>
  <c r="I197" i="15"/>
  <c r="I229" i="15"/>
  <c r="I253" i="15"/>
  <c r="I321" i="15"/>
  <c r="I264" i="15"/>
  <c r="I238" i="15"/>
  <c r="I270" i="15"/>
  <c r="I249" i="15"/>
  <c r="I284" i="15"/>
  <c r="N253" i="15"/>
  <c r="N321" i="15"/>
  <c r="N264" i="15"/>
  <c r="N243" i="15"/>
  <c r="I285" i="15"/>
  <c r="J96" i="15"/>
  <c r="O89" i="15"/>
  <c r="O80" i="15"/>
  <c r="J73" i="15"/>
  <c r="G3" i="15"/>
  <c r="O272" i="15" s="1"/>
  <c r="I170" i="15"/>
  <c r="N158" i="15"/>
  <c r="N225" i="15"/>
  <c r="I160" i="15"/>
  <c r="I155" i="15"/>
  <c r="I216" i="15"/>
  <c r="N131" i="15"/>
  <c r="N167" i="15"/>
  <c r="N196" i="15"/>
  <c r="N228" i="15"/>
  <c r="N199" i="15"/>
  <c r="N231" i="15"/>
  <c r="N194" i="15"/>
  <c r="N226" i="15"/>
  <c r="I196" i="15"/>
  <c r="I228" i="15"/>
  <c r="I199" i="15"/>
  <c r="I231" i="15"/>
  <c r="N195" i="15"/>
  <c r="N227" i="15"/>
  <c r="N198" i="15"/>
  <c r="N230" i="15"/>
  <c r="N254" i="15"/>
  <c r="N322" i="15"/>
  <c r="N265" i="15"/>
  <c r="N239" i="15"/>
  <c r="N271" i="15"/>
  <c r="N250" i="15"/>
  <c r="N285" i="15"/>
  <c r="I260" i="15"/>
  <c r="I239" i="15"/>
  <c r="I271" i="15"/>
  <c r="I250" i="15"/>
  <c r="N286" i="15"/>
  <c r="N73" i="15"/>
  <c r="N106" i="15"/>
  <c r="I75" i="15"/>
  <c r="I109" i="15"/>
  <c r="I148" i="15"/>
  <c r="I131" i="15"/>
  <c r="I167" i="15"/>
  <c r="I134" i="15"/>
  <c r="N171" i="15"/>
  <c r="I165" i="15"/>
  <c r="N252" i="15"/>
  <c r="N161" i="15"/>
  <c r="N156" i="15"/>
  <c r="N233" i="15"/>
  <c r="I138" i="15"/>
  <c r="I174" i="15"/>
  <c r="I203" i="15"/>
  <c r="N235" i="15"/>
  <c r="I206" i="15"/>
  <c r="I243" i="15"/>
  <c r="I201" i="15"/>
  <c r="I233" i="15"/>
  <c r="N197" i="15"/>
  <c r="N229" i="15"/>
  <c r="N200" i="15"/>
  <c r="N232" i="15"/>
  <c r="I202" i="15"/>
  <c r="I234" i="15"/>
  <c r="I205" i="15"/>
  <c r="I235" i="15"/>
  <c r="I261" i="15"/>
  <c r="I240" i="15"/>
  <c r="I272" i="15"/>
  <c r="I246" i="15"/>
  <c r="I281" i="15"/>
  <c r="I257" i="15"/>
  <c r="I325" i="15"/>
  <c r="N261" i="15"/>
  <c r="N240" i="15"/>
  <c r="N272" i="15"/>
  <c r="N251" i="15"/>
  <c r="I62" i="15"/>
  <c r="I98" i="15"/>
  <c r="I161" i="15"/>
  <c r="I115" i="15"/>
  <c r="N117" i="15"/>
  <c r="I83" i="15"/>
  <c r="N122" i="15"/>
  <c r="N87" i="15"/>
  <c r="I125" i="15"/>
  <c r="I81" i="15"/>
  <c r="I117" i="15"/>
  <c r="N77" i="15"/>
  <c r="N119" i="15"/>
  <c r="N149" i="15"/>
  <c r="N132" i="15"/>
  <c r="N168" i="15"/>
  <c r="I146" i="15"/>
  <c r="N130" i="15"/>
  <c r="N166" i="15"/>
  <c r="I132" i="15"/>
  <c r="I168" i="15"/>
  <c r="I163" i="15"/>
  <c r="N320" i="15"/>
  <c r="N143" i="15"/>
  <c r="N175" i="15"/>
  <c r="N204" i="15"/>
  <c r="I275" i="15"/>
  <c r="N207" i="15"/>
  <c r="N260" i="15"/>
  <c r="N202" i="15"/>
  <c r="N234" i="15"/>
  <c r="I204" i="15"/>
  <c r="N236" i="15"/>
  <c r="I207" i="15"/>
  <c r="N276" i="15"/>
  <c r="N203" i="15"/>
  <c r="N244" i="15"/>
  <c r="N206" i="15"/>
  <c r="I267" i="15"/>
  <c r="N262" i="15"/>
  <c r="N241" i="15"/>
  <c r="N273" i="15"/>
  <c r="N247" i="15"/>
  <c r="N282" i="15"/>
  <c r="N258" i="15"/>
  <c r="I236" i="15"/>
  <c r="I268" i="15"/>
  <c r="I247" i="15"/>
  <c r="I282" i="15"/>
  <c r="I258" i="15"/>
  <c r="N36" i="15"/>
  <c r="N12" i="15"/>
  <c r="N63" i="15"/>
  <c r="I22" i="15"/>
  <c r="N58" i="15"/>
  <c r="N45" i="15"/>
  <c r="I12" i="15"/>
  <c r="I87" i="15"/>
  <c r="I106" i="15"/>
  <c r="I85" i="15"/>
  <c r="N121" i="15"/>
  <c r="I119" i="15"/>
  <c r="N84" i="15"/>
  <c r="N127" i="15"/>
  <c r="I94" i="15"/>
  <c r="N134" i="15"/>
  <c r="N82" i="15"/>
  <c r="I121" i="15"/>
  <c r="I84" i="15"/>
  <c r="I126" i="15"/>
  <c r="I156" i="15"/>
  <c r="I143" i="15"/>
  <c r="I175" i="15"/>
  <c r="N147" i="15"/>
  <c r="I137" i="15"/>
  <c r="I173" i="15"/>
  <c r="N133" i="15"/>
  <c r="N169" i="15"/>
  <c r="N164" i="15"/>
  <c r="I110" i="15"/>
  <c r="I150" i="15"/>
  <c r="I179" i="15"/>
  <c r="I211" i="15"/>
  <c r="I182" i="15"/>
  <c r="I214" i="15"/>
  <c r="I286" i="15"/>
  <c r="I209" i="15"/>
  <c r="N268" i="15"/>
  <c r="N205" i="15"/>
  <c r="I251" i="15"/>
  <c r="N208" i="15"/>
  <c r="I178" i="15"/>
  <c r="I210" i="15"/>
  <c r="I181" i="15"/>
  <c r="I213" i="15"/>
  <c r="I237" i="15"/>
  <c r="I269" i="15"/>
  <c r="I248" i="15"/>
  <c r="I283" i="15"/>
  <c r="I254" i="15"/>
  <c r="I322" i="15"/>
  <c r="I265" i="15"/>
  <c r="N237" i="15"/>
  <c r="N269" i="15"/>
  <c r="N248" i="15"/>
  <c r="N283" i="15"/>
  <c r="I266" i="15"/>
  <c r="I34" i="15"/>
  <c r="I64" i="15"/>
  <c r="I37" i="15"/>
  <c r="N71" i="15"/>
  <c r="N49" i="15"/>
  <c r="I43" i="15"/>
  <c r="N31" i="15"/>
  <c r="N64" i="15"/>
  <c r="I33" i="15"/>
  <c r="N83" i="15"/>
  <c r="I52" i="15"/>
  <c r="I31" i="15"/>
  <c r="N124" i="15"/>
  <c r="N116" i="15"/>
  <c r="N86" i="15"/>
  <c r="N125" i="15"/>
  <c r="I124" i="15"/>
  <c r="I91" i="15"/>
  <c r="N128" i="15"/>
  <c r="N95" i="15"/>
  <c r="I145" i="15"/>
  <c r="I89" i="15"/>
  <c r="I129" i="15"/>
  <c r="N85" i="15"/>
  <c r="I153" i="15"/>
  <c r="N157" i="15"/>
  <c r="N144" i="15"/>
  <c r="N176" i="15"/>
  <c r="I154" i="15"/>
  <c r="N138" i="15"/>
  <c r="N174" i="15"/>
  <c r="I144" i="15"/>
  <c r="I176" i="15"/>
  <c r="I171" i="15"/>
  <c r="N115" i="15"/>
  <c r="N151" i="15"/>
  <c r="N180" i="15"/>
  <c r="N212" i="15"/>
  <c r="N183" i="15"/>
  <c r="N215" i="15"/>
  <c r="N178" i="15"/>
  <c r="N210" i="15"/>
  <c r="I180" i="15"/>
  <c r="I212" i="15"/>
  <c r="I183" i="15"/>
  <c r="I215" i="15"/>
  <c r="N179" i="15"/>
  <c r="N211" i="15"/>
  <c r="N182" i="15"/>
  <c r="N214" i="15"/>
  <c r="N238" i="15"/>
  <c r="N270" i="15"/>
  <c r="N249" i="15"/>
  <c r="N284" i="15"/>
  <c r="N255" i="15"/>
  <c r="N323" i="15"/>
  <c r="N266" i="15"/>
  <c r="I244" i="15"/>
  <c r="I276" i="15"/>
  <c r="I255" i="15"/>
  <c r="I323" i="15"/>
  <c r="N267" i="15"/>
  <c r="N35" i="15"/>
  <c r="I70" i="15"/>
  <c r="N38" i="15"/>
  <c r="I80" i="15"/>
  <c r="N55" i="15"/>
  <c r="I51" i="15"/>
  <c r="I38" i="15"/>
  <c r="N65" i="15"/>
  <c r="N34" i="15"/>
  <c r="N88" i="15"/>
  <c r="I55" i="15"/>
  <c r="N32" i="15"/>
  <c r="I127" i="15"/>
  <c r="I118" i="15"/>
  <c r="I93" i="15"/>
  <c r="I96" i="15"/>
  <c r="N126" i="15"/>
  <c r="N92" i="15"/>
  <c r="I60" i="15"/>
  <c r="I102" i="15"/>
  <c r="N162" i="15"/>
  <c r="N90" i="15"/>
  <c r="I224" i="15"/>
  <c r="I92" i="15"/>
  <c r="N170" i="15"/>
  <c r="I164" i="15"/>
  <c r="I151" i="15"/>
  <c r="N185" i="15"/>
  <c r="N155" i="15"/>
  <c r="I149" i="15"/>
  <c r="N177" i="15"/>
  <c r="N145" i="15"/>
  <c r="N136" i="15"/>
  <c r="N172" i="15"/>
  <c r="I122" i="15"/>
  <c r="I158" i="15"/>
  <c r="I187" i="15"/>
  <c r="I219" i="15"/>
  <c r="I190" i="15"/>
  <c r="I222" i="15"/>
  <c r="I185" i="15"/>
  <c r="I217" i="15"/>
  <c r="N181" i="15"/>
  <c r="N213" i="15"/>
  <c r="N184" i="15"/>
  <c r="N216" i="15"/>
  <c r="I186" i="15"/>
  <c r="I218" i="15"/>
  <c r="I189" i="15"/>
  <c r="I221" i="15"/>
  <c r="I245" i="15"/>
  <c r="I280" i="15"/>
  <c r="I256" i="15"/>
  <c r="I324" i="15"/>
  <c r="I262" i="15"/>
  <c r="I241" i="15"/>
  <c r="I273" i="15"/>
  <c r="N245" i="15"/>
  <c r="N280" i="15"/>
  <c r="N256" i="15"/>
  <c r="N324" i="15"/>
  <c r="I274" i="15"/>
  <c r="I42" i="15"/>
  <c r="N78" i="15"/>
  <c r="I45" i="15"/>
  <c r="N15" i="15"/>
  <c r="N70" i="15"/>
  <c r="N52" i="15"/>
  <c r="N39" i="15"/>
  <c r="I67" i="15"/>
  <c r="I41" i="15"/>
  <c r="N96" i="15"/>
  <c r="N60" i="15"/>
  <c r="I39" i="15"/>
  <c r="I128" i="15"/>
  <c r="N120" i="15"/>
  <c r="N94" i="15"/>
  <c r="N97" i="15"/>
  <c r="N154" i="15"/>
  <c r="N100" i="15"/>
  <c r="I68" i="15"/>
  <c r="N103" i="15"/>
  <c r="I177" i="15"/>
  <c r="I97" i="15"/>
  <c r="I58" i="15"/>
  <c r="N93" i="15"/>
  <c r="N129" i="15"/>
  <c r="N165" i="15"/>
  <c r="N152" i="15"/>
  <c r="I200" i="15"/>
  <c r="I162" i="15"/>
  <c r="N150" i="15"/>
  <c r="N193" i="15"/>
  <c r="I152" i="15"/>
  <c r="I147" i="15"/>
  <c r="I184" i="15"/>
  <c r="N123" i="15"/>
  <c r="N159" i="15"/>
  <c r="N188" i="15"/>
  <c r="N220" i="15"/>
  <c r="N191" i="15"/>
  <c r="N223" i="15"/>
  <c r="N186" i="15"/>
  <c r="N218" i="15"/>
  <c r="I188" i="15"/>
  <c r="I220" i="15"/>
  <c r="I191" i="15"/>
  <c r="I223" i="15"/>
  <c r="N187" i="15"/>
  <c r="N219" i="15"/>
  <c r="N190" i="15"/>
  <c r="N222" i="15"/>
  <c r="N246" i="15"/>
  <c r="N281" i="15"/>
  <c r="N257" i="15"/>
  <c r="N325" i="15"/>
  <c r="N263" i="15"/>
  <c r="N242" i="15"/>
  <c r="N274" i="15"/>
  <c r="I252" i="15"/>
  <c r="I320" i="15"/>
  <c r="I263" i="15"/>
  <c r="I242" i="15"/>
  <c r="N146" i="14"/>
  <c r="N177" i="14"/>
  <c r="I156" i="14"/>
  <c r="I194" i="14"/>
  <c r="N152" i="14"/>
  <c r="I196" i="14"/>
  <c r="N155" i="14"/>
  <c r="N189" i="14"/>
  <c r="N138" i="14"/>
  <c r="N184" i="14"/>
  <c r="N145" i="14"/>
  <c r="N180" i="14"/>
  <c r="N250" i="14"/>
  <c r="I215" i="14"/>
  <c r="N227" i="14"/>
  <c r="I197" i="14"/>
  <c r="I229" i="14"/>
  <c r="N193" i="14"/>
  <c r="N225" i="14"/>
  <c r="N196" i="14"/>
  <c r="N228" i="14"/>
  <c r="N183" i="14"/>
  <c r="N215" i="14"/>
  <c r="N275" i="14"/>
  <c r="N285" i="14"/>
  <c r="I260" i="14"/>
  <c r="I237" i="14"/>
  <c r="I269" i="14"/>
  <c r="I248" i="14"/>
  <c r="I283" i="14"/>
  <c r="I251" i="14"/>
  <c r="N320" i="14"/>
  <c r="N263" i="14"/>
  <c r="I153" i="14"/>
  <c r="I180" i="14"/>
  <c r="N157" i="14"/>
  <c r="N197" i="14"/>
  <c r="I159" i="14"/>
  <c r="N219" i="14"/>
  <c r="I162" i="14"/>
  <c r="I193" i="14"/>
  <c r="I149" i="14"/>
  <c r="I188" i="14"/>
  <c r="I152" i="14"/>
  <c r="I183" i="14"/>
  <c r="I255" i="14"/>
  <c r="N216" i="14"/>
  <c r="I241" i="14"/>
  <c r="N198" i="14"/>
  <c r="N230" i="14"/>
  <c r="I200" i="14"/>
  <c r="I232" i="14"/>
  <c r="I203" i="14"/>
  <c r="I250" i="14"/>
  <c r="I190" i="14"/>
  <c r="I222" i="14"/>
  <c r="I257" i="14"/>
  <c r="I325" i="14"/>
  <c r="N261" i="14"/>
  <c r="N238" i="14"/>
  <c r="N270" i="14"/>
  <c r="N249" i="14"/>
  <c r="N284" i="14"/>
  <c r="N252" i="14"/>
  <c r="I238" i="14"/>
  <c r="I270" i="14"/>
  <c r="N33" i="14"/>
  <c r="I73" i="14"/>
  <c r="I92" i="14"/>
  <c r="I128" i="14"/>
  <c r="I103" i="14"/>
  <c r="N156" i="14"/>
  <c r="I106" i="14"/>
  <c r="I150" i="14"/>
  <c r="N94" i="14"/>
  <c r="N130" i="14"/>
  <c r="I88" i="14"/>
  <c r="I124" i="14"/>
  <c r="N210" i="14"/>
  <c r="I119" i="14"/>
  <c r="I179" i="14"/>
  <c r="N154" i="14"/>
  <c r="N182" i="14"/>
  <c r="I164" i="14"/>
  <c r="I201" i="14"/>
  <c r="N160" i="14"/>
  <c r="N226" i="14"/>
  <c r="N163" i="14"/>
  <c r="N194" i="14"/>
  <c r="N150" i="14"/>
  <c r="N211" i="14"/>
  <c r="N153" i="14"/>
  <c r="N186" i="14"/>
  <c r="I191" i="14"/>
  <c r="I223" i="14"/>
  <c r="I258" i="14"/>
  <c r="I205" i="14"/>
  <c r="N233" i="14"/>
  <c r="N201" i="14"/>
  <c r="N251" i="14"/>
  <c r="N204" i="14"/>
  <c r="N256" i="14"/>
  <c r="N191" i="14"/>
  <c r="N223" i="14"/>
  <c r="N258" i="14"/>
  <c r="I236" i="14"/>
  <c r="I268" i="14"/>
  <c r="I245" i="14"/>
  <c r="I280" i="14"/>
  <c r="I256" i="14"/>
  <c r="I324" i="14"/>
  <c r="N260" i="14"/>
  <c r="N239" i="14"/>
  <c r="N271" i="14"/>
  <c r="I60" i="14"/>
  <c r="I212" i="14"/>
  <c r="N56" i="14"/>
  <c r="N35" i="14"/>
  <c r="I75" i="14"/>
  <c r="I45" i="14"/>
  <c r="N90" i="14"/>
  <c r="N41" i="14"/>
  <c r="N74" i="14"/>
  <c r="N93" i="14"/>
  <c r="N129" i="14"/>
  <c r="N104" i="14"/>
  <c r="N172" i="14"/>
  <c r="N107" i="14"/>
  <c r="I166" i="14"/>
  <c r="I101" i="14"/>
  <c r="N137" i="14"/>
  <c r="N89" i="14"/>
  <c r="N125" i="14"/>
  <c r="I83" i="14"/>
  <c r="N120" i="14"/>
  <c r="N181" i="14"/>
  <c r="I161" i="14"/>
  <c r="N195" i="14"/>
  <c r="N165" i="14"/>
  <c r="N202" i="14"/>
  <c r="I167" i="14"/>
  <c r="N240" i="14"/>
  <c r="I170" i="14"/>
  <c r="I218" i="14"/>
  <c r="I157" i="14"/>
  <c r="I220" i="14"/>
  <c r="I160" i="14"/>
  <c r="I210" i="14"/>
  <c r="N192" i="14"/>
  <c r="N224" i="14"/>
  <c r="I263" i="14"/>
  <c r="N206" i="14"/>
  <c r="N234" i="14"/>
  <c r="I208" i="14"/>
  <c r="I266" i="14"/>
  <c r="I211" i="14"/>
  <c r="I271" i="14"/>
  <c r="I198" i="14"/>
  <c r="I230" i="14"/>
  <c r="I265" i="14"/>
  <c r="N237" i="14"/>
  <c r="N269" i="14"/>
  <c r="N246" i="14"/>
  <c r="N281" i="14"/>
  <c r="N257" i="14"/>
  <c r="N325" i="14"/>
  <c r="I267" i="14"/>
  <c r="I246" i="14"/>
  <c r="I281" i="14"/>
  <c r="N68" i="14"/>
  <c r="N31" i="14"/>
  <c r="I89" i="14"/>
  <c r="N71" i="14"/>
  <c r="N203" i="14"/>
  <c r="N50" i="14"/>
  <c r="N13" i="14"/>
  <c r="I68" i="14"/>
  <c r="I12" i="14"/>
  <c r="I63" i="14"/>
  <c r="I42" i="14"/>
  <c r="N98" i="14"/>
  <c r="N46" i="14"/>
  <c r="I110" i="14"/>
  <c r="I48" i="14"/>
  <c r="I87" i="14"/>
  <c r="I100" i="14"/>
  <c r="I136" i="14"/>
  <c r="I115" i="14"/>
  <c r="I209" i="14"/>
  <c r="I118" i="14"/>
  <c r="N185" i="14"/>
  <c r="N102" i="14"/>
  <c r="I155" i="14"/>
  <c r="I96" i="14"/>
  <c r="I132" i="14"/>
  <c r="N84" i="14"/>
  <c r="I127" i="14"/>
  <c r="I184" i="14"/>
  <c r="N162" i="14"/>
  <c r="I204" i="14"/>
  <c r="I172" i="14"/>
  <c r="N286" i="14"/>
  <c r="N168" i="14"/>
  <c r="I249" i="14"/>
  <c r="N171" i="14"/>
  <c r="N221" i="14"/>
  <c r="N158" i="14"/>
  <c r="I234" i="14"/>
  <c r="N161" i="14"/>
  <c r="N213" i="14"/>
  <c r="I199" i="14"/>
  <c r="I231" i="14"/>
  <c r="N267" i="14"/>
  <c r="I213" i="14"/>
  <c r="N272" i="14"/>
  <c r="N209" i="14"/>
  <c r="I282" i="14"/>
  <c r="N212" i="14"/>
  <c r="I323" i="14"/>
  <c r="N199" i="14"/>
  <c r="N231" i="14"/>
  <c r="N266" i="14"/>
  <c r="I244" i="14"/>
  <c r="I276" i="14"/>
  <c r="I253" i="14"/>
  <c r="I321" i="14"/>
  <c r="I264" i="14"/>
  <c r="I235" i="14"/>
  <c r="N268" i="14"/>
  <c r="N247" i="14"/>
  <c r="N282" i="14"/>
  <c r="N55" i="14"/>
  <c r="N47" i="14"/>
  <c r="N12" i="14"/>
  <c r="I81" i="14"/>
  <c r="I15" i="14"/>
  <c r="I57" i="14"/>
  <c r="N24" i="14"/>
  <c r="N69" i="14"/>
  <c r="I31" i="14"/>
  <c r="N64" i="14"/>
  <c r="N43" i="14"/>
  <c r="I105" i="14"/>
  <c r="I53" i="14"/>
  <c r="N126" i="14"/>
  <c r="N49" i="14"/>
  <c r="I97" i="14"/>
  <c r="N101" i="14"/>
  <c r="N151" i="14"/>
  <c r="N116" i="14"/>
  <c r="I82" i="14"/>
  <c r="N119" i="14"/>
  <c r="I77" i="14"/>
  <c r="I109" i="14"/>
  <c r="I171" i="14"/>
  <c r="N97" i="14"/>
  <c r="N133" i="14"/>
  <c r="I91" i="14"/>
  <c r="N128" i="14"/>
  <c r="I228" i="14"/>
  <c r="I169" i="14"/>
  <c r="I233" i="14"/>
  <c r="I176" i="14"/>
  <c r="I143" i="14"/>
  <c r="N174" i="14"/>
  <c r="I146" i="14"/>
  <c r="I177" i="14"/>
  <c r="I225" i="14"/>
  <c r="I165" i="14"/>
  <c r="I242" i="14"/>
  <c r="I168" i="14"/>
  <c r="I217" i="14"/>
  <c r="N200" i="14"/>
  <c r="N232" i="14"/>
  <c r="I285" i="14"/>
  <c r="N214" i="14"/>
  <c r="N283" i="14"/>
  <c r="I216" i="14"/>
  <c r="I187" i="14"/>
  <c r="I219" i="14"/>
  <c r="I174" i="14"/>
  <c r="I206" i="14"/>
  <c r="N243" i="14"/>
  <c r="I273" i="14"/>
  <c r="N245" i="14"/>
  <c r="N280" i="14"/>
  <c r="N254" i="14"/>
  <c r="N322" i="14"/>
  <c r="N265" i="14"/>
  <c r="N236" i="14"/>
  <c r="I275" i="14"/>
  <c r="I254" i="14"/>
  <c r="I322" i="14"/>
  <c r="I67" i="14"/>
  <c r="I59" i="14"/>
  <c r="I46" i="14"/>
  <c r="I86" i="14"/>
  <c r="I22" i="14"/>
  <c r="N58" i="14"/>
  <c r="I36" i="14"/>
  <c r="I78" i="14"/>
  <c r="N32" i="14"/>
  <c r="I71" i="14"/>
  <c r="I50" i="14"/>
  <c r="I133" i="14"/>
  <c r="N62" i="14"/>
  <c r="J267" i="14"/>
  <c r="O325" i="14"/>
  <c r="O257" i="14"/>
  <c r="O281" i="14"/>
  <c r="O246" i="14"/>
  <c r="O267" i="14"/>
  <c r="J234" i="14"/>
  <c r="O258" i="14"/>
  <c r="O212" i="14"/>
  <c r="J224" i="14"/>
  <c r="J221" i="14"/>
  <c r="O219" i="14"/>
  <c r="O187" i="14"/>
  <c r="O240" i="14"/>
  <c r="J212" i="14"/>
  <c r="J222" i="14"/>
  <c r="O150" i="14"/>
  <c r="J215" i="14"/>
  <c r="O171" i="14"/>
  <c r="O245" i="14"/>
  <c r="O160" i="14"/>
  <c r="O202" i="14"/>
  <c r="J176" i="14"/>
  <c r="O210" i="14"/>
  <c r="J207" i="14"/>
  <c r="J96" i="14"/>
  <c r="J93" i="14"/>
  <c r="J134" i="14"/>
  <c r="O91" i="14"/>
  <c r="O161" i="14"/>
  <c r="O104" i="14"/>
  <c r="J260" i="14"/>
  <c r="J120" i="14"/>
  <c r="J217" i="14"/>
  <c r="J117" i="14"/>
  <c r="J81" i="14"/>
  <c r="J53" i="14"/>
  <c r="O176" i="14"/>
  <c r="O48" i="14"/>
  <c r="O45" i="14"/>
  <c r="G3" i="14"/>
  <c r="O260" i="14" s="1"/>
  <c r="J102" i="14"/>
  <c r="O42" i="14"/>
  <c r="J15" i="14"/>
  <c r="O136" i="14"/>
  <c r="J83" i="14"/>
  <c r="O71" i="14"/>
  <c r="J46" i="14"/>
  <c r="J38" i="14"/>
  <c r="O103" i="14"/>
  <c r="O68" i="14"/>
  <c r="J119" i="14"/>
  <c r="J48" i="14"/>
  <c r="O22" i="14"/>
  <c r="J67" i="14"/>
  <c r="J56" i="14"/>
  <c r="O153" i="14"/>
  <c r="J91" i="14"/>
  <c r="J73" i="14"/>
  <c r="O26" i="14"/>
  <c r="I56" i="14"/>
  <c r="N118" i="14"/>
  <c r="I108" i="14"/>
  <c r="N167" i="14"/>
  <c r="I123" i="14"/>
  <c r="N83" i="14"/>
  <c r="I126" i="14"/>
  <c r="N78" i="14"/>
  <c r="N110" i="14"/>
  <c r="I202" i="14"/>
  <c r="I104" i="14"/>
  <c r="N143" i="14"/>
  <c r="N92" i="14"/>
  <c r="N136" i="14"/>
  <c r="I239" i="14"/>
  <c r="N170" i="14"/>
  <c r="N235" i="14"/>
  <c r="N178" i="14"/>
  <c r="N144" i="14"/>
  <c r="I181" i="14"/>
  <c r="N147" i="14"/>
  <c r="N179" i="14"/>
  <c r="I274" i="14"/>
  <c r="N166" i="14"/>
  <c r="N264" i="14"/>
  <c r="N169" i="14"/>
  <c r="N218" i="14"/>
  <c r="I207" i="14"/>
  <c r="N242" i="14"/>
  <c r="I189" i="14"/>
  <c r="I221" i="14"/>
  <c r="N324" i="14"/>
  <c r="N217" i="14"/>
  <c r="N188" i="14"/>
  <c r="N220" i="14"/>
  <c r="N175" i="14"/>
  <c r="N207" i="14"/>
  <c r="I247" i="14"/>
  <c r="N274" i="14"/>
  <c r="I252" i="14"/>
  <c r="I320" i="14"/>
  <c r="I261" i="14"/>
  <c r="I240" i="14"/>
  <c r="I272" i="14"/>
  <c r="I243" i="14"/>
  <c r="N276" i="14"/>
  <c r="N255" i="14"/>
  <c r="D3" i="5"/>
  <c r="L282" i="5" s="1"/>
  <c r="F291" i="5"/>
  <c r="I291" i="5"/>
  <c r="J291" i="5"/>
  <c r="K291" i="5"/>
  <c r="N291" i="5"/>
  <c r="O291" i="5"/>
  <c r="F292" i="5"/>
  <c r="I292" i="5"/>
  <c r="J292" i="5"/>
  <c r="K292" i="5"/>
  <c r="N292" i="5"/>
  <c r="O292" i="5"/>
  <c r="F293" i="5"/>
  <c r="I293" i="5"/>
  <c r="J293" i="5"/>
  <c r="K293" i="5"/>
  <c r="N293" i="5"/>
  <c r="O293" i="5"/>
  <c r="F294" i="5"/>
  <c r="I294" i="5"/>
  <c r="J294" i="5"/>
  <c r="K294" i="5"/>
  <c r="N294" i="5"/>
  <c r="O294" i="5"/>
  <c r="F295" i="5"/>
  <c r="I295" i="5"/>
  <c r="J295" i="5"/>
  <c r="K295" i="5"/>
  <c r="N295" i="5"/>
  <c r="O295" i="5"/>
  <c r="F296" i="5"/>
  <c r="I296" i="5"/>
  <c r="J296" i="5"/>
  <c r="K296" i="5"/>
  <c r="N296" i="5"/>
  <c r="O296" i="5"/>
  <c r="F297" i="5"/>
  <c r="I297" i="5"/>
  <c r="J297" i="5"/>
  <c r="K297" i="5"/>
  <c r="N297" i="5"/>
  <c r="O297" i="5"/>
  <c r="F298" i="5"/>
  <c r="I298" i="5"/>
  <c r="J298" i="5"/>
  <c r="K298" i="5"/>
  <c r="N298" i="5"/>
  <c r="O298" i="5"/>
  <c r="F299" i="5"/>
  <c r="I299" i="5"/>
  <c r="J299" i="5"/>
  <c r="K299" i="5"/>
  <c r="N299" i="5"/>
  <c r="O299" i="5"/>
  <c r="F300" i="5"/>
  <c r="I300" i="5"/>
  <c r="J300" i="5"/>
  <c r="K300" i="5"/>
  <c r="N300" i="5"/>
  <c r="O300" i="5"/>
  <c r="F302" i="5"/>
  <c r="I302" i="5"/>
  <c r="J302" i="5"/>
  <c r="K302" i="5"/>
  <c r="N302" i="5"/>
  <c r="O302" i="5"/>
  <c r="F303" i="5"/>
  <c r="I303" i="5"/>
  <c r="J303" i="5"/>
  <c r="K303" i="5"/>
  <c r="N303" i="5"/>
  <c r="O303" i="5"/>
  <c r="F304" i="5"/>
  <c r="I304" i="5"/>
  <c r="J304" i="5"/>
  <c r="K304" i="5"/>
  <c r="N304" i="5"/>
  <c r="O304" i="5"/>
  <c r="F305" i="5"/>
  <c r="I305" i="5"/>
  <c r="J305" i="5"/>
  <c r="K305" i="5"/>
  <c r="N305" i="5"/>
  <c r="O305" i="5"/>
  <c r="F307" i="5"/>
  <c r="I307" i="5"/>
  <c r="J307" i="5"/>
  <c r="K307" i="5"/>
  <c r="N307" i="5"/>
  <c r="O307" i="5"/>
  <c r="F308" i="5"/>
  <c r="I308" i="5"/>
  <c r="J308" i="5"/>
  <c r="K308" i="5"/>
  <c r="N308" i="5"/>
  <c r="O308" i="5"/>
  <c r="F309" i="5"/>
  <c r="I309" i="5"/>
  <c r="J309" i="5"/>
  <c r="K309" i="5"/>
  <c r="N309" i="5"/>
  <c r="O309" i="5"/>
  <c r="F310" i="5"/>
  <c r="I310" i="5"/>
  <c r="J310" i="5"/>
  <c r="K310" i="5"/>
  <c r="N310" i="5"/>
  <c r="O310" i="5"/>
  <c r="F311" i="5"/>
  <c r="I311" i="5"/>
  <c r="J311" i="5"/>
  <c r="K311" i="5"/>
  <c r="N311" i="5"/>
  <c r="O311" i="5"/>
  <c r="F312" i="5"/>
  <c r="I312" i="5"/>
  <c r="J312" i="5"/>
  <c r="K312" i="5"/>
  <c r="N312" i="5"/>
  <c r="O312" i="5"/>
  <c r="F313" i="5"/>
  <c r="I313" i="5"/>
  <c r="J313" i="5"/>
  <c r="K313" i="5"/>
  <c r="N313" i="5"/>
  <c r="O313" i="5"/>
  <c r="F314" i="5"/>
  <c r="G314" i="5"/>
  <c r="I314" i="5"/>
  <c r="J314" i="5"/>
  <c r="K314" i="5"/>
  <c r="L314" i="5"/>
  <c r="N314" i="5"/>
  <c r="O314" i="5"/>
  <c r="F315" i="5"/>
  <c r="G315" i="5"/>
  <c r="I315" i="5"/>
  <c r="J315" i="5"/>
  <c r="K315" i="5"/>
  <c r="L315" i="5"/>
  <c r="N315" i="5"/>
  <c r="O315" i="5"/>
  <c r="F316" i="5"/>
  <c r="G316" i="5"/>
  <c r="I316" i="5"/>
  <c r="J316" i="5"/>
  <c r="K316" i="5"/>
  <c r="L316" i="5"/>
  <c r="N316" i="5"/>
  <c r="O316" i="5"/>
  <c r="O290" i="5"/>
  <c r="N290" i="5"/>
  <c r="K290" i="5"/>
  <c r="J290" i="5"/>
  <c r="I290" i="5"/>
  <c r="F290" i="5"/>
  <c r="F282" i="5"/>
  <c r="K282" i="5"/>
  <c r="F283" i="5"/>
  <c r="K283" i="5"/>
  <c r="F284" i="5"/>
  <c r="K284" i="5"/>
  <c r="F285" i="5"/>
  <c r="K285" i="5"/>
  <c r="F286" i="5"/>
  <c r="K286" i="5"/>
  <c r="K280" i="5"/>
  <c r="F280" i="5"/>
  <c r="K276" i="5"/>
  <c r="K275" i="5"/>
  <c r="K274" i="5"/>
  <c r="O259" i="5"/>
  <c r="N259" i="5"/>
  <c r="M259" i="5"/>
  <c r="L259" i="5"/>
  <c r="K259" i="5"/>
  <c r="J259" i="5"/>
  <c r="I259" i="5"/>
  <c r="H259" i="5"/>
  <c r="F259" i="5"/>
  <c r="K258" i="5"/>
  <c r="K256" i="5"/>
  <c r="K255" i="5"/>
  <c r="K254" i="5"/>
  <c r="K195" i="5"/>
  <c r="K178" i="5"/>
  <c r="K177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0" i="5"/>
  <c r="K149" i="5"/>
  <c r="K14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F135" i="5"/>
  <c r="G135" i="5"/>
  <c r="H135" i="5"/>
  <c r="I135" i="5"/>
  <c r="J135" i="5"/>
  <c r="K135" i="5"/>
  <c r="L135" i="5"/>
  <c r="M135" i="5"/>
  <c r="N135" i="5"/>
  <c r="O135" i="5"/>
  <c r="K136" i="5"/>
  <c r="K138" i="5"/>
  <c r="K115" i="5"/>
  <c r="K32" i="5"/>
  <c r="K33" i="5"/>
  <c r="K34" i="5"/>
  <c r="K35" i="5"/>
  <c r="K36" i="5"/>
  <c r="K37" i="5"/>
  <c r="K38" i="5"/>
  <c r="F40" i="5"/>
  <c r="G40" i="5"/>
  <c r="H40" i="5"/>
  <c r="I40" i="5"/>
  <c r="J40" i="5"/>
  <c r="K40" i="5"/>
  <c r="L40" i="5"/>
  <c r="M40" i="5"/>
  <c r="N40" i="5"/>
  <c r="O40" i="5"/>
  <c r="K41" i="5"/>
  <c r="K42" i="5"/>
  <c r="F44" i="5"/>
  <c r="G44" i="5"/>
  <c r="H44" i="5"/>
  <c r="I44" i="5"/>
  <c r="J44" i="5"/>
  <c r="K44" i="5"/>
  <c r="L44" i="5"/>
  <c r="M44" i="5"/>
  <c r="N44" i="5"/>
  <c r="O44" i="5"/>
  <c r="K45" i="5"/>
  <c r="K46" i="5"/>
  <c r="K48" i="5"/>
  <c r="K49" i="5"/>
  <c r="K51" i="5"/>
  <c r="K52" i="5"/>
  <c r="F54" i="5"/>
  <c r="G54" i="5"/>
  <c r="H54" i="5"/>
  <c r="I54" i="5"/>
  <c r="J54" i="5"/>
  <c r="K54" i="5"/>
  <c r="L54" i="5"/>
  <c r="M54" i="5"/>
  <c r="N54" i="5"/>
  <c r="O54" i="5"/>
  <c r="K55" i="5"/>
  <c r="K56" i="5"/>
  <c r="K58" i="5"/>
  <c r="K59" i="5"/>
  <c r="F61" i="5"/>
  <c r="G61" i="5"/>
  <c r="H61" i="5"/>
  <c r="I61" i="5"/>
  <c r="J61" i="5"/>
  <c r="K61" i="5"/>
  <c r="L61" i="5"/>
  <c r="M61" i="5"/>
  <c r="N61" i="5"/>
  <c r="O61" i="5"/>
  <c r="K62" i="5"/>
  <c r="K64" i="5"/>
  <c r="K65" i="5"/>
  <c r="F79" i="5"/>
  <c r="G79" i="5"/>
  <c r="H79" i="5"/>
  <c r="I79" i="5"/>
  <c r="J79" i="5"/>
  <c r="K79" i="5"/>
  <c r="L79" i="5"/>
  <c r="M79" i="5"/>
  <c r="N79" i="5"/>
  <c r="O79" i="5"/>
  <c r="K80" i="5"/>
  <c r="K82" i="5"/>
  <c r="K84" i="5"/>
  <c r="K85" i="5"/>
  <c r="K86" i="5"/>
  <c r="K87" i="5"/>
  <c r="K88" i="5"/>
  <c r="K89" i="5"/>
  <c r="K91" i="5"/>
  <c r="K92" i="5"/>
  <c r="K93" i="5"/>
  <c r="K94" i="5"/>
  <c r="K95" i="5"/>
  <c r="K96" i="5"/>
  <c r="K97" i="5"/>
  <c r="K98" i="5"/>
  <c r="F99" i="5"/>
  <c r="G99" i="5"/>
  <c r="H99" i="5"/>
  <c r="I99" i="5"/>
  <c r="J99" i="5"/>
  <c r="K99" i="5"/>
  <c r="L99" i="5"/>
  <c r="M99" i="5"/>
  <c r="N99" i="5"/>
  <c r="O99" i="5"/>
  <c r="K100" i="5"/>
  <c r="K101" i="5"/>
  <c r="K102" i="5"/>
  <c r="K103" i="5"/>
  <c r="K109" i="5"/>
  <c r="K110" i="5"/>
  <c r="K31" i="5"/>
  <c r="K16" i="5"/>
  <c r="K13" i="5"/>
  <c r="K12" i="5"/>
  <c r="G323" i="5" l="1"/>
  <c r="L323" i="5"/>
  <c r="L285" i="5"/>
  <c r="J35" i="14"/>
  <c r="O50" i="14"/>
  <c r="J129" i="14"/>
  <c r="J189" i="14"/>
  <c r="J132" i="14"/>
  <c r="J192" i="14"/>
  <c r="J107" i="14"/>
  <c r="J166" i="14"/>
  <c r="O180" i="14"/>
  <c r="O52" i="14"/>
  <c r="O115" i="14"/>
  <c r="O170" i="14"/>
  <c r="J254" i="14"/>
  <c r="J64" i="14"/>
  <c r="O51" i="14"/>
  <c r="O137" i="14"/>
  <c r="J322" i="14"/>
  <c r="J56" i="15"/>
  <c r="J15" i="15"/>
  <c r="O127" i="15"/>
  <c r="O35" i="15"/>
  <c r="J49" i="15"/>
  <c r="J42" i="15"/>
  <c r="O50" i="15"/>
  <c r="O57" i="15"/>
  <c r="O151" i="15"/>
  <c r="O48" i="15"/>
  <c r="J36" i="15"/>
  <c r="O37" i="15"/>
  <c r="J85" i="15"/>
  <c r="O38" i="15"/>
  <c r="J95" i="15"/>
  <c r="J47" i="15"/>
  <c r="J83" i="15"/>
  <c r="J77" i="15"/>
  <c r="O85" i="15"/>
  <c r="J37" i="15"/>
  <c r="O88" i="15"/>
  <c r="J45" i="15"/>
  <c r="J128" i="15"/>
  <c r="O22" i="15"/>
  <c r="J130" i="15"/>
  <c r="J32" i="15"/>
  <c r="O143" i="15"/>
  <c r="O126" i="15"/>
  <c r="O59" i="15"/>
  <c r="O43" i="15"/>
  <c r="O77" i="15"/>
  <c r="O26" i="15"/>
  <c r="O70" i="15"/>
  <c r="J115" i="15"/>
  <c r="J100" i="15"/>
  <c r="O78" i="15"/>
  <c r="J123" i="15"/>
  <c r="J21" i="15"/>
  <c r="O121" i="15"/>
  <c r="O168" i="16"/>
  <c r="J284" i="16"/>
  <c r="O235" i="16"/>
  <c r="J267" i="16"/>
  <c r="O276" i="16"/>
  <c r="J131" i="16"/>
  <c r="O68" i="16"/>
  <c r="O171" i="16"/>
  <c r="O203" i="16"/>
  <c r="J34" i="16"/>
  <c r="J323" i="16"/>
  <c r="O214" i="16"/>
  <c r="O15" i="16"/>
  <c r="O52" i="16"/>
  <c r="J322" i="16"/>
  <c r="J250" i="16"/>
  <c r="O272" i="16"/>
  <c r="O201" i="16"/>
  <c r="J55" i="16"/>
  <c r="O145" i="16"/>
  <c r="O232" i="16"/>
  <c r="J63" i="16"/>
  <c r="O187" i="16"/>
  <c r="O224" i="16"/>
  <c r="O256" i="16"/>
  <c r="J187" i="16"/>
  <c r="O252" i="16"/>
  <c r="J165" i="16"/>
  <c r="J87" i="16"/>
  <c r="J82" i="16"/>
  <c r="O146" i="16"/>
  <c r="O132" i="16"/>
  <c r="O195" i="16"/>
  <c r="O242" i="16"/>
  <c r="O218" i="16"/>
  <c r="J48" i="16"/>
  <c r="J148" i="16"/>
  <c r="J282" i="16"/>
  <c r="J133" i="16"/>
  <c r="O169" i="16"/>
  <c r="O253" i="16"/>
  <c r="J271" i="16"/>
  <c r="O266" i="16"/>
  <c r="O268" i="16"/>
  <c r="J210" i="16"/>
  <c r="J46" i="16"/>
  <c r="O17" i="16"/>
  <c r="O223" i="16"/>
  <c r="O71" i="16"/>
  <c r="J94" i="16"/>
  <c r="O73" i="16"/>
  <c r="J238" i="16"/>
  <c r="O41" i="16"/>
  <c r="J120" i="16"/>
  <c r="O102" i="16"/>
  <c r="O46" i="16"/>
  <c r="O275" i="16"/>
  <c r="J181" i="16"/>
  <c r="J126" i="16"/>
  <c r="O39" i="16"/>
  <c r="J261" i="16"/>
  <c r="O94" i="16"/>
  <c r="O162" i="16"/>
  <c r="J86" i="16"/>
  <c r="J219" i="16"/>
  <c r="O164" i="16"/>
  <c r="J124" i="16"/>
  <c r="O91" i="16"/>
  <c r="J143" i="16"/>
  <c r="J266" i="16"/>
  <c r="O74" i="16"/>
  <c r="J109" i="16"/>
  <c r="J209" i="16"/>
  <c r="O170" i="16"/>
  <c r="O263" i="16"/>
  <c r="J163" i="16"/>
  <c r="J207" i="16"/>
  <c r="J201" i="16"/>
  <c r="J174" i="16"/>
  <c r="O217" i="16"/>
  <c r="J251" i="16"/>
  <c r="J91" i="16"/>
  <c r="O283" i="16"/>
  <c r="J247" i="16"/>
  <c r="O186" i="16"/>
  <c r="J264" i="16"/>
  <c r="O237" i="16"/>
  <c r="J35" i="16"/>
  <c r="J158" i="16"/>
  <c r="O13" i="16"/>
  <c r="J13" i="16"/>
  <c r="J234" i="16"/>
  <c r="J197" i="16"/>
  <c r="J77" i="16"/>
  <c r="O244" i="16"/>
  <c r="J184" i="16"/>
  <c r="J193" i="16"/>
  <c r="O82" i="16"/>
  <c r="J255" i="16"/>
  <c r="J186" i="16"/>
  <c r="O243" i="16"/>
  <c r="O155" i="16"/>
  <c r="J150" i="16"/>
  <c r="J118" i="16"/>
  <c r="J101" i="16"/>
  <c r="O48" i="16"/>
  <c r="O200" i="16"/>
  <c r="J258" i="16"/>
  <c r="O178" i="16"/>
  <c r="J17" i="16"/>
  <c r="J31" i="16"/>
  <c r="J168" i="16"/>
  <c r="O130" i="16"/>
  <c r="O97" i="16"/>
  <c r="O153" i="16"/>
  <c r="O238" i="16"/>
  <c r="J206" i="16"/>
  <c r="O281" i="16"/>
  <c r="O67" i="16"/>
  <c r="J325" i="16"/>
  <c r="O225" i="16"/>
  <c r="O37" i="16"/>
  <c r="J189" i="16"/>
  <c r="J43" i="16"/>
  <c r="O182" i="16"/>
  <c r="O147" i="16"/>
  <c r="O108" i="16"/>
  <c r="O158" i="16"/>
  <c r="J324" i="16"/>
  <c r="J212" i="16"/>
  <c r="J38" i="16"/>
  <c r="J84" i="16"/>
  <c r="O117" i="16"/>
  <c r="J240" i="16"/>
  <c r="J47" i="16"/>
  <c r="J270" i="16"/>
  <c r="O159" i="16"/>
  <c r="J45" i="16"/>
  <c r="J190" i="16"/>
  <c r="J162" i="16"/>
  <c r="O115" i="16"/>
  <c r="J164" i="16"/>
  <c r="O202" i="16"/>
  <c r="J235" i="16"/>
  <c r="O43" i="16"/>
  <c r="O89" i="16"/>
  <c r="J132" i="16"/>
  <c r="O245" i="16"/>
  <c r="O124" i="16"/>
  <c r="O322" i="16"/>
  <c r="O248" i="16"/>
  <c r="J257" i="16"/>
  <c r="O104" i="16"/>
  <c r="J248" i="16"/>
  <c r="O231" i="16"/>
  <c r="J115" i="16"/>
  <c r="O320" i="16"/>
  <c r="J230" i="16"/>
  <c r="J147" i="16"/>
  <c r="J172" i="16"/>
  <c r="J149" i="16"/>
  <c r="J253" i="16"/>
  <c r="J24" i="16"/>
  <c r="J67" i="16"/>
  <c r="O324" i="16"/>
  <c r="O255" i="16"/>
  <c r="J75" i="16"/>
  <c r="O22" i="16"/>
  <c r="O123" i="16"/>
  <c r="J90" i="16"/>
  <c r="J89" i="16"/>
  <c r="J70" i="16"/>
  <c r="J116" i="16"/>
  <c r="O246" i="16"/>
  <c r="O55" i="16"/>
  <c r="O228" i="16"/>
  <c r="J244" i="16"/>
  <c r="J137" i="16"/>
  <c r="O166" i="16"/>
  <c r="O220" i="16"/>
  <c r="J252" i="16"/>
  <c r="J58" i="16"/>
  <c r="J104" i="16"/>
  <c r="O137" i="16"/>
  <c r="J260" i="16"/>
  <c r="O96" i="16"/>
  <c r="J50" i="16"/>
  <c r="O128" i="16"/>
  <c r="O282" i="16"/>
  <c r="J154" i="16"/>
  <c r="O247" i="16"/>
  <c r="O285" i="16"/>
  <c r="J170" i="16"/>
  <c r="O188" i="16"/>
  <c r="O227" i="16"/>
  <c r="J78" i="16"/>
  <c r="O63" i="16"/>
  <c r="O109" i="16"/>
  <c r="J156" i="16"/>
  <c r="O265" i="16"/>
  <c r="J204" i="16"/>
  <c r="O65" i="16"/>
  <c r="O70" i="16"/>
  <c r="J157" i="16"/>
  <c r="O53" i="16"/>
  <c r="O207" i="16"/>
  <c r="O160" i="16"/>
  <c r="J274" i="16"/>
  <c r="J85" i="16"/>
  <c r="J105" i="16"/>
  <c r="O21" i="16"/>
  <c r="O174" i="16"/>
  <c r="O34" i="16"/>
  <c r="O26" i="16"/>
  <c r="J95" i="16"/>
  <c r="O88" i="16"/>
  <c r="O152" i="16"/>
  <c r="O138" i="16"/>
  <c r="O150" i="16"/>
  <c r="O215" i="16"/>
  <c r="J254" i="16"/>
  <c r="O190" i="16"/>
  <c r="O221" i="16"/>
  <c r="O286" i="16"/>
  <c r="O156" i="16"/>
  <c r="O129" i="16"/>
  <c r="O273" i="16"/>
  <c r="O86" i="16"/>
  <c r="O136" i="16"/>
  <c r="O213" i="16"/>
  <c r="J185" i="16"/>
  <c r="J281" i="16"/>
  <c r="O49" i="16"/>
  <c r="J12" i="16"/>
  <c r="J92" i="16"/>
  <c r="O198" i="16"/>
  <c r="O75" i="16"/>
  <c r="O267" i="16"/>
  <c r="O33" i="16"/>
  <c r="J229" i="16"/>
  <c r="J88" i="16"/>
  <c r="O121" i="16"/>
  <c r="J68" i="16"/>
  <c r="O199" i="16"/>
  <c r="O36" i="16"/>
  <c r="O32" i="16"/>
  <c r="O101" i="16"/>
  <c r="O116" i="16"/>
  <c r="O154" i="16"/>
  <c r="O144" i="16"/>
  <c r="O179" i="16"/>
  <c r="O240" i="16"/>
  <c r="O262" i="16"/>
  <c r="J205" i="16"/>
  <c r="J236" i="16"/>
  <c r="O323" i="16"/>
  <c r="J171" i="16"/>
  <c r="O59" i="16"/>
  <c r="O149" i="16"/>
  <c r="J153" i="16"/>
  <c r="J223" i="16"/>
  <c r="O81" i="16"/>
  <c r="J15" i="16"/>
  <c r="J51" i="16"/>
  <c r="O107" i="16"/>
  <c r="J136" i="16"/>
  <c r="J166" i="16"/>
  <c r="J81" i="16"/>
  <c r="J286" i="16"/>
  <c r="O58" i="16"/>
  <c r="J69" i="16"/>
  <c r="J106" i="16"/>
  <c r="J121" i="16"/>
  <c r="O183" i="16"/>
  <c r="J167" i="16"/>
  <c r="J194" i="16"/>
  <c r="J243" i="16"/>
  <c r="O163" i="16"/>
  <c r="O210" i="16"/>
  <c r="O241" i="16"/>
  <c r="O234" i="16"/>
  <c r="O176" i="16"/>
  <c r="O193" i="16"/>
  <c r="O209" i="16"/>
  <c r="J65" i="16"/>
  <c r="O271" i="16"/>
  <c r="O84" i="16"/>
  <c r="O95" i="16"/>
  <c r="O110" i="16"/>
  <c r="J22" i="16"/>
  <c r="J144" i="16"/>
  <c r="O184" i="16"/>
  <c r="J96" i="16"/>
  <c r="J217" i="16"/>
  <c r="O62" i="16"/>
  <c r="O77" i="16"/>
  <c r="O134" i="16"/>
  <c r="O125" i="16"/>
  <c r="O185" i="16"/>
  <c r="J169" i="16"/>
  <c r="O206" i="16"/>
  <c r="J246" i="16"/>
  <c r="O165" i="16"/>
  <c r="J225" i="16"/>
  <c r="J256" i="16"/>
  <c r="J249" i="16"/>
  <c r="J191" i="16"/>
  <c r="O90" i="16"/>
  <c r="O126" i="16"/>
  <c r="O148" i="16"/>
  <c r="O222" i="16"/>
  <c r="J216" i="16"/>
  <c r="J151" i="16"/>
  <c r="J74" i="16"/>
  <c r="O167" i="16"/>
  <c r="J52" i="16"/>
  <c r="J321" i="16"/>
  <c r="O157" i="16"/>
  <c r="O189" i="16"/>
  <c r="J36" i="16"/>
  <c r="O31" i="16"/>
  <c r="J173" i="16"/>
  <c r="J188" i="16"/>
  <c r="J107" i="16"/>
  <c r="O38" i="16"/>
  <c r="J71" i="16"/>
  <c r="J108" i="16"/>
  <c r="J159" i="16"/>
  <c r="J130" i="16"/>
  <c r="J198" i="16"/>
  <c r="O219" i="16"/>
  <c r="J232" i="16"/>
  <c r="O251" i="16"/>
  <c r="J178" i="16"/>
  <c r="O230" i="16"/>
  <c r="O261" i="16"/>
  <c r="O254" i="16"/>
  <c r="O196" i="16"/>
  <c r="O119" i="16"/>
  <c r="J60" i="16"/>
  <c r="O100" i="16"/>
  <c r="J199" i="16"/>
  <c r="J237" i="16"/>
  <c r="J39" i="16"/>
  <c r="J41" i="16"/>
  <c r="J208" i="16"/>
  <c r="J122" i="16"/>
  <c r="O60" i="16"/>
  <c r="O92" i="16"/>
  <c r="O118" i="16"/>
  <c r="J183" i="16"/>
  <c r="O143" i="16"/>
  <c r="J200" i="16"/>
  <c r="J222" i="16"/>
  <c r="O173" i="16"/>
  <c r="J268" i="16"/>
  <c r="J180" i="16"/>
  <c r="J245" i="16"/>
  <c r="J276" i="16"/>
  <c r="J269" i="16"/>
  <c r="J211" i="16"/>
  <c r="J128" i="16"/>
  <c r="J83" i="16"/>
  <c r="J119" i="16"/>
  <c r="J117" i="16"/>
  <c r="O260" i="16"/>
  <c r="O57" i="16"/>
  <c r="J102" i="16"/>
  <c r="J56" i="16"/>
  <c r="J221" i="16"/>
  <c r="J226" i="16"/>
  <c r="J129" i="16"/>
  <c r="O64" i="16"/>
  <c r="J97" i="16"/>
  <c r="J123" i="16"/>
  <c r="O191" i="16"/>
  <c r="O172" i="16"/>
  <c r="O208" i="16"/>
  <c r="O229" i="16"/>
  <c r="O177" i="16"/>
  <c r="J42" i="16"/>
  <c r="O211" i="16"/>
  <c r="O250" i="16"/>
  <c r="O284" i="16"/>
  <c r="O274" i="16"/>
  <c r="O216" i="16"/>
  <c r="O212" i="16"/>
  <c r="O80" i="16"/>
  <c r="J103" i="16"/>
  <c r="J32" i="16"/>
  <c r="J146" i="16"/>
  <c r="J272" i="16"/>
  <c r="J21" i="16"/>
  <c r="J239" i="16"/>
  <c r="J59" i="16"/>
  <c r="O106" i="16"/>
  <c r="O249" i="16"/>
  <c r="O133" i="16"/>
  <c r="O120" i="16"/>
  <c r="J110" i="16"/>
  <c r="O180" i="16"/>
  <c r="J203" i="16"/>
  <c r="J175" i="16"/>
  <c r="J213" i="16"/>
  <c r="J262" i="16"/>
  <c r="J192" i="16"/>
  <c r="O47" i="16"/>
  <c r="J218" i="16"/>
  <c r="J265" i="16"/>
  <c r="O321" i="16"/>
  <c r="O205" i="16"/>
  <c r="J231" i="16"/>
  <c r="J93" i="16"/>
  <c r="J145" i="16"/>
  <c r="J134" i="16"/>
  <c r="O131" i="16"/>
  <c r="O175" i="16"/>
  <c r="J285" i="16"/>
  <c r="O35" i="16"/>
  <c r="O257" i="16"/>
  <c r="J73" i="16"/>
  <c r="J214" i="16"/>
  <c r="J37" i="16"/>
  <c r="J138" i="16"/>
  <c r="J125" i="16"/>
  <c r="O127" i="16"/>
  <c r="J224" i="16"/>
  <c r="J228" i="16"/>
  <c r="O197" i="16"/>
  <c r="J215" i="16"/>
  <c r="O264" i="16"/>
  <c r="O204" i="16"/>
  <c r="J62" i="16"/>
  <c r="J233" i="16"/>
  <c r="O270" i="16"/>
  <c r="J227" i="16"/>
  <c r="J220" i="16"/>
  <c r="J102" i="15"/>
  <c r="J138" i="15"/>
  <c r="O73" i="15"/>
  <c r="O106" i="15"/>
  <c r="O146" i="15"/>
  <c r="O206" i="15"/>
  <c r="O157" i="15"/>
  <c r="O144" i="15"/>
  <c r="O176" i="15"/>
  <c r="J154" i="15"/>
  <c r="J137" i="15"/>
  <c r="J173" i="15"/>
  <c r="O133" i="15"/>
  <c r="O169" i="15"/>
  <c r="O136" i="15"/>
  <c r="O172" i="15"/>
  <c r="J192" i="15"/>
  <c r="J224" i="15"/>
  <c r="O188" i="15"/>
  <c r="O220" i="15"/>
  <c r="J198" i="15"/>
  <c r="J230" i="15"/>
  <c r="O186" i="15"/>
  <c r="O218" i="15"/>
  <c r="J188" i="15"/>
  <c r="J220" i="15"/>
  <c r="J191" i="15"/>
  <c r="J223" i="15"/>
  <c r="J194" i="15"/>
  <c r="J226" i="15"/>
  <c r="O243" i="15"/>
  <c r="J285" i="15"/>
  <c r="J261" i="15"/>
  <c r="J235" i="15"/>
  <c r="O268" i="15"/>
  <c r="O247" i="15"/>
  <c r="O282" i="15"/>
  <c r="O258" i="15"/>
  <c r="J236" i="15"/>
  <c r="J268" i="15"/>
  <c r="J247" i="15"/>
  <c r="J282" i="15"/>
  <c r="O84" i="15"/>
  <c r="J68" i="15"/>
  <c r="O103" i="15"/>
  <c r="O159" i="15"/>
  <c r="J81" i="15"/>
  <c r="O115" i="15"/>
  <c r="J153" i="15"/>
  <c r="J221" i="15"/>
  <c r="J164" i="15"/>
  <c r="J151" i="15"/>
  <c r="O182" i="15"/>
  <c r="O155" i="15"/>
  <c r="O138" i="15"/>
  <c r="O174" i="15"/>
  <c r="J144" i="15"/>
  <c r="J176" i="15"/>
  <c r="J147" i="15"/>
  <c r="J181" i="15"/>
  <c r="O193" i="15"/>
  <c r="O225" i="15"/>
  <c r="J195" i="15"/>
  <c r="J227" i="15"/>
  <c r="O199" i="15"/>
  <c r="O231" i="15"/>
  <c r="J193" i="15"/>
  <c r="J225" i="15"/>
  <c r="O189" i="15"/>
  <c r="O221" i="15"/>
  <c r="O192" i="15"/>
  <c r="O224" i="15"/>
  <c r="O195" i="15"/>
  <c r="O227" i="15"/>
  <c r="J250" i="15"/>
  <c r="O286" i="15"/>
  <c r="O262" i="15"/>
  <c r="O236" i="15"/>
  <c r="J275" i="15"/>
  <c r="J254" i="15"/>
  <c r="J322" i="15"/>
  <c r="J265" i="15"/>
  <c r="O237" i="15"/>
  <c r="O269" i="15"/>
  <c r="O248" i="15"/>
  <c r="O283" i="15"/>
  <c r="J35" i="15"/>
  <c r="O12" i="15"/>
  <c r="O63" i="15"/>
  <c r="J22" i="15"/>
  <c r="O53" i="15"/>
  <c r="O45" i="15"/>
  <c r="O119" i="15"/>
  <c r="O96" i="15"/>
  <c r="J90" i="15"/>
  <c r="J158" i="15"/>
  <c r="O125" i="15"/>
  <c r="O97" i="15"/>
  <c r="J166" i="15"/>
  <c r="J91" i="15"/>
  <c r="O69" i="15"/>
  <c r="J108" i="15"/>
  <c r="J174" i="15"/>
  <c r="O82" i="15"/>
  <c r="J117" i="15"/>
  <c r="O154" i="15"/>
  <c r="O129" i="15"/>
  <c r="O165" i="15"/>
  <c r="O152" i="15"/>
  <c r="J197" i="15"/>
  <c r="J162" i="15"/>
  <c r="J149" i="15"/>
  <c r="O177" i="15"/>
  <c r="O145" i="15"/>
  <c r="J107" i="15"/>
  <c r="O148" i="15"/>
  <c r="O198" i="15"/>
  <c r="J200" i="15"/>
  <c r="J232" i="15"/>
  <c r="O196" i="15"/>
  <c r="O228" i="15"/>
  <c r="J206" i="15"/>
  <c r="J240" i="15"/>
  <c r="O194" i="15"/>
  <c r="O226" i="15"/>
  <c r="J196" i="15"/>
  <c r="J228" i="15"/>
  <c r="J199" i="15"/>
  <c r="J231" i="15"/>
  <c r="J202" i="15"/>
  <c r="J234" i="15"/>
  <c r="O251" i="15"/>
  <c r="J237" i="15"/>
  <c r="J269" i="15"/>
  <c r="J243" i="15"/>
  <c r="O276" i="15"/>
  <c r="O255" i="15"/>
  <c r="O323" i="15"/>
  <c r="O266" i="15"/>
  <c r="J244" i="15"/>
  <c r="J276" i="15"/>
  <c r="J255" i="15"/>
  <c r="J323" i="15"/>
  <c r="J62" i="15"/>
  <c r="J50" i="15"/>
  <c r="O101" i="15"/>
  <c r="O46" i="15"/>
  <c r="O33" i="15"/>
  <c r="O36" i="15"/>
  <c r="O31" i="15"/>
  <c r="O65" i="15"/>
  <c r="J26" i="15"/>
  <c r="O83" i="15"/>
  <c r="J52" i="15"/>
  <c r="J122" i="15"/>
  <c r="J103" i="15"/>
  <c r="O91" i="15"/>
  <c r="O175" i="15"/>
  <c r="J70" i="15"/>
  <c r="J104" i="15"/>
  <c r="J57" i="15"/>
  <c r="O92" i="15"/>
  <c r="J78" i="15"/>
  <c r="O110" i="15"/>
  <c r="J55" i="15"/>
  <c r="J89" i="15"/>
  <c r="J121" i="15"/>
  <c r="J161" i="15"/>
  <c r="J136" i="15"/>
  <c r="J172" i="15"/>
  <c r="J159" i="15"/>
  <c r="O214" i="15"/>
  <c r="O163" i="15"/>
  <c r="O150" i="15"/>
  <c r="O190" i="15"/>
  <c r="J152" i="15"/>
  <c r="O108" i="15"/>
  <c r="J155" i="15"/>
  <c r="J213" i="15"/>
  <c r="O201" i="15"/>
  <c r="O233" i="15"/>
  <c r="J203" i="15"/>
  <c r="J272" i="15"/>
  <c r="O207" i="15"/>
  <c r="O257" i="15"/>
  <c r="J201" i="15"/>
  <c r="J233" i="15"/>
  <c r="O197" i="15"/>
  <c r="O229" i="15"/>
  <c r="O200" i="15"/>
  <c r="O232" i="15"/>
  <c r="O203" i="15"/>
  <c r="O241" i="15"/>
  <c r="J258" i="15"/>
  <c r="O238" i="15"/>
  <c r="O270" i="15"/>
  <c r="O244" i="15"/>
  <c r="J286" i="15"/>
  <c r="J262" i="15"/>
  <c r="J241" i="15"/>
  <c r="J273" i="15"/>
  <c r="O245" i="15"/>
  <c r="O280" i="15"/>
  <c r="O256" i="15"/>
  <c r="O324" i="15"/>
  <c r="J12" i="15"/>
  <c r="J84" i="15"/>
  <c r="O51" i="15"/>
  <c r="J109" i="15"/>
  <c r="J59" i="15"/>
  <c r="O41" i="15"/>
  <c r="J43" i="15"/>
  <c r="J38" i="15"/>
  <c r="J67" i="15"/>
  <c r="J33" i="15"/>
  <c r="O86" i="15"/>
  <c r="O60" i="15"/>
  <c r="J126" i="15"/>
  <c r="O104" i="15"/>
  <c r="J98" i="15"/>
  <c r="J93" i="15"/>
  <c r="O71" i="15"/>
  <c r="O105" i="15"/>
  <c r="O58" i="15"/>
  <c r="O100" i="15"/>
  <c r="J86" i="15"/>
  <c r="O118" i="15"/>
  <c r="O56" i="15"/>
  <c r="O90" i="15"/>
  <c r="J178" i="15"/>
  <c r="O162" i="15"/>
  <c r="O137" i="15"/>
  <c r="O173" i="15"/>
  <c r="O160" i="15"/>
  <c r="J229" i="15"/>
  <c r="J170" i="15"/>
  <c r="J157" i="15"/>
  <c r="J205" i="15"/>
  <c r="O153" i="15"/>
  <c r="J119" i="15"/>
  <c r="O156" i="15"/>
  <c r="O230" i="15"/>
  <c r="J208" i="15"/>
  <c r="O249" i="15"/>
  <c r="O204" i="15"/>
  <c r="J182" i="15"/>
  <c r="J214" i="15"/>
  <c r="O325" i="15"/>
  <c r="O202" i="15"/>
  <c r="O234" i="15"/>
  <c r="J204" i="15"/>
  <c r="J248" i="15"/>
  <c r="J207" i="15"/>
  <c r="O273" i="15"/>
  <c r="J210" i="15"/>
  <c r="J256" i="15"/>
  <c r="J266" i="15"/>
  <c r="J245" i="15"/>
  <c r="J280" i="15"/>
  <c r="J251" i="15"/>
  <c r="O320" i="15"/>
  <c r="O263" i="15"/>
  <c r="O242" i="15"/>
  <c r="O274" i="15"/>
  <c r="J252" i="15"/>
  <c r="J320" i="15"/>
  <c r="J263" i="15"/>
  <c r="J31" i="15"/>
  <c r="J92" i="15"/>
  <c r="J53" i="15"/>
  <c r="J13" i="15"/>
  <c r="J60" i="15"/>
  <c r="J48" i="15"/>
  <c r="J51" i="15"/>
  <c r="O39" i="15"/>
  <c r="O74" i="15"/>
  <c r="O34" i="15"/>
  <c r="O13" i="15"/>
  <c r="O67" i="15"/>
  <c r="J150" i="15"/>
  <c r="O107" i="15"/>
  <c r="J106" i="15"/>
  <c r="O94" i="15"/>
  <c r="J80" i="15"/>
  <c r="O109" i="15"/>
  <c r="J65" i="15"/>
  <c r="J116" i="15"/>
  <c r="O87" i="15"/>
  <c r="O123" i="15"/>
  <c r="J63" i="15"/>
  <c r="J97" i="15"/>
  <c r="J133" i="15"/>
  <c r="J169" i="15"/>
  <c r="J148" i="15"/>
  <c r="J131" i="15"/>
  <c r="J167" i="15"/>
  <c r="J134" i="15"/>
  <c r="O171" i="15"/>
  <c r="O158" i="15"/>
  <c r="O222" i="15"/>
  <c r="J160" i="15"/>
  <c r="O120" i="15"/>
  <c r="J163" i="15"/>
  <c r="J264" i="15"/>
  <c r="O209" i="15"/>
  <c r="J179" i="15"/>
  <c r="J211" i="15"/>
  <c r="O183" i="15"/>
  <c r="O215" i="15"/>
  <c r="J177" i="15"/>
  <c r="J209" i="15"/>
  <c r="O265" i="15"/>
  <c r="O205" i="15"/>
  <c r="O284" i="15"/>
  <c r="O208" i="15"/>
  <c r="O179" i="15"/>
  <c r="O211" i="15"/>
  <c r="J324" i="15"/>
  <c r="O267" i="15"/>
  <c r="O246" i="15"/>
  <c r="O281" i="15"/>
  <c r="O252" i="15"/>
  <c r="J238" i="15"/>
  <c r="J270" i="15"/>
  <c r="J249" i="15"/>
  <c r="J284" i="15"/>
  <c r="O253" i="15"/>
  <c r="O321" i="15"/>
  <c r="O264" i="15"/>
  <c r="O32" i="15"/>
  <c r="O21" i="15"/>
  <c r="J58" i="15"/>
  <c r="J17" i="15"/>
  <c r="J69" i="15"/>
  <c r="O49" i="15"/>
  <c r="O52" i="15"/>
  <c r="J46" i="15"/>
  <c r="J82" i="15"/>
  <c r="J41" i="15"/>
  <c r="O17" i="15"/>
  <c r="O68" i="15"/>
  <c r="O167" i="15"/>
  <c r="J110" i="15"/>
  <c r="O116" i="15"/>
  <c r="J101" i="15"/>
  <c r="O81" i="15"/>
  <c r="O117" i="15"/>
  <c r="J74" i="15"/>
  <c r="J120" i="15"/>
  <c r="J94" i="15"/>
  <c r="J125" i="15"/>
  <c r="O64" i="15"/>
  <c r="O98" i="15"/>
  <c r="O134" i="15"/>
  <c r="O170" i="15"/>
  <c r="O149" i="15"/>
  <c r="O132" i="15"/>
  <c r="O168" i="15"/>
  <c r="J146" i="15"/>
  <c r="J129" i="15"/>
  <c r="J165" i="15"/>
  <c r="J283" i="15"/>
  <c r="O161" i="15"/>
  <c r="J127" i="15"/>
  <c r="O164" i="15"/>
  <c r="J184" i="15"/>
  <c r="J216" i="15"/>
  <c r="O180" i="15"/>
  <c r="O212" i="15"/>
  <c r="J190" i="15"/>
  <c r="J222" i="15"/>
  <c r="O178" i="15"/>
  <c r="O210" i="15"/>
  <c r="J180" i="15"/>
  <c r="J212" i="15"/>
  <c r="J183" i="15"/>
  <c r="J215" i="15"/>
  <c r="J186" i="15"/>
  <c r="J218" i="15"/>
  <c r="O235" i="15"/>
  <c r="J274" i="15"/>
  <c r="J253" i="15"/>
  <c r="J321" i="15"/>
  <c r="O260" i="15"/>
  <c r="O239" i="15"/>
  <c r="O271" i="15"/>
  <c r="O250" i="15"/>
  <c r="O285" i="15"/>
  <c r="J260" i="15"/>
  <c r="J239" i="15"/>
  <c r="J271" i="15"/>
  <c r="J39" i="15"/>
  <c r="J34" i="15"/>
  <c r="J64" i="15"/>
  <c r="J24" i="15"/>
  <c r="O15" i="15"/>
  <c r="O55" i="15"/>
  <c r="O62" i="15"/>
  <c r="O47" i="15"/>
  <c r="O93" i="15"/>
  <c r="O42" i="15"/>
  <c r="O24" i="15"/>
  <c r="J75" i="15"/>
  <c r="J87" i="15"/>
  <c r="O124" i="15"/>
  <c r="J118" i="15"/>
  <c r="O102" i="15"/>
  <c r="J88" i="15"/>
  <c r="J124" i="15"/>
  <c r="O75" i="15"/>
  <c r="O122" i="15"/>
  <c r="O95" i="15"/>
  <c r="O131" i="15"/>
  <c r="J71" i="15"/>
  <c r="J105" i="15"/>
  <c r="J145" i="15"/>
  <c r="J189" i="15"/>
  <c r="J156" i="15"/>
  <c r="J143" i="15"/>
  <c r="J175" i="15"/>
  <c r="O147" i="15"/>
  <c r="O130" i="15"/>
  <c r="O166" i="15"/>
  <c r="J132" i="15"/>
  <c r="J168" i="15"/>
  <c r="O128" i="15"/>
  <c r="J171" i="15"/>
  <c r="O185" i="15"/>
  <c r="O217" i="15"/>
  <c r="J187" i="15"/>
  <c r="J219" i="15"/>
  <c r="O191" i="15"/>
  <c r="O223" i="15"/>
  <c r="J185" i="15"/>
  <c r="J217" i="15"/>
  <c r="O181" i="15"/>
  <c r="O213" i="15"/>
  <c r="O184" i="15"/>
  <c r="O216" i="15"/>
  <c r="O187" i="15"/>
  <c r="O219" i="15"/>
  <c r="J242" i="15"/>
  <c r="O275" i="15"/>
  <c r="O254" i="15"/>
  <c r="O322" i="15"/>
  <c r="J267" i="15"/>
  <c r="J246" i="15"/>
  <c r="J281" i="15"/>
  <c r="J257" i="15"/>
  <c r="J325" i="15"/>
  <c r="O261" i="15"/>
  <c r="O240" i="15"/>
  <c r="J59" i="14"/>
  <c r="O84" i="14"/>
  <c r="O39" i="14"/>
  <c r="O77" i="14"/>
  <c r="O169" i="14"/>
  <c r="J49" i="14"/>
  <c r="O164" i="14"/>
  <c r="J52" i="14"/>
  <c r="J122" i="14"/>
  <c r="J55" i="14"/>
  <c r="O181" i="14"/>
  <c r="J58" i="14"/>
  <c r="J13" i="14"/>
  <c r="O62" i="14"/>
  <c r="O82" i="14"/>
  <c r="O118" i="14"/>
  <c r="J230" i="14"/>
  <c r="O121" i="14"/>
  <c r="J276" i="14"/>
  <c r="J115" i="14"/>
  <c r="O172" i="14"/>
  <c r="J98" i="14"/>
  <c r="J145" i="14"/>
  <c r="O94" i="14"/>
  <c r="O130" i="14"/>
  <c r="O97" i="14"/>
  <c r="O133" i="14"/>
  <c r="O215" i="14"/>
  <c r="O167" i="14"/>
  <c r="J244" i="14"/>
  <c r="O173" i="14"/>
  <c r="J148" i="14"/>
  <c r="O178" i="14"/>
  <c r="J223" i="14"/>
  <c r="J167" i="14"/>
  <c r="J146" i="14"/>
  <c r="O175" i="14"/>
  <c r="O216" i="14"/>
  <c r="J157" i="14"/>
  <c r="O264" i="14"/>
  <c r="O213" i="14"/>
  <c r="J246" i="14"/>
  <c r="J194" i="14"/>
  <c r="J226" i="14"/>
  <c r="O190" i="14"/>
  <c r="O222" i="14"/>
  <c r="O193" i="14"/>
  <c r="O225" i="14"/>
  <c r="J187" i="14"/>
  <c r="J219" i="14"/>
  <c r="O255" i="14"/>
  <c r="O323" i="14"/>
  <c r="J265" i="14"/>
  <c r="O235" i="14"/>
  <c r="J274" i="14"/>
  <c r="J253" i="14"/>
  <c r="J321" i="14"/>
  <c r="J264" i="14"/>
  <c r="J235" i="14"/>
  <c r="O268" i="14"/>
  <c r="O53" i="14"/>
  <c r="O128" i="14"/>
  <c r="O56" i="14"/>
  <c r="O21" i="14"/>
  <c r="O59" i="14"/>
  <c r="J17" i="14"/>
  <c r="J69" i="14"/>
  <c r="J89" i="14"/>
  <c r="J125" i="14"/>
  <c r="J92" i="14"/>
  <c r="J128" i="14"/>
  <c r="O80" i="14"/>
  <c r="O116" i="14"/>
  <c r="J178" i="14"/>
  <c r="J106" i="14"/>
  <c r="O146" i="14"/>
  <c r="J101" i="14"/>
  <c r="J155" i="14"/>
  <c r="J104" i="14"/>
  <c r="O145" i="14"/>
  <c r="J138" i="14"/>
  <c r="J175" i="14"/>
  <c r="O321" i="14"/>
  <c r="O177" i="14"/>
  <c r="O149" i="14"/>
  <c r="O183" i="14"/>
  <c r="O224" i="14"/>
  <c r="O168" i="14"/>
  <c r="O147" i="14"/>
  <c r="J177" i="14"/>
  <c r="O223" i="14"/>
  <c r="O158" i="14"/>
  <c r="J188" i="14"/>
  <c r="J220" i="14"/>
  <c r="O247" i="14"/>
  <c r="O195" i="14"/>
  <c r="O227" i="14"/>
  <c r="J197" i="14"/>
  <c r="J229" i="14"/>
  <c r="J200" i="14"/>
  <c r="J232" i="14"/>
  <c r="O188" i="14"/>
  <c r="O220" i="14"/>
  <c r="J262" i="14"/>
  <c r="O234" i="14"/>
  <c r="O266" i="14"/>
  <c r="J242" i="14"/>
  <c r="O275" i="14"/>
  <c r="O254" i="14"/>
  <c r="O322" i="14"/>
  <c r="O265" i="14"/>
  <c r="O236" i="14"/>
  <c r="J275" i="14"/>
  <c r="O33" i="14"/>
  <c r="O60" i="14"/>
  <c r="O57" i="14"/>
  <c r="O108" i="14"/>
  <c r="O47" i="14"/>
  <c r="J86" i="14"/>
  <c r="J22" i="14"/>
  <c r="J57" i="14"/>
  <c r="O13" i="14"/>
  <c r="J60" i="14"/>
  <c r="J12" i="14"/>
  <c r="J63" i="14"/>
  <c r="J34" i="14"/>
  <c r="O67" i="14"/>
  <c r="J24" i="14"/>
  <c r="O70" i="14"/>
  <c r="O90" i="14"/>
  <c r="O126" i="14"/>
  <c r="O93" i="14"/>
  <c r="O129" i="14"/>
  <c r="J87" i="14"/>
  <c r="J123" i="14"/>
  <c r="J183" i="14"/>
  <c r="O107" i="14"/>
  <c r="O185" i="14"/>
  <c r="O102" i="14"/>
  <c r="J171" i="14"/>
  <c r="O105" i="14"/>
  <c r="J147" i="14"/>
  <c r="O143" i="14"/>
  <c r="J184" i="14"/>
  <c r="J153" i="14"/>
  <c r="J180" i="14"/>
  <c r="J156" i="14"/>
  <c r="J185" i="14"/>
  <c r="J143" i="14"/>
  <c r="O174" i="14"/>
  <c r="J154" i="14"/>
  <c r="O179" i="14"/>
  <c r="J225" i="14"/>
  <c r="J165" i="14"/>
  <c r="O189" i="14"/>
  <c r="O221" i="14"/>
  <c r="J231" i="14"/>
  <c r="J202" i="14"/>
  <c r="J238" i="14"/>
  <c r="O198" i="14"/>
  <c r="O230" i="14"/>
  <c r="O201" i="14"/>
  <c r="J252" i="14"/>
  <c r="J195" i="14"/>
  <c r="J227" i="14"/>
  <c r="O263" i="14"/>
  <c r="J241" i="14"/>
  <c r="J273" i="14"/>
  <c r="O243" i="14"/>
  <c r="J285" i="14"/>
  <c r="J261" i="14"/>
  <c r="J240" i="14"/>
  <c r="J272" i="14"/>
  <c r="J243" i="14"/>
  <c r="O276" i="14"/>
  <c r="O49" i="14"/>
  <c r="O65" i="14"/>
  <c r="J21" i="14"/>
  <c r="O131" i="14"/>
  <c r="O55" i="14"/>
  <c r="O87" i="14"/>
  <c r="J26" i="14"/>
  <c r="O58" i="14"/>
  <c r="O17" i="14"/>
  <c r="J68" i="14"/>
  <c r="J31" i="14"/>
  <c r="O64" i="14"/>
  <c r="O35" i="14"/>
  <c r="J75" i="14"/>
  <c r="J37" i="14"/>
  <c r="J84" i="14"/>
  <c r="J97" i="14"/>
  <c r="J133" i="14"/>
  <c r="J100" i="14"/>
  <c r="J136" i="14"/>
  <c r="O88" i="14"/>
  <c r="O124" i="14"/>
  <c r="J214" i="14"/>
  <c r="J118" i="14"/>
  <c r="O218" i="14"/>
  <c r="J109" i="14"/>
  <c r="J80" i="14"/>
  <c r="J116" i="14"/>
  <c r="O148" i="14"/>
  <c r="J150" i="14"/>
  <c r="J199" i="14"/>
  <c r="O154" i="14"/>
  <c r="O182" i="14"/>
  <c r="O157" i="14"/>
  <c r="J191" i="14"/>
  <c r="O144" i="14"/>
  <c r="J181" i="14"/>
  <c r="O155" i="14"/>
  <c r="J182" i="14"/>
  <c r="O269" i="14"/>
  <c r="O166" i="14"/>
  <c r="J196" i="14"/>
  <c r="J228" i="14"/>
  <c r="O232" i="14"/>
  <c r="O203" i="14"/>
  <c r="O239" i="14"/>
  <c r="J205" i="14"/>
  <c r="O233" i="14"/>
  <c r="J208" i="14"/>
  <c r="O261" i="14"/>
  <c r="O196" i="14"/>
  <c r="O228" i="14"/>
  <c r="J270" i="14"/>
  <c r="O242" i="14"/>
  <c r="O274" i="14"/>
  <c r="J250" i="14"/>
  <c r="O286" i="14"/>
  <c r="O262" i="14"/>
  <c r="O241" i="14"/>
  <c r="O273" i="14"/>
  <c r="O244" i="14"/>
  <c r="J286" i="14"/>
  <c r="O74" i="14"/>
  <c r="O36" i="14"/>
  <c r="J247" i="14"/>
  <c r="J62" i="14"/>
  <c r="O95" i="14"/>
  <c r="J33" i="14"/>
  <c r="J65" i="14"/>
  <c r="O24" i="14"/>
  <c r="O69" i="14"/>
  <c r="O32" i="14"/>
  <c r="J71" i="14"/>
  <c r="J42" i="14"/>
  <c r="J77" i="14"/>
  <c r="O38" i="14"/>
  <c r="O85" i="14"/>
  <c r="O98" i="14"/>
  <c r="O134" i="14"/>
  <c r="O101" i="14"/>
  <c r="J152" i="14"/>
  <c r="J95" i="14"/>
  <c r="J131" i="14"/>
  <c r="J82" i="14"/>
  <c r="O119" i="14"/>
  <c r="O78" i="14"/>
  <c r="O110" i="14"/>
  <c r="O81" i="14"/>
  <c r="O117" i="14"/>
  <c r="J160" i="14"/>
  <c r="O151" i="14"/>
  <c r="O200" i="14"/>
  <c r="J161" i="14"/>
  <c r="J206" i="14"/>
  <c r="J164" i="14"/>
  <c r="O192" i="14"/>
  <c r="J151" i="14"/>
  <c r="J198" i="14"/>
  <c r="J162" i="14"/>
  <c r="O191" i="14"/>
  <c r="J137" i="14"/>
  <c r="J173" i="14"/>
  <c r="O197" i="14"/>
  <c r="O229" i="14"/>
  <c r="J236" i="14"/>
  <c r="J210" i="14"/>
  <c r="J263" i="14"/>
  <c r="O206" i="14"/>
  <c r="O272" i="14"/>
  <c r="O209" i="14"/>
  <c r="O280" i="14"/>
  <c r="J203" i="14"/>
  <c r="O256" i="14"/>
  <c r="O271" i="14"/>
  <c r="J249" i="14"/>
  <c r="J284" i="14"/>
  <c r="O251" i="14"/>
  <c r="J237" i="14"/>
  <c r="J269" i="14"/>
  <c r="J248" i="14"/>
  <c r="J283" i="14"/>
  <c r="J251" i="14"/>
  <c r="O320" i="14"/>
  <c r="J51" i="14"/>
  <c r="J43" i="14"/>
  <c r="O12" i="14"/>
  <c r="O63" i="14"/>
  <c r="O123" i="14"/>
  <c r="O34" i="14"/>
  <c r="J74" i="14"/>
  <c r="J36" i="14"/>
  <c r="J78" i="14"/>
  <c r="J39" i="14"/>
  <c r="O73" i="14"/>
  <c r="O43" i="14"/>
  <c r="O92" i="14"/>
  <c r="J45" i="14"/>
  <c r="J110" i="14"/>
  <c r="J105" i="14"/>
  <c r="J163" i="14"/>
  <c r="J108" i="14"/>
  <c r="J168" i="14"/>
  <c r="O96" i="14"/>
  <c r="O132" i="14"/>
  <c r="O83" i="14"/>
  <c r="J126" i="14"/>
  <c r="J85" i="14"/>
  <c r="J121" i="14"/>
  <c r="J88" i="14"/>
  <c r="J124" i="14"/>
  <c r="J174" i="14"/>
  <c r="J158" i="14"/>
  <c r="O207" i="14"/>
  <c r="O162" i="14"/>
  <c r="J233" i="14"/>
  <c r="O165" i="14"/>
  <c r="O199" i="14"/>
  <c r="O152" i="14"/>
  <c r="O226" i="14"/>
  <c r="O163" i="14"/>
  <c r="J193" i="14"/>
  <c r="O138" i="14"/>
  <c r="O184" i="14"/>
  <c r="J204" i="14"/>
  <c r="O237" i="14"/>
  <c r="O253" i="14"/>
  <c r="O211" i="14"/>
  <c r="J268" i="14"/>
  <c r="J213" i="14"/>
  <c r="O283" i="14"/>
  <c r="J216" i="14"/>
  <c r="J282" i="14"/>
  <c r="O204" i="14"/>
  <c r="J271" i="14"/>
  <c r="J281" i="14"/>
  <c r="O250" i="14"/>
  <c r="O285" i="14"/>
  <c r="J258" i="14"/>
  <c r="O238" i="14"/>
  <c r="O270" i="14"/>
  <c r="O249" i="14"/>
  <c r="O284" i="14"/>
  <c r="O252" i="14"/>
  <c r="O41" i="14"/>
  <c r="O15" i="14"/>
  <c r="J32" i="14"/>
  <c r="J144" i="14"/>
  <c r="O31" i="14"/>
  <c r="J70" i="14"/>
  <c r="J130" i="14"/>
  <c r="J41" i="14"/>
  <c r="O75" i="14"/>
  <c r="O37" i="14"/>
  <c r="J94" i="14"/>
  <c r="J47" i="14"/>
  <c r="O100" i="14"/>
  <c r="J50" i="14"/>
  <c r="O120" i="14"/>
  <c r="O46" i="14"/>
  <c r="J127" i="14"/>
  <c r="O106" i="14"/>
  <c r="O208" i="14"/>
  <c r="O109" i="14"/>
  <c r="J255" i="14"/>
  <c r="J103" i="14"/>
  <c r="O156" i="14"/>
  <c r="J90" i="14"/>
  <c r="O127" i="14"/>
  <c r="O86" i="14"/>
  <c r="O122" i="14"/>
  <c r="O89" i="14"/>
  <c r="O125" i="14"/>
  <c r="O186" i="14"/>
  <c r="O159" i="14"/>
  <c r="J209" i="14"/>
  <c r="J169" i="14"/>
  <c r="O248" i="14"/>
  <c r="J172" i="14"/>
  <c r="J201" i="14"/>
  <c r="J159" i="14"/>
  <c r="O231" i="14"/>
  <c r="J170" i="14"/>
  <c r="O194" i="14"/>
  <c r="J149" i="14"/>
  <c r="J190" i="14"/>
  <c r="O205" i="14"/>
  <c r="J239" i="14"/>
  <c r="J186" i="14"/>
  <c r="J218" i="14"/>
  <c r="J320" i="14"/>
  <c r="O214" i="14"/>
  <c r="O324" i="14"/>
  <c r="O217" i="14"/>
  <c r="J179" i="14"/>
  <c r="J211" i="14"/>
  <c r="J323" i="14"/>
  <c r="O282" i="14"/>
  <c r="J257" i="14"/>
  <c r="J325" i="14"/>
  <c r="J266" i="14"/>
  <c r="J245" i="14"/>
  <c r="J280" i="14"/>
  <c r="J256" i="14"/>
  <c r="J324" i="14"/>
  <c r="L321" i="5"/>
  <c r="G320" i="5"/>
  <c r="G325" i="5"/>
  <c r="L301" i="5"/>
  <c r="L322" i="5"/>
  <c r="G321" i="5"/>
  <c r="G324" i="5"/>
  <c r="L324" i="5"/>
  <c r="G301" i="5"/>
  <c r="G322" i="5"/>
  <c r="L320" i="5"/>
  <c r="L325" i="5"/>
  <c r="M320" i="5"/>
  <c r="M247" i="5"/>
  <c r="H242" i="5"/>
  <c r="T242" i="5" s="1"/>
  <c r="M220" i="5"/>
  <c r="M224" i="5"/>
  <c r="H249" i="5"/>
  <c r="T249" i="5" s="1"/>
  <c r="H205" i="5"/>
  <c r="T205" i="5" s="1"/>
  <c r="M249" i="5"/>
  <c r="L268" i="5"/>
  <c r="L272" i="5"/>
  <c r="L205" i="5"/>
  <c r="L209" i="5"/>
  <c r="L213" i="5"/>
  <c r="L217" i="5"/>
  <c r="L221" i="5"/>
  <c r="L225" i="5"/>
  <c r="L229" i="5"/>
  <c r="L233" i="5"/>
  <c r="L237" i="5"/>
  <c r="L241" i="5"/>
  <c r="L245" i="5"/>
  <c r="L249" i="5"/>
  <c r="L253" i="5"/>
  <c r="G271" i="5"/>
  <c r="G204" i="5"/>
  <c r="G208" i="5"/>
  <c r="G212" i="5"/>
  <c r="G216" i="5"/>
  <c r="G220" i="5"/>
  <c r="G224" i="5"/>
  <c r="G228" i="5"/>
  <c r="G232" i="5"/>
  <c r="G240" i="5"/>
  <c r="L269" i="5"/>
  <c r="L273" i="5"/>
  <c r="L206" i="5"/>
  <c r="L210" i="5"/>
  <c r="L214" i="5"/>
  <c r="L218" i="5"/>
  <c r="L222" i="5"/>
  <c r="L226" i="5"/>
  <c r="L230" i="5"/>
  <c r="L234" i="5"/>
  <c r="L238" i="5"/>
  <c r="L242" i="5"/>
  <c r="L246" i="5"/>
  <c r="L250" i="5"/>
  <c r="G249" i="5"/>
  <c r="G268" i="5"/>
  <c r="G272" i="5"/>
  <c r="G205" i="5"/>
  <c r="G209" i="5"/>
  <c r="G213" i="5"/>
  <c r="G217" i="5"/>
  <c r="G221" i="5"/>
  <c r="G225" i="5"/>
  <c r="G229" i="5"/>
  <c r="G233" i="5"/>
  <c r="G237" i="5"/>
  <c r="G241" i="5"/>
  <c r="G245" i="5"/>
  <c r="G253" i="5"/>
  <c r="G269" i="5"/>
  <c r="G273" i="5"/>
  <c r="G206" i="5"/>
  <c r="G210" i="5"/>
  <c r="G214" i="5"/>
  <c r="G218" i="5"/>
  <c r="G222" i="5"/>
  <c r="G226" i="5"/>
  <c r="G230" i="5"/>
  <c r="G234" i="5"/>
  <c r="G238" i="5"/>
  <c r="G242" i="5"/>
  <c r="G246" i="5"/>
  <c r="G250" i="5"/>
  <c r="L248" i="5"/>
  <c r="G236" i="5"/>
  <c r="G244" i="5"/>
  <c r="L271" i="5"/>
  <c r="L204" i="5"/>
  <c r="L208" i="5"/>
  <c r="L212" i="5"/>
  <c r="L216" i="5"/>
  <c r="L220" i="5"/>
  <c r="L224" i="5"/>
  <c r="L228" i="5"/>
  <c r="L232" i="5"/>
  <c r="L236" i="5"/>
  <c r="L240" i="5"/>
  <c r="L244" i="5"/>
  <c r="L252" i="5"/>
  <c r="G270" i="5"/>
  <c r="G203" i="5"/>
  <c r="G207" i="5"/>
  <c r="G211" i="5"/>
  <c r="G215" i="5"/>
  <c r="G219" i="5"/>
  <c r="G223" i="5"/>
  <c r="G227" i="5"/>
  <c r="G231" i="5"/>
  <c r="G235" i="5"/>
  <c r="G239" i="5"/>
  <c r="G243" i="5"/>
  <c r="G247" i="5"/>
  <c r="G251" i="5"/>
  <c r="L207" i="5"/>
  <c r="L239" i="5"/>
  <c r="G252" i="5"/>
  <c r="L211" i="5"/>
  <c r="L243" i="5"/>
  <c r="L251" i="5"/>
  <c r="L270" i="5"/>
  <c r="L215" i="5"/>
  <c r="L231" i="5"/>
  <c r="L219" i="5"/>
  <c r="L223" i="5"/>
  <c r="L247" i="5"/>
  <c r="L203" i="5"/>
  <c r="L227" i="5"/>
  <c r="G248" i="5"/>
  <c r="L235" i="5"/>
  <c r="M105" i="5"/>
  <c r="H105" i="5"/>
  <c r="T105" i="5" s="1"/>
  <c r="M104" i="5"/>
  <c r="G105" i="5"/>
  <c r="G104" i="5"/>
  <c r="L105" i="5"/>
  <c r="G107" i="5"/>
  <c r="L108" i="5"/>
  <c r="L106" i="5"/>
  <c r="L104" i="5"/>
  <c r="G106" i="5"/>
  <c r="L107" i="5"/>
  <c r="G108" i="5"/>
  <c r="E3" i="5"/>
  <c r="M221" i="5" s="1"/>
  <c r="H71" i="5"/>
  <c r="T71" i="5" s="1"/>
  <c r="H75" i="5"/>
  <c r="M77" i="5"/>
  <c r="H78" i="5"/>
  <c r="H73" i="5"/>
  <c r="T73" i="5" s="1"/>
  <c r="M74" i="5"/>
  <c r="H77" i="5"/>
  <c r="T77" i="5" s="1"/>
  <c r="M78" i="5"/>
  <c r="L78" i="5"/>
  <c r="L73" i="5"/>
  <c r="G71" i="5"/>
  <c r="G75" i="5"/>
  <c r="L77" i="5"/>
  <c r="G74" i="5"/>
  <c r="L71" i="5"/>
  <c r="L75" i="5"/>
  <c r="G78" i="5"/>
  <c r="G73" i="5"/>
  <c r="L74" i="5"/>
  <c r="G77" i="5"/>
  <c r="L23" i="5"/>
  <c r="G22" i="5"/>
  <c r="G185" i="5"/>
  <c r="L70" i="5"/>
  <c r="G197" i="5"/>
  <c r="L189" i="5"/>
  <c r="L201" i="5"/>
  <c r="G183" i="5"/>
  <c r="G176" i="5"/>
  <c r="L281" i="5"/>
  <c r="L187" i="5"/>
  <c r="G194" i="5"/>
  <c r="L199" i="5"/>
  <c r="L24" i="5"/>
  <c r="G181" i="5"/>
  <c r="L185" i="5"/>
  <c r="G192" i="5"/>
  <c r="G70" i="5"/>
  <c r="L197" i="5"/>
  <c r="G179" i="5"/>
  <c r="G68" i="5"/>
  <c r="L21" i="5"/>
  <c r="L26" i="5"/>
  <c r="L194" i="5"/>
  <c r="L196" i="5"/>
  <c r="G24" i="5"/>
  <c r="L181" i="5"/>
  <c r="G188" i="5"/>
  <c r="L67" i="5"/>
  <c r="G200" i="5"/>
  <c r="G21" i="5"/>
  <c r="L192" i="5"/>
  <c r="L179" i="5"/>
  <c r="G186" i="5"/>
  <c r="L69" i="5"/>
  <c r="G198" i="5"/>
  <c r="L306" i="5"/>
  <c r="L182" i="5"/>
  <c r="G201" i="5"/>
  <c r="G264" i="5"/>
  <c r="L190" i="5"/>
  <c r="L202" i="5"/>
  <c r="G184" i="5"/>
  <c r="G196" i="5"/>
  <c r="G67" i="5"/>
  <c r="G257" i="5"/>
  <c r="L198" i="5"/>
  <c r="G180" i="5"/>
  <c r="L184" i="5"/>
  <c r="G191" i="5"/>
  <c r="L22" i="5"/>
  <c r="G26" i="5"/>
  <c r="G23" i="5"/>
  <c r="L188" i="5"/>
  <c r="L200" i="5"/>
  <c r="G182" i="5"/>
  <c r="L186" i="5"/>
  <c r="G193" i="5"/>
  <c r="G69" i="5"/>
  <c r="L264" i="5"/>
  <c r="G189" i="5"/>
  <c r="L257" i="5"/>
  <c r="L25" i="5"/>
  <c r="G25" i="5"/>
  <c r="G187" i="5"/>
  <c r="G281" i="5"/>
  <c r="L176" i="5"/>
  <c r="G306" i="5"/>
  <c r="L180" i="5"/>
  <c r="L68" i="5"/>
  <c r="G199" i="5"/>
  <c r="G190" i="5"/>
  <c r="L191" i="5"/>
  <c r="L183" i="5"/>
  <c r="L193" i="5"/>
  <c r="G202" i="5"/>
  <c r="G146" i="5"/>
  <c r="L146" i="5"/>
  <c r="G147" i="5"/>
  <c r="L147" i="5"/>
  <c r="M191" i="5"/>
  <c r="H192" i="5"/>
  <c r="T192" i="5" s="1"/>
  <c r="H185" i="5"/>
  <c r="T185" i="5" s="1"/>
  <c r="H197" i="5"/>
  <c r="T197" i="5" s="1"/>
  <c r="M189" i="5"/>
  <c r="H68" i="5"/>
  <c r="M201" i="5"/>
  <c r="M24" i="5"/>
  <c r="H176" i="5"/>
  <c r="T176" i="5" s="1"/>
  <c r="M281" i="5"/>
  <c r="M187" i="5"/>
  <c r="H70" i="5"/>
  <c r="T70" i="5" s="1"/>
  <c r="M199" i="5"/>
  <c r="H181" i="5"/>
  <c r="T181" i="5" s="1"/>
  <c r="M185" i="5"/>
  <c r="H183" i="5"/>
  <c r="T183" i="5" s="1"/>
  <c r="M21" i="5"/>
  <c r="H194" i="5"/>
  <c r="T194" i="5" s="1"/>
  <c r="H23" i="5"/>
  <c r="M26" i="5"/>
  <c r="H24" i="5"/>
  <c r="M183" i="5"/>
  <c r="H190" i="5"/>
  <c r="T190" i="5" s="1"/>
  <c r="M67" i="5"/>
  <c r="M176" i="5"/>
  <c r="H202" i="5"/>
  <c r="T202" i="5" s="1"/>
  <c r="M196" i="5"/>
  <c r="H21" i="5"/>
  <c r="M194" i="5"/>
  <c r="M181" i="5"/>
  <c r="H188" i="5"/>
  <c r="T188" i="5" s="1"/>
  <c r="M69" i="5"/>
  <c r="H200" i="5"/>
  <c r="T200" i="5" s="1"/>
  <c r="M192" i="5"/>
  <c r="M186" i="5"/>
  <c r="H193" i="5"/>
  <c r="T193" i="5" s="1"/>
  <c r="M198" i="5"/>
  <c r="H180" i="5"/>
  <c r="T180" i="5" s="1"/>
  <c r="H191" i="5"/>
  <c r="T191" i="5" s="1"/>
  <c r="H26" i="5"/>
  <c r="M179" i="5"/>
  <c r="H186" i="5"/>
  <c r="T186" i="5" s="1"/>
  <c r="H198" i="5"/>
  <c r="T198" i="5" s="1"/>
  <c r="M306" i="5"/>
  <c r="M23" i="5"/>
  <c r="H264" i="5"/>
  <c r="T264" i="5" s="1"/>
  <c r="M190" i="5"/>
  <c r="H67" i="5"/>
  <c r="M202" i="5"/>
  <c r="H196" i="5"/>
  <c r="T196" i="5" s="1"/>
  <c r="M22" i="5"/>
  <c r="M184" i="5"/>
  <c r="H184" i="5"/>
  <c r="T184" i="5" s="1"/>
  <c r="M200" i="5"/>
  <c r="M188" i="5"/>
  <c r="H69" i="5"/>
  <c r="T69" i="5" s="1"/>
  <c r="H182" i="5"/>
  <c r="T182" i="5" s="1"/>
  <c r="H257" i="5"/>
  <c r="T257" i="5" s="1"/>
  <c r="M264" i="5"/>
  <c r="M25" i="5"/>
  <c r="H25" i="5"/>
  <c r="H187" i="5"/>
  <c r="T187" i="5" s="1"/>
  <c r="H281" i="5"/>
  <c r="T281" i="5" s="1"/>
  <c r="H179" i="5"/>
  <c r="T179" i="5" s="1"/>
  <c r="M197" i="5"/>
  <c r="H189" i="5"/>
  <c r="T189" i="5" s="1"/>
  <c r="M70" i="5"/>
  <c r="H306" i="5"/>
  <c r="T306" i="5" s="1"/>
  <c r="M180" i="5"/>
  <c r="H199" i="5"/>
  <c r="T199" i="5" s="1"/>
  <c r="M68" i="5"/>
  <c r="M182" i="5"/>
  <c r="H201" i="5"/>
  <c r="T201" i="5" s="1"/>
  <c r="H22" i="5"/>
  <c r="M257" i="5"/>
  <c r="M193" i="5"/>
  <c r="H146" i="5"/>
  <c r="T146" i="5" s="1"/>
  <c r="M146" i="5"/>
  <c r="M147" i="5"/>
  <c r="H147" i="5"/>
  <c r="T147" i="5" s="1"/>
  <c r="L84" i="5"/>
  <c r="L103" i="5"/>
  <c r="G109" i="5"/>
  <c r="G100" i="5"/>
  <c r="G81" i="5"/>
  <c r="G195" i="5"/>
  <c r="G311" i="5"/>
  <c r="G303" i="5"/>
  <c r="G294" i="5"/>
  <c r="L93" i="5"/>
  <c r="L312" i="5"/>
  <c r="L304" i="5"/>
  <c r="L295" i="5"/>
  <c r="L290" i="5"/>
  <c r="G307" i="5"/>
  <c r="G297" i="5"/>
  <c r="L308" i="5"/>
  <c r="G115" i="5"/>
  <c r="L298" i="5"/>
  <c r="L15" i="5"/>
  <c r="G300" i="5"/>
  <c r="G292" i="5"/>
  <c r="L310" i="5"/>
  <c r="L302" i="5"/>
  <c r="L293" i="5"/>
  <c r="L16" i="5"/>
  <c r="G171" i="5"/>
  <c r="G312" i="5"/>
  <c r="G304" i="5"/>
  <c r="G295" i="5"/>
  <c r="L159" i="5"/>
  <c r="L313" i="5"/>
  <c r="L305" i="5"/>
  <c r="L296" i="5"/>
  <c r="M309" i="5"/>
  <c r="G308" i="5"/>
  <c r="G298" i="5"/>
  <c r="L172" i="5"/>
  <c r="L309" i="5"/>
  <c r="L299" i="5"/>
  <c r="L291" i="5"/>
  <c r="G310" i="5"/>
  <c r="G302" i="5"/>
  <c r="G293" i="5"/>
  <c r="L311" i="5"/>
  <c r="L303" i="5"/>
  <c r="L294" i="5"/>
  <c r="G313" i="5"/>
  <c r="G305" i="5"/>
  <c r="G296" i="5"/>
  <c r="G125" i="5"/>
  <c r="G151" i="5"/>
  <c r="G290" i="5"/>
  <c r="L307" i="5"/>
  <c r="L297" i="5"/>
  <c r="G150" i="5"/>
  <c r="L96" i="5"/>
  <c r="G64" i="5"/>
  <c r="G309" i="5"/>
  <c r="G299" i="5"/>
  <c r="G291" i="5"/>
  <c r="L300" i="5"/>
  <c r="L292" i="5"/>
  <c r="G267" i="5"/>
  <c r="L286" i="5"/>
  <c r="L151" i="5"/>
  <c r="L274" i="5"/>
  <c r="G110" i="5"/>
  <c r="G89" i="5"/>
  <c r="G285" i="5"/>
  <c r="G155" i="5"/>
  <c r="L164" i="5"/>
  <c r="G101" i="5"/>
  <c r="L53" i="5"/>
  <c r="L127" i="5"/>
  <c r="G145" i="5"/>
  <c r="G158" i="5"/>
  <c r="L260" i="5"/>
  <c r="L82" i="5"/>
  <c r="L58" i="5"/>
  <c r="L254" i="5"/>
  <c r="L52" i="5"/>
  <c r="L92" i="5"/>
  <c r="G85" i="5"/>
  <c r="L57" i="5"/>
  <c r="L115" i="5"/>
  <c r="L148" i="5"/>
  <c r="L156" i="5"/>
  <c r="L162" i="5"/>
  <c r="L169" i="5"/>
  <c r="L177" i="5"/>
  <c r="G168" i="5"/>
  <c r="G265" i="5"/>
  <c r="L143" i="5"/>
  <c r="L153" i="5"/>
  <c r="L166" i="5"/>
  <c r="L174" i="5"/>
  <c r="L256" i="5"/>
  <c r="L262" i="5"/>
  <c r="L276" i="5"/>
  <c r="G283" i="5"/>
  <c r="G133" i="5"/>
  <c r="L98" i="5"/>
  <c r="G56" i="5"/>
  <c r="L136" i="5"/>
  <c r="G160" i="5"/>
  <c r="G165" i="5"/>
  <c r="G173" i="5"/>
  <c r="G255" i="5"/>
  <c r="G261" i="5"/>
  <c r="G275" i="5"/>
  <c r="G280" i="5"/>
  <c r="L284" i="5"/>
  <c r="L150" i="5"/>
  <c r="L158" i="5"/>
  <c r="L171" i="5"/>
  <c r="L195" i="5"/>
  <c r="L267" i="5"/>
  <c r="G286" i="5"/>
  <c r="G92" i="5"/>
  <c r="G84" i="5"/>
  <c r="L120" i="5"/>
  <c r="G152" i="5"/>
  <c r="L101" i="5"/>
  <c r="G91" i="5"/>
  <c r="G51" i="5"/>
  <c r="L12" i="5"/>
  <c r="G98" i="5"/>
  <c r="L90" i="5"/>
  <c r="G83" i="5"/>
  <c r="L50" i="5"/>
  <c r="G136" i="5"/>
  <c r="L119" i="5"/>
  <c r="G149" i="5"/>
  <c r="G157" i="5"/>
  <c r="G163" i="5"/>
  <c r="G170" i="5"/>
  <c r="G178" i="5"/>
  <c r="G266" i="5"/>
  <c r="L145" i="5"/>
  <c r="L155" i="5"/>
  <c r="L168" i="5"/>
  <c r="L265" i="5"/>
  <c r="G97" i="5"/>
  <c r="G90" i="5"/>
  <c r="L64" i="5"/>
  <c r="G38" i="5"/>
  <c r="L128" i="5"/>
  <c r="G119" i="5"/>
  <c r="G144" i="5"/>
  <c r="G154" i="5"/>
  <c r="G161" i="5"/>
  <c r="G167" i="5"/>
  <c r="G175" i="5"/>
  <c r="G258" i="5"/>
  <c r="G263" i="5"/>
  <c r="L60" i="5"/>
  <c r="G43" i="5"/>
  <c r="L152" i="5"/>
  <c r="L160" i="5"/>
  <c r="L165" i="5"/>
  <c r="L173" i="5"/>
  <c r="L255" i="5"/>
  <c r="L261" i="5"/>
  <c r="L275" i="5"/>
  <c r="L280" i="5"/>
  <c r="G284" i="5"/>
  <c r="G164" i="5"/>
  <c r="G172" i="5"/>
  <c r="G254" i="5"/>
  <c r="G260" i="5"/>
  <c r="G274" i="5"/>
  <c r="G96" i="5"/>
  <c r="L88" i="5"/>
  <c r="L80" i="5"/>
  <c r="G60" i="5"/>
  <c r="G117" i="5"/>
  <c r="L149" i="5"/>
  <c r="L157" i="5"/>
  <c r="L163" i="5"/>
  <c r="L170" i="5"/>
  <c r="L178" i="5"/>
  <c r="L266" i="5"/>
  <c r="G177" i="5"/>
  <c r="L62" i="5"/>
  <c r="G156" i="5"/>
  <c r="G162" i="5"/>
  <c r="G169" i="5"/>
  <c r="L144" i="5"/>
  <c r="L154" i="5"/>
  <c r="L161" i="5"/>
  <c r="L167" i="5"/>
  <c r="L175" i="5"/>
  <c r="L258" i="5"/>
  <c r="L263" i="5"/>
  <c r="G282" i="5"/>
  <c r="G159" i="5"/>
  <c r="G31" i="5"/>
  <c r="L59" i="5"/>
  <c r="G46" i="5"/>
  <c r="G127" i="5"/>
  <c r="G148" i="5"/>
  <c r="L110" i="5"/>
  <c r="L94" i="5"/>
  <c r="L86" i="5"/>
  <c r="G62" i="5"/>
  <c r="G59" i="5"/>
  <c r="G143" i="5"/>
  <c r="G153" i="5"/>
  <c r="G166" i="5"/>
  <c r="G174" i="5"/>
  <c r="G256" i="5"/>
  <c r="G262" i="5"/>
  <c r="G276" i="5"/>
  <c r="L283" i="5"/>
  <c r="L13" i="5"/>
  <c r="L102" i="5"/>
  <c r="G88" i="5"/>
  <c r="L81" i="5"/>
  <c r="L65" i="5"/>
  <c r="L55" i="5"/>
  <c r="G52" i="5"/>
  <c r="G138" i="5"/>
  <c r="G130" i="5"/>
  <c r="G122" i="5"/>
  <c r="L14" i="5"/>
  <c r="G93" i="5"/>
  <c r="L87" i="5"/>
  <c r="L51" i="5"/>
  <c r="L131" i="5"/>
  <c r="L123" i="5"/>
  <c r="L134" i="5"/>
  <c r="L126" i="5"/>
  <c r="L118" i="5"/>
  <c r="G128" i="5"/>
  <c r="G120" i="5"/>
  <c r="L17" i="5"/>
  <c r="L100" i="5"/>
  <c r="L97" i="5"/>
  <c r="L91" i="5"/>
  <c r="L85" i="5"/>
  <c r="G80" i="5"/>
  <c r="L63" i="5"/>
  <c r="L137" i="5"/>
  <c r="L129" i="5"/>
  <c r="L121" i="5"/>
  <c r="G131" i="5"/>
  <c r="G123" i="5"/>
  <c r="L132" i="5"/>
  <c r="L124" i="5"/>
  <c r="L116" i="5"/>
  <c r="G134" i="5"/>
  <c r="G126" i="5"/>
  <c r="G118" i="5"/>
  <c r="G35" i="5"/>
  <c r="G137" i="5"/>
  <c r="G129" i="5"/>
  <c r="G121" i="5"/>
  <c r="L109" i="5"/>
  <c r="L95" i="5"/>
  <c r="L89" i="5"/>
  <c r="L83" i="5"/>
  <c r="L138" i="5"/>
  <c r="L130" i="5"/>
  <c r="L122" i="5"/>
  <c r="G132" i="5"/>
  <c r="G124" i="5"/>
  <c r="G116" i="5"/>
  <c r="L133" i="5"/>
  <c r="L125" i="5"/>
  <c r="L117" i="5"/>
  <c r="L36" i="5"/>
  <c r="L47" i="5"/>
  <c r="L39" i="5"/>
  <c r="G102" i="5"/>
  <c r="G94" i="5"/>
  <c r="G86" i="5"/>
  <c r="G65" i="5"/>
  <c r="G57" i="5"/>
  <c r="G49" i="5"/>
  <c r="G41" i="5"/>
  <c r="G33" i="5"/>
  <c r="L42" i="5"/>
  <c r="L34" i="5"/>
  <c r="G36" i="5"/>
  <c r="L45" i="5"/>
  <c r="L37" i="5"/>
  <c r="G63" i="5"/>
  <c r="G55" i="5"/>
  <c r="G47" i="5"/>
  <c r="G39" i="5"/>
  <c r="L56" i="5"/>
  <c r="L48" i="5"/>
  <c r="L32" i="5"/>
  <c r="L31" i="5"/>
  <c r="G103" i="5"/>
  <c r="G95" i="5"/>
  <c r="G87" i="5"/>
  <c r="G58" i="5"/>
  <c r="G50" i="5"/>
  <c r="G42" i="5"/>
  <c r="G34" i="5"/>
  <c r="L43" i="5"/>
  <c r="L35" i="5"/>
  <c r="G82" i="5"/>
  <c r="G53" i="5"/>
  <c r="G45" i="5"/>
  <c r="G37" i="5"/>
  <c r="L46" i="5"/>
  <c r="L38" i="5"/>
  <c r="G48" i="5"/>
  <c r="G32" i="5"/>
  <c r="L49" i="5"/>
  <c r="L41" i="5"/>
  <c r="L33" i="5"/>
  <c r="G13" i="5"/>
  <c r="G16" i="5"/>
  <c r="G15" i="5"/>
  <c r="G12" i="5"/>
  <c r="G17" i="5"/>
  <c r="G14" i="5"/>
  <c r="M316" i="5"/>
  <c r="T259" i="5"/>
  <c r="T117" i="5"/>
  <c r="T119" i="5"/>
  <c r="T123" i="5"/>
  <c r="T124" i="5"/>
  <c r="T130" i="5"/>
  <c r="T135" i="5"/>
  <c r="T39" i="5"/>
  <c r="T40" i="5"/>
  <c r="T44" i="5"/>
  <c r="T50" i="5"/>
  <c r="T53" i="5"/>
  <c r="T54" i="5"/>
  <c r="T61" i="5"/>
  <c r="T65" i="5"/>
  <c r="T79" i="5"/>
  <c r="T80" i="5"/>
  <c r="T84" i="5"/>
  <c r="T85" i="5"/>
  <c r="T90" i="5"/>
  <c r="T91" i="5"/>
  <c r="T92" i="5"/>
  <c r="T95" i="5"/>
  <c r="T98" i="5"/>
  <c r="T99" i="5"/>
  <c r="C3" i="5"/>
  <c r="K108" i="5" l="1"/>
  <c r="K272" i="5"/>
  <c r="F323" i="5"/>
  <c r="K268" i="5"/>
  <c r="K273" i="5"/>
  <c r="K147" i="5"/>
  <c r="K148" i="5"/>
  <c r="K63" i="5"/>
  <c r="M243" i="5"/>
  <c r="M230" i="5"/>
  <c r="M206" i="5"/>
  <c r="M229" i="5"/>
  <c r="H106" i="5"/>
  <c r="T106" i="5" s="1"/>
  <c r="H323" i="5"/>
  <c r="T323" i="5" s="1"/>
  <c r="M323" i="5"/>
  <c r="H322" i="5"/>
  <c r="T322" i="5" s="1"/>
  <c r="H301" i="5"/>
  <c r="T301" i="5" s="1"/>
  <c r="H320" i="5"/>
  <c r="T320" i="5" s="1"/>
  <c r="M239" i="5"/>
  <c r="M273" i="5"/>
  <c r="M233" i="5"/>
  <c r="M324" i="5"/>
  <c r="M321" i="5"/>
  <c r="H233" i="5"/>
  <c r="T233" i="5" s="1"/>
  <c r="H238" i="5"/>
  <c r="T238" i="5" s="1"/>
  <c r="M215" i="5"/>
  <c r="M269" i="5"/>
  <c r="M213" i="5"/>
  <c r="M325" i="5"/>
  <c r="H324" i="5"/>
  <c r="T324" i="5" s="1"/>
  <c r="F320" i="5"/>
  <c r="F325" i="5"/>
  <c r="F321" i="5"/>
  <c r="F322" i="5"/>
  <c r="F324" i="5"/>
  <c r="M237" i="5"/>
  <c r="H234" i="5"/>
  <c r="T234" i="5" s="1"/>
  <c r="M211" i="5"/>
  <c r="H232" i="5"/>
  <c r="T232" i="5" s="1"/>
  <c r="H251" i="5"/>
  <c r="T251" i="5" s="1"/>
  <c r="H321" i="5"/>
  <c r="T321" i="5" s="1"/>
  <c r="M225" i="5"/>
  <c r="H210" i="5"/>
  <c r="T210" i="5" s="1"/>
  <c r="M207" i="5"/>
  <c r="H228" i="5"/>
  <c r="T228" i="5" s="1"/>
  <c r="H227" i="5"/>
  <c r="T227" i="5" s="1"/>
  <c r="M322" i="5"/>
  <c r="H245" i="5"/>
  <c r="T245" i="5" s="1"/>
  <c r="M252" i="5"/>
  <c r="H206" i="5"/>
  <c r="T206" i="5" s="1"/>
  <c r="M238" i="5"/>
  <c r="H224" i="5"/>
  <c r="T224" i="5" s="1"/>
  <c r="H223" i="5"/>
  <c r="T223" i="5" s="1"/>
  <c r="M301" i="5"/>
  <c r="H213" i="5"/>
  <c r="T213" i="5" s="1"/>
  <c r="M228" i="5"/>
  <c r="H273" i="5"/>
  <c r="T273" i="5" s="1"/>
  <c r="M234" i="5"/>
  <c r="H271" i="5"/>
  <c r="T271" i="5" s="1"/>
  <c r="H219" i="5"/>
  <c r="T219" i="5" s="1"/>
  <c r="H325" i="5"/>
  <c r="T325" i="5" s="1"/>
  <c r="H241" i="5"/>
  <c r="T241" i="5" s="1"/>
  <c r="H272" i="5"/>
  <c r="T272" i="5" s="1"/>
  <c r="M248" i="5"/>
  <c r="M216" i="5"/>
  <c r="H230" i="5"/>
  <c r="T230" i="5" s="1"/>
  <c r="H269" i="5"/>
  <c r="T269" i="5" s="1"/>
  <c r="M235" i="5"/>
  <c r="M203" i="5"/>
  <c r="M226" i="5"/>
  <c r="H252" i="5"/>
  <c r="T252" i="5" s="1"/>
  <c r="H220" i="5"/>
  <c r="T220" i="5" s="1"/>
  <c r="M217" i="5"/>
  <c r="H247" i="5"/>
  <c r="T247" i="5" s="1"/>
  <c r="H215" i="5"/>
  <c r="T215" i="5" s="1"/>
  <c r="H209" i="5"/>
  <c r="T209" i="5" s="1"/>
  <c r="H221" i="5"/>
  <c r="T221" i="5" s="1"/>
  <c r="M244" i="5"/>
  <c r="M212" i="5"/>
  <c r="H226" i="5"/>
  <c r="T226" i="5" s="1"/>
  <c r="M241" i="5"/>
  <c r="M231" i="5"/>
  <c r="M270" i="5"/>
  <c r="M222" i="5"/>
  <c r="H248" i="5"/>
  <c r="T248" i="5" s="1"/>
  <c r="H216" i="5"/>
  <c r="T216" i="5" s="1"/>
  <c r="M209" i="5"/>
  <c r="H243" i="5"/>
  <c r="T243" i="5" s="1"/>
  <c r="H211" i="5"/>
  <c r="T211" i="5" s="1"/>
  <c r="F271" i="5"/>
  <c r="F204" i="5"/>
  <c r="F208" i="5"/>
  <c r="F212" i="5"/>
  <c r="F216" i="5"/>
  <c r="F220" i="5"/>
  <c r="F224" i="5"/>
  <c r="F228" i="5"/>
  <c r="F232" i="5"/>
  <c r="F236" i="5"/>
  <c r="F240" i="5"/>
  <c r="F244" i="5"/>
  <c r="F248" i="5"/>
  <c r="F252" i="5"/>
  <c r="F268" i="5"/>
  <c r="F272" i="5"/>
  <c r="F205" i="5"/>
  <c r="F209" i="5"/>
  <c r="F213" i="5"/>
  <c r="F217" i="5"/>
  <c r="F221" i="5"/>
  <c r="F225" i="5"/>
  <c r="F229" i="5"/>
  <c r="F233" i="5"/>
  <c r="F237" i="5"/>
  <c r="F241" i="5"/>
  <c r="F245" i="5"/>
  <c r="F249" i="5"/>
  <c r="F253" i="5"/>
  <c r="F247" i="5"/>
  <c r="F251" i="5"/>
  <c r="F270" i="5"/>
  <c r="F203" i="5"/>
  <c r="F207" i="5"/>
  <c r="F211" i="5"/>
  <c r="F215" i="5"/>
  <c r="F219" i="5"/>
  <c r="F223" i="5"/>
  <c r="F227" i="5"/>
  <c r="F231" i="5"/>
  <c r="F235" i="5"/>
  <c r="F239" i="5"/>
  <c r="F243" i="5"/>
  <c r="F222" i="5"/>
  <c r="F230" i="5"/>
  <c r="F226" i="5"/>
  <c r="F269" i="5"/>
  <c r="F246" i="5"/>
  <c r="F273" i="5"/>
  <c r="F234" i="5"/>
  <c r="F206" i="5"/>
  <c r="F238" i="5"/>
  <c r="F250" i="5"/>
  <c r="F214" i="5"/>
  <c r="F210" i="5"/>
  <c r="F242" i="5"/>
  <c r="F218" i="5"/>
  <c r="K263" i="5"/>
  <c r="H225" i="5"/>
  <c r="T225" i="5" s="1"/>
  <c r="M253" i="5"/>
  <c r="M240" i="5"/>
  <c r="M208" i="5"/>
  <c r="H222" i="5"/>
  <c r="T222" i="5" s="1"/>
  <c r="H250" i="5"/>
  <c r="T250" i="5" s="1"/>
  <c r="M227" i="5"/>
  <c r="M250" i="5"/>
  <c r="M218" i="5"/>
  <c r="H244" i="5"/>
  <c r="T244" i="5" s="1"/>
  <c r="H212" i="5"/>
  <c r="T212" i="5" s="1"/>
  <c r="M205" i="5"/>
  <c r="H239" i="5"/>
  <c r="T239" i="5" s="1"/>
  <c r="H207" i="5"/>
  <c r="T207" i="5" s="1"/>
  <c r="H217" i="5"/>
  <c r="T217" i="5" s="1"/>
  <c r="H253" i="5"/>
  <c r="T253" i="5" s="1"/>
  <c r="H229" i="5"/>
  <c r="T229" i="5" s="1"/>
  <c r="M236" i="5"/>
  <c r="M204" i="5"/>
  <c r="H218" i="5"/>
  <c r="T218" i="5" s="1"/>
  <c r="H246" i="5"/>
  <c r="T246" i="5" s="1"/>
  <c r="M223" i="5"/>
  <c r="M246" i="5"/>
  <c r="M214" i="5"/>
  <c r="H240" i="5"/>
  <c r="T240" i="5" s="1"/>
  <c r="H208" i="5"/>
  <c r="T208" i="5" s="1"/>
  <c r="M272" i="5"/>
  <c r="H235" i="5"/>
  <c r="T235" i="5" s="1"/>
  <c r="H203" i="5"/>
  <c r="T203" i="5" s="1"/>
  <c r="M245" i="5"/>
  <c r="H237" i="5"/>
  <c r="T237" i="5" s="1"/>
  <c r="H268" i="5"/>
  <c r="T268" i="5" s="1"/>
  <c r="M232" i="5"/>
  <c r="M271" i="5"/>
  <c r="H214" i="5"/>
  <c r="T214" i="5" s="1"/>
  <c r="M251" i="5"/>
  <c r="M219" i="5"/>
  <c r="M242" i="5"/>
  <c r="M210" i="5"/>
  <c r="H236" i="5"/>
  <c r="T236" i="5" s="1"/>
  <c r="H204" i="5"/>
  <c r="T204" i="5" s="1"/>
  <c r="M268" i="5"/>
  <c r="H231" i="5"/>
  <c r="T231" i="5" s="1"/>
  <c r="H270" i="5"/>
  <c r="T270" i="5" s="1"/>
  <c r="H108" i="5"/>
  <c r="T108" i="5" s="1"/>
  <c r="M106" i="5"/>
  <c r="F104" i="5"/>
  <c r="F107" i="5"/>
  <c r="F106" i="5"/>
  <c r="F105" i="5"/>
  <c r="F108" i="5"/>
  <c r="M75" i="5"/>
  <c r="H104" i="5"/>
  <c r="T104" i="5" s="1"/>
  <c r="M71" i="5"/>
  <c r="M108" i="5"/>
  <c r="M107" i="5"/>
  <c r="M73" i="5"/>
  <c r="H74" i="5"/>
  <c r="T74" i="5" s="1"/>
  <c r="H107" i="5"/>
  <c r="T107" i="5" s="1"/>
  <c r="K143" i="5"/>
  <c r="F77" i="5"/>
  <c r="F71" i="5"/>
  <c r="F75" i="5"/>
  <c r="F74" i="5"/>
  <c r="F78" i="5"/>
  <c r="F73" i="5"/>
  <c r="F25" i="5"/>
  <c r="K23" i="5"/>
  <c r="F22" i="5"/>
  <c r="F183" i="5"/>
  <c r="F176" i="5"/>
  <c r="F194" i="5"/>
  <c r="F181" i="5"/>
  <c r="F192" i="5"/>
  <c r="F68" i="5"/>
  <c r="K24" i="5"/>
  <c r="F179" i="5"/>
  <c r="F190" i="5"/>
  <c r="F70" i="5"/>
  <c r="F188" i="5"/>
  <c r="F200" i="5"/>
  <c r="F24" i="5"/>
  <c r="F186" i="5"/>
  <c r="F198" i="5"/>
  <c r="F264" i="5"/>
  <c r="F184" i="5"/>
  <c r="F196" i="5"/>
  <c r="F191" i="5"/>
  <c r="F69" i="5"/>
  <c r="F201" i="5"/>
  <c r="F182" i="5"/>
  <c r="F257" i="5"/>
  <c r="F67" i="5"/>
  <c r="F189" i="5"/>
  <c r="F23" i="5"/>
  <c r="F193" i="5"/>
  <c r="F180" i="5"/>
  <c r="F187" i="5"/>
  <c r="F197" i="5"/>
  <c r="F202" i="5"/>
  <c r="F199" i="5"/>
  <c r="F185" i="5"/>
  <c r="F146" i="5"/>
  <c r="K146" i="5"/>
  <c r="F147" i="5"/>
  <c r="K39" i="5"/>
  <c r="K60" i="5"/>
  <c r="K267" i="5"/>
  <c r="K151" i="5"/>
  <c r="K266" i="5"/>
  <c r="K47" i="5"/>
  <c r="K81" i="5"/>
  <c r="K262" i="5"/>
  <c r="K83" i="5"/>
  <c r="K50" i="5"/>
  <c r="K57" i="5"/>
  <c r="K144" i="5"/>
  <c r="K53" i="5"/>
  <c r="K43" i="5"/>
  <c r="K90" i="5"/>
  <c r="K137" i="5"/>
  <c r="F3" i="5"/>
  <c r="N53" i="5" s="1"/>
  <c r="M166" i="5"/>
  <c r="M314" i="5"/>
  <c r="M297" i="5"/>
  <c r="M307" i="5"/>
  <c r="H296" i="5"/>
  <c r="T296" i="5" s="1"/>
  <c r="H305" i="5"/>
  <c r="T305" i="5" s="1"/>
  <c r="H313" i="5"/>
  <c r="T313" i="5" s="1"/>
  <c r="M294" i="5"/>
  <c r="M303" i="5"/>
  <c r="M311" i="5"/>
  <c r="H304" i="5"/>
  <c r="T304" i="5" s="1"/>
  <c r="H312" i="5"/>
  <c r="T312" i="5" s="1"/>
  <c r="H295" i="5"/>
  <c r="T295" i="5" s="1"/>
  <c r="M290" i="5"/>
  <c r="H300" i="5"/>
  <c r="T300" i="5" s="1"/>
  <c r="M298" i="5"/>
  <c r="M308" i="5"/>
  <c r="M315" i="5"/>
  <c r="M295" i="5"/>
  <c r="M304" i="5"/>
  <c r="M312" i="5"/>
  <c r="H291" i="5"/>
  <c r="T291" i="5" s="1"/>
  <c r="H298" i="5"/>
  <c r="T298" i="5" s="1"/>
  <c r="H297" i="5"/>
  <c r="T297" i="5" s="1"/>
  <c r="H299" i="5"/>
  <c r="T299" i="5" s="1"/>
  <c r="H308" i="5"/>
  <c r="T308" i="5" s="1"/>
  <c r="M293" i="5"/>
  <c r="H307" i="5"/>
  <c r="T307" i="5" s="1"/>
  <c r="H303" i="5"/>
  <c r="T303" i="5" s="1"/>
  <c r="H293" i="5"/>
  <c r="T293" i="5" s="1"/>
  <c r="H309" i="5"/>
  <c r="T309" i="5" s="1"/>
  <c r="H315" i="5"/>
  <c r="T315" i="5" s="1"/>
  <c r="M302" i="5"/>
  <c r="H314" i="5"/>
  <c r="T314" i="5" s="1"/>
  <c r="H311" i="5"/>
  <c r="T311" i="5" s="1"/>
  <c r="H316" i="5"/>
  <c r="T316" i="5" s="1"/>
  <c r="H302" i="5"/>
  <c r="T302" i="5" s="1"/>
  <c r="M310" i="5"/>
  <c r="M292" i="5"/>
  <c r="H310" i="5"/>
  <c r="T310" i="5" s="1"/>
  <c r="M296" i="5"/>
  <c r="M300" i="5"/>
  <c r="M291" i="5"/>
  <c r="M305" i="5"/>
  <c r="H292" i="5"/>
  <c r="T292" i="5" s="1"/>
  <c r="M299" i="5"/>
  <c r="M313" i="5"/>
  <c r="H290" i="5"/>
  <c r="H294" i="5"/>
  <c r="T294" i="5" s="1"/>
  <c r="H159" i="5"/>
  <c r="T159" i="5" s="1"/>
  <c r="M267" i="5"/>
  <c r="H286" i="5"/>
  <c r="T286" i="5" s="1"/>
  <c r="M167" i="5"/>
  <c r="H275" i="5"/>
  <c r="T275" i="5" s="1"/>
  <c r="H169" i="5"/>
  <c r="T169" i="5" s="1"/>
  <c r="M168" i="5"/>
  <c r="M173" i="5"/>
  <c r="H161" i="5"/>
  <c r="T161" i="5" s="1"/>
  <c r="H266" i="5"/>
  <c r="T266" i="5" s="1"/>
  <c r="H283" i="5"/>
  <c r="T283" i="5" s="1"/>
  <c r="H195" i="5"/>
  <c r="T195" i="5" s="1"/>
  <c r="M161" i="5"/>
  <c r="H162" i="5"/>
  <c r="T162" i="5" s="1"/>
  <c r="M178" i="5"/>
  <c r="H151" i="5"/>
  <c r="T151" i="5" s="1"/>
  <c r="H261" i="5"/>
  <c r="T261" i="5" s="1"/>
  <c r="M276" i="5"/>
  <c r="H154" i="5"/>
  <c r="T154" i="5" s="1"/>
  <c r="H171" i="5"/>
  <c r="T171" i="5" s="1"/>
  <c r="H64" i="5"/>
  <c r="T64" i="5" s="1"/>
  <c r="H128" i="5"/>
  <c r="T128" i="5" s="1"/>
  <c r="M154" i="5"/>
  <c r="H156" i="5"/>
  <c r="T156" i="5" s="1"/>
  <c r="M155" i="5"/>
  <c r="H178" i="5"/>
  <c r="T178" i="5" s="1"/>
  <c r="M195" i="5"/>
  <c r="H255" i="5"/>
  <c r="T255" i="5" s="1"/>
  <c r="M262" i="5"/>
  <c r="M285" i="5"/>
  <c r="H144" i="5"/>
  <c r="T144" i="5" s="1"/>
  <c r="M284" i="5"/>
  <c r="M144" i="5"/>
  <c r="H148" i="5"/>
  <c r="T148" i="5" s="1"/>
  <c r="H274" i="5"/>
  <c r="T274" i="5" s="1"/>
  <c r="M145" i="5"/>
  <c r="H170" i="5"/>
  <c r="T170" i="5" s="1"/>
  <c r="M171" i="5"/>
  <c r="H173" i="5"/>
  <c r="T173" i="5" s="1"/>
  <c r="M256" i="5"/>
  <c r="M283" i="5"/>
  <c r="M177" i="5"/>
  <c r="H158" i="5"/>
  <c r="T158" i="5" s="1"/>
  <c r="K260" i="5"/>
  <c r="F158" i="5"/>
  <c r="F150" i="5"/>
  <c r="F276" i="5"/>
  <c r="F262" i="5"/>
  <c r="F256" i="5"/>
  <c r="F174" i="5"/>
  <c r="F166" i="5"/>
  <c r="F153" i="5"/>
  <c r="F143" i="5"/>
  <c r="F177" i="5"/>
  <c r="F169" i="5"/>
  <c r="F162" i="5"/>
  <c r="F156" i="5"/>
  <c r="F148" i="5"/>
  <c r="F267" i="5"/>
  <c r="F274" i="5"/>
  <c r="F260" i="5"/>
  <c r="F254" i="5"/>
  <c r="F172" i="5"/>
  <c r="F164" i="5"/>
  <c r="F159" i="5"/>
  <c r="F151" i="5"/>
  <c r="K261" i="5"/>
  <c r="F263" i="5"/>
  <c r="F258" i="5"/>
  <c r="F175" i="5"/>
  <c r="F167" i="5"/>
  <c r="F161" i="5"/>
  <c r="F154" i="5"/>
  <c r="F144" i="5"/>
  <c r="K265" i="5"/>
  <c r="F152" i="5"/>
  <c r="F171" i="5"/>
  <c r="F266" i="5"/>
  <c r="F178" i="5"/>
  <c r="F170" i="5"/>
  <c r="F163" i="5"/>
  <c r="F157" i="5"/>
  <c r="F149" i="5"/>
  <c r="F195" i="5"/>
  <c r="F160" i="5"/>
  <c r="F275" i="5"/>
  <c r="F261" i="5"/>
  <c r="F255" i="5"/>
  <c r="F173" i="5"/>
  <c r="F165" i="5"/>
  <c r="F265" i="5"/>
  <c r="F168" i="5"/>
  <c r="F155" i="5"/>
  <c r="F145" i="5"/>
  <c r="M115" i="5"/>
  <c r="H260" i="5"/>
  <c r="T260" i="5" s="1"/>
  <c r="H284" i="5"/>
  <c r="T284" i="5" s="1"/>
  <c r="H163" i="5"/>
  <c r="T163" i="5" s="1"/>
  <c r="H165" i="5"/>
  <c r="T165" i="5" s="1"/>
  <c r="M174" i="5"/>
  <c r="H265" i="5"/>
  <c r="T265" i="5" s="1"/>
  <c r="M280" i="5"/>
  <c r="H263" i="5"/>
  <c r="T263" i="5" s="1"/>
  <c r="H150" i="5"/>
  <c r="T150" i="5" s="1"/>
  <c r="H37" i="5"/>
  <c r="T37" i="5" s="1"/>
  <c r="M263" i="5"/>
  <c r="H254" i="5"/>
  <c r="T254" i="5" s="1"/>
  <c r="H157" i="5"/>
  <c r="T157" i="5" s="1"/>
  <c r="M158" i="5"/>
  <c r="H160" i="5"/>
  <c r="T160" i="5" s="1"/>
  <c r="H133" i="5"/>
  <c r="T133" i="5" s="1"/>
  <c r="M157" i="5"/>
  <c r="H276" i="5"/>
  <c r="T276" i="5" s="1"/>
  <c r="M149" i="5"/>
  <c r="M286" i="5"/>
  <c r="H166" i="5"/>
  <c r="T166" i="5" s="1"/>
  <c r="H153" i="5"/>
  <c r="T153" i="5" s="1"/>
  <c r="M152" i="5"/>
  <c r="M165" i="5"/>
  <c r="M160" i="5"/>
  <c r="H174" i="5"/>
  <c r="T174" i="5" s="1"/>
  <c r="H145" i="5"/>
  <c r="T145" i="5" s="1"/>
  <c r="M274" i="5"/>
  <c r="M172" i="5"/>
  <c r="M164" i="5"/>
  <c r="M151" i="5"/>
  <c r="H262" i="5"/>
  <c r="T262" i="5" s="1"/>
  <c r="H256" i="5"/>
  <c r="T256" i="5" s="1"/>
  <c r="H143" i="5"/>
  <c r="T143" i="5" s="1"/>
  <c r="M254" i="5"/>
  <c r="M159" i="5"/>
  <c r="M148" i="5"/>
  <c r="H155" i="5"/>
  <c r="T155" i="5" s="1"/>
  <c r="M260" i="5"/>
  <c r="M169" i="5"/>
  <c r="M162" i="5"/>
  <c r="M156" i="5"/>
  <c r="M275" i="5"/>
  <c r="H258" i="5"/>
  <c r="T258" i="5" s="1"/>
  <c r="M265" i="5"/>
  <c r="H138" i="5"/>
  <c r="T138" i="5" s="1"/>
  <c r="M258" i="5"/>
  <c r="H282" i="5"/>
  <c r="T282" i="5" s="1"/>
  <c r="H172" i="5"/>
  <c r="T172" i="5" s="1"/>
  <c r="H149" i="5"/>
  <c r="T149" i="5" s="1"/>
  <c r="M150" i="5"/>
  <c r="H152" i="5"/>
  <c r="T152" i="5" s="1"/>
  <c r="H127" i="5"/>
  <c r="T127" i="5" s="1"/>
  <c r="M261" i="5"/>
  <c r="H175" i="5"/>
  <c r="T175" i="5" s="1"/>
  <c r="H168" i="5"/>
  <c r="T168" i="5" s="1"/>
  <c r="H267" i="5"/>
  <c r="T267" i="5" s="1"/>
  <c r="H88" i="5"/>
  <c r="T88" i="5" s="1"/>
  <c r="M175" i="5"/>
  <c r="M170" i="5"/>
  <c r="H177" i="5"/>
  <c r="T177" i="5" s="1"/>
  <c r="H164" i="5"/>
  <c r="T164" i="5" s="1"/>
  <c r="M282" i="5"/>
  <c r="H280" i="5"/>
  <c r="T280" i="5" s="1"/>
  <c r="M153" i="5"/>
  <c r="H96" i="5"/>
  <c r="T96" i="5" s="1"/>
  <c r="M163" i="5"/>
  <c r="M266" i="5"/>
  <c r="M255" i="5"/>
  <c r="H167" i="5"/>
  <c r="T167" i="5" s="1"/>
  <c r="M143" i="5"/>
  <c r="H285" i="5"/>
  <c r="T285" i="5" s="1"/>
  <c r="M58" i="5"/>
  <c r="H118" i="5"/>
  <c r="T118" i="5" s="1"/>
  <c r="M123" i="5"/>
  <c r="F116" i="5"/>
  <c r="F124" i="5"/>
  <c r="F132" i="5"/>
  <c r="F121" i="5"/>
  <c r="F129" i="5"/>
  <c r="F137" i="5"/>
  <c r="F118" i="5"/>
  <c r="F126" i="5"/>
  <c r="F134" i="5"/>
  <c r="F123" i="5"/>
  <c r="F131" i="5"/>
  <c r="F120" i="5"/>
  <c r="F128" i="5"/>
  <c r="F136" i="5"/>
  <c r="F117" i="5"/>
  <c r="F125" i="5"/>
  <c r="F133" i="5"/>
  <c r="F122" i="5"/>
  <c r="F130" i="5"/>
  <c r="F138" i="5"/>
  <c r="F119" i="5"/>
  <c r="F115" i="5"/>
  <c r="F127" i="5"/>
  <c r="M41" i="5"/>
  <c r="M117" i="5"/>
  <c r="M122" i="5"/>
  <c r="H136" i="5"/>
  <c r="T136" i="5" s="1"/>
  <c r="M93" i="5"/>
  <c r="H126" i="5"/>
  <c r="T126" i="5" s="1"/>
  <c r="M118" i="5"/>
  <c r="M131" i="5"/>
  <c r="M12" i="5"/>
  <c r="M87" i="5"/>
  <c r="M125" i="5"/>
  <c r="M130" i="5"/>
  <c r="M126" i="5"/>
  <c r="N131" i="5"/>
  <c r="M59" i="5"/>
  <c r="H100" i="5"/>
  <c r="T100" i="5" s="1"/>
  <c r="H134" i="5"/>
  <c r="T134" i="5" s="1"/>
  <c r="H117" i="5"/>
  <c r="H115" i="5"/>
  <c r="T115" i="5" s="1"/>
  <c r="H48" i="5"/>
  <c r="T48" i="5" s="1"/>
  <c r="M133" i="5"/>
  <c r="M138" i="5"/>
  <c r="M116" i="5"/>
  <c r="M88" i="5"/>
  <c r="H116" i="5"/>
  <c r="T116" i="5" s="1"/>
  <c r="H125" i="5"/>
  <c r="T125" i="5" s="1"/>
  <c r="H85" i="5"/>
  <c r="H121" i="5"/>
  <c r="T121" i="5" s="1"/>
  <c r="M124" i="5"/>
  <c r="M98" i="5"/>
  <c r="H49" i="5"/>
  <c r="T49" i="5" s="1"/>
  <c r="H124" i="5"/>
  <c r="H129" i="5"/>
  <c r="T129" i="5" s="1"/>
  <c r="M121" i="5"/>
  <c r="H46" i="5"/>
  <c r="T46" i="5" s="1"/>
  <c r="M134" i="5"/>
  <c r="M128" i="5"/>
  <c r="M136" i="5"/>
  <c r="M120" i="5"/>
  <c r="H65" i="5"/>
  <c r="H137" i="5"/>
  <c r="T137" i="5" s="1"/>
  <c r="M132" i="5"/>
  <c r="H36" i="5"/>
  <c r="T36" i="5" s="1"/>
  <c r="H86" i="5"/>
  <c r="T86" i="5" s="1"/>
  <c r="H132" i="5"/>
  <c r="T132" i="5" s="1"/>
  <c r="M129" i="5"/>
  <c r="M119" i="5"/>
  <c r="H123" i="5"/>
  <c r="M137" i="5"/>
  <c r="H59" i="5"/>
  <c r="T59" i="5" s="1"/>
  <c r="M31" i="5"/>
  <c r="H122" i="5"/>
  <c r="T122" i="5" s="1"/>
  <c r="H80" i="5"/>
  <c r="H58" i="5"/>
  <c r="T58" i="5" s="1"/>
  <c r="M127" i="5"/>
  <c r="H131" i="5"/>
  <c r="T131" i="5" s="1"/>
  <c r="H120" i="5"/>
  <c r="T120" i="5" s="1"/>
  <c r="H130" i="5"/>
  <c r="H119" i="5"/>
  <c r="H56" i="5"/>
  <c r="T56" i="5" s="1"/>
  <c r="H97" i="5"/>
  <c r="T97" i="5" s="1"/>
  <c r="M80" i="5"/>
  <c r="H50" i="5"/>
  <c r="M101" i="5"/>
  <c r="H31" i="5"/>
  <c r="T31" i="5" s="1"/>
  <c r="H57" i="5"/>
  <c r="T57" i="5" s="1"/>
  <c r="H93" i="5"/>
  <c r="T93" i="5" s="1"/>
  <c r="H95" i="5"/>
  <c r="H94" i="5"/>
  <c r="T94" i="5" s="1"/>
  <c r="M33" i="5"/>
  <c r="H45" i="5"/>
  <c r="T45" i="5" s="1"/>
  <c r="M96" i="5"/>
  <c r="H84" i="5"/>
  <c r="H39" i="5"/>
  <c r="H52" i="5"/>
  <c r="T52" i="5" s="1"/>
  <c r="M95" i="5"/>
  <c r="H102" i="5"/>
  <c r="T102" i="5" s="1"/>
  <c r="I80" i="5"/>
  <c r="N57" i="5"/>
  <c r="N16" i="5"/>
  <c r="I93" i="5"/>
  <c r="N46" i="5"/>
  <c r="N109" i="5"/>
  <c r="N59" i="5"/>
  <c r="I58" i="5"/>
  <c r="N17" i="5"/>
  <c r="N14" i="5"/>
  <c r="M38" i="5"/>
  <c r="H53" i="5"/>
  <c r="H110" i="5"/>
  <c r="T110" i="5" s="1"/>
  <c r="H60" i="5"/>
  <c r="T60" i="5" s="1"/>
  <c r="M63" i="5"/>
  <c r="H82" i="5"/>
  <c r="T82" i="5" s="1"/>
  <c r="M109" i="5"/>
  <c r="M32" i="5"/>
  <c r="H47" i="5"/>
  <c r="T47" i="5" s="1"/>
  <c r="H81" i="5"/>
  <c r="T81" i="5" s="1"/>
  <c r="M103" i="5"/>
  <c r="M92" i="5"/>
  <c r="M49" i="5"/>
  <c r="M46" i="5"/>
  <c r="H90" i="5"/>
  <c r="H55" i="5"/>
  <c r="T55" i="5" s="1"/>
  <c r="H89" i="5"/>
  <c r="T89" i="5" s="1"/>
  <c r="M39" i="5"/>
  <c r="F32" i="5"/>
  <c r="F48" i="5"/>
  <c r="F56" i="5"/>
  <c r="F64" i="5"/>
  <c r="F85" i="5"/>
  <c r="F93" i="5"/>
  <c r="F101" i="5"/>
  <c r="K17" i="5"/>
  <c r="F37" i="5"/>
  <c r="F45" i="5"/>
  <c r="F53" i="5"/>
  <c r="F82" i="5"/>
  <c r="F90" i="5"/>
  <c r="F98" i="5"/>
  <c r="F87" i="5"/>
  <c r="F103" i="5"/>
  <c r="K14" i="5"/>
  <c r="F34" i="5"/>
  <c r="F42" i="5"/>
  <c r="F50" i="5"/>
  <c r="F58" i="5"/>
  <c r="F95" i="5"/>
  <c r="F84" i="5"/>
  <c r="F92" i="5"/>
  <c r="F100" i="5"/>
  <c r="F89" i="5"/>
  <c r="F97" i="5"/>
  <c r="F39" i="5"/>
  <c r="F47" i="5"/>
  <c r="F55" i="5"/>
  <c r="F63" i="5"/>
  <c r="F110" i="5"/>
  <c r="K15" i="5"/>
  <c r="F36" i="5"/>
  <c r="F52" i="5"/>
  <c r="F60" i="5"/>
  <c r="F81" i="5"/>
  <c r="F33" i="5"/>
  <c r="F41" i="5"/>
  <c r="F49" i="5"/>
  <c r="F57" i="5"/>
  <c r="F65" i="5"/>
  <c r="F86" i="5"/>
  <c r="F94" i="5"/>
  <c r="F102" i="5"/>
  <c r="F31" i="5"/>
  <c r="F62" i="5"/>
  <c r="F38" i="5"/>
  <c r="F46" i="5"/>
  <c r="F83" i="5"/>
  <c r="F91" i="5"/>
  <c r="F35" i="5"/>
  <c r="F43" i="5"/>
  <c r="F51" i="5"/>
  <c r="F59" i="5"/>
  <c r="F80" i="5"/>
  <c r="F88" i="5"/>
  <c r="F96" i="5"/>
  <c r="F109" i="5"/>
  <c r="M57" i="5"/>
  <c r="H87" i="5"/>
  <c r="T87" i="5" s="1"/>
  <c r="H63" i="5"/>
  <c r="T63" i="5" s="1"/>
  <c r="M47" i="5"/>
  <c r="H38" i="5"/>
  <c r="T38" i="5" s="1"/>
  <c r="M65" i="5"/>
  <c r="M62" i="5"/>
  <c r="M35" i="5"/>
  <c r="H103" i="5"/>
  <c r="T103" i="5" s="1"/>
  <c r="M48" i="5"/>
  <c r="M15" i="5"/>
  <c r="M34" i="5"/>
  <c r="M55" i="5"/>
  <c r="H17" i="5"/>
  <c r="H109" i="5"/>
  <c r="T109" i="5" s="1"/>
  <c r="M102" i="5"/>
  <c r="H101" i="5"/>
  <c r="T101" i="5" s="1"/>
  <c r="M13" i="5"/>
  <c r="M81" i="5"/>
  <c r="M89" i="5"/>
  <c r="M97" i="5"/>
  <c r="M36" i="5"/>
  <c r="M52" i="5"/>
  <c r="M100" i="5"/>
  <c r="M14" i="5"/>
  <c r="M60" i="5"/>
  <c r="M110" i="5"/>
  <c r="M86" i="5"/>
  <c r="H92" i="5"/>
  <c r="M84" i="5"/>
  <c r="H62" i="5"/>
  <c r="T62" i="5" s="1"/>
  <c r="M94" i="5"/>
  <c r="M83" i="5"/>
  <c r="M43" i="5"/>
  <c r="M90" i="5"/>
  <c r="M56" i="5"/>
  <c r="M37" i="5"/>
  <c r="M42" i="5"/>
  <c r="H33" i="5"/>
  <c r="T33" i="5" s="1"/>
  <c r="H83" i="5"/>
  <c r="T83" i="5" s="1"/>
  <c r="H43" i="5"/>
  <c r="T43" i="5" s="1"/>
  <c r="H32" i="5"/>
  <c r="T32" i="5" s="1"/>
  <c r="M91" i="5"/>
  <c r="M45" i="5"/>
  <c r="H91" i="5"/>
  <c r="M16" i="5"/>
  <c r="M51" i="5"/>
  <c r="H34" i="5"/>
  <c r="T34" i="5" s="1"/>
  <c r="M64" i="5"/>
  <c r="M53" i="5"/>
  <c r="M50" i="5"/>
  <c r="H41" i="5"/>
  <c r="T41" i="5" s="1"/>
  <c r="M17" i="5"/>
  <c r="H51" i="5"/>
  <c r="T51" i="5" s="1"/>
  <c r="H98" i="5"/>
  <c r="H42" i="5"/>
  <c r="T42" i="5" s="1"/>
  <c r="M85" i="5"/>
  <c r="M82" i="5"/>
  <c r="H35" i="5"/>
  <c r="T35" i="5" s="1"/>
  <c r="H12" i="5"/>
  <c r="H13" i="5"/>
  <c r="H16" i="5"/>
  <c r="H15" i="5"/>
  <c r="F14" i="5"/>
  <c r="F17" i="5"/>
  <c r="F16" i="5"/>
  <c r="F13" i="5"/>
  <c r="F12" i="5"/>
  <c r="F15" i="5"/>
  <c r="I14" i="5"/>
  <c r="I17" i="5"/>
  <c r="I16" i="5"/>
  <c r="H14" i="5"/>
  <c r="I265" i="5" l="1"/>
  <c r="N137" i="5"/>
  <c r="I134" i="5"/>
  <c r="N39" i="5"/>
  <c r="I91" i="5"/>
  <c r="N138" i="5"/>
  <c r="I70" i="5"/>
  <c r="I323" i="5"/>
  <c r="N323" i="5"/>
  <c r="I97" i="5"/>
  <c r="N48" i="5"/>
  <c r="I214" i="5"/>
  <c r="I209" i="5"/>
  <c r="N268" i="5"/>
  <c r="N322" i="5"/>
  <c r="N206" i="5"/>
  <c r="N235" i="5"/>
  <c r="I240" i="5"/>
  <c r="I235" i="5"/>
  <c r="I325" i="5"/>
  <c r="N234" i="5"/>
  <c r="N231" i="5"/>
  <c r="I236" i="5"/>
  <c r="I231" i="5"/>
  <c r="I320" i="5"/>
  <c r="N210" i="5"/>
  <c r="N203" i="5"/>
  <c r="I208" i="5"/>
  <c r="N236" i="5"/>
  <c r="N321" i="5"/>
  <c r="N250" i="5"/>
  <c r="N270" i="5"/>
  <c r="I204" i="5"/>
  <c r="N232" i="5"/>
  <c r="I324" i="5"/>
  <c r="I250" i="5"/>
  <c r="I245" i="5"/>
  <c r="N233" i="5"/>
  <c r="N204" i="5"/>
  <c r="N324" i="5"/>
  <c r="N325" i="5"/>
  <c r="I246" i="5"/>
  <c r="I241" i="5"/>
  <c r="N229" i="5"/>
  <c r="N271" i="5"/>
  <c r="I322" i="5"/>
  <c r="N320" i="5"/>
  <c r="I218" i="5"/>
  <c r="I213" i="5"/>
  <c r="N272" i="5"/>
  <c r="I321" i="5"/>
  <c r="N242" i="5"/>
  <c r="N218" i="5"/>
  <c r="I230" i="5"/>
  <c r="I269" i="5"/>
  <c r="N215" i="5"/>
  <c r="N247" i="5"/>
  <c r="I225" i="5"/>
  <c r="I252" i="5"/>
  <c r="I220" i="5"/>
  <c r="N245" i="5"/>
  <c r="N213" i="5"/>
  <c r="I211" i="5"/>
  <c r="N248" i="5"/>
  <c r="N216" i="5"/>
  <c r="N226" i="5"/>
  <c r="N238" i="5"/>
  <c r="I226" i="5"/>
  <c r="N243" i="5"/>
  <c r="N211" i="5"/>
  <c r="I253" i="5"/>
  <c r="I221" i="5"/>
  <c r="I248" i="5"/>
  <c r="I216" i="5"/>
  <c r="N241" i="5"/>
  <c r="N209" i="5"/>
  <c r="I207" i="5"/>
  <c r="N244" i="5"/>
  <c r="N212" i="5"/>
  <c r="I251" i="5"/>
  <c r="N214" i="5"/>
  <c r="I222" i="5"/>
  <c r="N239" i="5"/>
  <c r="N207" i="5"/>
  <c r="I249" i="5"/>
  <c r="I217" i="5"/>
  <c r="I244" i="5"/>
  <c r="I212" i="5"/>
  <c r="N237" i="5"/>
  <c r="N205" i="5"/>
  <c r="I270" i="5"/>
  <c r="N240" i="5"/>
  <c r="N208" i="5"/>
  <c r="I77" i="5"/>
  <c r="N273" i="5"/>
  <c r="I247" i="5"/>
  <c r="I242" i="5"/>
  <c r="I210" i="5"/>
  <c r="N227" i="5"/>
  <c r="I243" i="5"/>
  <c r="I237" i="5"/>
  <c r="I205" i="5"/>
  <c r="I232" i="5"/>
  <c r="I271" i="5"/>
  <c r="N225" i="5"/>
  <c r="I223" i="5"/>
  <c r="I227" i="5"/>
  <c r="N228" i="5"/>
  <c r="N230" i="5"/>
  <c r="N222" i="5"/>
  <c r="I238" i="5"/>
  <c r="I206" i="5"/>
  <c r="N223" i="5"/>
  <c r="I239" i="5"/>
  <c r="I233" i="5"/>
  <c r="I272" i="5"/>
  <c r="I228" i="5"/>
  <c r="N253" i="5"/>
  <c r="N221" i="5"/>
  <c r="I219" i="5"/>
  <c r="I203" i="5"/>
  <c r="N224" i="5"/>
  <c r="N269" i="5"/>
  <c r="N246" i="5"/>
  <c r="I234" i="5"/>
  <c r="I273" i="5"/>
  <c r="N219" i="5"/>
  <c r="N251" i="5"/>
  <c r="I229" i="5"/>
  <c r="I268" i="5"/>
  <c r="I224" i="5"/>
  <c r="N249" i="5"/>
  <c r="N217" i="5"/>
  <c r="I215" i="5"/>
  <c r="N252" i="5"/>
  <c r="N220" i="5"/>
  <c r="N171" i="5"/>
  <c r="I73" i="5"/>
  <c r="I104" i="5"/>
  <c r="N74" i="5"/>
  <c r="N126" i="5"/>
  <c r="I131" i="5"/>
  <c r="N130" i="5"/>
  <c r="N117" i="5"/>
  <c r="N195" i="5"/>
  <c r="I78" i="5"/>
  <c r="N107" i="5"/>
  <c r="I86" i="5"/>
  <c r="N51" i="5"/>
  <c r="N129" i="5"/>
  <c r="I94" i="5"/>
  <c r="N43" i="5"/>
  <c r="I13" i="5"/>
  <c r="I41" i="5"/>
  <c r="N35" i="5"/>
  <c r="N33" i="5"/>
  <c r="N58" i="5"/>
  <c r="I82" i="5"/>
  <c r="N13" i="5"/>
  <c r="N118" i="5"/>
  <c r="I123" i="5"/>
  <c r="N122" i="5"/>
  <c r="I127" i="5"/>
  <c r="I274" i="5"/>
  <c r="I75" i="5"/>
  <c r="N75" i="5"/>
  <c r="I108" i="5"/>
  <c r="I106" i="5"/>
  <c r="N45" i="5"/>
  <c r="N96" i="5"/>
  <c r="N49" i="5"/>
  <c r="N133" i="5"/>
  <c r="N105" i="5"/>
  <c r="N95" i="5"/>
  <c r="I81" i="5"/>
  <c r="I42" i="5"/>
  <c r="I98" i="5"/>
  <c r="N41" i="5"/>
  <c r="N121" i="5"/>
  <c r="N87" i="5"/>
  <c r="I15" i="5"/>
  <c r="I33" i="5"/>
  <c r="I84" i="5"/>
  <c r="I102" i="5"/>
  <c r="N102" i="5"/>
  <c r="N50" i="5"/>
  <c r="I103" i="5"/>
  <c r="N62" i="5"/>
  <c r="I109" i="5"/>
  <c r="I136" i="5"/>
  <c r="N132" i="5"/>
  <c r="I132" i="5"/>
  <c r="I119" i="5"/>
  <c r="N283" i="5"/>
  <c r="I71" i="5"/>
  <c r="N71" i="5"/>
  <c r="N106" i="5"/>
  <c r="N104" i="5"/>
  <c r="I62" i="5"/>
  <c r="I50" i="5"/>
  <c r="I85" i="5"/>
  <c r="I115" i="5"/>
  <c r="N158" i="5"/>
  <c r="N100" i="5"/>
  <c r="N37" i="5"/>
  <c r="I38" i="5"/>
  <c r="N134" i="5"/>
  <c r="N125" i="5"/>
  <c r="I92" i="5"/>
  <c r="I100" i="5"/>
  <c r="I90" i="5"/>
  <c r="I43" i="5"/>
  <c r="I52" i="5"/>
  <c r="I83" i="5"/>
  <c r="N83" i="5"/>
  <c r="I36" i="5"/>
  <c r="I63" i="5"/>
  <c r="I46" i="5"/>
  <c r="N93" i="5"/>
  <c r="I53" i="5"/>
  <c r="N94" i="5"/>
  <c r="N52" i="5"/>
  <c r="N55" i="5"/>
  <c r="N42" i="5"/>
  <c r="N103" i="5"/>
  <c r="N90" i="5"/>
  <c r="I55" i="5"/>
  <c r="I95" i="5"/>
  <c r="N88" i="5"/>
  <c r="N85" i="5"/>
  <c r="I45" i="5"/>
  <c r="N31" i="5"/>
  <c r="N86" i="5"/>
  <c r="I96" i="5"/>
  <c r="N36" i="5"/>
  <c r="I138" i="5"/>
  <c r="I128" i="5"/>
  <c r="N116" i="5"/>
  <c r="I124" i="5"/>
  <c r="N136" i="5"/>
  <c r="I286" i="5"/>
  <c r="I153" i="5"/>
  <c r="N73" i="5"/>
  <c r="I74" i="5"/>
  <c r="I105" i="5"/>
  <c r="I107" i="5"/>
  <c r="I89" i="5"/>
  <c r="N32" i="5"/>
  <c r="N38" i="5"/>
  <c r="I59" i="5"/>
  <c r="I126" i="5"/>
  <c r="I32" i="5"/>
  <c r="I51" i="5"/>
  <c r="I118" i="5"/>
  <c r="N92" i="5"/>
  <c r="I60" i="5"/>
  <c r="I34" i="5"/>
  <c r="N91" i="5"/>
  <c r="N84" i="5"/>
  <c r="N15" i="5"/>
  <c r="I35" i="5"/>
  <c r="N63" i="5"/>
  <c r="N47" i="5"/>
  <c r="N34" i="5"/>
  <c r="I110" i="5"/>
  <c r="N82" i="5"/>
  <c r="I47" i="5"/>
  <c r="I87" i="5"/>
  <c r="N80" i="5"/>
  <c r="N12" i="5"/>
  <c r="I37" i="5"/>
  <c r="I101" i="5"/>
  <c r="N65" i="5"/>
  <c r="I88" i="5"/>
  <c r="I130" i="5"/>
  <c r="I120" i="5"/>
  <c r="N115" i="5"/>
  <c r="I116" i="5"/>
  <c r="N128" i="5"/>
  <c r="I155" i="5"/>
  <c r="N78" i="5"/>
  <c r="N77" i="5"/>
  <c r="N108" i="5"/>
  <c r="N21" i="5"/>
  <c r="N159" i="5"/>
  <c r="I145" i="5"/>
  <c r="N267" i="5"/>
  <c r="I159" i="5"/>
  <c r="I197" i="5"/>
  <c r="N284" i="5"/>
  <c r="N174" i="5"/>
  <c r="I266" i="5"/>
  <c r="N149" i="5"/>
  <c r="I68" i="5"/>
  <c r="N162" i="5"/>
  <c r="I280" i="5"/>
  <c r="N168" i="5"/>
  <c r="N178" i="5"/>
  <c r="N169" i="5"/>
  <c r="N282" i="5"/>
  <c r="N258" i="5"/>
  <c r="I148" i="5"/>
  <c r="N177" i="5"/>
  <c r="N150" i="5"/>
  <c r="I260" i="5"/>
  <c r="I169" i="5"/>
  <c r="N191" i="5"/>
  <c r="I146" i="5"/>
  <c r="I168" i="5"/>
  <c r="I170" i="5"/>
  <c r="I172" i="5"/>
  <c r="N193" i="5"/>
  <c r="I201" i="5"/>
  <c r="N154" i="5"/>
  <c r="N145" i="5"/>
  <c r="I156" i="5"/>
  <c r="I22" i="5"/>
  <c r="N148" i="5"/>
  <c r="N155" i="5"/>
  <c r="I162" i="5"/>
  <c r="N67" i="5"/>
  <c r="I189" i="5"/>
  <c r="N151" i="5"/>
  <c r="N153" i="5"/>
  <c r="N265" i="5"/>
  <c r="I177" i="5"/>
  <c r="N70" i="5"/>
  <c r="N200" i="5"/>
  <c r="N110" i="5"/>
  <c r="N123" i="5"/>
  <c r="N127" i="5"/>
  <c r="N164" i="5"/>
  <c r="N175" i="5"/>
  <c r="I154" i="5"/>
  <c r="N286" i="5"/>
  <c r="I69" i="5"/>
  <c r="N97" i="5"/>
  <c r="I133" i="5"/>
  <c r="N119" i="5"/>
  <c r="N172" i="5"/>
  <c r="I152" i="5"/>
  <c r="I161" i="5"/>
  <c r="N190" i="5"/>
  <c r="I65" i="5"/>
  <c r="I39" i="5"/>
  <c r="N98" i="5"/>
  <c r="I64" i="5"/>
  <c r="N89" i="5"/>
  <c r="I125" i="5"/>
  <c r="I137" i="5"/>
  <c r="N260" i="5"/>
  <c r="I160" i="5"/>
  <c r="I175" i="5"/>
  <c r="I12" i="5"/>
  <c r="I57" i="5"/>
  <c r="N64" i="5"/>
  <c r="I31" i="5"/>
  <c r="I56" i="5"/>
  <c r="N81" i="5"/>
  <c r="I117" i="5"/>
  <c r="I129" i="5"/>
  <c r="I283" i="5"/>
  <c r="I165" i="5"/>
  <c r="I258" i="5"/>
  <c r="I264" i="5"/>
  <c r="I49" i="5"/>
  <c r="N56" i="5"/>
  <c r="N101" i="5"/>
  <c r="I48" i="5"/>
  <c r="N60" i="5"/>
  <c r="I122" i="5"/>
  <c r="I121" i="5"/>
  <c r="I262" i="5"/>
  <c r="I173" i="5"/>
  <c r="I174" i="5"/>
  <c r="N68" i="5"/>
  <c r="I158" i="5"/>
  <c r="I255" i="5"/>
  <c r="N261" i="5"/>
  <c r="I191" i="5"/>
  <c r="I261" i="5"/>
  <c r="N280" i="5"/>
  <c r="I67" i="5"/>
  <c r="I171" i="5"/>
  <c r="I275" i="5"/>
  <c r="I282" i="5"/>
  <c r="N181" i="5"/>
  <c r="N254" i="5"/>
  <c r="N143" i="5"/>
  <c r="I254" i="5"/>
  <c r="N194" i="5"/>
  <c r="I202" i="5"/>
  <c r="N274" i="5"/>
  <c r="N285" i="5"/>
  <c r="N157" i="5"/>
  <c r="N176" i="5"/>
  <c r="N166" i="5"/>
  <c r="N161" i="5"/>
  <c r="N163" i="5"/>
  <c r="N69" i="5"/>
  <c r="I190" i="5"/>
  <c r="N187" i="5"/>
  <c r="I150" i="5"/>
  <c r="I256" i="5"/>
  <c r="I151" i="5"/>
  <c r="I147" i="5"/>
  <c r="N189" i="5"/>
  <c r="N146" i="5"/>
  <c r="N183" i="5"/>
  <c r="I192" i="5"/>
  <c r="N184" i="5"/>
  <c r="I199" i="5"/>
  <c r="N257" i="5"/>
  <c r="I180" i="5"/>
  <c r="N264" i="5"/>
  <c r="I187" i="5"/>
  <c r="G3" i="5"/>
  <c r="J166" i="5" s="1"/>
  <c r="N182" i="5"/>
  <c r="N202" i="5"/>
  <c r="N180" i="5"/>
  <c r="I198" i="5"/>
  <c r="I179" i="5"/>
  <c r="I24" i="5"/>
  <c r="I186" i="5"/>
  <c r="I21" i="5"/>
  <c r="I167" i="5"/>
  <c r="N170" i="5"/>
  <c r="N185" i="5"/>
  <c r="N179" i="5"/>
  <c r="N199" i="5"/>
  <c r="N192" i="5"/>
  <c r="N201" i="5"/>
  <c r="I263" i="5"/>
  <c r="N266" i="5"/>
  <c r="N197" i="5"/>
  <c r="I185" i="5"/>
  <c r="I285" i="5"/>
  <c r="I281" i="5"/>
  <c r="N24" i="5"/>
  <c r="N152" i="5"/>
  <c r="N144" i="5"/>
  <c r="N198" i="5"/>
  <c r="I181" i="5"/>
  <c r="I195" i="5"/>
  <c r="N256" i="5"/>
  <c r="I284" i="5"/>
  <c r="N160" i="5"/>
  <c r="N263" i="5"/>
  <c r="N196" i="5"/>
  <c r="I193" i="5"/>
  <c r="I194" i="5"/>
  <c r="N262" i="5"/>
  <c r="I149" i="5"/>
  <c r="N165" i="5"/>
  <c r="I166" i="5"/>
  <c r="I257" i="5"/>
  <c r="N186" i="5"/>
  <c r="I267" i="5"/>
  <c r="N276" i="5"/>
  <c r="I157" i="5"/>
  <c r="N173" i="5"/>
  <c r="I276" i="5"/>
  <c r="N188" i="5"/>
  <c r="I182" i="5"/>
  <c r="N281" i="5"/>
  <c r="N167" i="5"/>
  <c r="I163" i="5"/>
  <c r="N255" i="5"/>
  <c r="I144" i="5"/>
  <c r="N22" i="5"/>
  <c r="I176" i="5"/>
  <c r="I196" i="5"/>
  <c r="I200" i="5"/>
  <c r="I183" i="5"/>
  <c r="N124" i="5"/>
  <c r="N120" i="5"/>
  <c r="N156" i="5"/>
  <c r="I143" i="5"/>
  <c r="I178" i="5"/>
  <c r="N275" i="5"/>
  <c r="I164" i="5"/>
  <c r="N147" i="5"/>
  <c r="I184" i="5"/>
  <c r="I188" i="5"/>
  <c r="O16" i="5"/>
  <c r="O14" i="5"/>
  <c r="J16" i="5"/>
  <c r="J14" i="5"/>
  <c r="J33" i="5" l="1"/>
  <c r="O47" i="5"/>
  <c r="J47" i="5"/>
  <c r="O36" i="5"/>
  <c r="J121" i="5"/>
  <c r="J324" i="5"/>
  <c r="J323" i="5"/>
  <c r="O323" i="5"/>
  <c r="J173" i="5"/>
  <c r="O214" i="5"/>
  <c r="O325" i="5"/>
  <c r="J248" i="5"/>
  <c r="O237" i="5"/>
  <c r="O320" i="5"/>
  <c r="J212" i="5"/>
  <c r="O205" i="5"/>
  <c r="J321" i="5"/>
  <c r="O324" i="5"/>
  <c r="O106" i="5"/>
  <c r="O251" i="5"/>
  <c r="J235" i="5"/>
  <c r="O322" i="5"/>
  <c r="J322" i="5"/>
  <c r="J39" i="5"/>
  <c r="J275" i="5"/>
  <c r="O219" i="5"/>
  <c r="J203" i="5"/>
  <c r="J325" i="5"/>
  <c r="O71" i="5"/>
  <c r="J237" i="5"/>
  <c r="O204" i="5"/>
  <c r="J320" i="5"/>
  <c r="J98" i="5"/>
  <c r="J205" i="5"/>
  <c r="J234" i="5"/>
  <c r="O321" i="5"/>
  <c r="J53" i="5"/>
  <c r="O246" i="5"/>
  <c r="J273" i="5"/>
  <c r="J74" i="5"/>
  <c r="O252" i="5"/>
  <c r="O215" i="5"/>
  <c r="J272" i="5"/>
  <c r="O233" i="5"/>
  <c r="J231" i="5"/>
  <c r="O34" i="5"/>
  <c r="O39" i="5"/>
  <c r="J48" i="5"/>
  <c r="J46" i="5"/>
  <c r="J276" i="5"/>
  <c r="J280" i="5"/>
  <c r="J185" i="5"/>
  <c r="J75" i="5"/>
  <c r="J108" i="5"/>
  <c r="J224" i="5"/>
  <c r="J208" i="5"/>
  <c r="O243" i="5"/>
  <c r="O211" i="5"/>
  <c r="J229" i="5"/>
  <c r="J268" i="5"/>
  <c r="O238" i="5"/>
  <c r="O206" i="5"/>
  <c r="O229" i="5"/>
  <c r="O268" i="5"/>
  <c r="J227" i="5"/>
  <c r="O244" i="5"/>
  <c r="O240" i="5"/>
  <c r="J226" i="5"/>
  <c r="J240" i="5"/>
  <c r="J233" i="5"/>
  <c r="O210" i="5"/>
  <c r="O272" i="5"/>
  <c r="J230" i="5"/>
  <c r="J32" i="5"/>
  <c r="O263" i="5"/>
  <c r="J71" i="5"/>
  <c r="J220" i="5"/>
  <c r="J232" i="5"/>
  <c r="O239" i="5"/>
  <c r="O207" i="5"/>
  <c r="J225" i="5"/>
  <c r="O232" i="5"/>
  <c r="O234" i="5"/>
  <c r="O273" i="5"/>
  <c r="O225" i="5"/>
  <c r="O253" i="5"/>
  <c r="J223" i="5"/>
  <c r="O236" i="5"/>
  <c r="O228" i="5"/>
  <c r="J222" i="5"/>
  <c r="O247" i="5"/>
  <c r="O242" i="5"/>
  <c r="J269" i="5"/>
  <c r="J52" i="5"/>
  <c r="O85" i="5"/>
  <c r="J38" i="5"/>
  <c r="O159" i="5"/>
  <c r="J36" i="5"/>
  <c r="O51" i="5"/>
  <c r="J101" i="5"/>
  <c r="O131" i="5"/>
  <c r="O162" i="5"/>
  <c r="J161" i="5"/>
  <c r="O73" i="5"/>
  <c r="J271" i="5"/>
  <c r="J244" i="5"/>
  <c r="O235" i="5"/>
  <c r="O203" i="5"/>
  <c r="J221" i="5"/>
  <c r="J253" i="5"/>
  <c r="O230" i="5"/>
  <c r="O269" i="5"/>
  <c r="O221" i="5"/>
  <c r="J251" i="5"/>
  <c r="J219" i="5"/>
  <c r="O220" i="5"/>
  <c r="J250" i="5"/>
  <c r="J218" i="5"/>
  <c r="J228" i="5"/>
  <c r="O248" i="5"/>
  <c r="O231" i="5"/>
  <c r="O270" i="5"/>
  <c r="J217" i="5"/>
  <c r="J249" i="5"/>
  <c r="O226" i="5"/>
  <c r="O249" i="5"/>
  <c r="O217" i="5"/>
  <c r="J247" i="5"/>
  <c r="J215" i="5"/>
  <c r="O216" i="5"/>
  <c r="J246" i="5"/>
  <c r="J214" i="5"/>
  <c r="O108" i="5"/>
  <c r="J270" i="5"/>
  <c r="O101" i="5"/>
  <c r="O132" i="5"/>
  <c r="J167" i="5"/>
  <c r="J49" i="5"/>
  <c r="O93" i="5"/>
  <c r="O127" i="5"/>
  <c r="J283" i="5"/>
  <c r="J77" i="5"/>
  <c r="J252" i="5"/>
  <c r="J236" i="5"/>
  <c r="O227" i="5"/>
  <c r="O224" i="5"/>
  <c r="J213" i="5"/>
  <c r="J245" i="5"/>
  <c r="O222" i="5"/>
  <c r="O245" i="5"/>
  <c r="O213" i="5"/>
  <c r="J243" i="5"/>
  <c r="J211" i="5"/>
  <c r="O212" i="5"/>
  <c r="J242" i="5"/>
  <c r="J210" i="5"/>
  <c r="O271" i="5"/>
  <c r="O94" i="5"/>
  <c r="J145" i="5"/>
  <c r="O78" i="5"/>
  <c r="O37" i="5"/>
  <c r="O41" i="5"/>
  <c r="J168" i="5"/>
  <c r="J41" i="5"/>
  <c r="J84" i="5"/>
  <c r="O15" i="5"/>
  <c r="O33" i="5"/>
  <c r="O119" i="5"/>
  <c r="J265" i="5"/>
  <c r="O75" i="5"/>
  <c r="O105" i="5"/>
  <c r="J216" i="5"/>
  <c r="J204" i="5"/>
  <c r="O223" i="5"/>
  <c r="J241" i="5"/>
  <c r="J209" i="5"/>
  <c r="O250" i="5"/>
  <c r="O218" i="5"/>
  <c r="O241" i="5"/>
  <c r="O209" i="5"/>
  <c r="J239" i="5"/>
  <c r="J207" i="5"/>
  <c r="O208" i="5"/>
  <c r="J238" i="5"/>
  <c r="J206" i="5"/>
  <c r="J105" i="5"/>
  <c r="J107" i="5"/>
  <c r="J104" i="5"/>
  <c r="O74" i="5"/>
  <c r="O107" i="5"/>
  <c r="J73" i="5"/>
  <c r="J106" i="5"/>
  <c r="O77" i="5"/>
  <c r="J78" i="5"/>
  <c r="O104" i="5"/>
  <c r="J197" i="5"/>
  <c r="O115" i="5"/>
  <c r="J174" i="5"/>
  <c r="O169" i="5"/>
  <c r="O282" i="5"/>
  <c r="O285" i="5"/>
  <c r="J175" i="5"/>
  <c r="J70" i="5"/>
  <c r="O60" i="5"/>
  <c r="O177" i="5"/>
  <c r="O150" i="5"/>
  <c r="J258" i="5"/>
  <c r="O191" i="5"/>
  <c r="J93" i="5"/>
  <c r="O123" i="5"/>
  <c r="J137" i="5"/>
  <c r="J256" i="5"/>
  <c r="J160" i="5"/>
  <c r="O95" i="5"/>
  <c r="J92" i="5"/>
  <c r="O64" i="5"/>
  <c r="J82" i="5"/>
  <c r="O102" i="5"/>
  <c r="O52" i="5"/>
  <c r="J133" i="5"/>
  <c r="J129" i="5"/>
  <c r="J262" i="5"/>
  <c r="J165" i="5"/>
  <c r="O158" i="5"/>
  <c r="O283" i="5"/>
  <c r="J110" i="5"/>
  <c r="J63" i="5"/>
  <c r="O43" i="5"/>
  <c r="O92" i="5"/>
  <c r="O86" i="5"/>
  <c r="O13" i="5"/>
  <c r="O116" i="5"/>
  <c r="O138" i="5"/>
  <c r="O284" i="5"/>
  <c r="J155" i="5"/>
  <c r="J255" i="5"/>
  <c r="J144" i="5"/>
  <c r="O155" i="5"/>
  <c r="O196" i="5"/>
  <c r="J60" i="5"/>
  <c r="J55" i="5"/>
  <c r="O35" i="5"/>
  <c r="O84" i="5"/>
  <c r="O49" i="5"/>
  <c r="J91" i="5"/>
  <c r="J118" i="5"/>
  <c r="J153" i="5"/>
  <c r="O151" i="5"/>
  <c r="J261" i="5"/>
  <c r="J154" i="5"/>
  <c r="J257" i="5"/>
  <c r="O147" i="5"/>
  <c r="J199" i="5"/>
  <c r="J21" i="5"/>
  <c r="J148" i="5"/>
  <c r="O100" i="5"/>
  <c r="O56" i="5"/>
  <c r="O31" i="5"/>
  <c r="J117" i="5"/>
  <c r="O130" i="5"/>
  <c r="O164" i="5"/>
  <c r="J151" i="5"/>
  <c r="J196" i="5"/>
  <c r="O103" i="5"/>
  <c r="J95" i="5"/>
  <c r="O63" i="5"/>
  <c r="J109" i="5"/>
  <c r="O134" i="5"/>
  <c r="O122" i="5"/>
  <c r="O172" i="5"/>
  <c r="J162" i="5"/>
  <c r="O171" i="5"/>
  <c r="J159" i="5"/>
  <c r="J184" i="5"/>
  <c r="O87" i="5"/>
  <c r="J87" i="5"/>
  <c r="O55" i="5"/>
  <c r="J96" i="5"/>
  <c r="O126" i="5"/>
  <c r="J124" i="5"/>
  <c r="O254" i="5"/>
  <c r="J169" i="5"/>
  <c r="O195" i="5"/>
  <c r="J164" i="5"/>
  <c r="O186" i="5"/>
  <c r="O118" i="5"/>
  <c r="J172" i="5"/>
  <c r="O190" i="5"/>
  <c r="J116" i="5"/>
  <c r="O17" i="5"/>
  <c r="J50" i="5"/>
  <c r="J90" i="5"/>
  <c r="J80" i="5"/>
  <c r="J125" i="5"/>
  <c r="J132" i="5"/>
  <c r="O274" i="5"/>
  <c r="O167" i="5"/>
  <c r="J163" i="5"/>
  <c r="J254" i="5"/>
  <c r="J180" i="5"/>
  <c r="J42" i="5"/>
  <c r="J158" i="5"/>
  <c r="J157" i="5"/>
  <c r="O12" i="5"/>
  <c r="J136" i="5"/>
  <c r="J170" i="5"/>
  <c r="J260" i="5"/>
  <c r="J12" i="5"/>
  <c r="J89" i="5"/>
  <c r="J34" i="5"/>
  <c r="O91" i="5"/>
  <c r="J51" i="5"/>
  <c r="J128" i="5"/>
  <c r="O125" i="5"/>
  <c r="J286" i="5"/>
  <c r="O143" i="5"/>
  <c r="J178" i="5"/>
  <c r="J274" i="5"/>
  <c r="O188" i="5"/>
  <c r="O42" i="5"/>
  <c r="J15" i="5"/>
  <c r="J59" i="5"/>
  <c r="J81" i="5"/>
  <c r="O83" i="5"/>
  <c r="J120" i="5"/>
  <c r="O117" i="5"/>
  <c r="O166" i="5"/>
  <c r="J67" i="5"/>
  <c r="J103" i="5"/>
  <c r="J97" i="5"/>
  <c r="O133" i="5"/>
  <c r="J13" i="5"/>
  <c r="J100" i="5"/>
  <c r="J43" i="5"/>
  <c r="J17" i="5"/>
  <c r="J31" i="5"/>
  <c r="O62" i="5"/>
  <c r="J35" i="5"/>
  <c r="J115" i="5"/>
  <c r="J127" i="5"/>
  <c r="O144" i="5"/>
  <c r="O174" i="5"/>
  <c r="J266" i="5"/>
  <c r="O286" i="5"/>
  <c r="J202" i="5"/>
  <c r="O46" i="5"/>
  <c r="J119" i="5"/>
  <c r="O154" i="5"/>
  <c r="O176" i="5"/>
  <c r="J58" i="5"/>
  <c r="O109" i="5"/>
  <c r="O129" i="5"/>
  <c r="O256" i="5"/>
  <c r="J177" i="5"/>
  <c r="J94" i="5"/>
  <c r="O90" i="5"/>
  <c r="O96" i="5"/>
  <c r="O38" i="5"/>
  <c r="O110" i="5"/>
  <c r="O121" i="5"/>
  <c r="O136" i="5"/>
  <c r="O262" i="5"/>
  <c r="O258" i="5"/>
  <c r="J190" i="5"/>
  <c r="J88" i="5"/>
  <c r="O88" i="5"/>
  <c r="O97" i="5"/>
  <c r="J131" i="5"/>
  <c r="O128" i="5"/>
  <c r="J267" i="5"/>
  <c r="O276" i="5"/>
  <c r="O168" i="5"/>
  <c r="O152" i="5"/>
  <c r="O260" i="5"/>
  <c r="J102" i="5"/>
  <c r="J86" i="5"/>
  <c r="J65" i="5"/>
  <c r="O80" i="5"/>
  <c r="J64" i="5"/>
  <c r="O89" i="5"/>
  <c r="J123" i="5"/>
  <c r="J138" i="5"/>
  <c r="J284" i="5"/>
  <c r="O265" i="5"/>
  <c r="O69" i="5"/>
  <c r="O161" i="5"/>
  <c r="O98" i="5"/>
  <c r="O82" i="5"/>
  <c r="J85" i="5"/>
  <c r="O53" i="5"/>
  <c r="J57" i="5"/>
  <c r="O45" i="5"/>
  <c r="O59" i="5"/>
  <c r="J56" i="5"/>
  <c r="O81" i="5"/>
  <c r="O137" i="5"/>
  <c r="J143" i="5"/>
  <c r="O156" i="5"/>
  <c r="J152" i="5"/>
  <c r="J282" i="5"/>
  <c r="O201" i="5"/>
  <c r="O202" i="5"/>
  <c r="O183" i="5"/>
  <c r="O21" i="5"/>
  <c r="J147" i="5"/>
  <c r="J179" i="5"/>
  <c r="J187" i="5"/>
  <c r="O146" i="5"/>
  <c r="J264" i="5"/>
  <c r="J182" i="5"/>
  <c r="O180" i="5"/>
  <c r="J146" i="5"/>
  <c r="J186" i="5"/>
  <c r="O200" i="5"/>
  <c r="O24" i="5"/>
  <c r="O257" i="5"/>
  <c r="O179" i="5"/>
  <c r="O197" i="5"/>
  <c r="J281" i="5"/>
  <c r="J68" i="5"/>
  <c r="O184" i="5"/>
  <c r="J193" i="5"/>
  <c r="J192" i="5"/>
  <c r="O193" i="5"/>
  <c r="J263" i="5"/>
  <c r="O160" i="5"/>
  <c r="O67" i="5"/>
  <c r="J198" i="5"/>
  <c r="O185" i="5"/>
  <c r="O165" i="5"/>
  <c r="J22" i="5"/>
  <c r="J69" i="5"/>
  <c r="O124" i="5"/>
  <c r="O120" i="5"/>
  <c r="J150" i="5"/>
  <c r="O148" i="5"/>
  <c r="O145" i="5"/>
  <c r="O173" i="5"/>
  <c r="O182" i="5"/>
  <c r="O192" i="5"/>
  <c r="O26" i="5"/>
  <c r="O149" i="5"/>
  <c r="O199" i="5"/>
  <c r="O187" i="5"/>
  <c r="O255" i="5"/>
  <c r="O58" i="5"/>
  <c r="O48" i="5"/>
  <c r="J45" i="5"/>
  <c r="O65" i="5"/>
  <c r="J83" i="5"/>
  <c r="J134" i="5"/>
  <c r="J130" i="5"/>
  <c r="J171" i="5"/>
  <c r="O153" i="5"/>
  <c r="O261" i="5"/>
  <c r="O157" i="5"/>
  <c r="J201" i="5"/>
  <c r="J200" i="5"/>
  <c r="J194" i="5"/>
  <c r="O267" i="5"/>
  <c r="O50" i="5"/>
  <c r="O32" i="5"/>
  <c r="J37" i="5"/>
  <c r="O57" i="5"/>
  <c r="J62" i="5"/>
  <c r="J126" i="5"/>
  <c r="J122" i="5"/>
  <c r="J195" i="5"/>
  <c r="J149" i="5"/>
  <c r="O275" i="5"/>
  <c r="O163" i="5"/>
  <c r="J191" i="5"/>
  <c r="J188" i="5"/>
  <c r="O280" i="5"/>
  <c r="O170" i="5"/>
  <c r="J181" i="5"/>
  <c r="O181" i="5"/>
  <c r="J24" i="5"/>
  <c r="J285" i="5"/>
  <c r="O178" i="5"/>
  <c r="J189" i="5"/>
  <c r="J26" i="5"/>
  <c r="O281" i="5"/>
  <c r="J156" i="5"/>
  <c r="O70" i="5"/>
  <c r="O198" i="5"/>
  <c r="J176" i="5"/>
  <c r="O175" i="5"/>
  <c r="O266" i="5"/>
  <c r="O68" i="5"/>
  <c r="J183" i="5"/>
  <c r="O22" i="5"/>
  <c r="O194" i="5"/>
  <c r="O189" i="5"/>
  <c r="O264" i="5"/>
</calcChain>
</file>

<file path=xl/sharedStrings.xml><?xml version="1.0" encoding="utf-8"?>
<sst xmlns="http://schemas.openxmlformats.org/spreadsheetml/2006/main" count="21037" uniqueCount="663">
  <si>
    <t>3mE +X, floored to 0, 30/360</t>
  </si>
  <si>
    <t>Fixed</t>
  </si>
  <si>
    <t>Floating</t>
  </si>
  <si>
    <t>DM Indices</t>
  </si>
  <si>
    <t>DV01's - EUR</t>
  </si>
  <si>
    <t>Legal Entity / Index</t>
  </si>
  <si>
    <t>Rank</t>
  </si>
  <si>
    <t>Country of Risk</t>
  </si>
  <si>
    <t>Rating (S/M/F)</t>
  </si>
  <si>
    <t>1Y</t>
  </si>
  <si>
    <t>3Y</t>
  </si>
  <si>
    <t>5Y</t>
  </si>
  <si>
    <t>7Y</t>
  </si>
  <si>
    <t>10Y</t>
  </si>
  <si>
    <t>ISIN</t>
  </si>
  <si>
    <t>Benchmark Bond</t>
  </si>
  <si>
    <t>Next Call Date</t>
  </si>
  <si>
    <t>EUR Yield</t>
  </si>
  <si>
    <t>5Y CLN vs benchmark</t>
  </si>
  <si>
    <t>CDX.NA.IG</t>
  </si>
  <si>
    <t>US</t>
  </si>
  <si>
    <t/>
  </si>
  <si>
    <t>iTraxx Europe</t>
  </si>
  <si>
    <t>Europe</t>
  </si>
  <si>
    <t>CDX.NA.HY</t>
  </si>
  <si>
    <t>iTraxx Europe Crossover</t>
  </si>
  <si>
    <t>iTraxx Europe Senior Financials</t>
  </si>
  <si>
    <t>iTraxx Europe Sub Financials</t>
  </si>
  <si>
    <t>DM Financials</t>
  </si>
  <si>
    <t>CREDIT AGRICOLE SA</t>
  </si>
  <si>
    <t>Sr Preferred</t>
  </si>
  <si>
    <t>France</t>
  </si>
  <si>
    <t xml:space="preserve"> </t>
  </si>
  <si>
    <t>Sr Non Preferred</t>
  </si>
  <si>
    <t>A- / A3 / A+</t>
  </si>
  <si>
    <t>Subordinated</t>
  </si>
  <si>
    <t>BBB+ / Baa1 / A-</t>
  </si>
  <si>
    <t>BNP PARIBAS</t>
  </si>
  <si>
    <t>A- / Baa1 / A+</t>
  </si>
  <si>
    <t>BBB+ / Baa2 / A-</t>
  </si>
  <si>
    <t>SOCIETE GENERALE</t>
  </si>
  <si>
    <t>BBB / Baa2 / A-</t>
  </si>
  <si>
    <t>COMMERZBANK Aktiengesellschaft</t>
  </si>
  <si>
    <t>Germany</t>
  </si>
  <si>
    <t>BBB- / Baa2 / WD</t>
  </si>
  <si>
    <t xml:space="preserve">                                          ITALY</t>
  </si>
  <si>
    <t>MEDIOBANCA BANCA DI CREDITO FINANZIARIO SOCIETA PER AZIONI</t>
  </si>
  <si>
    <t>Italy</t>
  </si>
  <si>
    <t>BBB- / Baa3 / BBB-</t>
  </si>
  <si>
    <t>INTESA SANPAOLO SPA</t>
  </si>
  <si>
    <t>UNICREDIT, SOCIETA PER AZIONI</t>
  </si>
  <si>
    <t xml:space="preserve">                                          SPAIN</t>
  </si>
  <si>
    <t>BANCO BILBAO VIZCAYA ARGENTARIA, SOCIEDAD ANONIMA</t>
  </si>
  <si>
    <t>Spain</t>
  </si>
  <si>
    <t>BBB+ / Baa2 / BBB+</t>
  </si>
  <si>
    <t>BBB / Baa2 / BBB-</t>
  </si>
  <si>
    <t>BANCO SANTANDER, S.A.</t>
  </si>
  <si>
    <t>A+ / A2 / A</t>
  </si>
  <si>
    <t>A- / Baa1 / A-</t>
  </si>
  <si>
    <t xml:space="preserve">                                          SWITZERLAND </t>
  </si>
  <si>
    <t>UBS AG</t>
  </si>
  <si>
    <t>Opco Senior</t>
  </si>
  <si>
    <t>Switzerland</t>
  </si>
  <si>
    <t>Opco Subord.</t>
  </si>
  <si>
    <t>UBS Group AG</t>
  </si>
  <si>
    <t>Holdco Senior</t>
  </si>
  <si>
    <t>Holdco Subord.</t>
  </si>
  <si>
    <t xml:space="preserve">                                          UK</t>
  </si>
  <si>
    <t>BARCLAYS BANK PLC</t>
  </si>
  <si>
    <t>UK</t>
  </si>
  <si>
    <t>Barclays PLC</t>
  </si>
  <si>
    <t>HSBC BANK PLC</t>
  </si>
  <si>
    <t>HSBC HOLDINGS plc</t>
  </si>
  <si>
    <t>BBB / Baa1 / A-</t>
  </si>
  <si>
    <t>NATWEST MARKETS PLC</t>
  </si>
  <si>
    <t>A- / A1 / A+</t>
  </si>
  <si>
    <t>NatWest Group plc</t>
  </si>
  <si>
    <t>STANDARD CHARTERED BANK</t>
  </si>
  <si>
    <t>STANDARD CHARTERED PLC</t>
  </si>
  <si>
    <t>BBB+ / A3 / A</t>
  </si>
  <si>
    <t>LLOYDS BANK PLC</t>
  </si>
  <si>
    <t>BBB / Baa1 / BBB+</t>
  </si>
  <si>
    <t>LLOYDS BANKING GROUP PLC</t>
  </si>
  <si>
    <t xml:space="preserve">                                          US</t>
  </si>
  <si>
    <t>Bank of America Corporation</t>
  </si>
  <si>
    <t>Sr Unsecured</t>
  </si>
  <si>
    <t>Citigroup Inc.</t>
  </si>
  <si>
    <t>The Goldman Sachs Group, Inc.</t>
  </si>
  <si>
    <t>BBB+ / A2 / A</t>
  </si>
  <si>
    <t>JPMorgan Chase &amp; Co.</t>
  </si>
  <si>
    <t>Morgan Stanley</t>
  </si>
  <si>
    <t>Wells Fargo &amp; Company</t>
  </si>
  <si>
    <t>BBB+ / A1 / A+</t>
  </si>
  <si>
    <t>DM Insurance</t>
  </si>
  <si>
    <t xml:space="preserve">                                          EUROPE</t>
  </si>
  <si>
    <t>Allianz SE</t>
  </si>
  <si>
    <t>Aegon N.V.</t>
  </si>
  <si>
    <t>Netherlands</t>
  </si>
  <si>
    <t>ASSICURAZIONI GENERALI - SOCIETA PER AZIONI</t>
  </si>
  <si>
    <t>AVIVA PLC</t>
  </si>
  <si>
    <t xml:space="preserve"> / A2 / A</t>
  </si>
  <si>
    <t>AXA</t>
  </si>
  <si>
    <t>PRUDENTIAL PUBLIC LIMITED COMPANY</t>
  </si>
  <si>
    <t xml:space="preserve">A- / A3 / </t>
  </si>
  <si>
    <t>Hannover Rueck SE</t>
  </si>
  <si>
    <t>Muenchener Rueckversicherungs-Gesellschaft Aktiengesellschaft in Muenchen</t>
  </si>
  <si>
    <t>Swiss Reinsurance Company Ltd</t>
  </si>
  <si>
    <t>Zurich Insurance Company Ltd</t>
  </si>
  <si>
    <t>American International Group, Inc.</t>
  </si>
  <si>
    <t>Lincoln National Corporation</t>
  </si>
  <si>
    <t>BBB+ / Baa1 / BBB+</t>
  </si>
  <si>
    <t>MetLife, Inc.</t>
  </si>
  <si>
    <t>A- / A3 / A-</t>
  </si>
  <si>
    <t>DM Corps</t>
  </si>
  <si>
    <t xml:space="preserve">                                          IG</t>
  </si>
  <si>
    <t>UNIBAIL-RODAMCO-WESTFIELD SE</t>
  </si>
  <si>
    <t xml:space="preserve">BBB- /  / </t>
  </si>
  <si>
    <t>ELO</t>
  </si>
  <si>
    <t>General Motors Company</t>
  </si>
  <si>
    <t>ArcelorMittal</t>
  </si>
  <si>
    <t>Luxembourg</t>
  </si>
  <si>
    <t>ITV PLC</t>
  </si>
  <si>
    <t>Stellantis N.V.</t>
  </si>
  <si>
    <t>BBB / Baa2 / BBB</t>
  </si>
  <si>
    <t>NEXT PLC</t>
  </si>
  <si>
    <t xml:space="preserve">BBB / Baa2 / </t>
  </si>
  <si>
    <t>Anglo American plc</t>
  </si>
  <si>
    <t>Glencore International AG</t>
  </si>
  <si>
    <t xml:space="preserve">BBB+ / Baa1 / </t>
  </si>
  <si>
    <t>Syngenta AG</t>
  </si>
  <si>
    <t>Aktiebolaget Electrolux</t>
  </si>
  <si>
    <t>Sweden</t>
  </si>
  <si>
    <t>HP Inc.</t>
  </si>
  <si>
    <t>BBB / Baa2 / BBB+</t>
  </si>
  <si>
    <t>VOLKSWAGEN AKTIENGESELLSCHAFT</t>
  </si>
  <si>
    <t xml:space="preserve">BBB+ / A3 / </t>
  </si>
  <si>
    <t>ENEL S.P.A.</t>
  </si>
  <si>
    <t>THE BOEING COMPANY</t>
  </si>
  <si>
    <t>EDP - Energias de Portugal, S.A.</t>
  </si>
  <si>
    <t>Portugal</t>
  </si>
  <si>
    <t>BBB / Baa3 / BBB</t>
  </si>
  <si>
    <t>TELEFONICA, S.A.</t>
  </si>
  <si>
    <t>BBB- / Baa3 / BBB</t>
  </si>
  <si>
    <t>T-Mobile USA, Inc.</t>
  </si>
  <si>
    <t>AT&amp;T Inc.</t>
  </si>
  <si>
    <t>BP P.L.C.</t>
  </si>
  <si>
    <t>VODAFONE GROUP PUBLIC LIMITED COMPANY</t>
  </si>
  <si>
    <t>General Electric Company</t>
  </si>
  <si>
    <t>Koninklijke KPN N.V.</t>
  </si>
  <si>
    <t>REPSOL, S.A.</t>
  </si>
  <si>
    <t>Bayer Aktiengesellschaft</t>
  </si>
  <si>
    <t>ENI S.P.A.</t>
  </si>
  <si>
    <t>Oracle Corporation</t>
  </si>
  <si>
    <t>MARRIOTT INTERNATIONAL, INC.</t>
  </si>
  <si>
    <t>BASF SE</t>
  </si>
  <si>
    <t>Aktiebolaget Volvo</t>
  </si>
  <si>
    <t>Orange</t>
  </si>
  <si>
    <t>TotalEnergies SE</t>
  </si>
  <si>
    <t>Omnicom Group Inc.</t>
  </si>
  <si>
    <t xml:space="preserve">A / A3 / </t>
  </si>
  <si>
    <t xml:space="preserve">                                          HY</t>
  </si>
  <si>
    <t>Saipem Finance International B.V.</t>
  </si>
  <si>
    <t>The Goodyear Tire &amp; Rubber Company</t>
  </si>
  <si>
    <t>TELECOM ITALIA SPA</t>
  </si>
  <si>
    <t>thyssenkrupp AG</t>
  </si>
  <si>
    <t>DUFRY ONE B.V.</t>
  </si>
  <si>
    <t>NOVA Chemicals Corporation</t>
  </si>
  <si>
    <t>Canada</t>
  </si>
  <si>
    <t>Ford Motor Company</t>
  </si>
  <si>
    <t>ROLLS-ROYCE PLC</t>
  </si>
  <si>
    <t>RENAULT</t>
  </si>
  <si>
    <t>Delta Air Lines, Inc.</t>
  </si>
  <si>
    <t>Deutsche Lufthansa Aktiengesellschaft</t>
  </si>
  <si>
    <t>K+S Aktiengesellschaft</t>
  </si>
  <si>
    <t>ATLANTIA S.P.A.</t>
  </si>
  <si>
    <t>Schaeffler AG</t>
  </si>
  <si>
    <t>LEONARDO SOCIETA' PER AZIONI</t>
  </si>
  <si>
    <t>DM Sovereign</t>
  </si>
  <si>
    <t>Republic of Italy</t>
  </si>
  <si>
    <t xml:space="preserve"> /  / </t>
  </si>
  <si>
    <t>United Kingdom of Great Britain and Northern Ireland</t>
  </si>
  <si>
    <t>Hellenic Republic</t>
  </si>
  <si>
    <t>Greece</t>
  </si>
  <si>
    <t>Kingdom of Spain</t>
  </si>
  <si>
    <t>French Republic</t>
  </si>
  <si>
    <t>Portuguese Republic</t>
  </si>
  <si>
    <t>EM</t>
  </si>
  <si>
    <t>Abu Dhabi</t>
  </si>
  <si>
    <t>UAE</t>
  </si>
  <si>
    <t>Kingdom of Saudi Arabia</t>
  </si>
  <si>
    <t>Saudi Arabia</t>
  </si>
  <si>
    <t>A / A2 / A-</t>
  </si>
  <si>
    <t>State of Qatar</t>
  </si>
  <si>
    <t>Qatar</t>
  </si>
  <si>
    <t>Republic of South Africa</t>
  </si>
  <si>
    <t>South Africa</t>
  </si>
  <si>
    <t>United Mexican States</t>
  </si>
  <si>
    <t>Mexico</t>
  </si>
  <si>
    <t>Federative Republic of Brazil</t>
  </si>
  <si>
    <t>Brazil</t>
  </si>
  <si>
    <t>Republic of Peru</t>
  </si>
  <si>
    <t>Peru</t>
  </si>
  <si>
    <t>Republic of Colombia</t>
  </si>
  <si>
    <t>Colombia</t>
  </si>
  <si>
    <t>Republic of Chile</t>
  </si>
  <si>
    <t>Chile</t>
  </si>
  <si>
    <t>Republic of Panama</t>
  </si>
  <si>
    <t>Panama</t>
  </si>
  <si>
    <t>State of Israel</t>
  </si>
  <si>
    <t>Kingdom of Bahrain</t>
  </si>
  <si>
    <t>Republic of Cote d'Ivoire</t>
  </si>
  <si>
    <t>Republic of Turkey</t>
  </si>
  <si>
    <t>PETROLEO BRASILEIRO S/A PETROBRAS</t>
  </si>
  <si>
    <t>Petroleos Mexicanos</t>
  </si>
  <si>
    <t>SOFR+X, q, floored to 0, 30/360</t>
  </si>
  <si>
    <t>DV01's - USD</t>
  </si>
  <si>
    <t>USD Yield</t>
  </si>
  <si>
    <t>Original pxing at</t>
  </si>
  <si>
    <r>
      <t>Change reoffer</t>
    </r>
    <r>
      <rPr>
        <b/>
        <sz val="13"/>
        <color theme="1"/>
        <rFont val="Calibri"/>
        <family val="2"/>
        <scheme val="minor"/>
      </rPr>
      <t xml:space="preserve"> </t>
    </r>
    <r>
      <rPr>
        <b/>
        <u/>
        <sz val="13"/>
        <color theme="1"/>
        <rFont val="Calibri"/>
        <family val="2"/>
        <scheme val="minor"/>
      </rPr>
      <t xml:space="preserve">  &gt;&gt;</t>
    </r>
  </si>
  <si>
    <t>SOFR +X, q, floored to 0, 30/360</t>
  </si>
  <si>
    <t>Annually, 30/360</t>
  </si>
  <si>
    <t>3m SOFR +X, floored to 0, 30/360</t>
  </si>
  <si>
    <t>DM Indices - Floating Recovery</t>
  </si>
  <si>
    <t>DM Indices - Zero Recovery</t>
  </si>
  <si>
    <t xml:space="preserve"> / A3 / BBB+</t>
  </si>
  <si>
    <t>A- / A3 / A</t>
  </si>
  <si>
    <t xml:space="preserve">                                          NETHERLANDS </t>
  </si>
  <si>
    <t>ING Bank N.V.</t>
  </si>
  <si>
    <t>ING Groep N.V.</t>
  </si>
  <si>
    <t>BBB+ / Baa1 / A</t>
  </si>
  <si>
    <t>AA / Aa2 / AA-u</t>
  </si>
  <si>
    <t xml:space="preserve">A+ / A1 / </t>
  </si>
  <si>
    <t>Senior</t>
  </si>
  <si>
    <t>LANXESS Aktiengesellschaft</t>
  </si>
  <si>
    <t xml:space="preserve">NR / Baa3 / </t>
  </si>
  <si>
    <t>ALSTOM</t>
  </si>
  <si>
    <t xml:space="preserve"> / Baa3 / </t>
  </si>
  <si>
    <t>Continental Aktiengesellschaft</t>
  </si>
  <si>
    <t>HCA Inc.</t>
  </si>
  <si>
    <t>BRITISH TELECOMMUNICATIONS public limited company</t>
  </si>
  <si>
    <t>Expedia Group, Inc.</t>
  </si>
  <si>
    <t>Mercedes-Benz Group AG</t>
  </si>
  <si>
    <t>Bayerische Motoren Werke Aktiengesellschaft</t>
  </si>
  <si>
    <t xml:space="preserve">A / A2 / </t>
  </si>
  <si>
    <t>COMPAGNIE DE SAINT-GOBAIN</t>
  </si>
  <si>
    <t>ADVANCED MICRO DEVICES, INC.</t>
  </si>
  <si>
    <t>US983919AK78</t>
  </si>
  <si>
    <t>AMD 2 3/8 06/01/30</t>
  </si>
  <si>
    <t>Airbus SE</t>
  </si>
  <si>
    <t>A / A2 / WD</t>
  </si>
  <si>
    <t>E.ON SE</t>
  </si>
  <si>
    <t>Iberdrola, S.A.</t>
  </si>
  <si>
    <t>Amazon.com, Inc.</t>
  </si>
  <si>
    <t>AA / A1 / AA-</t>
  </si>
  <si>
    <t>Anheuser-Busch InBev</t>
  </si>
  <si>
    <t>Belgium</t>
  </si>
  <si>
    <t>A- / A3 / WD</t>
  </si>
  <si>
    <t>ROYAL DUTCH SHELL PLC</t>
  </si>
  <si>
    <t>DANONE</t>
  </si>
  <si>
    <t>VINCI</t>
  </si>
  <si>
    <t>Siemens Aktiengesellschaft</t>
  </si>
  <si>
    <t>Nestle S.A.</t>
  </si>
  <si>
    <t>Unilever Finance Netherlands B.V.</t>
  </si>
  <si>
    <t>LVMH MOET HENNESSY LOUIS VUITTON</t>
  </si>
  <si>
    <t xml:space="preserve">AA- / Aa3 / </t>
  </si>
  <si>
    <t>SODEXO</t>
  </si>
  <si>
    <t>The Procter &amp; Gamble Company</t>
  </si>
  <si>
    <t>BBB- / Ba1 / BBB-</t>
  </si>
  <si>
    <t xml:space="preserve">BB+ / Ba1 / </t>
  </si>
  <si>
    <t>United States of America</t>
  </si>
  <si>
    <t xml:space="preserve"> /  / AA-u</t>
  </si>
  <si>
    <t xml:space="preserve"> / Aa2 / AA-</t>
  </si>
  <si>
    <t>Sultanate of Oman</t>
  </si>
  <si>
    <t>Hungary</t>
  </si>
  <si>
    <t>BBB- / Baa2 / BBB</t>
  </si>
  <si>
    <t>Republic of Indonesia</t>
  </si>
  <si>
    <t>Indonesia</t>
  </si>
  <si>
    <t>Republic of Poland</t>
  </si>
  <si>
    <t>A- / A2 / A-</t>
  </si>
  <si>
    <t>Romania</t>
  </si>
  <si>
    <t>VALE SA</t>
  </si>
  <si>
    <t>Eskom Holdings SOC Limited</t>
  </si>
  <si>
    <t>Transnet SOC Ltd</t>
  </si>
  <si>
    <t>SASOL LTD</t>
  </si>
  <si>
    <t>APAC Corps</t>
  </si>
  <si>
    <t>India</t>
  </si>
  <si>
    <t xml:space="preserve"> / Baa3 / BBB-</t>
  </si>
  <si>
    <t>ICICI Bank Limited</t>
  </si>
  <si>
    <t>BBB / Baa2 / WD</t>
  </si>
  <si>
    <t>A+ / A1 / WD</t>
  </si>
  <si>
    <t>B+ / B2 / BB-</t>
  </si>
  <si>
    <t>BB / Ba3 / WD</t>
  </si>
  <si>
    <t>AA / Aa2 / AA</t>
  </si>
  <si>
    <t>BB / Ba1 / BB</t>
  </si>
  <si>
    <t>US91911TAQ67</t>
  </si>
  <si>
    <t>VALEBZ 3 3/4 07/08/30</t>
  </si>
  <si>
    <t>CDX.EM</t>
  </si>
  <si>
    <t>SONIA +X, q, floored to 0, 30/360</t>
  </si>
  <si>
    <t>SARON +X, q, floored to 0, 30/360</t>
  </si>
  <si>
    <t>3m SONIA +X, floored to 0, 30/360</t>
  </si>
  <si>
    <t>3m SARON +X, floored to 0, 30/360</t>
  </si>
  <si>
    <t xml:space="preserve">                                          DENMARK</t>
  </si>
  <si>
    <t xml:space="preserve">                                          SWEDEN</t>
  </si>
  <si>
    <t>DANSKE BANK A/S</t>
  </si>
  <si>
    <t>Denmark</t>
  </si>
  <si>
    <t>Swedbank AB</t>
  </si>
  <si>
    <t>Cooperatieve Rabobank UA</t>
  </si>
  <si>
    <t>American Express Company</t>
  </si>
  <si>
    <t>Capital One Financial Corporation</t>
  </si>
  <si>
    <t>Ally Financial Inc.</t>
  </si>
  <si>
    <t>Simon Property Group, L.P.</t>
  </si>
  <si>
    <t>Host Hotels &amp; Resorts, L.P.</t>
  </si>
  <si>
    <t>A / A1 / AA-</t>
  </si>
  <si>
    <t>A- / A2 / A</t>
  </si>
  <si>
    <t>US828807DM67</t>
  </si>
  <si>
    <t>SPG 2.2 02/01/31</t>
  </si>
  <si>
    <t>BBB- / Baa2 / BBB-</t>
  </si>
  <si>
    <t>DXC TECHNOLOGY COMPANY</t>
  </si>
  <si>
    <t>Southwest Airlines Co.</t>
  </si>
  <si>
    <t>CNH Industrial N.V.</t>
  </si>
  <si>
    <t>RENTOKIL INITIAL PLC</t>
  </si>
  <si>
    <t>BBB /  / BBB</t>
  </si>
  <si>
    <t>Vivendi SE</t>
  </si>
  <si>
    <t>WPP 2005 LIMITED</t>
  </si>
  <si>
    <t>Dell Inc.</t>
  </si>
  <si>
    <t>Teck Resources Limited</t>
  </si>
  <si>
    <t>Solvay</t>
  </si>
  <si>
    <t>Heidelberg Materials AG</t>
  </si>
  <si>
    <t>ACCOR</t>
  </si>
  <si>
    <t>Holcim AG</t>
  </si>
  <si>
    <t>Akzo Nobel N.V.</t>
  </si>
  <si>
    <t>The Dow Chemical Company</t>
  </si>
  <si>
    <t>Baxter International Inc.</t>
  </si>
  <si>
    <t>Conagra Brands, Inc.</t>
  </si>
  <si>
    <t>Verizon Communications Inc.</t>
  </si>
  <si>
    <t>CVS Health Corporation</t>
  </si>
  <si>
    <t>NATIONAL GRID PLC</t>
  </si>
  <si>
    <t>Kering</t>
  </si>
  <si>
    <t xml:space="preserve">BBB+ /  / </t>
  </si>
  <si>
    <t>BRITISH AMERICAN TOBACCO p.l.c.</t>
  </si>
  <si>
    <t>Comcast Corporation</t>
  </si>
  <si>
    <t>PEARSON plc</t>
  </si>
  <si>
    <t>NR / Baa2 / BBB</t>
  </si>
  <si>
    <t>ENGIE</t>
  </si>
  <si>
    <t>Koninklijke Philips N.V.</t>
  </si>
  <si>
    <t>BBB / WR / BBB</t>
  </si>
  <si>
    <t>STMicroelectronics N.V.</t>
  </si>
  <si>
    <t>A+ / Aa2 / AA-</t>
  </si>
  <si>
    <t>The Sherwin-Williams Company</t>
  </si>
  <si>
    <t>The Campbell's Company</t>
  </si>
  <si>
    <t>Broadcom Inc.</t>
  </si>
  <si>
    <t>BBB+ / Baa1 / BBB</t>
  </si>
  <si>
    <t>Altria Group, Inc.</t>
  </si>
  <si>
    <t>VEOLIA ENVIRONNEMENT</t>
  </si>
  <si>
    <t>UnitedHealth Group Incorporated</t>
  </si>
  <si>
    <t>McKesson Corporation</t>
  </si>
  <si>
    <t>BBB+ / A3 / A-</t>
  </si>
  <si>
    <t>Mondelez International, Inc.</t>
  </si>
  <si>
    <t>Cardinal Health, Inc.</t>
  </si>
  <si>
    <t>General Mills, Inc.</t>
  </si>
  <si>
    <t>Darden Restaurants, Inc.</t>
  </si>
  <si>
    <t>CARLSBERG BREWERIES A/S</t>
  </si>
  <si>
    <t>RTX Corporation</t>
  </si>
  <si>
    <t>Amgen Inc.</t>
  </si>
  <si>
    <t>Bristol-Myers Squibb Company</t>
  </si>
  <si>
    <t>ASTRAZENECA PLC</t>
  </si>
  <si>
    <t>Motorola Solutions, Inc.</t>
  </si>
  <si>
    <t>The Walt Disney Company</t>
  </si>
  <si>
    <t>Quest Diagnostics Incorporated</t>
  </si>
  <si>
    <t>Danaher Corporation</t>
  </si>
  <si>
    <t>BAE SYSTEMS PLC</t>
  </si>
  <si>
    <t>L'AIR LIQUIDE SOCIETE ANONYME POUR L'ETUDE ET L'EXPLOITATION DES PROCEDES GEORGES CLAUDE</t>
  </si>
  <si>
    <t>McDONALD'S CORPORATION</t>
  </si>
  <si>
    <t>COMPASS GROUP PLC</t>
  </si>
  <si>
    <t>WALMART INC.</t>
  </si>
  <si>
    <t>Northrop Grumman Corporation</t>
  </si>
  <si>
    <t>Boston Scientific Corporation</t>
  </si>
  <si>
    <t>XS1205548164</t>
  </si>
  <si>
    <t>WPPLN 1 5/8 03/23/30</t>
  </si>
  <si>
    <t>US878742BG94</t>
  </si>
  <si>
    <t>TCKBCN 3.9 07/15/30</t>
  </si>
  <si>
    <t>XS2156598281</t>
  </si>
  <si>
    <t>AKZANA 1 5/8 04/14/30</t>
  </si>
  <si>
    <t>US126650DN71</t>
  </si>
  <si>
    <t>CVS 1 3/4 08/21/30</t>
  </si>
  <si>
    <t>FR001400A5M7</t>
  </si>
  <si>
    <t>KERFP 1 7/8 05/05/30</t>
  </si>
  <si>
    <t>US824348BL99</t>
  </si>
  <si>
    <t>SHW 2.3 05/15/30</t>
  </si>
  <si>
    <t>US134429BJ73</t>
  </si>
  <si>
    <t>CPB 2 3/8 04/24/30</t>
  </si>
  <si>
    <t>US11135FBH38</t>
  </si>
  <si>
    <t>AVGO 2.45 02/15/31</t>
  </si>
  <si>
    <t>US91324PDX78</t>
  </si>
  <si>
    <t>UNH 2 05/15/30</t>
  </si>
  <si>
    <t>US110122DQ80</t>
  </si>
  <si>
    <t>BMY 1.45 11/13/30</t>
  </si>
  <si>
    <t>US620076BT59</t>
  </si>
  <si>
    <t>MSI 2.3 11/15/30</t>
  </si>
  <si>
    <t>US254687FL52</t>
  </si>
  <si>
    <t>DIS 2 09/01/29</t>
  </si>
  <si>
    <t>US05523RAF47</t>
  </si>
  <si>
    <t>BALN 1.9 02/15/31</t>
  </si>
  <si>
    <t>US666807BS00</t>
  </si>
  <si>
    <t>NOC 4.4 05/01/30</t>
  </si>
  <si>
    <t>XS2452434645</t>
  </si>
  <si>
    <t>BSX 1 5/8 03/08/31</t>
  </si>
  <si>
    <t>The AES Corporation</t>
  </si>
  <si>
    <t>NR /  / BBB-</t>
  </si>
  <si>
    <t>US00130HCG83</t>
  </si>
  <si>
    <t>AES 2.45 01/15/31</t>
  </si>
  <si>
    <t>Arab Republic of Egypt</t>
  </si>
  <si>
    <t>DV01's - GBP</t>
  </si>
  <si>
    <t>GBP Yield</t>
  </si>
  <si>
    <t>DV01's - CHF</t>
  </si>
  <si>
    <t>CHF Yield</t>
  </si>
  <si>
    <t xml:space="preserve">                                         FRANCE</t>
  </si>
  <si>
    <t>A+ / A1 / AA-</t>
  </si>
  <si>
    <t>FR001400ICZ5</t>
  </si>
  <si>
    <t>ACAFP 4.0465 01/04/30</t>
  </si>
  <si>
    <t>CH1474857138</t>
  </si>
  <si>
    <t>SOCGEN 1.145 09/03/31</t>
  </si>
  <si>
    <t xml:space="preserve">                                         GERMANY</t>
  </si>
  <si>
    <t xml:space="preserve">A /  / </t>
  </si>
  <si>
    <t>DE000CZ457F9</t>
  </si>
  <si>
    <t>CMZB 2.65 10/17/30</t>
  </si>
  <si>
    <t xml:space="preserve">BBB / Baa1 / </t>
  </si>
  <si>
    <t>DE000CZ43ZK4</t>
  </si>
  <si>
    <t>CMZB 4.49 12/05/30</t>
  </si>
  <si>
    <t xml:space="preserve">BBB- / Baa2 / </t>
  </si>
  <si>
    <t>BBB+ *- /  / BBB-</t>
  </si>
  <si>
    <t>XS2749779067</t>
  </si>
  <si>
    <t>BACRED 3.4 02/21/30</t>
  </si>
  <si>
    <t>BBB *- / Ba1 / BB+</t>
  </si>
  <si>
    <t xml:space="preserve"> XS2545759099</t>
  </si>
  <si>
    <t>ISPIM 5 1/4 01/13/30</t>
  </si>
  <si>
    <t>XS2185883100</t>
  </si>
  <si>
    <t>ISPIM 5.148 06/10/30</t>
  </si>
  <si>
    <t>IT0005643058</t>
  </si>
  <si>
    <t>UCGIM 3.2 04/02/30</t>
  </si>
  <si>
    <t>XS2104968404</t>
  </si>
  <si>
    <t>UCGIM 1.8 01/20/30</t>
  </si>
  <si>
    <t>XS2835902243</t>
  </si>
  <si>
    <t>BBVASM 3 5/8 06/07/30</t>
  </si>
  <si>
    <t>XS3121029436</t>
  </si>
  <si>
    <t>BBVASM 3 1/8 07/15/30</t>
  </si>
  <si>
    <t>A+ / A1 / A+</t>
  </si>
  <si>
    <t>XS2109807763</t>
  </si>
  <si>
    <t>SANTAN 0.73 01/28/30</t>
  </si>
  <si>
    <t>A- / Baa1 / A</t>
  </si>
  <si>
    <t>CH1412302908</t>
  </si>
  <si>
    <t>SANTAN 1.3825 01/28/30</t>
  </si>
  <si>
    <t>US05971KAG40</t>
  </si>
  <si>
    <t>SANTAN 2.749 12/03/30</t>
  </si>
  <si>
    <t>SE0023287511</t>
  </si>
  <si>
    <t>UBS 0 01/28/30</t>
  </si>
  <si>
    <t>US06738ECU73</t>
  </si>
  <si>
    <t>BACR 4.942 09/10/30</t>
  </si>
  <si>
    <t xml:space="preserve">                                         US</t>
  </si>
  <si>
    <t>A- / WR / WD</t>
  </si>
  <si>
    <t xml:space="preserve"> / Baa1 / A-</t>
  </si>
  <si>
    <t>XS2056491587</t>
  </si>
  <si>
    <t>ASSGEN 2.124 10/01/30</t>
  </si>
  <si>
    <t>CAG06871AA82</t>
  </si>
  <si>
    <t>AVLN 4 10/02/30</t>
  </si>
  <si>
    <t xml:space="preserve"> /  / A</t>
  </si>
  <si>
    <t>A / A2 / NR</t>
  </si>
  <si>
    <t>US36158FAD24</t>
  </si>
  <si>
    <t>SRENVX 7 3/4 06/15/30</t>
  </si>
  <si>
    <t>BBB+ /  / WD</t>
  </si>
  <si>
    <t>US026874DW49</t>
  </si>
  <si>
    <t>AIG 4.85 05/07/30</t>
  </si>
  <si>
    <t>US534187BM06</t>
  </si>
  <si>
    <t>LNC 2.33 08/15/30</t>
  </si>
  <si>
    <t>US345370CX67</t>
  </si>
  <si>
    <t>F 9 5/8 04/22/30</t>
  </si>
  <si>
    <t>US68389XBV64</t>
  </si>
  <si>
    <t>ORCL 2.95 04/01/30</t>
  </si>
  <si>
    <t>XS2475919663</t>
  </si>
  <si>
    <t>ELTLX 2 1/2 05/18/30</t>
  </si>
  <si>
    <t>US247361A329</t>
  </si>
  <si>
    <t>DAL 5 1/4 07/10/30</t>
  </si>
  <si>
    <t>US37045VBA70</t>
  </si>
  <si>
    <t>GM 5 5/8 04/15/30</t>
  </si>
  <si>
    <t>FR0013506821</t>
  </si>
  <si>
    <t>URWFP 2 5/8 04/09/30</t>
  </si>
  <si>
    <t>BBB+ / Baa2 / WD</t>
  </si>
  <si>
    <t>XS1910948329</t>
  </si>
  <si>
    <t>VW 3 1/4 11/18/30</t>
  </si>
  <si>
    <t>USG0446NAR55</t>
  </si>
  <si>
    <t>AALLN 5 5/8 04/01/30</t>
  </si>
  <si>
    <t>US40434LAR69</t>
  </si>
  <si>
    <t>HPQ 5.4 04/25/30</t>
  </si>
  <si>
    <t>BBB / Baa3 / WD</t>
  </si>
  <si>
    <t>USU37818AX65</t>
  </si>
  <si>
    <t>GLENLN 2 1/2 09/01/30</t>
  </si>
  <si>
    <t>XS2044910466</t>
  </si>
  <si>
    <t>PSON 3 3/4 06/04/30</t>
  </si>
  <si>
    <t>US879385AD49</t>
  </si>
  <si>
    <t>TELEFO 8 1/4 09/15/30</t>
  </si>
  <si>
    <t>US097023CN34</t>
  </si>
  <si>
    <t>BA 2.95 02/01/30</t>
  </si>
  <si>
    <t>US681919BC93</t>
  </si>
  <si>
    <t>OMC 4.2 06/01/30</t>
  </si>
  <si>
    <t>XS2156583259</t>
  </si>
  <si>
    <t>REPSM 2 5/8 04/15/30</t>
  </si>
  <si>
    <t>XS2353182293</t>
  </si>
  <si>
    <t>ENELIM 0 1/2 06/17/30</t>
  </si>
  <si>
    <t>US404119CZ09</t>
  </si>
  <si>
    <t>HCA 5 1/4 03/01/30</t>
  </si>
  <si>
    <t>XS3074383996</t>
  </si>
  <si>
    <t>VLVY 3 05/20/30</t>
  </si>
  <si>
    <t>US833794AC42</t>
  </si>
  <si>
    <t>SWFP 5.15 08/15/30</t>
  </si>
  <si>
    <t>XS1550169574</t>
  </si>
  <si>
    <t>MBGGR 1 3/8 01/11/30</t>
  </si>
  <si>
    <t>XS1823502577</t>
  </si>
  <si>
    <t>BASGR 1 1/2 05/22/30</t>
  </si>
  <si>
    <t>US03938LBC72</t>
  </si>
  <si>
    <t>MTNA 4 1/4 07/16/29</t>
  </si>
  <si>
    <t>USU09513HY80</t>
  </si>
  <si>
    <t>BMW 4.15 04/09/30</t>
  </si>
  <si>
    <t>XS2796609787</t>
  </si>
  <si>
    <t>SGOFP 3 3/8 04/08/30</t>
  </si>
  <si>
    <t>XS2107315470</t>
  </si>
  <si>
    <t>ENIIM 0 5/8 01/23/30</t>
  </si>
  <si>
    <t>XS2900366316</t>
  </si>
  <si>
    <t>BPLN 1.1925 09/11/30</t>
  </si>
  <si>
    <t>US111021AE12</t>
  </si>
  <si>
    <t>BRITEL 9 5/8 12/15/30</t>
  </si>
  <si>
    <t>US92857TAH05</t>
  </si>
  <si>
    <t>VOD 7 7/8 02/15/30</t>
  </si>
  <si>
    <t>BBB- *+ / Baa3 / WD</t>
  </si>
  <si>
    <t>XS1610777556</t>
  </si>
  <si>
    <t>IBESM 1.782 10/30/30</t>
  </si>
  <si>
    <t>US87264ABF12</t>
  </si>
  <si>
    <t>TMUS 3 7/8 04/15/30</t>
  </si>
  <si>
    <t>XS2228291279</t>
  </si>
  <si>
    <t>RDSALN 1 12/10/30</t>
  </si>
  <si>
    <t>US023135BS49</t>
  </si>
  <si>
    <t>AMZN 1 1/2 06/03/30</t>
  </si>
  <si>
    <t>US571903BR30</t>
  </si>
  <si>
    <t>MAR 4.8 03/15/30</t>
  </si>
  <si>
    <t>A / A1 / WD</t>
  </si>
  <si>
    <t>FR001400PU35</t>
  </si>
  <si>
    <t>BNFP 3.481 05/03/30</t>
  </si>
  <si>
    <t>A- / A3 / BBB+</t>
  </si>
  <si>
    <t>FR0013367638</t>
  </si>
  <si>
    <t>DGFP 1 3/4 09/26/30</t>
  </si>
  <si>
    <t>XS2185867913</t>
  </si>
  <si>
    <t>AIRFP 1 5/8 06/09/30</t>
  </si>
  <si>
    <t>BE6276040431</t>
  </si>
  <si>
    <t>ABIBB 1 1/2 04/18/30</t>
  </si>
  <si>
    <t>A / A1 / Au</t>
  </si>
  <si>
    <t>US780641AH94</t>
  </si>
  <si>
    <t>KPN 8 3/8 10/01/30</t>
  </si>
  <si>
    <t>BBB+ / A3 / BBB+</t>
  </si>
  <si>
    <t>USU74078CH46</t>
  </si>
  <si>
    <t>NESNVX 1 1/4 09/15/30</t>
  </si>
  <si>
    <t>US904764BK20</t>
  </si>
  <si>
    <t>UNANA 1 3/8 09/14/30</t>
  </si>
  <si>
    <t>US369604BW26</t>
  </si>
  <si>
    <t>GE 3 5/8 05/01/30</t>
  </si>
  <si>
    <t>US742718FM66</t>
  </si>
  <si>
    <t>PG 1.2 10/29/30</t>
  </si>
  <si>
    <t xml:space="preserve"> / Ba2 / </t>
  </si>
  <si>
    <t xml:space="preserve">BB+ *+ / Ba1 / </t>
  </si>
  <si>
    <t>XS2826718087</t>
  </si>
  <si>
    <t>SPMIM 4 7/8 05/30/30</t>
  </si>
  <si>
    <t xml:space="preserve">BBB- / Baa1 / </t>
  </si>
  <si>
    <t>XS2815984732</t>
  </si>
  <si>
    <t>LHAGR 4 05/21/30</t>
  </si>
  <si>
    <t>BB / Ba2 / BB</t>
  </si>
  <si>
    <t>FR001400SSO4</t>
  </si>
  <si>
    <t>RENAUL 3 7/8 09/30/30</t>
  </si>
  <si>
    <t xml:space="preserve">NR / Ba1 / </t>
  </si>
  <si>
    <t>BB- *+ / Ba3 / BB- *+</t>
  </si>
  <si>
    <t xml:space="preserve"> / Baa2u / BBB+u</t>
  </si>
  <si>
    <t>IT0005024234</t>
  </si>
  <si>
    <t>BTPS 3 1/2 03/01/30</t>
  </si>
  <si>
    <t xml:space="preserve"> / Aa1 / AA+u</t>
  </si>
  <si>
    <t>US91282CHJ36</t>
  </si>
  <si>
    <t>T 3 3/4 06/30/30</t>
  </si>
  <si>
    <t>GB00BSQNRD01</t>
  </si>
  <si>
    <t>UKT 4 3/8 03/07/30</t>
  </si>
  <si>
    <t>GR0133008210</t>
  </si>
  <si>
    <t>GGB 4.3 02/24/30</t>
  </si>
  <si>
    <t>ES0000012O00</t>
  </si>
  <si>
    <t>SPGB 2.7 01/31/30</t>
  </si>
  <si>
    <t xml:space="preserve"> / Aa3u / A+u</t>
  </si>
  <si>
    <t>FR001400PM68</t>
  </si>
  <si>
    <t>FRTR 2 3/4 02/25/30</t>
  </si>
  <si>
    <t xml:space="preserve"> / A3u / Au</t>
  </si>
  <si>
    <t>PTOTEROE0014</t>
  </si>
  <si>
    <t>PGB 3 7/8 02/15/30</t>
  </si>
  <si>
    <t xml:space="preserve"> / Aa3 / A+</t>
  </si>
  <si>
    <t>XS2747598444</t>
  </si>
  <si>
    <t>KSA 4 3/4 01/16/30</t>
  </si>
  <si>
    <t>XS2155352664</t>
  </si>
  <si>
    <t>QATAR 3 3/4 04/16/30</t>
  </si>
  <si>
    <t>BB / Ba2 / BB-</t>
  </si>
  <si>
    <t>US836205AY00</t>
  </si>
  <si>
    <t>SOAF 5 7/8 06/22/30</t>
  </si>
  <si>
    <t>US91087BBB53</t>
  </si>
  <si>
    <t>MEX 6 05/13/30</t>
  </si>
  <si>
    <t>US105756CM05</t>
  </si>
  <si>
    <t>BRAZIL 5 1/2 11/06/30</t>
  </si>
  <si>
    <t>US715638DG44</t>
  </si>
  <si>
    <t>PERU 2.8893 02/12/30</t>
  </si>
  <si>
    <t>BB / Baa3 / BB+</t>
  </si>
  <si>
    <t>XS1236685613</t>
  </si>
  <si>
    <t>CHILE 1 7/8 05/27/30</t>
  </si>
  <si>
    <t>B /  / B</t>
  </si>
  <si>
    <t>XS2989586941</t>
  </si>
  <si>
    <t>EGYPT 8 5/8 02/04/30</t>
  </si>
  <si>
    <t>A / Baa1 / A</t>
  </si>
  <si>
    <t>US46513JXM88</t>
  </si>
  <si>
    <t>ISRAEL 2 1/2 01/15/30</t>
  </si>
  <si>
    <t>B / B2u / B+</t>
  </si>
  <si>
    <t>XS2172965282</t>
  </si>
  <si>
    <t>BHRAIN 7 3/8 05/14/30</t>
  </si>
  <si>
    <t>XS1793329225</t>
  </si>
  <si>
    <t>IVYCST 5 1/4 03/22/30</t>
  </si>
  <si>
    <t>NR / Ba3 / BB-</t>
  </si>
  <si>
    <t>US900123AL40</t>
  </si>
  <si>
    <t>TURKEY 11 7/8 01/15/30</t>
  </si>
  <si>
    <t>XS3101499187</t>
  </si>
  <si>
    <t>REPHUN 5 3/8 09/26/30</t>
  </si>
  <si>
    <t>US857524AF94</t>
  </si>
  <si>
    <t>POLAND 4 7/8 02/12/30</t>
  </si>
  <si>
    <t>XS1768067297</t>
  </si>
  <si>
    <t>ROMANI 2 1/2 02/08/30</t>
  </si>
  <si>
    <t>US455780CQ75</t>
  </si>
  <si>
    <t>INDON 2.85 02/14/30</t>
  </si>
  <si>
    <t>US71647NBE85</t>
  </si>
  <si>
    <t>PETBRA 5.093 01/15/30</t>
  </si>
  <si>
    <t>BBB / B1 / BB+</t>
  </si>
  <si>
    <t xml:space="preserve">BB / Ba2 / </t>
  </si>
  <si>
    <t xml:space="preserve">B+ / Ba3 / </t>
  </si>
  <si>
    <t>US80386WAD74</t>
  </si>
  <si>
    <t>SASOL 5 1/2 03/18/31</t>
  </si>
  <si>
    <t>Tencent Holdings Limited</t>
  </si>
  <si>
    <t>China</t>
  </si>
  <si>
    <t>A+ / A1 / A</t>
  </si>
  <si>
    <t>US88032XAU81</t>
  </si>
  <si>
    <t>TENCNT 2.39 06/03/30</t>
  </si>
  <si>
    <t>Taiwan Semiconductor Manufacturing Company Limited</t>
  </si>
  <si>
    <t>Taiwan</t>
  </si>
  <si>
    <t>INE071G08AG2</t>
  </si>
  <si>
    <t>ICICI 8 05/24/30</t>
  </si>
  <si>
    <t>BOC Aviation Limited</t>
  </si>
  <si>
    <t>A- /  / A-</t>
  </si>
  <si>
    <t>US09681MAS70</t>
  </si>
  <si>
    <t>BOCAVI 2 5/8 09/17/30</t>
  </si>
  <si>
    <t>Alibaba Group Holding Limited</t>
  </si>
  <si>
    <t>USG01719AK24</t>
  </si>
  <si>
    <t>BABA 4 7/8 05/26/30</t>
  </si>
  <si>
    <t>Baidu, Inc.</t>
  </si>
  <si>
    <t xml:space="preserve"> / A3 / A</t>
  </si>
  <si>
    <t>US056752AR92</t>
  </si>
  <si>
    <t>BIDU 3.425 04/07/30</t>
  </si>
  <si>
    <t>SONIA+X, q, floored to 0, 30/360</t>
  </si>
  <si>
    <t>SARON+X, q, floored to 0, 30/360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</si>
</sst>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09]dd\-mmm\-yy;@"/>
    <numFmt numFmtId="166" formatCode="#,##0.00##_);[Red]\(#,##0.00##\)"/>
  </numFmts>
  <fonts count="1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rgb="FF00206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i/>
      <sz val="11"/>
      <color theme="8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sz val="10"/>
      <name val="Courier"/>
      <family val="3"/>
    </font>
    <font>
      <b/>
      <u/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0">
    <xf numFmtId="0" fontId="0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9" fontId="11" fillId="0" borderId="0" applyFont="0" applyFill="0" applyBorder="0" applyAlignment="0" applyProtection="0"/>
    <xf numFmtId="166" fontId="13" fillId="0" borderId="0"/>
    <xf numFmtId="0" fontId="12" fillId="0" borderId="0"/>
    <xf numFmtId="0" fontId="12" fillId="0" borderId="0"/>
    <xf numFmtId="164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164" fontId="12" fillId="0" borderId="0" applyFont="0" applyFill="0" applyBorder="0" applyAlignment="0" applyProtection="0"/>
    <xf numFmtId="0" fontId="14" fillId="0" borderId="0" applyNumberForma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5" fillId="0" borderId="0"/>
    <xf numFmtId="0" fontId="12" fillId="0" borderId="0"/>
    <xf numFmtId="0" fontId="12" fillId="0" borderId="0"/>
    <xf numFmtId="0" fontId="12" fillId="0" borderId="0">
      <alignment horizontal="left" wrapText="1"/>
    </xf>
    <xf numFmtId="0" fontId="12" fillId="0" borderId="0"/>
    <xf numFmtId="0" fontId="12" fillId="0" borderId="0">
      <alignment vertical="top"/>
    </xf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6" fillId="0" borderId="0">
      <alignment vertical="center"/>
    </xf>
  </cellStyleXfs>
  <cellXfs count="161">
    <xf numFmtId="0" fontId="0" fillId="0" borderId="0" xfId="0"/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5" fillId="0" borderId="5" xfId="0" applyFont="1" applyBorder="1" applyAlignment="1">
      <alignment horizontal="left"/>
    </xf>
    <xf numFmtId="10" fontId="0" fillId="0" borderId="4" xfId="0" applyNumberFormat="1" applyBorder="1" applyAlignment="1">
      <alignment horizontal="center"/>
    </xf>
    <xf numFmtId="10" fontId="0" fillId="0" borderId="5" xfId="0" applyNumberFormat="1" applyBorder="1" applyAlignment="1">
      <alignment horizontal="center"/>
    </xf>
    <xf numFmtId="10" fontId="0" fillId="0" borderId="6" xfId="0" applyNumberForma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4" fontId="5" fillId="0" borderId="4" xfId="0" applyNumberFormat="1" applyFont="1" applyBorder="1" applyAlignment="1">
      <alignment horizontal="center"/>
    </xf>
    <xf numFmtId="4" fontId="5" fillId="0" borderId="5" xfId="0" applyNumberFormat="1" applyFont="1" applyBorder="1" applyAlignment="1">
      <alignment horizontal="center"/>
    </xf>
    <xf numFmtId="4" fontId="5" fillId="0" borderId="6" xfId="0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10" fontId="0" fillId="0" borderId="7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8" xfId="0" applyNumberForma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8" xfId="0" applyFont="1" applyBorder="1" applyAlignment="1">
      <alignment horizontal="center"/>
    </xf>
    <xf numFmtId="4" fontId="5" fillId="0" borderId="7" xfId="0" applyNumberFormat="1" applyFont="1" applyBorder="1" applyAlignment="1">
      <alignment horizontal="center"/>
    </xf>
    <xf numFmtId="4" fontId="5" fillId="0" borderId="0" xfId="0" applyNumberFormat="1" applyFont="1" applyAlignment="1">
      <alignment horizontal="center"/>
    </xf>
    <xf numFmtId="4" fontId="5" fillId="0" borderId="8" xfId="0" applyNumberFormat="1" applyFont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5" fillId="0" borderId="10" xfId="0" applyFont="1" applyBorder="1" applyAlignment="1">
      <alignment horizontal="left"/>
    </xf>
    <xf numFmtId="4" fontId="5" fillId="0" borderId="9" xfId="0" applyNumberFormat="1" applyFont="1" applyBorder="1" applyAlignment="1">
      <alignment horizontal="center"/>
    </xf>
    <xf numFmtId="4" fontId="5" fillId="0" borderId="10" xfId="0" applyNumberFormat="1" applyFont="1" applyBorder="1" applyAlignment="1">
      <alignment horizontal="center"/>
    </xf>
    <xf numFmtId="4" fontId="5" fillId="0" borderId="1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6" fillId="3" borderId="1" xfId="0" applyFont="1" applyFill="1" applyBorder="1"/>
    <xf numFmtId="0" fontId="6" fillId="3" borderId="2" xfId="0" applyFont="1" applyFill="1" applyBorder="1"/>
    <xf numFmtId="0" fontId="6" fillId="3" borderId="3" xfId="0" applyFont="1" applyFill="1" applyBorder="1"/>
    <xf numFmtId="165" fontId="6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0" fontId="9" fillId="4" borderId="12" xfId="0" applyNumberFormat="1" applyFont="1" applyFill="1" applyBorder="1" applyAlignment="1" applyProtection="1">
      <alignment horizontal="center"/>
      <protection locked="0"/>
    </xf>
    <xf numFmtId="10" fontId="9" fillId="4" borderId="13" xfId="0" applyNumberFormat="1" applyFont="1" applyFill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7" fillId="0" borderId="0" xfId="0" applyFont="1"/>
    <xf numFmtId="0" fontId="0" fillId="0" borderId="0" xfId="0"/>
    <xf numFmtId="0" fontId="0" fillId="0" borderId="11" xfId="0" applyBorder="1"/>
    <xf numFmtId="0" fontId="0" fillId="0" borderId="7" xfId="0" applyBorder="1"/>
    <xf numFmtId="0" fontId="0" fillId="0" borderId="4" xfId="0" applyBorder="1"/>
    <xf numFmtId="0" fontId="0" fillId="0" borderId="9" xfId="0" applyBorder="1"/>
    <xf numFmtId="0" fontId="1" fillId="2" borderId="0" xfId="0" applyFont="1" applyFill="1" applyAlignment="1">
      <alignment horizontal="center"/>
    </xf>
    <xf numFmtId="0" fontId="0" fillId="0" borderId="8" xfId="0" applyBorder="1"/>
    <xf numFmtId="10" fontId="0" fillId="0" borderId="0" xfId="0" applyNumberFormat="1" applyBorder="1" applyAlignment="1">
      <alignment horizontal="center"/>
    </xf>
    <xf numFmtId="4" fontId="0" fillId="0" borderId="5" xfId="0" applyNumberFormat="1" applyBorder="1" applyAlignment="1">
      <alignment horizontal="center"/>
    </xf>
    <xf numFmtId="10" fontId="0" fillId="0" borderId="6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0" fillId="0" borderId="6" xfId="0" applyBorder="1"/>
    <xf numFmtId="0" fontId="0" fillId="0" borderId="5" xfId="0" applyBorder="1"/>
    <xf numFmtId="0" fontId="0" fillId="0" borderId="10" xfId="0" applyBorder="1"/>
    <xf numFmtId="10" fontId="0" fillId="0" borderId="0" xfId="0" applyNumberFormat="1" applyFill="1" applyBorder="1" applyAlignment="1">
      <alignment horizontal="center"/>
    </xf>
    <xf numFmtId="0" fontId="0" fillId="0" borderId="2" xfId="0" applyBorder="1"/>
    <xf numFmtId="0" fontId="1" fillId="2" borderId="7" xfId="0" applyFon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0" fontId="6" fillId="3" borderId="3" xfId="0" applyFont="1" applyFill="1" applyBorder="1"/>
    <xf numFmtId="0" fontId="6" fillId="3" borderId="2" xfId="0" applyFont="1" applyFill="1" applyBorder="1"/>
    <xf numFmtId="0" fontId="6" fillId="3" borderId="1" xfId="0" applyFont="1" applyFill="1" applyBorder="1"/>
    <xf numFmtId="10" fontId="0" fillId="0" borderId="5" xfId="0" applyNumberForma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10" fontId="0" fillId="0" borderId="7" xfId="0" applyNumberFormat="1" applyFill="1" applyBorder="1" applyAlignment="1">
      <alignment horizontal="center"/>
    </xf>
    <xf numFmtId="10" fontId="0" fillId="0" borderId="5" xfId="0" applyNumberFormat="1" applyFill="1" applyBorder="1" applyAlignment="1">
      <alignment horizontal="center"/>
    </xf>
    <xf numFmtId="10" fontId="0" fillId="0" borderId="10" xfId="0" applyNumberFormat="1" applyFill="1" applyBorder="1" applyAlignment="1">
      <alignment horizontal="center"/>
    </xf>
    <xf numFmtId="10" fontId="0" fillId="0" borderId="4" xfId="0" applyNumberFormat="1" applyFill="1" applyBorder="1" applyAlignment="1">
      <alignment horizontal="center"/>
    </xf>
    <xf numFmtId="10" fontId="0" fillId="0" borderId="6" xfId="0" applyNumberFormat="1" applyFill="1" applyBorder="1" applyAlignment="1">
      <alignment horizontal="center"/>
    </xf>
    <xf numFmtId="10" fontId="0" fillId="0" borderId="8" xfId="0" applyNumberFormat="1" applyFill="1" applyBorder="1" applyAlignment="1">
      <alignment horizontal="center"/>
    </xf>
    <xf numFmtId="10" fontId="0" fillId="0" borderId="9" xfId="0" applyNumberFormat="1" applyFill="1" applyBorder="1" applyAlignment="1">
      <alignment horizontal="center"/>
    </xf>
    <xf numFmtId="10" fontId="0" fillId="0" borderId="11" xfId="0" applyNumberForma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165" fontId="6" fillId="3" borderId="2" xfId="0" applyNumberFormat="1" applyFont="1" applyFill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0" fontId="6" fillId="3" borderId="4" xfId="0" applyFont="1" applyFill="1" applyBorder="1"/>
    <xf numFmtId="0" fontId="6" fillId="3" borderId="5" xfId="0" applyFont="1" applyFill="1" applyBorder="1"/>
    <xf numFmtId="0" fontId="6" fillId="3" borderId="6" xfId="0" applyFont="1" applyFill="1" applyBorder="1"/>
    <xf numFmtId="165" fontId="0" fillId="0" borderId="5" xfId="0" applyNumberFormat="1" applyBorder="1" applyAlignment="1">
      <alignment horizontal="center"/>
    </xf>
    <xf numFmtId="165" fontId="6" fillId="3" borderId="5" xfId="0" applyNumberFormat="1" applyFont="1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4" fontId="1" fillId="2" borderId="5" xfId="0" applyNumberFormat="1" applyFont="1" applyFill="1" applyBorder="1" applyAlignment="1">
      <alignment horizontal="center"/>
    </xf>
    <xf numFmtId="4" fontId="6" fillId="3" borderId="2" xfId="0" applyNumberFormat="1" applyFont="1" applyFill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4" fontId="6" fillId="3" borderId="5" xfId="0" applyNumberFormat="1" applyFont="1" applyFill="1" applyBorder="1" applyAlignment="1">
      <alignment horizontal="center"/>
    </xf>
    <xf numFmtId="4" fontId="1" fillId="2" borderId="4" xfId="0" applyNumberFormat="1" applyFont="1" applyFill="1" applyBorder="1" applyAlignment="1">
      <alignment horizontal="center"/>
    </xf>
    <xf numFmtId="4" fontId="1" fillId="2" borderId="6" xfId="0" applyNumberFormat="1" applyFont="1" applyFill="1" applyBorder="1" applyAlignment="1">
      <alignment horizontal="center"/>
    </xf>
    <xf numFmtId="4" fontId="6" fillId="3" borderId="1" xfId="0" applyNumberFormat="1" applyFont="1" applyFill="1" applyBorder="1" applyAlignment="1">
      <alignment horizontal="center"/>
    </xf>
    <xf numFmtId="4" fontId="6" fillId="3" borderId="3" xfId="0" applyNumberFormat="1" applyFont="1" applyFill="1" applyBorder="1" applyAlignment="1">
      <alignment horizontal="center"/>
    </xf>
    <xf numFmtId="4" fontId="0" fillId="0" borderId="7" xfId="0" applyNumberFormat="1" applyBorder="1" applyAlignment="1">
      <alignment horizontal="center"/>
    </xf>
    <xf numFmtId="4" fontId="0" fillId="0" borderId="8" xfId="0" applyNumberFormat="1" applyBorder="1" applyAlignment="1">
      <alignment horizontal="center"/>
    </xf>
    <xf numFmtId="4" fontId="0" fillId="0" borderId="9" xfId="0" applyNumberFormat="1" applyBorder="1" applyAlignment="1">
      <alignment horizontal="center"/>
    </xf>
    <xf numFmtId="4" fontId="0" fillId="0" borderId="11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4" fontId="6" fillId="3" borderId="4" xfId="0" applyNumberFormat="1" applyFont="1" applyFill="1" applyBorder="1" applyAlignment="1">
      <alignment horizontal="center"/>
    </xf>
    <xf numFmtId="4" fontId="6" fillId="3" borderId="6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/>
    <xf numFmtId="10" fontId="9" fillId="4" borderId="12" xfId="0" applyNumberFormat="1" applyFont="1" applyFill="1" applyBorder="1" applyAlignment="1" applyProtection="1">
      <alignment horizontal="center"/>
      <protection locked="0"/>
    </xf>
    <xf numFmtId="0" fontId="8" fillId="0" borderId="0" xfId="0" applyFont="1" applyAlignment="1">
      <alignment horizontal="center"/>
    </xf>
    <xf numFmtId="10" fontId="9" fillId="4" borderId="13" xfId="0" applyNumberFormat="1" applyFont="1" applyFill="1" applyBorder="1" applyAlignment="1" applyProtection="1">
      <alignment horizontal="center"/>
      <protection locked="0"/>
    </xf>
    <xf numFmtId="10" fontId="10" fillId="0" borderId="0" xfId="0" applyNumberFormat="1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3" borderId="10" xfId="0" applyFont="1" applyFill="1" applyBorder="1"/>
    <xf numFmtId="0" fontId="0" fillId="0" borderId="0" xfId="0" applyBorder="1"/>
    <xf numFmtId="0" fontId="0" fillId="5" borderId="7" xfId="0" applyFill="1" applyBorder="1"/>
    <xf numFmtId="0" fontId="0" fillId="5" borderId="0" xfId="0" applyFill="1"/>
    <xf numFmtId="10" fontId="0" fillId="5" borderId="7" xfId="0" applyNumberFormat="1" applyFill="1" applyBorder="1" applyAlignment="1">
      <alignment horizontal="center"/>
    </xf>
    <xf numFmtId="10" fontId="0" fillId="5" borderId="0" xfId="0" applyNumberFormat="1" applyFill="1" applyAlignment="1">
      <alignment horizontal="center"/>
    </xf>
    <xf numFmtId="10" fontId="0" fillId="5" borderId="8" xfId="0" applyNumberFormat="1" applyFill="1" applyBorder="1" applyAlignment="1">
      <alignment horizontal="center"/>
    </xf>
    <xf numFmtId="165" fontId="0" fillId="5" borderId="0" xfId="0" applyNumberFormat="1" applyFill="1" applyAlignment="1">
      <alignment horizontal="center"/>
    </xf>
    <xf numFmtId="4" fontId="0" fillId="5" borderId="7" xfId="0" applyNumberFormat="1" applyFill="1" applyBorder="1" applyAlignment="1">
      <alignment horizontal="center"/>
    </xf>
    <xf numFmtId="4" fontId="0" fillId="5" borderId="0" xfId="0" applyNumberFormat="1" applyFill="1" applyAlignment="1">
      <alignment horizontal="center"/>
    </xf>
    <xf numFmtId="4" fontId="0" fillId="5" borderId="8" xfId="0" applyNumberFormat="1" applyFill="1" applyBorder="1" applyAlignment="1">
      <alignment horizontal="center"/>
    </xf>
    <xf numFmtId="0" fontId="0" fillId="5" borderId="9" xfId="0" applyFill="1" applyBorder="1"/>
    <xf numFmtId="0" fontId="0" fillId="5" borderId="10" xfId="0" applyFill="1" applyBorder="1"/>
    <xf numFmtId="10" fontId="0" fillId="5" borderId="9" xfId="0" applyNumberFormat="1" applyFill="1" applyBorder="1" applyAlignment="1">
      <alignment horizontal="center"/>
    </xf>
    <xf numFmtId="10" fontId="0" fillId="5" borderId="10" xfId="0" applyNumberFormat="1" applyFill="1" applyBorder="1" applyAlignment="1">
      <alignment horizontal="center"/>
    </xf>
    <xf numFmtId="10" fontId="0" fillId="5" borderId="11" xfId="0" applyNumberFormat="1" applyFill="1" applyBorder="1" applyAlignment="1">
      <alignment horizontal="center"/>
    </xf>
    <xf numFmtId="165" fontId="0" fillId="5" borderId="10" xfId="0" applyNumberFormat="1" applyFill="1" applyBorder="1" applyAlignment="1">
      <alignment horizontal="center"/>
    </xf>
    <xf numFmtId="4" fontId="0" fillId="5" borderId="9" xfId="0" applyNumberFormat="1" applyFill="1" applyBorder="1" applyAlignment="1">
      <alignment horizontal="center"/>
    </xf>
    <xf numFmtId="4" fontId="0" fillId="5" borderId="10" xfId="0" applyNumberFormat="1" applyFill="1" applyBorder="1" applyAlignment="1">
      <alignment horizontal="center"/>
    </xf>
    <xf numFmtId="4" fontId="0" fillId="5" borderId="11" xfId="0" applyNumberForma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40">
    <cellStyle name="_2009-11-16-AIG_Dec11_USD" xfId="39" xr:uid="{345F5CF2-9B44-4713-A018-CD19DA7CCC12}"/>
    <cellStyle name="blp_amount" xfId="7" xr:uid="{38F116B0-A3C0-4DE7-A954-975A05C30C91}"/>
    <cellStyle name="Comma 2 2" xfId="10" xr:uid="{467D896E-31D7-4737-BBD5-A790EB329909}"/>
    <cellStyle name="Comma 2 2 2" xfId="15" xr:uid="{71008B5D-DBB9-41FF-9E06-8439D4B3F2D6}"/>
    <cellStyle name="Comma 2 2 2 2" xfId="19" xr:uid="{80035559-DBF6-4EC4-8197-78093E425194}"/>
    <cellStyle name="Comma 2 2 2 2 2" xfId="34" xr:uid="{6B0FB970-6ED6-4175-9808-92A4A4ED6C02}"/>
    <cellStyle name="Comma 2 2 2 3" xfId="22" xr:uid="{630A1025-2DFD-47E2-999A-99E5D797C49B}"/>
    <cellStyle name="Comma 2 2 2 3 2" xfId="37" xr:uid="{A583B56E-F7F4-44A9-8708-A8E8050DCC05}"/>
    <cellStyle name="Comma 2 2 2 4" xfId="31" xr:uid="{8B9C940A-EF9A-4D30-A1DC-90026B4608BB}"/>
    <cellStyle name="Comma 2 2 3" xfId="18" xr:uid="{BB8C34BF-AC33-4C40-9B97-C10ECDF82117}"/>
    <cellStyle name="Comma 2 2 3 2" xfId="21" xr:uid="{D69D4325-1E55-47B0-855E-879FF7EA00CD}"/>
    <cellStyle name="Comma 2 2 3 2 2" xfId="36" xr:uid="{CCD3A733-1496-43B2-95FF-4777407C2878}"/>
    <cellStyle name="Comma 2 2 3 3" xfId="33" xr:uid="{6B426FC3-9FF5-4D46-A32B-1BE8745E5D5C}"/>
    <cellStyle name="Comma 2 2 4" xfId="17" xr:uid="{3CF34E61-19D8-4946-B3C2-F6C37C3EFF04}"/>
    <cellStyle name="Comma 2 2 4 2" xfId="32" xr:uid="{420D8E4E-29C2-4E94-9250-951EA71F6CAF}"/>
    <cellStyle name="Comma 2 2 5" xfId="20" xr:uid="{EA46A6B2-4761-49D1-B165-44757A0D7BD3}"/>
    <cellStyle name="Comma 2 2 5 2" xfId="35" xr:uid="{2FB4F295-9A5A-48AB-9BC3-C266588C07BF}"/>
    <cellStyle name="Comma 2 2 6" xfId="30" xr:uid="{D8EC7D53-E2CF-4131-9E5F-5497310B2109}"/>
    <cellStyle name="Comma 65" xfId="23" xr:uid="{988C86F7-A814-474A-8345-50F4A5FE93AE}"/>
    <cellStyle name="Comma 65 2" xfId="38" xr:uid="{7521AEAF-86AF-4800-9C0F-DFB85C1D74EB}"/>
    <cellStyle name="Hyperlink 2" xfId="16" xr:uid="{A5178F38-0158-42C6-A499-A41B6C30552B}"/>
    <cellStyle name="Normal" xfId="0" builtinId="0"/>
    <cellStyle name="Normal 10" xfId="1" xr:uid="{C247839F-6598-47F1-A1CD-95109036D2C0}"/>
    <cellStyle name="Normal 11" xfId="3" xr:uid="{83286615-0D22-4744-8974-9AC3F3F9B215}"/>
    <cellStyle name="Normal 13 2 2" xfId="13" xr:uid="{AEF0719A-67CB-458A-B5D3-456ABF4570D9}"/>
    <cellStyle name="Normal 183 2" xfId="24" xr:uid="{11E875BD-1FC5-428E-A787-0638D076766D}"/>
    <cellStyle name="Normal 2" xfId="2" xr:uid="{BD23F7AB-1B0F-4587-B020-6FC9883EE890}"/>
    <cellStyle name="Normal 2 2 2 3 2" xfId="14" xr:uid="{5EC2F166-4211-44E3-9E14-215FC0F3426B}"/>
    <cellStyle name="Normal 2 2 2 4" xfId="25" xr:uid="{F1D91CD1-5100-4962-8717-813BF2A03F16}"/>
    <cellStyle name="Normal 2 2 3 3" xfId="28" xr:uid="{90C15D40-EE78-4620-A954-0413864BB2E6}"/>
    <cellStyle name="Normal 2 3" xfId="9" xr:uid="{1BC374F5-BEA1-43FC-AA3B-ACA82070B3AC}"/>
    <cellStyle name="Normal 3 2" xfId="8" xr:uid="{AD8724A5-CAF6-4385-B3CD-0176020D48D2}"/>
    <cellStyle name="Normal 333 2" xfId="5" xr:uid="{BD868CE3-C5BE-491B-AEBE-325A0C1DB682}"/>
    <cellStyle name="Normal 4" xfId="4" xr:uid="{13CAC9E2-F1FF-4118-977D-23D16B59A886}"/>
    <cellStyle name="Normal 41" xfId="27" xr:uid="{4AC97246-E565-436B-AA0D-8A248DF9E2C3}"/>
    <cellStyle name="Normal 45" xfId="11" xr:uid="{1DCE8002-AC8E-4B89-8112-3F6086A8D63F}"/>
    <cellStyle name="Normal 5" xfId="26" xr:uid="{7D5FA690-AE5A-4340-90A7-2010B1818338}"/>
    <cellStyle name="Percent 12" xfId="6" xr:uid="{EA5F6DD5-8644-4517-855B-0AF52FD64973}"/>
    <cellStyle name="Percent 2" xfId="12" xr:uid="{9020EFA4-222A-4341-A44A-86FEABE7B498}"/>
    <cellStyle name="Style 1 3" xfId="29" xr:uid="{8FEFD79D-B46D-4122-91E0-21911560AA68}"/>
  </cellStyles>
  <dxfs count="68"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bg.ads.db.com\ind-dboi-gmc-g\Venkatesh\X-Product%20Structuring\Runs\Vanilla%20CLN%20Run\CLN%20Run%2030-Jan-22%20Run%20-%20Ind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s"/>
      <sheetName val="Static"/>
      <sheetName val="Notes"/>
      <sheetName val="BBG Data "/>
      <sheetName val="Load Curves"/>
      <sheetName val="List"/>
      <sheetName val="Security &amp; Dict setups"/>
      <sheetName val="Results viewer"/>
      <sheetName val="Pricing"/>
      <sheetName val="Final coupon"/>
      <sheetName val="Run Refs"/>
      <sheetName val="Run Main"/>
      <sheetName val="Best picks"/>
      <sheetName val="EUR Payoff"/>
      <sheetName val="Sheet6"/>
      <sheetName val="USD Payoff"/>
      <sheetName val="Ideas - pitch"/>
    </sheetNames>
    <sheetDataSet>
      <sheetData sheetId="0"/>
      <sheetData sheetId="1">
        <row r="7">
          <cell r="V7" t="str">
            <v>FDR book</v>
          </cell>
          <cell r="W7" t="str">
            <v>Location</v>
          </cell>
        </row>
        <row r="8">
          <cell r="V8" t="str">
            <v>Asia</v>
          </cell>
          <cell r="W8" t="str">
            <v>SGP</v>
          </cell>
        </row>
        <row r="9">
          <cell r="V9" t="str">
            <v>Asia_Correlation</v>
          </cell>
          <cell r="W9" t="str">
            <v>SGP</v>
          </cell>
        </row>
        <row r="10">
          <cell r="V10" t="str">
            <v>Asset_Swaps</v>
          </cell>
          <cell r="W10" t="str">
            <v>LDN</v>
          </cell>
        </row>
        <row r="11">
          <cell r="V11" t="str">
            <v>CBLondon</v>
          </cell>
          <cell r="W11" t="str">
            <v>LDN</v>
          </cell>
        </row>
        <row r="13">
          <cell r="V13" t="str">
            <v>Correlation_Flow</v>
          </cell>
          <cell r="W13" t="str">
            <v>LDN</v>
          </cell>
        </row>
        <row r="14">
          <cell r="V14" t="str">
            <v>CMBX</v>
          </cell>
          <cell r="W14" t="str">
            <v>NYC</v>
          </cell>
        </row>
        <row r="15">
          <cell r="V15" t="str">
            <v>Eemea</v>
          </cell>
          <cell r="W15" t="str">
            <v>LDN</v>
          </cell>
        </row>
        <row r="16">
          <cell r="V16" t="str">
            <v>Eemea_SNAC</v>
          </cell>
          <cell r="W16" t="str">
            <v>LDN</v>
          </cell>
        </row>
        <row r="17">
          <cell r="V17" t="str">
            <v>EPTNY</v>
          </cell>
          <cell r="W17" t="str">
            <v>NYC</v>
          </cell>
        </row>
        <row r="18">
          <cell r="V18" t="str">
            <v>FIPB</v>
          </cell>
          <cell r="W18" t="str">
            <v>NYC</v>
          </cell>
        </row>
        <row r="19">
          <cell r="V19" t="str">
            <v>GASART</v>
          </cell>
          <cell r="W19" t="str">
            <v>LDN</v>
          </cell>
        </row>
        <row r="20">
          <cell r="V20" t="str">
            <v>Global</v>
          </cell>
          <cell r="W20" t="str">
            <v>LDN</v>
          </cell>
        </row>
        <row r="21">
          <cell r="V21" t="str">
            <v>Highyield</v>
          </cell>
          <cell r="W21" t="str">
            <v>NYC</v>
          </cell>
        </row>
        <row r="22">
          <cell r="V22" t="str">
            <v>IndexTranches</v>
          </cell>
          <cell r="W22" t="str">
            <v>LDN</v>
          </cell>
        </row>
        <row r="23">
          <cell r="V23" t="str">
            <v>Invexo</v>
          </cell>
          <cell r="W23" t="str">
            <v>LDN</v>
          </cell>
        </row>
        <row r="24">
          <cell r="V24" t="str">
            <v>InvGrade</v>
          </cell>
          <cell r="W24" t="str">
            <v>LDN</v>
          </cell>
        </row>
        <row r="25">
          <cell r="V25" t="str">
            <v>Invgrd_Multicredit</v>
          </cell>
          <cell r="W25" t="str">
            <v>LDN</v>
          </cell>
        </row>
        <row r="26">
          <cell r="V26" t="str">
            <v>Latam</v>
          </cell>
          <cell r="W26" t="str">
            <v>NYC</v>
          </cell>
        </row>
        <row r="27">
          <cell r="V27" t="str">
            <v>Latam_SNAC</v>
          </cell>
          <cell r="W27" t="str">
            <v>NYC</v>
          </cell>
        </row>
        <row r="28">
          <cell r="V28" t="str">
            <v>LCDS</v>
          </cell>
          <cell r="W28" t="str">
            <v>LDN</v>
          </cell>
        </row>
        <row r="29">
          <cell r="V29" t="str">
            <v>Lemg</v>
          </cell>
          <cell r="W29" t="str">
            <v>LDN</v>
          </cell>
        </row>
        <row r="30">
          <cell r="V30" t="str">
            <v>LEMG_IG</v>
          </cell>
          <cell r="W30" t="str">
            <v>LDN</v>
          </cell>
        </row>
        <row r="31">
          <cell r="V31" t="str">
            <v>LEMG_EM</v>
          </cell>
          <cell r="W31" t="str">
            <v>LDN</v>
          </cell>
        </row>
        <row r="32">
          <cell r="V32" t="str">
            <v>Par_Loan_NY</v>
          </cell>
          <cell r="W32" t="str">
            <v>NYC</v>
          </cell>
        </row>
        <row r="33">
          <cell r="V33" t="str">
            <v>Other</v>
          </cell>
          <cell r="W33" t="str">
            <v>LDN</v>
          </cell>
        </row>
        <row r="34">
          <cell r="V34" t="str">
            <v>Porfolio</v>
          </cell>
          <cell r="W34" t="str">
            <v>LDN</v>
          </cell>
        </row>
        <row r="35">
          <cell r="V35" t="str">
            <v>PRIN_STRAT</v>
          </cell>
          <cell r="W35" t="str">
            <v>LDN</v>
          </cell>
        </row>
        <row r="36">
          <cell r="V36" t="str">
            <v>GM Rates OTC</v>
          </cell>
          <cell r="W36" t="str">
            <v>LDN</v>
          </cell>
        </row>
        <row r="37">
          <cell r="V37" t="str">
            <v>PROP_EU</v>
          </cell>
          <cell r="W37" t="str">
            <v>LDN</v>
          </cell>
        </row>
        <row r="38">
          <cell r="V38" t="str">
            <v>PROP_IG</v>
          </cell>
          <cell r="W38" t="str">
            <v>LDN</v>
          </cell>
        </row>
        <row r="39">
          <cell r="V39" t="str">
            <v>SPG_LDN</v>
          </cell>
          <cell r="W39" t="str">
            <v>LDN</v>
          </cell>
        </row>
        <row r="40">
          <cell r="V40" t="str">
            <v>SUMMIT</v>
          </cell>
          <cell r="W40" t="str">
            <v>LDN</v>
          </cell>
        </row>
        <row r="41">
          <cell r="V41" t="str">
            <v>Structured_Finance</v>
          </cell>
          <cell r="W41" t="str">
            <v>LDN</v>
          </cell>
        </row>
        <row r="42">
          <cell r="V42" t="str">
            <v>Sydney</v>
          </cell>
          <cell r="W42" t="str">
            <v>SYD</v>
          </cell>
        </row>
        <row r="43">
          <cell r="V43" t="str">
            <v>SydneySelect</v>
          </cell>
          <cell r="W43" t="str">
            <v>SYD</v>
          </cell>
        </row>
        <row r="44">
          <cell r="V44" t="str">
            <v>SSG</v>
          </cell>
          <cell r="W44" t="str">
            <v>LDN</v>
          </cell>
        </row>
        <row r="45">
          <cell r="V45" t="str">
            <v>Tokyo</v>
          </cell>
          <cell r="W45" t="str">
            <v>TOK</v>
          </cell>
        </row>
        <row r="46">
          <cell r="V46" t="str">
            <v>Utility</v>
          </cell>
          <cell r="W46" t="str">
            <v>LDN</v>
          </cell>
        </row>
        <row r="48">
          <cell r="V48" t="str">
            <v>Wincap</v>
          </cell>
          <cell r="W48" t="str">
            <v>LDN</v>
          </cell>
        </row>
        <row r="49">
          <cell r="V49" t="str">
            <v>Par_Loan_NY</v>
          </cell>
          <cell r="W49" t="str">
            <v>NYC</v>
          </cell>
        </row>
        <row r="50">
          <cell r="V50" t="str">
            <v>EEMEA_SNAC</v>
          </cell>
          <cell r="W50" t="str">
            <v>LDN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5">
          <cell r="I5" t="str">
            <v>Quarterly, 30/360</v>
          </cell>
          <cell r="N5" t="str">
            <v>3mE +X, floored to 0, 30/360</v>
          </cell>
        </row>
        <row r="6">
          <cell r="I6" t="str">
            <v>Fixed</v>
          </cell>
          <cell r="N6" t="str">
            <v>Floating</v>
          </cell>
        </row>
        <row r="7">
          <cell r="E7" t="str">
            <v>DM Indices</v>
          </cell>
        </row>
        <row r="8">
          <cell r="E8" t="str">
            <v>Legal Entity / Index</v>
          </cell>
          <cell r="F8" t="str">
            <v>Rank</v>
          </cell>
          <cell r="G8" t="str">
            <v>Country of Risk</v>
          </cell>
          <cell r="H8" t="str">
            <v>Rating (S/M/F)</v>
          </cell>
          <cell r="I8" t="str">
            <v>1Y</v>
          </cell>
          <cell r="J8" t="str">
            <v>3Y</v>
          </cell>
          <cell r="K8" t="str">
            <v>5Y</v>
          </cell>
          <cell r="L8" t="str">
            <v>7Y</v>
          </cell>
          <cell r="M8" t="str">
            <v>10Y</v>
          </cell>
          <cell r="N8" t="str">
            <v>1Y</v>
          </cell>
          <cell r="O8" t="str">
            <v>3Y</v>
          </cell>
          <cell r="P8" t="str">
            <v>5Y</v>
          </cell>
          <cell r="Q8" t="str">
            <v>7Y</v>
          </cell>
          <cell r="R8" t="str">
            <v>10Y</v>
          </cell>
          <cell r="AC8" t="str">
            <v>ISIN</v>
          </cell>
          <cell r="AD8" t="str">
            <v>Benchmark Bond</v>
          </cell>
          <cell r="AE8" t="str">
            <v>Next Call Date</v>
          </cell>
          <cell r="AF8" t="str">
            <v>EUR Yield</v>
          </cell>
          <cell r="AG8" t="str">
            <v>5Y CLN vs benchmark</v>
          </cell>
          <cell r="AH8" t="str">
            <v>USD Yield</v>
          </cell>
          <cell r="AI8" t="str">
            <v>5Y CLN vs benchmark</v>
          </cell>
        </row>
        <row r="9">
          <cell r="E9" t="str">
            <v>CDX.NA.IG</v>
          </cell>
          <cell r="G9" t="str">
            <v>US</v>
          </cell>
          <cell r="I9">
            <v>2.5813187671249297E-2</v>
          </cell>
          <cell r="J9">
            <v>3.3955555529374834E-2</v>
          </cell>
          <cell r="K9">
            <v>3.8188588566680615E-2</v>
          </cell>
          <cell r="L9">
            <v>4.1039040715145775E-2</v>
          </cell>
          <cell r="M9">
            <v>4.4354209987789196E-2</v>
          </cell>
          <cell r="N9" t="str">
            <v/>
          </cell>
          <cell r="O9">
            <v>3.8850176855970593E-3</v>
          </cell>
          <cell r="P9">
            <v>9.8763390350547278E-3</v>
          </cell>
          <cell r="Q9">
            <v>1.3224854028874291E-2</v>
          </cell>
          <cell r="R9">
            <v>1.6335254966929606E-2</v>
          </cell>
        </row>
        <row r="10">
          <cell r="E10" t="str">
            <v>iTraxx Europe</v>
          </cell>
          <cell r="G10" t="str">
            <v>Europe</v>
          </cell>
          <cell r="I10">
            <v>2.3636424575065953E-2</v>
          </cell>
          <cell r="J10">
            <v>3.5299231174872395E-2</v>
          </cell>
          <cell r="K10">
            <v>3.9451375244488281E-2</v>
          </cell>
          <cell r="L10">
            <v>4.2027120570722706E-2</v>
          </cell>
          <cell r="M10">
            <v>4.533188747910058E-2</v>
          </cell>
          <cell r="N10" t="str">
            <v/>
          </cell>
          <cell r="O10">
            <v>5.2241933164380045E-3</v>
          </cell>
          <cell r="P10">
            <v>1.1133609437021137E-2</v>
          </cell>
          <cell r="Q10">
            <v>1.4207919944354674E-2</v>
          </cell>
          <cell r="R10">
            <v>1.7311550360925933E-2</v>
          </cell>
        </row>
        <row r="11">
          <cell r="E11" t="str">
            <v>CDX.NA.HY</v>
          </cell>
          <cell r="G11" t="str">
            <v>US</v>
          </cell>
          <cell r="I11">
            <v>6.2181527793182333E-2</v>
          </cell>
          <cell r="J11">
            <v>7.1189011294716789E-2</v>
          </cell>
          <cell r="K11">
            <v>7.6296883715686145E-2</v>
          </cell>
          <cell r="L11">
            <v>8.0806773944745502E-2</v>
          </cell>
          <cell r="M11">
            <v>8.3313247547004102E-2</v>
          </cell>
          <cell r="N11">
            <v>2.9831232341550856E-2</v>
          </cell>
          <cell r="O11">
            <v>4.1055962521922999E-2</v>
          </cell>
          <cell r="P11">
            <v>4.7872562652602806E-2</v>
          </cell>
          <cell r="Q11">
            <v>5.2887387521024717E-2</v>
          </cell>
          <cell r="R11">
            <v>5.5291164120596446E-2</v>
          </cell>
        </row>
        <row r="12">
          <cell r="E12" t="str">
            <v>iTraxx Europe Crossover</v>
          </cell>
          <cell r="G12" t="str">
            <v>Europe</v>
          </cell>
          <cell r="I12">
            <v>5.6170716446415407E-2</v>
          </cell>
          <cell r="J12">
            <v>6.6331406701873971E-2</v>
          </cell>
          <cell r="K12">
            <v>7.4915045307818104E-2</v>
          </cell>
          <cell r="L12">
            <v>7.8057125505099509E-2</v>
          </cell>
          <cell r="M12">
            <v>8.1835985712066545E-2</v>
          </cell>
          <cell r="N12">
            <v>2.3819887671918633E-2</v>
          </cell>
          <cell r="O12">
            <v>3.6195512425325177E-2</v>
          </cell>
          <cell r="P12">
            <v>4.6464621441391928E-2</v>
          </cell>
          <cell r="Q12">
            <v>5.0102542913195165E-2</v>
          </cell>
          <cell r="R12">
            <v>5.3792100930475539E-2</v>
          </cell>
        </row>
        <row r="13">
          <cell r="E13" t="str">
            <v>iTraxx Europe Senior Financials</v>
          </cell>
          <cell r="G13" t="str">
            <v>Europe</v>
          </cell>
          <cell r="I13">
            <v>3.0205607323101305E-2</v>
          </cell>
          <cell r="J13">
            <v>3.8479244077259854E-2</v>
          </cell>
          <cell r="K13">
            <v>4.0381006998232119E-2</v>
          </cell>
          <cell r="L13">
            <v>4.2761926380892476E-2</v>
          </cell>
          <cell r="M13">
            <v>4.568580955457744E-2</v>
          </cell>
          <cell r="N13" t="str">
            <v/>
          </cell>
          <cell r="O13">
            <v>8.4080764584575814E-3</v>
          </cell>
          <cell r="P13">
            <v>1.2067592179660244E-2</v>
          </cell>
          <cell r="Q13">
            <v>1.4950254957296044E-2</v>
          </cell>
          <cell r="R13">
            <v>1.7668616119349098E-2</v>
          </cell>
        </row>
        <row r="14">
          <cell r="E14" t="str">
            <v>iTraxx Europe Sub Financials</v>
          </cell>
          <cell r="G14" t="str">
            <v>Europe</v>
          </cell>
          <cell r="I14">
            <v>3.6952006755793632E-2</v>
          </cell>
          <cell r="J14">
            <v>4.5199274155263806E-2</v>
          </cell>
          <cell r="K14">
            <v>4.7145271528548242E-2</v>
          </cell>
          <cell r="L14">
            <v>5.0072520934606755E-2</v>
          </cell>
          <cell r="M14">
            <v>5.3367418820550447E-2</v>
          </cell>
          <cell r="N14">
            <v>4.5726527318330368E-3</v>
          </cell>
          <cell r="O14">
            <v>1.5130409365726512E-2</v>
          </cell>
          <cell r="P14">
            <v>1.8847344907003613E-2</v>
          </cell>
          <cell r="Q14">
            <v>2.2289992838025904E-2</v>
          </cell>
          <cell r="R14">
            <v>2.5397957016204443E-2</v>
          </cell>
        </row>
        <row r="16">
          <cell r="E16" t="str">
            <v>DM Financials</v>
          </cell>
        </row>
        <row r="17">
          <cell r="E17" t="str">
            <v>Legal Entity / Index</v>
          </cell>
          <cell r="F17" t="str">
            <v>Rank</v>
          </cell>
          <cell r="G17" t="str">
            <v>Country of Risk</v>
          </cell>
          <cell r="H17" t="str">
            <v>Rating (S/M/F)</v>
          </cell>
          <cell r="I17" t="str">
            <v>1Y</v>
          </cell>
          <cell r="J17" t="str">
            <v>3Y</v>
          </cell>
          <cell r="K17" t="str">
            <v>5Y</v>
          </cell>
          <cell r="L17" t="str">
            <v>7Y</v>
          </cell>
          <cell r="M17" t="str">
            <v>10Y</v>
          </cell>
          <cell r="N17" t="str">
            <v>1Y</v>
          </cell>
          <cell r="O17" t="str">
            <v>3Y</v>
          </cell>
          <cell r="P17" t="str">
            <v>5Y</v>
          </cell>
          <cell r="Q17" t="str">
            <v>7Y</v>
          </cell>
          <cell r="R17" t="str">
            <v>10Y</v>
          </cell>
          <cell r="AC17" t="str">
            <v>ISIN</v>
          </cell>
          <cell r="AD17" t="str">
            <v>Benchmark Bond</v>
          </cell>
          <cell r="AE17" t="str">
            <v>Next Call Date</v>
          </cell>
          <cell r="AF17" t="str">
            <v>EUR Yield</v>
          </cell>
          <cell r="AG17" t="str">
            <v>5Y CLN vs benchmark</v>
          </cell>
          <cell r="AH17" t="str">
            <v>USD Yield</v>
          </cell>
          <cell r="AI17" t="str">
            <v>5Y CLN vs benchmark</v>
          </cell>
        </row>
        <row r="18">
          <cell r="E18" t="str">
            <v xml:space="preserve">                                          FRANCE</v>
          </cell>
        </row>
        <row r="19">
          <cell r="E19" t="str">
            <v>CREDIT AGRICOLE SA</v>
          </cell>
          <cell r="F19" t="str">
            <v>Sr Preferred</v>
          </cell>
          <cell r="G19" t="str">
            <v>France</v>
          </cell>
          <cell r="H19" t="str">
            <v>A+ / Aa3 / AA-</v>
          </cell>
          <cell r="I19">
            <v>2.3161801423500418E-2</v>
          </cell>
          <cell r="J19">
            <v>3.2619611975568924E-2</v>
          </cell>
          <cell r="K19">
            <v>3.6372053875166212E-2</v>
          </cell>
          <cell r="L19">
            <v>3.7548701071781883E-2</v>
          </cell>
          <cell r="M19">
            <v>3.9392369960938839E-2</v>
          </cell>
          <cell r="N19" t="str">
            <v/>
          </cell>
          <cell r="O19">
            <v>2.5469241725322367E-3</v>
          </cell>
          <cell r="P19">
            <v>8.0494321879996805E-3</v>
          </cell>
          <cell r="Q19">
            <v>9.7067268206479877E-3</v>
          </cell>
          <cell r="R19">
            <v>1.1310528770203124E-2</v>
          </cell>
          <cell r="AC19" t="str">
            <v>FR0014001KY1</v>
          </cell>
          <cell r="AD19" t="str">
            <v>ACAFP 0.036 01/20/28</v>
          </cell>
          <cell r="AE19" t="str">
            <v xml:space="preserve"> </v>
          </cell>
          <cell r="AF19">
            <v>4.4144040000000002E-2</v>
          </cell>
          <cell r="AG19">
            <v>-7.7719861248337907E-3</v>
          </cell>
          <cell r="AH19">
            <v>5.2610806486251702E-2</v>
          </cell>
          <cell r="AI19">
            <v>-5.6327528733665158E-3</v>
          </cell>
        </row>
        <row r="20">
          <cell r="E20" t="str">
            <v>CREDIT AGRICOLE SA</v>
          </cell>
          <cell r="F20" t="str">
            <v>Sr Non Preferred</v>
          </cell>
          <cell r="G20" t="str">
            <v>France</v>
          </cell>
          <cell r="H20" t="str">
            <v>A- / A3 / A+</v>
          </cell>
          <cell r="I20">
            <v>2.3727739152521729E-2</v>
          </cell>
          <cell r="J20">
            <v>3.3898349435997628E-2</v>
          </cell>
          <cell r="K20">
            <v>3.8535128796842004E-2</v>
          </cell>
          <cell r="L20">
            <v>4.0544214678922962E-2</v>
          </cell>
          <cell r="M20">
            <v>4.3000165061261995E-2</v>
          </cell>
          <cell r="N20" t="str">
            <v/>
          </cell>
          <cell r="O20">
            <v>3.8257879590833386E-3</v>
          </cell>
          <cell r="P20">
            <v>1.0218940554378669E-2</v>
          </cell>
          <cell r="Q20">
            <v>1.2723905821813822E-2</v>
          </cell>
          <cell r="R20">
            <v>1.4969616675593338E-2</v>
          </cell>
          <cell r="AC20" t="str">
            <v>FR0014003182</v>
          </cell>
          <cell r="AD20" t="str">
            <v>ACAFP 0 3/8 04/20/28</v>
          </cell>
          <cell r="AE20" t="str">
            <v xml:space="preserve"> </v>
          </cell>
          <cell r="AF20">
            <v>3.7725639999999998E-2</v>
          </cell>
          <cell r="AG20">
            <v>8.0948879684200614E-4</v>
          </cell>
          <cell r="AH20">
            <v>4.6922265779952815E-2</v>
          </cell>
          <cell r="AI20">
            <v>2.2428003289350767E-3</v>
          </cell>
        </row>
        <row r="21">
          <cell r="E21" t="str">
            <v>CREDIT AGRICOLE SA</v>
          </cell>
          <cell r="F21" t="str">
            <v>Subordinated</v>
          </cell>
          <cell r="G21" t="str">
            <v>France</v>
          </cell>
          <cell r="H21" t="str">
            <v>BBB+ / Baa1 / A-</v>
          </cell>
          <cell r="I21">
            <v>2.4018011093144373E-2</v>
          </cell>
          <cell r="J21">
            <v>3.5934890293330281E-2</v>
          </cell>
          <cell r="K21">
            <v>4.2920094651897708E-2</v>
          </cell>
          <cell r="L21">
            <v>4.5843875883016388E-2</v>
          </cell>
          <cell r="M21">
            <v>4.8086027005768049E-2</v>
          </cell>
          <cell r="N21" t="str">
            <v/>
          </cell>
          <cell r="O21">
            <v>5.8672943383096888E-3</v>
          </cell>
          <cell r="P21">
            <v>1.4623016481060007E-2</v>
          </cell>
          <cell r="Q21">
            <v>1.8055809107352438E-2</v>
          </cell>
          <cell r="R21">
            <v>2.0097682212497723E-2</v>
          </cell>
          <cell r="AC21" t="str">
            <v>XS1204154410</v>
          </cell>
          <cell r="AD21" t="str">
            <v>ACAFP 2 5/8 03/17/27</v>
          </cell>
          <cell r="AE21" t="str">
            <v xml:space="preserve"> </v>
          </cell>
          <cell r="AF21">
            <v>3.9786760000000004E-2</v>
          </cell>
          <cell r="AG21">
            <v>3.133334651897704E-3</v>
          </cell>
          <cell r="AH21">
            <v>5.0152447235939715E-2</v>
          </cell>
          <cell r="AI21">
            <v>3.3351796991109295E-3</v>
          </cell>
        </row>
        <row r="22">
          <cell r="E22" t="str">
            <v>BNP PARIBAS</v>
          </cell>
          <cell r="F22" t="str">
            <v>Sr Preferred</v>
          </cell>
          <cell r="G22" t="str">
            <v>France</v>
          </cell>
          <cell r="H22" t="str">
            <v>A+ / Aa3 / AA-</v>
          </cell>
          <cell r="I22">
            <v>2.3637796234081729E-2</v>
          </cell>
          <cell r="J22">
            <v>3.3055203053396404E-2</v>
          </cell>
          <cell r="K22">
            <v>3.6530279418704077E-2</v>
          </cell>
          <cell r="L22">
            <v>3.7683987723187914E-2</v>
          </cell>
          <cell r="M22">
            <v>3.9576243966800331E-2</v>
          </cell>
          <cell r="N22" t="str">
            <v/>
          </cell>
          <cell r="O22">
            <v>2.9827906850716018E-3</v>
          </cell>
          <cell r="P22">
            <v>8.2077355652725205E-3</v>
          </cell>
          <cell r="Q22">
            <v>9.8430932069803814E-3</v>
          </cell>
          <cell r="R22">
            <v>1.1497030497315913E-2</v>
          </cell>
          <cell r="AC22" t="str">
            <v>XS1419646317</v>
          </cell>
          <cell r="AD22" t="str">
            <v>BNP 1 1/2 05/25/28</v>
          </cell>
          <cell r="AE22" t="str">
            <v xml:space="preserve"> </v>
          </cell>
          <cell r="AF22">
            <v>3.4208700000000002E-2</v>
          </cell>
          <cell r="AG22">
            <v>2.3215794187040756E-3</v>
          </cell>
          <cell r="AH22">
            <v>4.3897497042391063E-2</v>
          </cell>
          <cell r="AI22">
            <v>3.2526823369932387E-3</v>
          </cell>
        </row>
        <row r="23">
          <cell r="E23" t="str">
            <v>BNP PARIBAS</v>
          </cell>
          <cell r="F23" t="str">
            <v>Sr Non Preferred</v>
          </cell>
          <cell r="G23" t="str">
            <v>France</v>
          </cell>
          <cell r="H23" t="str">
            <v>A- / Baa1 / A+</v>
          </cell>
          <cell r="I23">
            <v>2.4581489913741032E-2</v>
          </cell>
          <cell r="J23">
            <v>3.4827104178084718E-2</v>
          </cell>
          <cell r="K23">
            <v>3.9665389294784831E-2</v>
          </cell>
          <cell r="L23">
            <v>4.172153802985612E-2</v>
          </cell>
          <cell r="M23">
            <v>4.4334270689990067E-2</v>
          </cell>
          <cell r="N23" t="str">
            <v/>
          </cell>
          <cell r="O23">
            <v>4.754880650625978E-3</v>
          </cell>
          <cell r="P23">
            <v>1.1350905166684902E-2</v>
          </cell>
          <cell r="Q23">
            <v>1.3905728997001357E-2</v>
          </cell>
          <cell r="R23">
            <v>1.631662656425777E-2</v>
          </cell>
          <cell r="AC23" t="str">
            <v>FR001400AKP6</v>
          </cell>
          <cell r="AD23" t="str">
            <v>BNP 2 3/4 07/25/28</v>
          </cell>
          <cell r="AE23">
            <v>46593</v>
          </cell>
          <cell r="AF23">
            <v>4.1047609999999998E-2</v>
          </cell>
          <cell r="AG23">
            <v>-1.3822207052151675E-3</v>
          </cell>
          <cell r="AH23">
            <v>5.1227719323735939E-2</v>
          </cell>
          <cell r="AI23">
            <v>-9.1060212915684835E-4</v>
          </cell>
        </row>
        <row r="24">
          <cell r="E24" t="str">
            <v>BNP PARIBAS</v>
          </cell>
          <cell r="F24" t="str">
            <v>Subordinated</v>
          </cell>
          <cell r="G24" t="str">
            <v>France</v>
          </cell>
          <cell r="H24" t="str">
            <v>BBB+ / Baa2 / A-</v>
          </cell>
          <cell r="I24">
            <v>2.49150918649985E-2</v>
          </cell>
          <cell r="J24">
            <v>3.6603448861328838E-2</v>
          </cell>
          <cell r="K24">
            <v>4.3218388427909926E-2</v>
          </cell>
          <cell r="L24">
            <v>4.6174738027416402E-2</v>
          </cell>
          <cell r="M24">
            <v>4.8686918883721723E-2</v>
          </cell>
          <cell r="N24" t="str">
            <v/>
          </cell>
          <cell r="O24">
            <v>6.5361596978818545E-3</v>
          </cell>
          <cell r="P24">
            <v>1.4921629915607484E-2</v>
          </cell>
          <cell r="Q24">
            <v>1.8387906947662801E-2</v>
          </cell>
          <cell r="R24">
            <v>2.070335959949806E-2</v>
          </cell>
          <cell r="AC24" t="str">
            <v>XS1470601656</v>
          </cell>
          <cell r="AD24" t="str">
            <v>BNP 2 1/4 01/11/27</v>
          </cell>
          <cell r="AE24" t="str">
            <v xml:space="preserve"> </v>
          </cell>
          <cell r="AF24">
            <v>3.6630549999999998E-2</v>
          </cell>
          <cell r="AG24">
            <v>6.5878384279099284E-3</v>
          </cell>
          <cell r="AH24">
            <v>4.7248220294814992E-2</v>
          </cell>
          <cell r="AI24">
            <v>6.5521703926583949E-3</v>
          </cell>
        </row>
        <row r="25">
          <cell r="E25" t="str">
            <v>SOCIETE GENERALE</v>
          </cell>
          <cell r="F25" t="str">
            <v>Sr Preferred</v>
          </cell>
          <cell r="G25" t="str">
            <v>France</v>
          </cell>
          <cell r="H25" t="str">
            <v>A / A1 / A</v>
          </cell>
          <cell r="I25">
            <v>2.4028083475878852E-2</v>
          </cell>
          <cell r="J25">
            <v>3.3574426887769154E-2</v>
          </cell>
          <cell r="K25">
            <v>3.7304012050716359E-2</v>
          </cell>
          <cell r="L25">
            <v>3.8637151824158111E-2</v>
          </cell>
          <cell r="M25">
            <v>4.0447115980779297E-2</v>
          </cell>
          <cell r="N25" t="str">
            <v/>
          </cell>
          <cell r="O25">
            <v>3.5022869470798159E-3</v>
          </cell>
          <cell r="P25">
            <v>8.9841349297393423E-3</v>
          </cell>
          <cell r="Q25">
            <v>1.0803953662208035E-2</v>
          </cell>
          <cell r="R25">
            <v>1.2380720737959974E-2</v>
          </cell>
          <cell r="AC25" t="str">
            <v>FR00140022B3</v>
          </cell>
          <cell r="AD25" t="str">
            <v>SOCGEN 0 1/8 02/18/28</v>
          </cell>
          <cell r="AE25" t="str">
            <v xml:space="preserve"> </v>
          </cell>
          <cell r="AF25">
            <v>3.5034679999999999E-2</v>
          </cell>
          <cell r="AG25">
            <v>2.2693320507163606E-3</v>
          </cell>
          <cell r="AH25">
            <v>4.4542198916978831E-2</v>
          </cell>
          <cell r="AI25">
            <v>3.3930698905862144E-3</v>
          </cell>
        </row>
        <row r="26">
          <cell r="E26" t="str">
            <v>SOCIETE GENERALE</v>
          </cell>
          <cell r="F26" t="str">
            <v>Sr Non Preferred</v>
          </cell>
          <cell r="G26" t="str">
            <v>France</v>
          </cell>
          <cell r="H26" t="str">
            <v>BBB / Baa2 / A-</v>
          </cell>
          <cell r="I26">
            <v>2.4880203449502446E-2</v>
          </cell>
          <cell r="J26">
            <v>3.6031567418771289E-2</v>
          </cell>
          <cell r="K26">
            <v>4.1210318814242086E-2</v>
          </cell>
          <cell r="L26">
            <v>4.3229802649293922E-2</v>
          </cell>
          <cell r="M26">
            <v>4.5859919332679182E-2</v>
          </cell>
          <cell r="N26" t="str">
            <v/>
          </cell>
          <cell r="O26">
            <v>5.9581216472739638E-3</v>
          </cell>
          <cell r="P26">
            <v>1.2895772846482679E-2</v>
          </cell>
          <cell r="Q26">
            <v>1.5416484890739266E-2</v>
          </cell>
          <cell r="R26">
            <v>1.7852458498300718E-2</v>
          </cell>
          <cell r="AC26" t="str">
            <v>FR0013368602</v>
          </cell>
          <cell r="AD26" t="str">
            <v>SOCGEN 2 1/8 09/27/28</v>
          </cell>
          <cell r="AE26" t="str">
            <v xml:space="preserve"> </v>
          </cell>
          <cell r="AF26">
            <v>3.9796329999999998E-2</v>
          </cell>
          <cell r="AG26">
            <v>1.4139888142420884E-3</v>
          </cell>
          <cell r="AH26">
            <v>4.9192308741580731E-2</v>
          </cell>
          <cell r="AI26">
            <v>2.6941197124871336E-3</v>
          </cell>
        </row>
        <row r="27">
          <cell r="E27" t="str">
            <v>SOCIETE GENERALE</v>
          </cell>
          <cell r="F27" t="str">
            <v>Subordinated</v>
          </cell>
          <cell r="G27" t="str">
            <v>France</v>
          </cell>
          <cell r="H27" t="str">
            <v/>
          </cell>
          <cell r="I27">
            <v>2.559368782334542E-2</v>
          </cell>
          <cell r="J27">
            <v>3.8321724354523565E-2</v>
          </cell>
          <cell r="K27">
            <v>4.5375926358484281E-2</v>
          </cell>
          <cell r="L27">
            <v>4.851205316846622E-2</v>
          </cell>
          <cell r="M27">
            <v>5.1075413271476099E-2</v>
          </cell>
          <cell r="N27" t="str">
            <v/>
          </cell>
          <cell r="O27">
            <v>8.2539263928049084E-3</v>
          </cell>
          <cell r="P27">
            <v>1.7078064609011182E-2</v>
          </cell>
          <cell r="Q27">
            <v>2.0726391920565412E-2</v>
          </cell>
          <cell r="R27">
            <v>2.3101999711981732E-2</v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</row>
        <row r="28">
          <cell r="E28" t="str">
            <v xml:space="preserve">                                          GERMANY</v>
          </cell>
        </row>
        <row r="29">
          <cell r="E29" t="str">
            <v>COMMERZBANK Aktiengesellschaft</v>
          </cell>
          <cell r="F29" t="str">
            <v>Sr Preferred</v>
          </cell>
          <cell r="G29" t="str">
            <v>Germany</v>
          </cell>
          <cell r="H29" t="str">
            <v>BBB+ / A2 / WD</v>
          </cell>
          <cell r="I29">
            <v>2.2886987018006347E-2</v>
          </cell>
          <cell r="J29">
            <v>3.2410409710064071E-2</v>
          </cell>
          <cell r="K29">
            <v>3.658185908233904E-2</v>
          </cell>
          <cell r="L29">
            <v>3.8809941045494074E-2</v>
          </cell>
          <cell r="M29">
            <v>4.0840124045201973E-2</v>
          </cell>
          <cell r="N29" t="str">
            <v/>
          </cell>
          <cell r="O29">
            <v>2.3373735922405212E-3</v>
          </cell>
          <cell r="P29">
            <v>8.2606448605216688E-3</v>
          </cell>
          <cell r="Q29">
            <v>1.0981931231664932E-2</v>
          </cell>
          <cell r="R29">
            <v>1.2784349699814943E-2</v>
          </cell>
          <cell r="AC29" t="str">
            <v>DE000CZ45V82</v>
          </cell>
          <cell r="AD29" t="str">
            <v>CMZB 0 3/8 09/01/27</v>
          </cell>
          <cell r="AE29" t="str">
            <v xml:space="preserve"> </v>
          </cell>
          <cell r="AF29">
            <v>3.2230430000000004E-2</v>
          </cell>
          <cell r="AG29">
            <v>4.3514290823390353E-3</v>
          </cell>
          <cell r="AH29">
            <v>4.2301686117966898E-2</v>
          </cell>
          <cell r="AI29">
            <v>4.8782825310816E-3</v>
          </cell>
        </row>
        <row r="30">
          <cell r="E30" t="str">
            <v>COMMERZBANK Aktiengesellschaft</v>
          </cell>
          <cell r="F30" t="str">
            <v>Sr Non Preferred</v>
          </cell>
          <cell r="G30" t="str">
            <v>Germany</v>
          </cell>
          <cell r="H30" t="str">
            <v>BBB- / Baa2 / WD</v>
          </cell>
          <cell r="I30">
            <v>2.5572849244136067E-2</v>
          </cell>
          <cell r="J30">
            <v>3.7110579889470495E-2</v>
          </cell>
          <cell r="K30">
            <v>4.2453923995696898E-2</v>
          </cell>
          <cell r="L30">
            <v>4.4955371887702988E-2</v>
          </cell>
          <cell r="M30">
            <v>4.7838772345549813E-2</v>
          </cell>
          <cell r="N30" t="str">
            <v/>
          </cell>
          <cell r="O30">
            <v>7.0364689732859698E-3</v>
          </cell>
          <cell r="P30">
            <v>1.4138633633259597E-2</v>
          </cell>
          <cell r="Q30">
            <v>1.7146002894802014E-2</v>
          </cell>
          <cell r="R30">
            <v>1.9845519145668369E-2</v>
          </cell>
          <cell r="AC30" t="str">
            <v>DE000CZ40MM4</v>
          </cell>
          <cell r="AD30" t="str">
            <v>CMZB 1 7/8 02/28/28</v>
          </cell>
          <cell r="AE30" t="str">
            <v xml:space="preserve"> </v>
          </cell>
          <cell r="AF30">
            <v>4.1792360000000001E-2</v>
          </cell>
          <cell r="AG30">
            <v>6.6156399569689689E-4</v>
          </cell>
          <cell r="AH30">
            <v>5.1220427865423135E-2</v>
          </cell>
          <cell r="AI30">
            <v>1.9378695152503858E-3</v>
          </cell>
        </row>
        <row r="31">
          <cell r="E31" t="str">
            <v>COMMERZBANK Aktiengesellschaft</v>
          </cell>
          <cell r="F31" t="str">
            <v>Subordinated</v>
          </cell>
          <cell r="G31" t="str">
            <v>Germany</v>
          </cell>
          <cell r="H31" t="str">
            <v>BB+ / Baa3 / WD</v>
          </cell>
          <cell r="I31">
            <v>2.7397326009563319E-2</v>
          </cell>
          <cell r="J31">
            <v>4.3674833798871597E-2</v>
          </cell>
          <cell r="K31">
            <v>5.2500987628084111E-2</v>
          </cell>
          <cell r="L31">
            <v>5.612363136990791E-2</v>
          </cell>
          <cell r="M31">
            <v>5.9112894953013362E-2</v>
          </cell>
          <cell r="N31" t="str">
            <v/>
          </cell>
          <cell r="O31">
            <v>1.3600069830504366E-2</v>
          </cell>
          <cell r="P31">
            <v>2.4188875944130109E-2</v>
          </cell>
          <cell r="Q31">
            <v>2.8325390637561114E-2</v>
          </cell>
          <cell r="R31">
            <v>3.1153641089321206E-2</v>
          </cell>
          <cell r="AC31" t="str">
            <v>DE000CZ40LW5</v>
          </cell>
          <cell r="AD31" t="str">
            <v>CMZB 4 03/30/27</v>
          </cell>
          <cell r="AE31" t="str">
            <v xml:space="preserve"> </v>
          </cell>
          <cell r="AF31">
            <v>4.1378749999999999E-2</v>
          </cell>
          <cell r="AG31">
            <v>1.1122237628084113E-2</v>
          </cell>
          <cell r="AH31">
            <v>5.2178078991945126E-2</v>
          </cell>
          <cell r="AI31">
            <v>1.0976101988232789E-2</v>
          </cell>
        </row>
        <row r="32">
          <cell r="E32" t="str">
            <v xml:space="preserve">                                          ITALY</v>
          </cell>
        </row>
        <row r="33">
          <cell r="E33" t="str">
            <v>MEDIOBANCA BANCA DI CREDITO FINANZIARIO SOCIETA PER AZIONI</v>
          </cell>
          <cell r="F33" t="str">
            <v>Sr Preferred</v>
          </cell>
          <cell r="G33" t="str">
            <v>Italy</v>
          </cell>
          <cell r="H33" t="str">
            <v>BBB / Baa1 / BBB</v>
          </cell>
          <cell r="I33">
            <v>2.5832268712679001E-2</v>
          </cell>
          <cell r="J33">
            <v>3.6905603212456145E-2</v>
          </cell>
          <cell r="K33">
            <v>4.1715638995842672E-2</v>
          </cell>
          <cell r="L33">
            <v>4.3690261785493886E-2</v>
          </cell>
          <cell r="M33">
            <v>4.6186008114061171E-2</v>
          </cell>
          <cell r="N33" t="str">
            <v/>
          </cell>
          <cell r="O33">
            <v>6.8321599789112845E-3</v>
          </cell>
          <cell r="P33">
            <v>1.3400683988762783E-2</v>
          </cell>
          <cell r="Q33">
            <v>1.587804188688291E-2</v>
          </cell>
          <cell r="R33">
            <v>1.8179613207448937E-2</v>
          </cell>
          <cell r="AC33" t="str">
            <v>XS2431320378</v>
          </cell>
          <cell r="AD33" t="str">
            <v>BACRED 1 07/17/29</v>
          </cell>
          <cell r="AE33">
            <v>46951</v>
          </cell>
          <cell r="AF33">
            <v>4.4464839999999999E-2</v>
          </cell>
          <cell r="AG33">
            <v>-2.749201004157327E-3</v>
          </cell>
          <cell r="AH33">
            <v>5.303773610797461E-2</v>
          </cell>
          <cell r="AI33">
            <v>-6.1671354142983636E-4</v>
          </cell>
        </row>
        <row r="34">
          <cell r="E34" t="str">
            <v>MEDIOBANCA BANCA DI CREDITO FINANZIARIO SOCIETA PER AZIONI</v>
          </cell>
          <cell r="F34" t="str">
            <v>Sr Non Preferred</v>
          </cell>
          <cell r="G34" t="str">
            <v>Italy</v>
          </cell>
          <cell r="H34" t="str">
            <v>BBB- / Baa3 / BBB-</v>
          </cell>
          <cell r="I34">
            <v>2.6706092910026943E-2</v>
          </cell>
          <cell r="J34">
            <v>3.9520463666107022E-2</v>
          </cell>
          <cell r="K34">
            <v>4.5678892205886119E-2</v>
          </cell>
          <cell r="L34">
            <v>4.8432094567694976E-2</v>
          </cell>
          <cell r="M34">
            <v>5.1207795093424109E-2</v>
          </cell>
          <cell r="N34" t="str">
            <v/>
          </cell>
          <cell r="O34">
            <v>9.4430070063949434E-3</v>
          </cell>
          <cell r="P34">
            <v>1.7358850358949095E-2</v>
          </cell>
          <cell r="Q34">
            <v>2.0620451069468679E-2</v>
          </cell>
          <cell r="R34">
            <v>2.3225454573417695E-2</v>
          </cell>
          <cell r="AC34" t="str">
            <v>XS2386287689</v>
          </cell>
          <cell r="AD34" t="str">
            <v>BACRED 0 3/4 11/02/28</v>
          </cell>
          <cell r="AE34">
            <v>46693</v>
          </cell>
          <cell r="AF34">
            <v>4.7309529999999995E-2</v>
          </cell>
          <cell r="AG34">
            <v>-1.6306377941138761E-3</v>
          </cell>
          <cell r="AH34">
            <v>5.5918769991195216E-2</v>
          </cell>
          <cell r="AI34">
            <v>5.1642350656590924E-4</v>
          </cell>
        </row>
        <row r="35">
          <cell r="E35" t="str">
            <v>MEDIOBANCA BANCA DI CREDITO FINANZIARIO SOCIETA PER AZIONI</v>
          </cell>
          <cell r="F35" t="str">
            <v>Subordinated</v>
          </cell>
          <cell r="G35" t="str">
            <v>Italy</v>
          </cell>
          <cell r="H35" t="str">
            <v>BB+ /  / BB+</v>
          </cell>
          <cell r="I35">
            <v>2.7756957227463037E-2</v>
          </cell>
          <cell r="J35">
            <v>4.3500542166285891E-2</v>
          </cell>
          <cell r="K35">
            <v>5.1818737403277866E-2</v>
          </cell>
          <cell r="L35">
            <v>5.534511894430362E-2</v>
          </cell>
          <cell r="M35">
            <v>5.852363039679688E-2</v>
          </cell>
          <cell r="N35" t="str">
            <v/>
          </cell>
          <cell r="O35">
            <v>1.3426691532759712E-2</v>
          </cell>
          <cell r="P35">
            <v>2.3508967568964582E-2</v>
          </cell>
          <cell r="Q35">
            <v>2.7549422495024636E-2</v>
          </cell>
          <cell r="R35">
            <v>3.0565509770724308E-2</v>
          </cell>
          <cell r="AC35" t="str">
            <v>IT0005188351</v>
          </cell>
          <cell r="AD35" t="str">
            <v>BACRED 3 3/4 06/16/26</v>
          </cell>
          <cell r="AE35" t="str">
            <v>..</v>
          </cell>
          <cell r="AF35">
            <v>4.0121079999999996E-2</v>
          </cell>
          <cell r="AG35">
            <v>1.169765740327787E-2</v>
          </cell>
          <cell r="AH35">
            <v>5.161760403621251E-2</v>
          </cell>
          <cell r="AI35">
            <v>1.0855441594098979E-2</v>
          </cell>
        </row>
        <row r="36">
          <cell r="E36" t="str">
            <v>INTESA SANPAOLO SPA</v>
          </cell>
          <cell r="F36" t="str">
            <v>Sr Preferred</v>
          </cell>
          <cell r="G36" t="str">
            <v>Italy</v>
          </cell>
          <cell r="H36" t="str">
            <v>BBB / Baa1 / BBB</v>
          </cell>
          <cell r="I36">
            <v>2.5799977244031064E-2</v>
          </cell>
          <cell r="J36">
            <v>3.6626597570984805E-2</v>
          </cell>
          <cell r="K36">
            <v>4.1113364127725184E-2</v>
          </cell>
          <cell r="L36">
            <v>4.3183654517696457E-2</v>
          </cell>
          <cell r="M36">
            <v>4.5720608677755604E-2</v>
          </cell>
          <cell r="N36" t="str">
            <v/>
          </cell>
          <cell r="O36">
            <v>6.5537022921982047E-3</v>
          </cell>
          <cell r="P36">
            <v>1.2798206251995821E-2</v>
          </cell>
          <cell r="Q36">
            <v>1.5371338278022428E-2</v>
          </cell>
          <cell r="R36">
            <v>1.7712121197686642E-2</v>
          </cell>
          <cell r="AC36" t="str">
            <v>XS2317069685</v>
          </cell>
          <cell r="AD36" t="str">
            <v>ISPIM 0 3/4 03/16/28</v>
          </cell>
          <cell r="AE36" t="str">
            <v xml:space="preserve"> </v>
          </cell>
          <cell r="AF36">
            <v>4.0820369999999995E-2</v>
          </cell>
          <cell r="AG36">
            <v>2.9299412772518935E-4</v>
          </cell>
          <cell r="AH36">
            <v>4.9861345073445994E-2</v>
          </cell>
          <cell r="AI36">
            <v>1.9532262460198666E-3</v>
          </cell>
        </row>
        <row r="37">
          <cell r="E37" t="str">
            <v>INTESA SANPAOLO SPA</v>
          </cell>
          <cell r="F37" t="str">
            <v>Sr Non Preferred</v>
          </cell>
          <cell r="G37" t="str">
            <v>Italy</v>
          </cell>
          <cell r="H37" t="str">
            <v>BBB- / Baa3 / BBB-</v>
          </cell>
          <cell r="I37">
            <v>2.6833087919398032E-2</v>
          </cell>
          <cell r="J37">
            <v>4.0271180879104286E-2</v>
          </cell>
          <cell r="K37">
            <v>4.6569984655530167E-2</v>
          </cell>
          <cell r="L37">
            <v>4.9283142184290411E-2</v>
          </cell>
          <cell r="M37">
            <v>5.2183756184802102E-2</v>
          </cell>
          <cell r="N37" t="str">
            <v/>
          </cell>
          <cell r="O37">
            <v>1.01919135859013E-2</v>
          </cell>
          <cell r="P37">
            <v>1.8247086040563489E-2</v>
          </cell>
          <cell r="Q37">
            <v>2.1468849737918259E-2</v>
          </cell>
          <cell r="R37">
            <v>2.4203255993620873E-2</v>
          </cell>
          <cell r="AC37" t="str">
            <v>XS2529233814</v>
          </cell>
          <cell r="AD37" t="str">
            <v>ISPIM 4 3/4 09/06/27</v>
          </cell>
          <cell r="AE37" t="str">
            <v xml:space="preserve"> </v>
          </cell>
          <cell r="AF37">
            <v>4.2851439999999998E-2</v>
          </cell>
          <cell r="AG37">
            <v>3.7185446555301691E-3</v>
          </cell>
          <cell r="AH37">
            <v>5.3654026615545997E-2</v>
          </cell>
          <cell r="AI37">
            <v>3.688642845082267E-3</v>
          </cell>
        </row>
        <row r="38">
          <cell r="E38" t="str">
            <v>INTESA SANPAOLO SPA</v>
          </cell>
          <cell r="F38" t="str">
            <v>Subordinated</v>
          </cell>
          <cell r="G38" t="str">
            <v>Italy</v>
          </cell>
          <cell r="H38" t="str">
            <v/>
          </cell>
          <cell r="I38">
            <v>2.8007787813747183E-2</v>
          </cell>
          <cell r="J38">
            <v>4.5160554573762259E-2</v>
          </cell>
          <cell r="K38">
            <v>5.4436773224306685E-2</v>
          </cell>
          <cell r="L38">
            <v>5.8334333362204754E-2</v>
          </cell>
          <cell r="M38">
            <v>6.1632526126197434E-2</v>
          </cell>
          <cell r="N38" t="str">
            <v/>
          </cell>
          <cell r="O38">
            <v>1.5083406744000008E-2</v>
          </cell>
          <cell r="P38">
            <v>2.6119038955728636E-2</v>
          </cell>
          <cell r="Q38">
            <v>3.0530019862828203E-2</v>
          </cell>
          <cell r="R38">
            <v>3.3674592728924188E-2</v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</row>
        <row r="39">
          <cell r="E39" t="str">
            <v>UNICREDIT, SOCIETA PER AZIONI</v>
          </cell>
          <cell r="F39" t="str">
            <v>Sr Preferred</v>
          </cell>
          <cell r="G39" t="str">
            <v>Italy</v>
          </cell>
          <cell r="H39" t="str">
            <v>BBB / Baa1 / BBB</v>
          </cell>
          <cell r="I39">
            <v>2.6273778888252393E-2</v>
          </cell>
          <cell r="J39">
            <v>3.7751781545843847E-2</v>
          </cell>
          <cell r="K39">
            <v>4.2562402037929215E-2</v>
          </cell>
          <cell r="L39">
            <v>4.4469609431754951E-2</v>
          </cell>
          <cell r="M39">
            <v>4.7044483977092266E-2</v>
          </cell>
          <cell r="N39" t="str">
            <v/>
          </cell>
          <cell r="O39">
            <v>7.6774773502249292E-3</v>
          </cell>
          <cell r="P39">
            <v>1.4246867457298879E-2</v>
          </cell>
          <cell r="Q39">
            <v>1.6657955721079257E-2</v>
          </cell>
          <cell r="R39">
            <v>1.9043144697229994E-2</v>
          </cell>
          <cell r="AC39" t="str">
            <v>XS2200176050</v>
          </cell>
          <cell r="AD39" t="str">
            <v>UCGIM 1.373 07/08/27</v>
          </cell>
          <cell r="AE39">
            <v>46211</v>
          </cell>
          <cell r="AF39">
            <v>4.1020329999999994E-2</v>
          </cell>
          <cell r="AG39">
            <v>1.5420720379292208E-3</v>
          </cell>
          <cell r="AH39">
            <v>5.1756678658660855E-2</v>
          </cell>
          <cell r="AI39">
            <v>1.5305293678834833E-3</v>
          </cell>
        </row>
        <row r="40">
          <cell r="E40" t="str">
            <v>UNICREDIT, SOCIETA PER AZIONI</v>
          </cell>
          <cell r="F40" t="str">
            <v>Sr Non Preferred</v>
          </cell>
          <cell r="G40" t="str">
            <v>Italy</v>
          </cell>
          <cell r="H40" t="str">
            <v>BBB- / Baa3 / BBB-</v>
          </cell>
          <cell r="I40">
            <v>2.7435510284004525E-2</v>
          </cell>
          <cell r="J40">
            <v>4.110610235065898E-2</v>
          </cell>
          <cell r="K40">
            <v>4.7653330589646423E-2</v>
          </cell>
          <cell r="L40">
            <v>5.0375268998111893E-2</v>
          </cell>
          <cell r="M40">
            <v>5.3114475824778892E-2</v>
          </cell>
          <cell r="N40" t="str">
            <v/>
          </cell>
          <cell r="O40">
            <v>1.1025611851073031E-2</v>
          </cell>
          <cell r="P40">
            <v>1.9327947511760011E-2</v>
          </cell>
          <cell r="Q40">
            <v>2.2558522680824727E-2</v>
          </cell>
          <cell r="R40">
            <v>2.5134223465075978E-2</v>
          </cell>
          <cell r="AC40" t="str">
            <v>XS2555420103</v>
          </cell>
          <cell r="AD40" t="str">
            <v>UCGIM 5.85 11/15/27</v>
          </cell>
          <cell r="AE40">
            <v>46341</v>
          </cell>
          <cell r="AF40">
            <v>4.7463249999999998E-2</v>
          </cell>
          <cell r="AG40">
            <v>1.9008058964642416E-4</v>
          </cell>
          <cell r="AH40">
            <v>5.9213252031621616E-2</v>
          </cell>
          <cell r="AI40">
            <v>-7.6696625899701915E-4</v>
          </cell>
        </row>
        <row r="41">
          <cell r="E41" t="str">
            <v>UNICREDIT, SOCIETA PER AZIONI</v>
          </cell>
          <cell r="F41" t="str">
            <v>Subordinated</v>
          </cell>
          <cell r="G41" t="str">
            <v>Italy</v>
          </cell>
          <cell r="H41" t="str">
            <v/>
          </cell>
          <cell r="I41">
            <v>2.829195443806555E-2</v>
          </cell>
          <cell r="J41">
            <v>4.6602909437506279E-2</v>
          </cell>
          <cell r="K41">
            <v>5.6002827794554975E-2</v>
          </cell>
          <cell r="L41">
            <v>5.9702255641528763E-2</v>
          </cell>
          <cell r="M41">
            <v>6.2665571284180599E-2</v>
          </cell>
          <cell r="N41" t="str">
            <v/>
          </cell>
          <cell r="O41">
            <v>1.6522856768567674E-2</v>
          </cell>
          <cell r="P41">
            <v>2.7678067565454642E-2</v>
          </cell>
          <cell r="Q41">
            <v>3.1891133198141401E-2</v>
          </cell>
          <cell r="R41">
            <v>3.4703226522684386E-2</v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</row>
        <row r="42">
          <cell r="E42" t="str">
            <v xml:space="preserve">                                          SPAIN</v>
          </cell>
        </row>
        <row r="43">
          <cell r="E43" t="str">
            <v>BANCO BILBAO VIZCAYA ARGENTARIA, SOCIEDAD ANONIMA</v>
          </cell>
          <cell r="F43" t="str">
            <v>Sr Preferred</v>
          </cell>
          <cell r="G43" t="str">
            <v>Spain</v>
          </cell>
          <cell r="H43" t="str">
            <v>A / A3 / A-</v>
          </cell>
          <cell r="I43">
            <v>2.3755883037481884E-2</v>
          </cell>
          <cell r="J43">
            <v>3.3496269875029711E-2</v>
          </cell>
          <cell r="K43">
            <v>3.7404934960156837E-2</v>
          </cell>
          <cell r="L43">
            <v>3.9052422619474947E-2</v>
          </cell>
          <cell r="M43">
            <v>4.1034495695554993E-2</v>
          </cell>
          <cell r="N43" t="str">
            <v/>
          </cell>
          <cell r="O43">
            <v>3.4239808021377513E-3</v>
          </cell>
          <cell r="P43">
            <v>9.0853099650904968E-3</v>
          </cell>
          <cell r="Q43">
            <v>1.1223063367590594E-2</v>
          </cell>
          <cell r="R43">
            <v>1.2977753132364808E-2</v>
          </cell>
          <cell r="AC43" t="str">
            <v>XS2534785865</v>
          </cell>
          <cell r="AD43" t="str">
            <v>BBVASM 3 3/8 09/20/27</v>
          </cell>
          <cell r="AE43" t="str">
            <v xml:space="preserve"> </v>
          </cell>
          <cell r="AF43">
            <v>3.6592739999999999E-2</v>
          </cell>
          <cell r="AG43">
            <v>8.1219496015683817E-4</v>
          </cell>
          <cell r="AH43">
            <v>4.6972000296314605E-2</v>
          </cell>
          <cell r="AI43">
            <v>1.0595695888028153E-3</v>
          </cell>
        </row>
        <row r="44">
          <cell r="E44" t="str">
            <v>BANCO BILBAO VIZCAYA ARGENTARIA, SOCIEDAD ANONIMA</v>
          </cell>
          <cell r="F44" t="str">
            <v>Sr Non Preferred</v>
          </cell>
          <cell r="G44" t="str">
            <v>Spain</v>
          </cell>
          <cell r="H44" t="str">
            <v>BBB+ / Baa2 / BBB+</v>
          </cell>
          <cell r="I44">
            <v>2.5143468488444367E-2</v>
          </cell>
          <cell r="J44">
            <v>3.555990194519635E-2</v>
          </cell>
          <cell r="K44">
            <v>4.0788227194096742E-2</v>
          </cell>
          <cell r="L44">
            <v>4.3353923456061816E-2</v>
          </cell>
          <cell r="M44">
            <v>4.5980872767537061E-2</v>
          </cell>
          <cell r="N44" t="str">
            <v/>
          </cell>
          <cell r="O44">
            <v>5.4876315985218551E-3</v>
          </cell>
          <cell r="P44">
            <v>1.2475107160860359E-2</v>
          </cell>
          <cell r="Q44">
            <v>1.5544773087238981E-2</v>
          </cell>
          <cell r="R44">
            <v>1.7977534803435162E-2</v>
          </cell>
          <cell r="AC44" t="str">
            <v>XS2101349723</v>
          </cell>
          <cell r="AD44" t="str">
            <v>BBVASM 0 1/2 01/14/27</v>
          </cell>
          <cell r="AE44" t="str">
            <v xml:space="preserve"> </v>
          </cell>
          <cell r="AF44">
            <v>3.6037979999999997E-2</v>
          </cell>
          <cell r="AG44">
            <v>4.7502471940967447E-3</v>
          </cell>
          <cell r="AH44">
            <v>4.6277363832725266E-2</v>
          </cell>
          <cell r="AI44">
            <v>5.1812051809618925E-3</v>
          </cell>
        </row>
        <row r="45">
          <cell r="E45" t="str">
            <v>BANCO BILBAO VIZCAYA ARGENTARIA, SOCIEDAD ANONIMA</v>
          </cell>
          <cell r="F45" t="str">
            <v>Subordinated</v>
          </cell>
          <cell r="G45" t="str">
            <v>Spain</v>
          </cell>
          <cell r="H45" t="str">
            <v>BBB / Baa2 / BBB-</v>
          </cell>
          <cell r="I45">
            <v>2.6865374881079013E-2</v>
          </cell>
          <cell r="J45">
            <v>4.0987288021675901E-2</v>
          </cell>
          <cell r="K45">
            <v>4.8409130500656615E-2</v>
          </cell>
          <cell r="L45">
            <v>5.1907733448232282E-2</v>
          </cell>
          <cell r="M45">
            <v>5.4982600017129596E-2</v>
          </cell>
          <cell r="N45" t="str">
            <v/>
          </cell>
          <cell r="O45">
            <v>1.0917330074369328E-2</v>
          </cell>
          <cell r="P45">
            <v>2.0107315586182395E-2</v>
          </cell>
          <cell r="Q45">
            <v>2.4120140102332946E-2</v>
          </cell>
          <cell r="R45">
            <v>2.7021913378875842E-2</v>
          </cell>
          <cell r="AC45" t="str">
            <v>XS1562614831</v>
          </cell>
          <cell r="AD45" t="str">
            <v>BBVASM 3 1/2 02/10/27</v>
          </cell>
          <cell r="AE45" t="str">
            <v xml:space="preserve"> </v>
          </cell>
          <cell r="AF45">
            <v>3.7771859999999997E-2</v>
          </cell>
          <cell r="AG45">
            <v>1.0637270500656618E-2</v>
          </cell>
          <cell r="AH45">
            <v>4.8545191726819752E-2</v>
          </cell>
          <cell r="AI45">
            <v>1.0494309325069985E-2</v>
          </cell>
        </row>
        <row r="46">
          <cell r="E46" t="str">
            <v>BANCO SANTANDER, S.A.</v>
          </cell>
          <cell r="F46" t="str">
            <v>Sr Preferred</v>
          </cell>
          <cell r="G46" t="str">
            <v>Spain</v>
          </cell>
          <cell r="H46" t="str">
            <v>A+ / A2 / A</v>
          </cell>
          <cell r="I46">
            <v>2.4099239734272047E-2</v>
          </cell>
          <cell r="J46">
            <v>3.3904989376879774E-2</v>
          </cell>
          <cell r="K46">
            <v>3.7767660105061059E-2</v>
          </cell>
          <cell r="L46">
            <v>3.9261525777674722E-2</v>
          </cell>
          <cell r="M46">
            <v>4.118838179105181E-2</v>
          </cell>
          <cell r="N46" t="str">
            <v/>
          </cell>
          <cell r="O46">
            <v>3.8329920700505217E-3</v>
          </cell>
          <cell r="P46">
            <v>9.4486716035036018E-3</v>
          </cell>
          <cell r="Q46">
            <v>1.143245437986117E-2</v>
          </cell>
          <cell r="R46">
            <v>1.3132484310713552E-2</v>
          </cell>
          <cell r="AC46" t="str">
            <v>XS2298304499</v>
          </cell>
          <cell r="AD46" t="str">
            <v>SANTAN 0.2 02/11/28</v>
          </cell>
          <cell r="AE46" t="str">
            <v xml:space="preserve"> </v>
          </cell>
          <cell r="AF46">
            <v>3.7600949999999994E-2</v>
          </cell>
          <cell r="AG46">
            <v>1.6671010506106448E-4</v>
          </cell>
          <cell r="AH46">
            <v>4.6887623645634792E-2</v>
          </cell>
          <cell r="AI46">
            <v>1.5159793221539708E-3</v>
          </cell>
        </row>
        <row r="47">
          <cell r="E47" t="str">
            <v>BANCO SANTANDER, S.A.</v>
          </cell>
          <cell r="F47" t="str">
            <v>Sr Non Preferred</v>
          </cell>
          <cell r="G47" t="str">
            <v>Spain</v>
          </cell>
          <cell r="H47" t="str">
            <v>A- / Baa1 / A-</v>
          </cell>
          <cell r="I47">
            <v>2.5216281526407602E-2</v>
          </cell>
          <cell r="J47">
            <v>3.5996525840079285E-2</v>
          </cell>
          <cell r="K47">
            <v>4.1301290240606595E-2</v>
          </cell>
          <cell r="L47">
            <v>4.3083880479856292E-2</v>
          </cell>
          <cell r="M47">
            <v>4.5352979749933901E-2</v>
          </cell>
          <cell r="N47" t="str">
            <v/>
          </cell>
          <cell r="O47">
            <v>5.9237248967195649E-3</v>
          </cell>
          <cell r="P47">
            <v>1.2987684260509093E-2</v>
          </cell>
          <cell r="Q47">
            <v>1.5270028129568021E-2</v>
          </cell>
          <cell r="R47">
            <v>1.7340129845393057E-2</v>
          </cell>
          <cell r="AC47" t="str">
            <v>US05964HAS40</v>
          </cell>
          <cell r="AD47" t="str">
            <v>SANTAN 5.294 08/18/27</v>
          </cell>
          <cell r="AE47" t="str">
            <v xml:space="preserve"> </v>
          </cell>
          <cell r="AF47">
            <v>4.1931598626669973E-2</v>
          </cell>
          <cell r="AG47">
            <v>-6.3030838606337874E-4</v>
          </cell>
          <cell r="AH47">
            <v>5.249268E-2</v>
          </cell>
          <cell r="AI47">
            <v>-5.1202051799981857E-4</v>
          </cell>
        </row>
        <row r="48">
          <cell r="E48" t="str">
            <v>BANCO SANTANDER, S.A.</v>
          </cell>
          <cell r="F48" t="str">
            <v>Subordinated</v>
          </cell>
          <cell r="G48" t="str">
            <v>Spain</v>
          </cell>
          <cell r="H48" t="str">
            <v>BBB+ / Baa2 / BBB</v>
          </cell>
          <cell r="I48">
            <v>2.6872381396496385E-2</v>
          </cell>
          <cell r="J48">
            <v>4.0487144819313571E-2</v>
          </cell>
          <cell r="K48">
            <v>4.7528869450176391E-2</v>
          </cell>
          <cell r="L48">
            <v>5.075406959453254E-2</v>
          </cell>
          <cell r="M48">
            <v>5.3569050317836195E-2</v>
          </cell>
          <cell r="N48" t="str">
            <v/>
          </cell>
          <cell r="O48">
            <v>1.0417895155669054E-2</v>
          </cell>
          <cell r="P48">
            <v>1.9228548688877606E-2</v>
          </cell>
          <cell r="Q48">
            <v>2.2967524674362597E-2</v>
          </cell>
          <cell r="R48">
            <v>2.5603904457898362E-2</v>
          </cell>
          <cell r="AC48" t="str">
            <v>XS1548444816</v>
          </cell>
          <cell r="AD48" t="str">
            <v>SANTAN 3 1/8 01/19/27</v>
          </cell>
          <cell r="AE48" t="str">
            <v xml:space="preserve"> </v>
          </cell>
          <cell r="AF48">
            <v>4.0092930000000006E-2</v>
          </cell>
          <cell r="AG48">
            <v>7.4359394501763848E-3</v>
          </cell>
          <cell r="AH48">
            <v>5.0784840456511618E-2</v>
          </cell>
          <cell r="AI48">
            <v>7.3745115992034302E-3</v>
          </cell>
        </row>
        <row r="49">
          <cell r="E49" t="str">
            <v xml:space="preserve">                                          SWITZERLAND </v>
          </cell>
        </row>
        <row r="50">
          <cell r="E50" t="str">
            <v>UBS AG</v>
          </cell>
          <cell r="F50" t="str">
            <v>Opco Senior</v>
          </cell>
          <cell r="G50" t="str">
            <v>Switzerland</v>
          </cell>
          <cell r="H50" t="str">
            <v>A+ / Aa3 / AA-</v>
          </cell>
          <cell r="I50">
            <v>2.4616895858661596E-2</v>
          </cell>
          <cell r="J50">
            <v>3.4086433430084412E-2</v>
          </cell>
          <cell r="K50">
            <v>3.7766495835927401E-2</v>
          </cell>
          <cell r="L50">
            <v>3.9065962836844527E-2</v>
          </cell>
          <cell r="M50">
            <v>4.1026849837432232E-2</v>
          </cell>
          <cell r="N50" t="str">
            <v/>
          </cell>
          <cell r="O50">
            <v>4.0147255198993738E-3</v>
          </cell>
          <cell r="P50">
            <v>9.4479970035640515E-3</v>
          </cell>
          <cell r="Q50">
            <v>1.123559927559244E-2</v>
          </cell>
          <cell r="R50">
            <v>1.2968786864261289E-2</v>
          </cell>
          <cell r="AC50" t="str">
            <v>XS2358287238</v>
          </cell>
          <cell r="AD50" t="str">
            <v>UBS 0.01 06/29/26</v>
          </cell>
          <cell r="AE50" t="str">
            <v xml:space="preserve"> </v>
          </cell>
          <cell r="AF50">
            <v>3.572169E-2</v>
          </cell>
          <cell r="AG50">
            <v>2.0448058359274005E-3</v>
          </cell>
          <cell r="AH50">
            <v>4.6602250139338566E-2</v>
          </cell>
          <cell r="AI50">
            <v>1.8084979310205307E-3</v>
          </cell>
        </row>
        <row r="51">
          <cell r="E51" t="str">
            <v>UBS AG</v>
          </cell>
          <cell r="F51" t="str">
            <v>Opco Subord.</v>
          </cell>
          <cell r="G51" t="str">
            <v>Switzerland</v>
          </cell>
          <cell r="H51" t="str">
            <v xml:space="preserve"> / A3 / A-</v>
          </cell>
          <cell r="I51">
            <v>2.60735779598536E-2</v>
          </cell>
          <cell r="J51">
            <v>3.8839356245818836E-2</v>
          </cell>
          <cell r="K51">
            <v>4.5474768018684844E-2</v>
          </cell>
          <cell r="L51">
            <v>4.7702747032113461E-2</v>
          </cell>
          <cell r="M51">
            <v>5.0183563634939136E-2</v>
          </cell>
          <cell r="N51" t="str">
            <v/>
          </cell>
          <cell r="O51">
            <v>8.7713526372077862E-3</v>
          </cell>
          <cell r="P51">
            <v>1.7177299411830514E-2</v>
          </cell>
          <cell r="Q51">
            <v>1.9914061084298711E-2</v>
          </cell>
          <cell r="R51">
            <v>2.2203565552402379E-2</v>
          </cell>
          <cell r="AC51" t="str">
            <v>XS0062270581</v>
          </cell>
          <cell r="AD51" t="str">
            <v>UBS 8 3/4 12/18/25</v>
          </cell>
          <cell r="AE51" t="str">
            <v xml:space="preserve"> </v>
          </cell>
          <cell r="AF51">
            <v>4.4544508576297021E-2</v>
          </cell>
          <cell r="AG51">
            <v>9.3025944238782354E-4</v>
          </cell>
          <cell r="AH51">
            <v>5.6790185234264844E-2</v>
          </cell>
          <cell r="AI51">
            <v>-7.0540709834053528E-4</v>
          </cell>
        </row>
        <row r="52">
          <cell r="E52" t="str">
            <v>UBS Group AG</v>
          </cell>
          <cell r="F52" t="str">
            <v>Holdco Senior</v>
          </cell>
          <cell r="G52" t="str">
            <v>Switzerland</v>
          </cell>
          <cell r="H52" t="str">
            <v>A- /  / A+</v>
          </cell>
          <cell r="I52">
            <v>2.4176739385252076E-2</v>
          </cell>
          <cell r="J52">
            <v>3.4184354745585711E-2</v>
          </cell>
          <cell r="K52">
            <v>3.8639505692991738E-2</v>
          </cell>
          <cell r="L52">
            <v>4.0574512570949413E-2</v>
          </cell>
          <cell r="M52">
            <v>4.317325404290135E-2</v>
          </cell>
          <cell r="N52" t="str">
            <v/>
          </cell>
          <cell r="O52">
            <v>4.1120973577425017E-3</v>
          </cell>
          <cell r="P52">
            <v>1.0323210334693748E-2</v>
          </cell>
          <cell r="Q52">
            <v>1.2754109341056948E-2</v>
          </cell>
          <cell r="R52">
            <v>1.5144954202384615E-2</v>
          </cell>
          <cell r="AC52" t="str">
            <v>US902613AH15</v>
          </cell>
          <cell r="AD52" t="str">
            <v>UBS 1.494 08/10/27</v>
          </cell>
          <cell r="AE52">
            <v>46244</v>
          </cell>
          <cell r="AF52">
            <v>4.0564719119086184E-2</v>
          </cell>
          <cell r="AG52">
            <v>-1.9252134260944465E-3</v>
          </cell>
          <cell r="AH52">
            <v>5.2565340000000002E-2</v>
          </cell>
          <cell r="AI52">
            <v>-3.2856300506716035E-3</v>
          </cell>
        </row>
        <row r="53">
          <cell r="E53" t="str">
            <v>UBS Group AG</v>
          </cell>
          <cell r="F53" t="str">
            <v>Holdco Subord.</v>
          </cell>
          <cell r="G53" t="str">
            <v>Switzerland</v>
          </cell>
          <cell r="H53" t="str">
            <v/>
          </cell>
          <cell r="I53">
            <v>2.6054682940689529E-2</v>
          </cell>
          <cell r="J53">
            <v>3.7977384602158187E-2</v>
          </cell>
          <cell r="K53">
            <v>4.4496157983263084E-2</v>
          </cell>
          <cell r="L53">
            <v>4.6373250574004724E-2</v>
          </cell>
          <cell r="M53">
            <v>4.8424486884010506E-2</v>
          </cell>
          <cell r="N53" t="str">
            <v/>
          </cell>
          <cell r="O53">
            <v>7.9102172093063246E-3</v>
          </cell>
          <cell r="P53">
            <v>1.6199213334151676E-2</v>
          </cell>
          <cell r="Q53">
            <v>1.8582627222914639E-2</v>
          </cell>
          <cell r="R53">
            <v>2.0433367992205121E-2</v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</row>
        <row r="54">
          <cell r="E54" t="str">
            <v xml:space="preserve">                                          UK</v>
          </cell>
        </row>
        <row r="55">
          <cell r="E55" t="str">
            <v>BARCLAYS BANK PLC</v>
          </cell>
          <cell r="F55" t="str">
            <v>Opco Senior</v>
          </cell>
          <cell r="G55" t="str">
            <v>UK</v>
          </cell>
          <cell r="H55" t="str">
            <v/>
          </cell>
          <cell r="I55">
            <v>2.6844168096761427E-2</v>
          </cell>
          <cell r="J55">
            <v>3.6975597234754451E-2</v>
          </cell>
          <cell r="K55">
            <v>4.0962574856016384E-2</v>
          </cell>
          <cell r="L55">
            <v>4.2509684565256937E-2</v>
          </cell>
          <cell r="M55">
            <v>4.4473879044581333E-2</v>
          </cell>
          <cell r="N55" t="str">
            <v/>
          </cell>
          <cell r="O55">
            <v>6.9034694798241108E-3</v>
          </cell>
          <cell r="P55">
            <v>1.2648956451521195E-2</v>
          </cell>
          <cell r="Q55">
            <v>1.4695593677478363E-2</v>
          </cell>
          <cell r="R55">
            <v>1.6451962674573845E-2</v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</row>
        <row r="56">
          <cell r="E56" t="str">
            <v>BARCLAYS BANK PLC</v>
          </cell>
          <cell r="F56" t="str">
            <v>Opco Subord.</v>
          </cell>
          <cell r="G56" t="str">
            <v>UK</v>
          </cell>
          <cell r="H56" t="str">
            <v>BBB- / Baa2 *+ / BBB+</v>
          </cell>
          <cell r="I56">
            <v>2.8722164389161607E-2</v>
          </cell>
          <cell r="J56">
            <v>4.0225728189457945E-2</v>
          </cell>
          <cell r="K56">
            <v>4.5397064232136554E-2</v>
          </cell>
          <cell r="L56">
            <v>4.7127631330122981E-2</v>
          </cell>
          <cell r="M56">
            <v>4.9698969030704573E-2</v>
          </cell>
          <cell r="N56" t="str">
            <v/>
          </cell>
          <cell r="O56">
            <v>1.0158853316235552E-2</v>
          </cell>
          <cell r="P56">
            <v>1.710015357242501E-2</v>
          </cell>
          <cell r="Q56">
            <v>1.9338446603882387E-2</v>
          </cell>
          <cell r="R56">
            <v>2.1716259048362992E-2</v>
          </cell>
          <cell r="AC56" t="str">
            <v>XS0134886067</v>
          </cell>
          <cell r="AD56" t="str">
            <v>BACR 5 3/4 09/14/26</v>
          </cell>
          <cell r="AE56" t="str">
            <v xml:space="preserve"> </v>
          </cell>
          <cell r="AF56">
            <v>3.5776080866463937E-2</v>
          </cell>
          <cell r="AG56">
            <v>9.6209833656726168E-3</v>
          </cell>
          <cell r="AH56">
            <v>4.6930413454848267E-2</v>
          </cell>
          <cell r="AI56">
            <v>9.1206739921414273E-3</v>
          </cell>
        </row>
        <row r="57">
          <cell r="E57" t="str">
            <v>Barclays PLC</v>
          </cell>
          <cell r="F57" t="str">
            <v>Holdco Senior</v>
          </cell>
          <cell r="G57" t="str">
            <v>UK</v>
          </cell>
          <cell r="H57" t="str">
            <v>BBB / Baa2 *+ / A</v>
          </cell>
          <cell r="I57">
            <v>2.6438846256671311E-2</v>
          </cell>
          <cell r="J57">
            <v>3.6773094747756536E-2</v>
          </cell>
          <cell r="K57">
            <v>4.1359362335613763E-2</v>
          </cell>
          <cell r="L57">
            <v>4.3334802904634137E-2</v>
          </cell>
          <cell r="M57">
            <v>4.6196723738618869E-2</v>
          </cell>
          <cell r="N57" t="str">
            <v/>
          </cell>
          <cell r="O57">
            <v>6.7007949462282272E-3</v>
          </cell>
          <cell r="P57">
            <v>1.30460571503393E-2</v>
          </cell>
          <cell r="Q57">
            <v>1.5523773299745384E-2</v>
          </cell>
          <cell r="R57">
            <v>1.8193819619657055E-2</v>
          </cell>
          <cell r="AC57" t="str">
            <v>US06738EBY05</v>
          </cell>
          <cell r="AD57" t="str">
            <v>BACR 5.501 08/09/28</v>
          </cell>
          <cell r="AE57">
            <v>46608</v>
          </cell>
          <cell r="AF57">
            <v>4.3817212564932408E-2</v>
          </cell>
          <cell r="AG57">
            <v>-2.4578502293186449E-3</v>
          </cell>
          <cell r="AH57">
            <v>5.44281E-2</v>
          </cell>
          <cell r="AI57">
            <v>-2.3591182754148302E-3</v>
          </cell>
        </row>
        <row r="58">
          <cell r="E58" t="str">
            <v>Barclays PLC</v>
          </cell>
          <cell r="F58" t="str">
            <v>Holdco Subord.</v>
          </cell>
          <cell r="G58" t="str">
            <v>UK</v>
          </cell>
          <cell r="H58" t="str">
            <v>BB+ / Baa2 *+ / BBB+</v>
          </cell>
          <cell r="I58">
            <v>2.7399781858542055E-2</v>
          </cell>
          <cell r="J58">
            <v>4.0610541884645891E-2</v>
          </cell>
          <cell r="K58">
            <v>4.744533700842965E-2</v>
          </cell>
          <cell r="L58">
            <v>5.048505055656613E-2</v>
          </cell>
          <cell r="M58">
            <v>5.3239317001864628E-2</v>
          </cell>
          <cell r="N58" t="str">
            <v/>
          </cell>
          <cell r="O58">
            <v>1.0541320687716306E-2</v>
          </cell>
          <cell r="P58">
            <v>1.9145670626000567E-2</v>
          </cell>
          <cell r="Q58">
            <v>2.2698731835842027E-2</v>
          </cell>
          <cell r="R58">
            <v>2.5273076787521838E-2</v>
          </cell>
          <cell r="AC58" t="str">
            <v>US06738EAW57</v>
          </cell>
          <cell r="AD58" t="str">
            <v>BACR 4.836 05/09/28</v>
          </cell>
          <cell r="AE58">
            <v>46514</v>
          </cell>
          <cell r="AF58">
            <v>4.6022710380785474E-2</v>
          </cell>
          <cell r="AG58">
            <v>1.422626627644176E-3</v>
          </cell>
          <cell r="AH58">
            <v>5.6781980000000003E-2</v>
          </cell>
          <cell r="AI58">
            <v>1.3012447075168229E-3</v>
          </cell>
        </row>
        <row r="59">
          <cell r="E59" t="str">
            <v>HSBC BANK PLC</v>
          </cell>
          <cell r="F59" t="str">
            <v>Opco Senior</v>
          </cell>
          <cell r="G59" t="str">
            <v>UK</v>
          </cell>
          <cell r="H59" t="str">
            <v/>
          </cell>
          <cell r="I59">
            <v>2.3185534327380963E-2</v>
          </cell>
          <cell r="J59">
            <v>3.2260655821208968E-2</v>
          </cell>
          <cell r="K59">
            <v>3.5699596960593688E-2</v>
          </cell>
          <cell r="L59">
            <v>3.7034240156819637E-2</v>
          </cell>
          <cell r="M59">
            <v>3.8883233813768903E-2</v>
          </cell>
          <cell r="N59" t="str">
            <v/>
          </cell>
          <cell r="O59">
            <v>2.1878240748173664E-3</v>
          </cell>
          <cell r="P59">
            <v>7.3744257167497242E-3</v>
          </cell>
          <cell r="Q59">
            <v>9.1891274074428191E-3</v>
          </cell>
          <cell r="R59">
            <v>1.0794341367800123E-2</v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</row>
        <row r="60">
          <cell r="E60" t="str">
            <v>HSBC BANK PLC</v>
          </cell>
          <cell r="F60" t="str">
            <v>Opco Subord.</v>
          </cell>
          <cell r="G60" t="str">
            <v>UK</v>
          </cell>
          <cell r="H60" t="str">
            <v/>
          </cell>
          <cell r="I60">
            <v>2.3886454448299607E-2</v>
          </cell>
          <cell r="J60">
            <v>3.3803288592452095E-2</v>
          </cell>
          <cell r="K60">
            <v>3.8225447189140033E-2</v>
          </cell>
          <cell r="L60">
            <v>3.9932136338059282E-2</v>
          </cell>
          <cell r="M60">
            <v>4.2106123120936853E-2</v>
          </cell>
          <cell r="N60" t="str">
            <v/>
          </cell>
          <cell r="O60">
            <v>3.7354280106694634E-3</v>
          </cell>
          <cell r="P60">
            <v>9.9183601887474111E-3</v>
          </cell>
          <cell r="Q60">
            <v>1.2118562038112074E-2</v>
          </cell>
          <cell r="R60">
            <v>1.4064129491956796E-2</v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  <cell r="AH60" t="str">
            <v/>
          </cell>
          <cell r="AI60" t="str">
            <v/>
          </cell>
        </row>
        <row r="61">
          <cell r="E61" t="str">
            <v>HSBC HOLDINGS plc</v>
          </cell>
          <cell r="F61" t="str">
            <v>Holdco Senior</v>
          </cell>
          <cell r="G61" t="str">
            <v>UK</v>
          </cell>
          <cell r="H61" t="str">
            <v>A- / A3 / A+</v>
          </cell>
          <cell r="I61">
            <v>2.4223146101213421E-2</v>
          </cell>
          <cell r="J61">
            <v>3.4340994305172561E-2</v>
          </cell>
          <cell r="K61">
            <v>3.8946715114537421E-2</v>
          </cell>
          <cell r="L61">
            <v>4.0946744848112462E-2</v>
          </cell>
          <cell r="M61">
            <v>4.3641869742653036E-2</v>
          </cell>
          <cell r="N61" t="str">
            <v/>
          </cell>
          <cell r="O61">
            <v>4.2686879119194984E-3</v>
          </cell>
          <cell r="P61">
            <v>1.0631030958909368E-2</v>
          </cell>
          <cell r="Q61">
            <v>1.3128099641050979E-2</v>
          </cell>
          <cell r="R61">
            <v>1.5618555879084117E-2</v>
          </cell>
          <cell r="AC61" t="str">
            <v>US404280BT50</v>
          </cell>
          <cell r="AD61" t="str">
            <v>HSBC 4.583 06/19/29</v>
          </cell>
          <cell r="AE61">
            <v>46923</v>
          </cell>
          <cell r="AF61">
            <v>4.3282113651666523E-2</v>
          </cell>
          <cell r="AG61">
            <v>-4.3353985371291023E-3</v>
          </cell>
          <cell r="AH61">
            <v>5.3911939999999998E-2</v>
          </cell>
          <cell r="AI61">
            <v>-4.3225501708613126E-3</v>
          </cell>
        </row>
        <row r="62">
          <cell r="E62" t="str">
            <v>HSBC HOLDINGS plc</v>
          </cell>
          <cell r="F62" t="str">
            <v>Holdco Subord.</v>
          </cell>
          <cell r="G62" t="str">
            <v>UK</v>
          </cell>
          <cell r="H62" t="str">
            <v>BBB / Baa1 / A-</v>
          </cell>
          <cell r="I62">
            <v>2.5037460132623712E-2</v>
          </cell>
          <cell r="J62">
            <v>3.6853235676360042E-2</v>
          </cell>
          <cell r="K62">
            <v>4.2836677133926034E-2</v>
          </cell>
          <cell r="L62">
            <v>4.5535995432369962E-2</v>
          </cell>
          <cell r="M62">
            <v>4.8268602361044285E-2</v>
          </cell>
          <cell r="N62" t="str">
            <v/>
          </cell>
          <cell r="O62">
            <v>6.7857711878484949E-3</v>
          </cell>
          <cell r="P62">
            <v>1.4538627147722909E-2</v>
          </cell>
          <cell r="Q62">
            <v>1.7746950742676813E-2</v>
          </cell>
          <cell r="R62">
            <v>2.0282643338276035E-2</v>
          </cell>
          <cell r="AC62" t="str">
            <v>XS1428953407</v>
          </cell>
          <cell r="AD62" t="str">
            <v>HSBC 3 1/8 06/07/28</v>
          </cell>
          <cell r="AE62" t="str">
            <v xml:space="preserve"> </v>
          </cell>
          <cell r="AF62">
            <v>4.1622680000000002E-2</v>
          </cell>
          <cell r="AG62">
            <v>1.2139971339260314E-3</v>
          </cell>
          <cell r="AH62">
            <v>5.1454520387033326E-2</v>
          </cell>
          <cell r="AI62">
            <v>1.9734080731288045E-3</v>
          </cell>
        </row>
        <row r="63">
          <cell r="E63" t="str">
            <v>NATWEST MARKETS PLC</v>
          </cell>
          <cell r="F63" t="str">
            <v>Opco Senior</v>
          </cell>
          <cell r="G63" t="str">
            <v>UK</v>
          </cell>
          <cell r="H63" t="str">
            <v>A- / A1 / A+</v>
          </cell>
          <cell r="I63">
            <v>2.5001299289273273E-2</v>
          </cell>
          <cell r="J63">
            <v>3.5486742527843791E-2</v>
          </cell>
          <cell r="K63">
            <v>3.9878307449608942E-2</v>
          </cell>
          <cell r="L63">
            <v>4.1622799301597013E-2</v>
          </cell>
          <cell r="M63">
            <v>4.3641512514283443E-2</v>
          </cell>
          <cell r="N63" t="str">
            <v/>
          </cell>
          <cell r="O63">
            <v>5.4140179448372364E-3</v>
          </cell>
          <cell r="P63">
            <v>1.1562931569841926E-2</v>
          </cell>
          <cell r="Q63">
            <v>1.3805267280837171E-2</v>
          </cell>
          <cell r="R63">
            <v>1.5612749156420186E-2</v>
          </cell>
          <cell r="AC63" t="str">
            <v>XS2449911143</v>
          </cell>
          <cell r="AD63" t="str">
            <v>NWG 1 3/8 03/02/27</v>
          </cell>
          <cell r="AE63" t="str">
            <v xml:space="preserve"> </v>
          </cell>
          <cell r="AF63">
            <v>3.8833909999999999E-2</v>
          </cell>
          <cell r="AG63">
            <v>1.0443974496089428E-3</v>
          </cell>
          <cell r="AH63">
            <v>4.9010174182638554E-2</v>
          </cell>
          <cell r="AI63">
            <v>1.54115826479434E-3</v>
          </cell>
        </row>
        <row r="64">
          <cell r="E64" t="str">
            <v>NatWest Group plc</v>
          </cell>
          <cell r="F64" t="str">
            <v>Holdco Senior</v>
          </cell>
          <cell r="G64" t="str">
            <v>UK</v>
          </cell>
          <cell r="H64" t="str">
            <v>A- / A1 / A+</v>
          </cell>
          <cell r="I64">
            <v>2.4938973379711037E-2</v>
          </cell>
          <cell r="J64">
            <v>3.550273488521298E-2</v>
          </cell>
          <cell r="K64">
            <v>4.0386860796378057E-2</v>
          </cell>
          <cell r="L64">
            <v>4.23928062773887E-2</v>
          </cell>
          <cell r="M64">
            <v>4.5003516094993944E-2</v>
          </cell>
          <cell r="N64" t="str">
            <v/>
          </cell>
          <cell r="O64">
            <v>5.4300662500574113E-3</v>
          </cell>
          <cell r="P64">
            <v>1.2072679303431134E-2</v>
          </cell>
          <cell r="Q64">
            <v>1.4578716023032668E-2</v>
          </cell>
          <cell r="R64">
            <v>1.6990159191651834E-2</v>
          </cell>
          <cell r="AC64" t="str">
            <v>XS2449911143</v>
          </cell>
          <cell r="AD64" t="str">
            <v>NWG 1 3/8 03/02/27</v>
          </cell>
          <cell r="AE64" t="str">
            <v xml:space="preserve"> </v>
          </cell>
          <cell r="AF64">
            <v>3.8833909999999999E-2</v>
          </cell>
          <cell r="AG64">
            <v>1.5529507963780581E-3</v>
          </cell>
          <cell r="AH64">
            <v>4.9010174182638554E-2</v>
          </cell>
          <cell r="AI64">
            <v>2.0453010587575052E-3</v>
          </cell>
        </row>
        <row r="65">
          <cell r="E65" t="str">
            <v>NatWest Group plc</v>
          </cell>
          <cell r="F65" t="str">
            <v>Holdco Subord.</v>
          </cell>
          <cell r="G65" t="str">
            <v>UK</v>
          </cell>
          <cell r="H65" t="str">
            <v/>
          </cell>
          <cell r="I65">
            <v>2.6200618438738645E-2</v>
          </cell>
          <cell r="J65">
            <v>3.9476349804819469E-2</v>
          </cell>
          <cell r="K65">
            <v>4.6365257414295868E-2</v>
          </cell>
          <cell r="L65">
            <v>4.9373487625550633E-2</v>
          </cell>
          <cell r="M65">
            <v>5.1801142381355941E-2</v>
          </cell>
          <cell r="N65" t="str">
            <v/>
          </cell>
          <cell r="O65">
            <v>9.407867551260593E-3</v>
          </cell>
          <cell r="P65">
            <v>1.8065358508870085E-2</v>
          </cell>
          <cell r="Q65">
            <v>2.1586525698340145E-2</v>
          </cell>
          <cell r="R65">
            <v>2.3828330849205617E-2</v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  <cell r="AH65" t="str">
            <v/>
          </cell>
          <cell r="AI65" t="str">
            <v/>
          </cell>
        </row>
        <row r="66">
          <cell r="E66" t="str">
            <v>STANDARD CHARTERED BANK</v>
          </cell>
          <cell r="F66" t="str">
            <v>Opco Senior</v>
          </cell>
          <cell r="G66" t="str">
            <v>UK</v>
          </cell>
          <cell r="H66" t="str">
            <v/>
          </cell>
          <cell r="I66">
            <v>2.2812254796679067E-2</v>
          </cell>
          <cell r="J66">
            <v>3.2001465206702578E-2</v>
          </cell>
          <cell r="K66">
            <v>3.5495201707949973E-2</v>
          </cell>
          <cell r="L66">
            <v>3.6820584980846352E-2</v>
          </cell>
          <cell r="M66">
            <v>3.8613688820748296E-2</v>
          </cell>
          <cell r="N66" t="str">
            <v/>
          </cell>
          <cell r="O66">
            <v>1.9282563152739113E-3</v>
          </cell>
          <cell r="P66">
            <v>7.1687775318860902E-3</v>
          </cell>
          <cell r="Q66">
            <v>8.9731019436731993E-3</v>
          </cell>
          <cell r="R66">
            <v>1.0519769827384756E-2</v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 t="str">
            <v/>
          </cell>
          <cell r="AH66" t="str">
            <v/>
          </cell>
          <cell r="AI66" t="str">
            <v/>
          </cell>
        </row>
        <row r="67">
          <cell r="E67" t="str">
            <v>STANDARD CHARTERED BANK</v>
          </cell>
          <cell r="F67" t="str">
            <v>Opco Subord.</v>
          </cell>
          <cell r="G67" t="str">
            <v>UK</v>
          </cell>
          <cell r="H67" t="str">
            <v/>
          </cell>
          <cell r="I67">
            <v>2.4380738987162039E-2</v>
          </cell>
          <cell r="J67">
            <v>3.4325902132153377E-2</v>
          </cell>
          <cell r="K67">
            <v>3.8430775070709598E-2</v>
          </cell>
          <cell r="L67">
            <v>3.9985616912942036E-2</v>
          </cell>
          <cell r="M67">
            <v>4.1930679300340154E-2</v>
          </cell>
          <cell r="N67" t="str">
            <v/>
          </cell>
          <cell r="O67">
            <v>4.2584533533251128E-3</v>
          </cell>
          <cell r="P67">
            <v>1.012391483369353E-2</v>
          </cell>
          <cell r="Q67">
            <v>1.217184815902304E-2</v>
          </cell>
          <cell r="R67">
            <v>1.3884930366905641E-2</v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</row>
        <row r="68">
          <cell r="E68" t="str">
            <v>STANDARD CHARTERED PLC</v>
          </cell>
          <cell r="F68" t="str">
            <v>Holdco Senior</v>
          </cell>
          <cell r="G68" t="str">
            <v>UK</v>
          </cell>
          <cell r="H68" t="str">
            <v>BBB+ / A3 / A</v>
          </cell>
          <cell r="I68">
            <v>2.4178332991763779E-2</v>
          </cell>
          <cell r="J68">
            <v>3.4495054967671662E-2</v>
          </cell>
          <cell r="K68">
            <v>3.9152478693883087E-2</v>
          </cell>
          <cell r="L68">
            <v>4.1138678772982516E-2</v>
          </cell>
          <cell r="M68">
            <v>4.4100686063814454E-2</v>
          </cell>
          <cell r="N68" t="str">
            <v/>
          </cell>
          <cell r="O68">
            <v>4.4225298809003905E-3</v>
          </cell>
          <cell r="P68">
            <v>1.0836862656907221E-2</v>
          </cell>
          <cell r="Q68">
            <v>1.3320479055817959E-2</v>
          </cell>
          <cell r="R68">
            <v>1.6082690330922723E-2</v>
          </cell>
          <cell r="AC68" t="str">
            <v>XS2283175516</v>
          </cell>
          <cell r="AD68" t="str">
            <v>STANLN 1.456 01/14/27</v>
          </cell>
          <cell r="AE68">
            <v>46036</v>
          </cell>
          <cell r="AF68">
            <v>4.1931491612619422E-2</v>
          </cell>
          <cell r="AG68">
            <v>-2.7790129187363344E-3</v>
          </cell>
          <cell r="AH68">
            <v>5.4717140000000004E-2</v>
          </cell>
          <cell r="AI68">
            <v>-4.9193485630828135E-3</v>
          </cell>
        </row>
        <row r="69">
          <cell r="E69" t="str">
            <v>STANDARD CHARTERED PLC</v>
          </cell>
          <cell r="F69" t="str">
            <v>Holdco Subord.</v>
          </cell>
          <cell r="G69" t="str">
            <v>UK</v>
          </cell>
          <cell r="H69" t="str">
            <v>BBB- / Baa2 / BBB+</v>
          </cell>
          <cell r="I69">
            <v>2.5681297822314233E-2</v>
          </cell>
          <cell r="J69">
            <v>3.7872621998628911E-2</v>
          </cell>
          <cell r="K69">
            <v>4.4346460000413292E-2</v>
          </cell>
          <cell r="L69">
            <v>4.7022096008613887E-2</v>
          </cell>
          <cell r="M69">
            <v>4.9399712222999236E-2</v>
          </cell>
          <cell r="N69" t="str">
            <v/>
          </cell>
          <cell r="O69">
            <v>7.8052142984187459E-3</v>
          </cell>
          <cell r="P69">
            <v>1.6049516978385144E-2</v>
          </cell>
          <cell r="Q69">
            <v>1.9234892883988441E-2</v>
          </cell>
          <cell r="R69">
            <v>2.1417615918678919E-2</v>
          </cell>
          <cell r="AC69" t="str">
            <v>XS1480699641</v>
          </cell>
          <cell r="AD69" t="str">
            <v>STANLN 4.3 02/19/27</v>
          </cell>
          <cell r="AE69" t="str">
            <v xml:space="preserve"> </v>
          </cell>
          <cell r="AF69">
            <v>3.48362946167802E-2</v>
          </cell>
          <cell r="AG69">
            <v>9.5101653836330916E-3</v>
          </cell>
          <cell r="AH69">
            <v>4.5657379999999997E-2</v>
          </cell>
          <cell r="AI69">
            <v>9.2894877187345293E-3</v>
          </cell>
        </row>
        <row r="70">
          <cell r="E70" t="str">
            <v>LLOYDS BANK PLC</v>
          </cell>
          <cell r="F70" t="str">
            <v>Opco Senior</v>
          </cell>
          <cell r="G70" t="str">
            <v>UK</v>
          </cell>
          <cell r="H70" t="str">
            <v/>
          </cell>
          <cell r="I70">
            <v>2.3469696425836937E-2</v>
          </cell>
          <cell r="J70">
            <v>3.2694862653662615E-2</v>
          </cell>
          <cell r="K70">
            <v>3.6370162989135896E-2</v>
          </cell>
          <cell r="L70">
            <v>3.7773818701407329E-2</v>
          </cell>
          <cell r="M70">
            <v>3.9621709384145179E-2</v>
          </cell>
          <cell r="N70" t="str">
            <v/>
          </cell>
          <cell r="O70">
            <v>2.6224638787729041E-3</v>
          </cell>
          <cell r="P70">
            <v>8.0476320970575017E-3</v>
          </cell>
          <cell r="Q70">
            <v>9.9349399087154192E-3</v>
          </cell>
          <cell r="R70">
            <v>1.154445589904575E-2</v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 t="str">
            <v/>
          </cell>
          <cell r="AH70" t="str">
            <v/>
          </cell>
          <cell r="AI70" t="str">
            <v/>
          </cell>
        </row>
        <row r="71">
          <cell r="E71" t="str">
            <v>LLOYDS BANK PLC</v>
          </cell>
          <cell r="F71" t="str">
            <v>Opco Subord.</v>
          </cell>
          <cell r="G71" t="str">
            <v>UK</v>
          </cell>
          <cell r="H71" t="str">
            <v>BBB / Baa1 / BBB+</v>
          </cell>
          <cell r="I71">
            <v>2.5178787387840969E-2</v>
          </cell>
          <cell r="J71">
            <v>3.5586346837112558E-2</v>
          </cell>
          <cell r="K71">
            <v>4.0254775449722807E-2</v>
          </cell>
          <cell r="L71">
            <v>4.2097675861902391E-2</v>
          </cell>
          <cell r="M71">
            <v>4.4393714113356561E-2</v>
          </cell>
          <cell r="N71" t="str">
            <v/>
          </cell>
          <cell r="O71">
            <v>5.5198034751380888E-3</v>
          </cell>
          <cell r="P71">
            <v>1.1953474247432443E-2</v>
          </cell>
          <cell r="Q71">
            <v>1.4296546527046268E-2</v>
          </cell>
          <cell r="R71">
            <v>1.6376222667736084E-2</v>
          </cell>
          <cell r="AC71" t="str">
            <v>XS0503834821</v>
          </cell>
          <cell r="AD71" t="str">
            <v>LLOYDS 7 5/8 04/22/25</v>
          </cell>
          <cell r="AE71" t="str">
            <v xml:space="preserve"> </v>
          </cell>
          <cell r="AF71">
            <v>3.2169166971311593E-2</v>
          </cell>
          <cell r="AG71">
            <v>8.0856084784112145E-3</v>
          </cell>
          <cell r="AH71">
            <v>4.578620995155562E-2</v>
          </cell>
          <cell r="AI71">
            <v>5.057712160656487E-3</v>
          </cell>
        </row>
        <row r="72">
          <cell r="E72" t="str">
            <v>LLOYDS BANKING GROUP PLC</v>
          </cell>
          <cell r="F72" t="str">
            <v>Holdco Senior</v>
          </cell>
          <cell r="G72" t="str">
            <v>UK</v>
          </cell>
          <cell r="H72" t="str">
            <v>BBB+ / A3 / A</v>
          </cell>
          <cell r="I72">
            <v>2.4628248655264931E-2</v>
          </cell>
          <cell r="J72">
            <v>3.4838243094044014E-2</v>
          </cell>
          <cell r="K72">
            <v>3.9358446672761178E-2</v>
          </cell>
          <cell r="L72">
            <v>4.1325131513023645E-2</v>
          </cell>
          <cell r="M72">
            <v>4.3933181894752336E-2</v>
          </cell>
          <cell r="N72" t="str">
            <v/>
          </cell>
          <cell r="O72">
            <v>4.7658575478573238E-3</v>
          </cell>
          <cell r="P72">
            <v>1.1043393542341405E-2</v>
          </cell>
          <cell r="Q72">
            <v>1.3507915451909295E-2</v>
          </cell>
          <cell r="R72">
            <v>1.5911952107350965E-2</v>
          </cell>
          <cell r="AC72" t="str">
            <v>US539439AQ24</v>
          </cell>
          <cell r="AD72" t="str">
            <v>LLOYDS 3.574 11/07/28</v>
          </cell>
          <cell r="AE72">
            <v>46698</v>
          </cell>
          <cell r="AF72">
            <v>4.12041349817171E-2</v>
          </cell>
          <cell r="AG72">
            <v>-1.8456883089559215E-3</v>
          </cell>
          <cell r="AH72">
            <v>5.209109E-2</v>
          </cell>
          <cell r="AI72">
            <v>-2.0783402555265909E-3</v>
          </cell>
        </row>
        <row r="73">
          <cell r="E73" t="str">
            <v>LLOYDS BANKING GROUP PLC</v>
          </cell>
          <cell r="F73" t="str">
            <v>Holdco Subord.</v>
          </cell>
          <cell r="G73" t="str">
            <v>UK</v>
          </cell>
          <cell r="H73" t="str">
            <v/>
          </cell>
          <cell r="I73">
            <v>2.5761917301814943E-2</v>
          </cell>
          <cell r="J73">
            <v>3.8583695392301054E-2</v>
          </cell>
          <cell r="K73">
            <v>4.5376945345379047E-2</v>
          </cell>
          <cell r="L73">
            <v>4.8136940375314005E-2</v>
          </cell>
          <cell r="M73">
            <v>5.0707931490293956E-2</v>
          </cell>
          <cell r="N73" t="str">
            <v/>
          </cell>
          <cell r="O73">
            <v>8.5158563431877304E-3</v>
          </cell>
          <cell r="P73">
            <v>1.7079029739915975E-2</v>
          </cell>
          <cell r="Q73">
            <v>2.0349892005610423E-2</v>
          </cell>
          <cell r="R73">
            <v>2.273193194493545E-2</v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 t="str">
            <v/>
          </cell>
          <cell r="AH73" t="str">
            <v/>
          </cell>
          <cell r="AI73" t="str">
            <v/>
          </cell>
        </row>
        <row r="74">
          <cell r="E74" t="str">
            <v xml:space="preserve">                                          US</v>
          </cell>
        </row>
        <row r="75">
          <cell r="E75" t="str">
            <v>Bank of America Corporation</v>
          </cell>
          <cell r="F75" t="str">
            <v>Sr Unsecured</v>
          </cell>
          <cell r="G75" t="str">
            <v>US</v>
          </cell>
          <cell r="H75" t="str">
            <v>A- / A2 *+ / AA-</v>
          </cell>
          <cell r="I75">
            <v>2.2806655115087823E-2</v>
          </cell>
          <cell r="J75">
            <v>3.1752641710430712E-2</v>
          </cell>
          <cell r="K75">
            <v>3.5366331307484962E-2</v>
          </cell>
          <cell r="L75">
            <v>3.7195155724827622E-2</v>
          </cell>
          <cell r="M75">
            <v>3.9372673990751027E-2</v>
          </cell>
          <cell r="N75" t="str">
            <v/>
          </cell>
          <cell r="O75">
            <v>1.6801023941658963E-3</v>
          </cell>
          <cell r="P75">
            <v>7.0425667494201857E-3</v>
          </cell>
          <cell r="Q75">
            <v>9.357754157101203E-3</v>
          </cell>
          <cell r="R75">
            <v>1.1303073726488699E-2</v>
          </cell>
          <cell r="AC75" t="str">
            <v>US06051GHD43</v>
          </cell>
          <cell r="AD75" t="str">
            <v>BAC 3.419 12/20/28</v>
          </cell>
          <cell r="AE75">
            <v>46741</v>
          </cell>
          <cell r="AF75">
            <v>3.8657656469336769E-2</v>
          </cell>
          <cell r="AG75">
            <v>-3.2913251618518075E-3</v>
          </cell>
          <cell r="AH75">
            <v>4.9302469999999994E-2</v>
          </cell>
          <cell r="AI75">
            <v>-2.3366786799425623E-3</v>
          </cell>
        </row>
        <row r="76">
          <cell r="E76" t="str">
            <v>Citigroup Inc.</v>
          </cell>
          <cell r="F76" t="str">
            <v>Sr Unsecured</v>
          </cell>
          <cell r="G76" t="str">
            <v>US</v>
          </cell>
          <cell r="H76" t="str">
            <v>BBB+ / A3 / A</v>
          </cell>
          <cell r="I76">
            <v>2.2913834409154139E-2</v>
          </cell>
          <cell r="J76">
            <v>3.2190949442817876E-2</v>
          </cell>
          <cell r="K76">
            <v>3.5881448795909536E-2</v>
          </cell>
          <cell r="L76">
            <v>3.8272893383553087E-2</v>
          </cell>
          <cell r="M76">
            <v>4.0336998540793985E-2</v>
          </cell>
          <cell r="N76" t="str">
            <v/>
          </cell>
          <cell r="O76">
            <v>2.1184615072724648E-3</v>
          </cell>
          <cell r="P76">
            <v>7.559475382766332E-3</v>
          </cell>
          <cell r="Q76">
            <v>1.0445003741566788E-2</v>
          </cell>
          <cell r="R76">
            <v>1.228162892114789E-2</v>
          </cell>
          <cell r="AC76" t="str">
            <v>US172967NA50</v>
          </cell>
          <cell r="AD76" t="str">
            <v>C 1.462 06/09/27</v>
          </cell>
          <cell r="AE76">
            <v>46182</v>
          </cell>
          <cell r="AF76">
            <v>3.9003005930441141E-2</v>
          </cell>
          <cell r="AG76">
            <v>-3.1215571345316051E-3</v>
          </cell>
          <cell r="AH76">
            <v>5.1051200000000005E-2</v>
          </cell>
          <cell r="AI76">
            <v>-3.5612359045587155E-3</v>
          </cell>
        </row>
        <row r="77">
          <cell r="E77" t="str">
            <v>The Goldman Sachs Group, Inc.</v>
          </cell>
          <cell r="F77" t="str">
            <v>Sr Unsecured</v>
          </cell>
          <cell r="G77" t="str">
            <v>US</v>
          </cell>
          <cell r="H77" t="str">
            <v>BBB+ / A2 / A</v>
          </cell>
          <cell r="I77">
            <v>2.4467575998945619E-2</v>
          </cell>
          <cell r="J77">
            <v>3.4541031470961311E-2</v>
          </cell>
          <cell r="K77">
            <v>3.9238491013751757E-2</v>
          </cell>
          <cell r="L77">
            <v>4.0877670331443856E-2</v>
          </cell>
          <cell r="M77">
            <v>4.3028020637369331E-2</v>
          </cell>
          <cell r="N77" t="str">
            <v/>
          </cell>
          <cell r="O77">
            <v>4.4687939411217166E-3</v>
          </cell>
          <cell r="P77">
            <v>1.092400757557231E-2</v>
          </cell>
          <cell r="Q77">
            <v>1.305908772943897E-2</v>
          </cell>
          <cell r="R77">
            <v>1.4999006497879441E-2</v>
          </cell>
          <cell r="AC77" t="str">
            <v>US38141GYM04</v>
          </cell>
          <cell r="AD77" t="str">
            <v>GS 1.948 10/21/27</v>
          </cell>
          <cell r="AE77">
            <v>46316</v>
          </cell>
          <cell r="AF77">
            <v>4.0262668868547152E-2</v>
          </cell>
          <cell r="AG77">
            <v>-1.0241778547953953E-3</v>
          </cell>
          <cell r="AH77">
            <v>5.1986070000000002E-2</v>
          </cell>
          <cell r="AI77">
            <v>-1.0834137992632928E-3</v>
          </cell>
        </row>
        <row r="78">
          <cell r="E78" t="str">
            <v>JPMorgan Chase &amp; Co.</v>
          </cell>
          <cell r="F78" t="str">
            <v>Sr Unsecured</v>
          </cell>
          <cell r="G78" t="str">
            <v>US</v>
          </cell>
          <cell r="H78" t="str">
            <v>A- / A1 / AA-</v>
          </cell>
          <cell r="I78">
            <v>2.3108880477547371E-2</v>
          </cell>
          <cell r="J78">
            <v>3.2227943598186579E-2</v>
          </cell>
          <cell r="K78">
            <v>3.5257790325368285E-2</v>
          </cell>
          <cell r="L78">
            <v>3.7370854236734898E-2</v>
          </cell>
          <cell r="M78">
            <v>3.9177441330969807E-2</v>
          </cell>
          <cell r="N78" t="str">
            <v/>
          </cell>
          <cell r="O78">
            <v>2.155659880985272E-3</v>
          </cell>
          <cell r="P78">
            <v>6.9320535334796724E-3</v>
          </cell>
          <cell r="Q78">
            <v>9.5353159468735665E-3</v>
          </cell>
          <cell r="R78">
            <v>1.1103184433712327E-2</v>
          </cell>
          <cell r="AC78" t="str">
            <v>US46647PDG81</v>
          </cell>
          <cell r="AD78" t="str">
            <v>JPM 4.851 07/25/28</v>
          </cell>
          <cell r="AE78">
            <v>46593</v>
          </cell>
          <cell r="AF78">
            <v>3.8145176832118488E-2</v>
          </cell>
          <cell r="AG78">
            <v>-2.887386506750203E-3</v>
          </cell>
          <cell r="AH78">
            <v>4.8735809999999997E-2</v>
          </cell>
          <cell r="AI78">
            <v>-1.8636968905346787E-3</v>
          </cell>
        </row>
        <row r="79">
          <cell r="E79" t="str">
            <v>Morgan Stanley</v>
          </cell>
          <cell r="F79" t="str">
            <v>Sr Unsecured</v>
          </cell>
          <cell r="G79" t="str">
            <v>US</v>
          </cell>
          <cell r="H79" t="str">
            <v>A- / A1 / A+</v>
          </cell>
          <cell r="I79">
            <v>2.4137432416320149E-2</v>
          </cell>
          <cell r="J79">
            <v>3.4344736002279337E-2</v>
          </cell>
          <cell r="K79">
            <v>3.8790465543231088E-2</v>
          </cell>
          <cell r="L79">
            <v>4.0295954959245567E-2</v>
          </cell>
          <cell r="M79">
            <v>4.2583037069322462E-2</v>
          </cell>
          <cell r="N79" t="str">
            <v/>
          </cell>
          <cell r="O79">
            <v>4.2723550506956701E-3</v>
          </cell>
          <cell r="P79">
            <v>1.0474887614998618E-2</v>
          </cell>
          <cell r="Q79">
            <v>1.2474179253717899E-2</v>
          </cell>
          <cell r="R79">
            <v>1.4549870519822854E-2</v>
          </cell>
          <cell r="AC79" t="str">
            <v>US61747YER27</v>
          </cell>
          <cell r="AD79" t="str">
            <v>MS 4.21 04/20/28</v>
          </cell>
          <cell r="AE79">
            <v>46497</v>
          </cell>
          <cell r="AF79">
            <v>3.9199644710084018E-2</v>
          </cell>
          <cell r="AG79">
            <v>-4.0917916685292988E-4</v>
          </cell>
          <cell r="AH79">
            <v>5.0084980000000001E-2</v>
          </cell>
          <cell r="AI79">
            <v>3.6185637762500833E-4</v>
          </cell>
        </row>
        <row r="80">
          <cell r="E80" t="str">
            <v>Wells Fargo &amp; Company</v>
          </cell>
          <cell r="F80" t="str">
            <v>Sr Unsecured</v>
          </cell>
          <cell r="G80" t="str">
            <v>US</v>
          </cell>
          <cell r="H80" t="str">
            <v>BBB+ / A1 / A+</v>
          </cell>
          <cell r="I80">
            <v>2.3600583177164507E-2</v>
          </cell>
          <cell r="J80">
            <v>3.294743980929795E-2</v>
          </cell>
          <cell r="K80">
            <v>3.5779418898238616E-2</v>
          </cell>
          <cell r="L80">
            <v>3.8486461106137466E-2</v>
          </cell>
          <cell r="M80">
            <v>4.0351562648614551E-2</v>
          </cell>
          <cell r="N80" t="str">
            <v/>
          </cell>
          <cell r="O80">
            <v>2.8754579482057475E-3</v>
          </cell>
          <cell r="P80">
            <v>7.4548571240691686E-3</v>
          </cell>
          <cell r="Q80">
            <v>1.0660468613406068E-2</v>
          </cell>
          <cell r="R80">
            <v>1.2295453682143746E-2</v>
          </cell>
          <cell r="AC80" t="str">
            <v>US95000U2V48</v>
          </cell>
          <cell r="AD80" t="str">
            <v>WFC 3.526 03/24/28</v>
          </cell>
          <cell r="AE80">
            <v>46470</v>
          </cell>
          <cell r="AF80">
            <v>3.8412895784237969E-2</v>
          </cell>
          <cell r="AG80">
            <v>-2.6334768859993529E-3</v>
          </cell>
          <cell r="AH80">
            <v>4.9356570000000002E-2</v>
          </cell>
          <cell r="AI80">
            <v>-1.9447692225015856E-3</v>
          </cell>
        </row>
        <row r="81">
          <cell r="E81" t="str">
            <v/>
          </cell>
          <cell r="F81" t="str">
            <v/>
          </cell>
          <cell r="H81" t="str">
            <v/>
          </cell>
          <cell r="I81" t="str">
            <v/>
          </cell>
          <cell r="K81" t="str">
            <v/>
          </cell>
          <cell r="M81" t="str">
            <v/>
          </cell>
          <cell r="N81" t="str">
            <v/>
          </cell>
          <cell r="P81" t="str">
            <v/>
          </cell>
          <cell r="R81" t="str">
            <v/>
          </cell>
        </row>
        <row r="82">
          <cell r="E82" t="str">
            <v>DM Insurance</v>
          </cell>
          <cell r="F82" t="str">
            <v/>
          </cell>
          <cell r="H82" t="str">
            <v/>
          </cell>
          <cell r="I82" t="str">
            <v/>
          </cell>
          <cell r="K82" t="str">
            <v/>
          </cell>
          <cell r="M82" t="str">
            <v/>
          </cell>
          <cell r="N82" t="str">
            <v/>
          </cell>
          <cell r="P82" t="str">
            <v/>
          </cell>
          <cell r="R82" t="str">
            <v/>
          </cell>
        </row>
        <row r="83">
          <cell r="E83" t="str">
            <v>Legal Entity / Index</v>
          </cell>
          <cell r="F83" t="str">
            <v>Rank</v>
          </cell>
          <cell r="G83" t="str">
            <v>Country of Risk</v>
          </cell>
          <cell r="H83" t="str">
            <v>Rating (S/M/F)</v>
          </cell>
          <cell r="I83" t="str">
            <v>1Y</v>
          </cell>
          <cell r="J83" t="str">
            <v>3Y</v>
          </cell>
          <cell r="K83" t="str">
            <v>5Y</v>
          </cell>
          <cell r="L83" t="str">
            <v>7Y</v>
          </cell>
          <cell r="M83" t="str">
            <v>10Y</v>
          </cell>
          <cell r="N83" t="str">
            <v>1Y</v>
          </cell>
          <cell r="O83" t="str">
            <v>3Y</v>
          </cell>
          <cell r="P83" t="str">
            <v>5Y</v>
          </cell>
          <cell r="Q83" t="str">
            <v>7Y</v>
          </cell>
          <cell r="R83" t="str">
            <v>10Y</v>
          </cell>
          <cell r="AC83" t="str">
            <v>ISIN</v>
          </cell>
          <cell r="AD83" t="str">
            <v>Benchmark Bond</v>
          </cell>
          <cell r="AE83" t="str">
            <v>Next Call Date</v>
          </cell>
          <cell r="AF83" t="str">
            <v>EUR Yield</v>
          </cell>
          <cell r="AG83" t="str">
            <v>5Y CLN vs benchmark</v>
          </cell>
          <cell r="AH83" t="str">
            <v>USD Yield</v>
          </cell>
          <cell r="AI83" t="str">
            <v>5Y CLN vs benchmark</v>
          </cell>
        </row>
        <row r="84">
          <cell r="E84" t="str">
            <v xml:space="preserve">                                          EUROPE</v>
          </cell>
        </row>
        <row r="85">
          <cell r="E85" t="str">
            <v>Allianz SE</v>
          </cell>
          <cell r="F85" t="str">
            <v>Sr Unsecured</v>
          </cell>
          <cell r="G85" t="str">
            <v>Germany</v>
          </cell>
          <cell r="H85" t="str">
            <v>AA / Aa3 / AA-u</v>
          </cell>
          <cell r="I85">
            <v>2.196500931710238E-2</v>
          </cell>
          <cell r="J85">
            <v>3.0924487122567016E-2</v>
          </cell>
          <cell r="K85">
            <v>3.4306524528947904E-2</v>
          </cell>
          <cell r="L85">
            <v>3.5537846599254644E-2</v>
          </cell>
          <cell r="M85">
            <v>3.7472665171220373E-2</v>
          </cell>
          <cell r="N85" t="str">
            <v/>
          </cell>
          <cell r="O85">
            <v>8.4986007802540084E-4</v>
          </cell>
          <cell r="P85">
            <v>5.9741614277768959E-3</v>
          </cell>
          <cell r="Q85">
            <v>7.6765663465122123E-3</v>
          </cell>
          <cell r="R85">
            <v>9.3585776844667835E-3</v>
          </cell>
          <cell r="AC85" t="str">
            <v>DE000A1HG1K6</v>
          </cell>
          <cell r="AD85" t="str">
            <v>ALVGR 3 03/13/28</v>
          </cell>
          <cell r="AE85" t="str">
            <v xml:space="preserve"> </v>
          </cell>
          <cell r="AF85">
            <v>2.803715E-2</v>
          </cell>
          <cell r="AG85">
            <v>6.269374528947904E-3</v>
          </cell>
          <cell r="AH85">
            <v>3.8018726580866177E-2</v>
          </cell>
          <cell r="AI85">
            <v>6.8544173397380587E-3</v>
          </cell>
        </row>
        <row r="86">
          <cell r="E86" t="str">
            <v>Allianz SE</v>
          </cell>
          <cell r="F86" t="str">
            <v>Subordinated</v>
          </cell>
          <cell r="G86" t="str">
            <v>Germany</v>
          </cell>
          <cell r="H86" t="str">
            <v xml:space="preserve">A+ / A2 / </v>
          </cell>
          <cell r="I86">
            <v>2.3982173869801622E-2</v>
          </cell>
          <cell r="J86">
            <v>3.516883488271777E-2</v>
          </cell>
          <cell r="K86">
            <v>4.0866387663628025E-2</v>
          </cell>
          <cell r="L86">
            <v>4.2998975363929152E-2</v>
          </cell>
          <cell r="M86">
            <v>4.5822209823145096E-2</v>
          </cell>
          <cell r="N86" t="str">
            <v/>
          </cell>
          <cell r="O86">
            <v>5.1010656452852368E-3</v>
          </cell>
          <cell r="P86">
            <v>1.2566092437178124E-2</v>
          </cell>
          <cell r="Q86">
            <v>1.5201493308206466E-2</v>
          </cell>
          <cell r="R86">
            <v>1.7819398933423301E-2</v>
          </cell>
          <cell r="AC86" t="str">
            <v>DE000A30VTT8</v>
          </cell>
          <cell r="AD86" t="str">
            <v>ALVGR 4.597 09/07/38</v>
          </cell>
          <cell r="AE86">
            <v>46911</v>
          </cell>
          <cell r="AF86">
            <v>4.6187289999999999E-2</v>
          </cell>
          <cell r="AG86">
            <v>-5.3209023363719743E-3</v>
          </cell>
          <cell r="AH86">
            <v>5.6485612920591774E-2</v>
          </cell>
          <cell r="AI86">
            <v>-5.0469105106533199E-3</v>
          </cell>
        </row>
        <row r="87">
          <cell r="E87" t="str">
            <v>Aegon N.V.</v>
          </cell>
          <cell r="F87" t="str">
            <v>Sr Unsecured</v>
          </cell>
          <cell r="G87" t="str">
            <v>Netherlands</v>
          </cell>
          <cell r="H87" t="str">
            <v/>
          </cell>
          <cell r="I87">
            <v>2.3068882871734385E-2</v>
          </cell>
          <cell r="J87">
            <v>3.3176561316785737E-2</v>
          </cell>
          <cell r="K87">
            <v>3.7813290540488938E-2</v>
          </cell>
          <cell r="L87">
            <v>3.9863436480023551E-2</v>
          </cell>
          <cell r="M87">
            <v>4.2217063600206342E-2</v>
          </cell>
          <cell r="N87" t="str">
            <v/>
          </cell>
          <cell r="O87">
            <v>3.1036885362312099E-3</v>
          </cell>
          <cell r="P87">
            <v>9.4955979584692637E-3</v>
          </cell>
          <cell r="Q87">
            <v>1.203998457017217E-2</v>
          </cell>
          <cell r="R87">
            <v>1.4178160526221006E-2</v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AH87" t="str">
            <v/>
          </cell>
          <cell r="AI87" t="str">
            <v/>
          </cell>
        </row>
        <row r="88">
          <cell r="E88" t="str">
            <v>Aegon N.V.</v>
          </cell>
          <cell r="F88" t="str">
            <v>Subordinated</v>
          </cell>
          <cell r="G88" t="str">
            <v>Netherlands</v>
          </cell>
          <cell r="H88" t="str">
            <v>BBB- / Baa1 *- / WD</v>
          </cell>
          <cell r="I88">
            <v>2.4929192919994351E-2</v>
          </cell>
          <cell r="J88">
            <v>3.7688541496824018E-2</v>
          </cell>
          <cell r="K88">
            <v>4.4588784563809401E-2</v>
          </cell>
          <cell r="L88">
            <v>4.7757457346186333E-2</v>
          </cell>
          <cell r="M88">
            <v>5.0381667547234756E-2</v>
          </cell>
          <cell r="N88" t="str">
            <v/>
          </cell>
          <cell r="O88">
            <v>7.6204612300503549E-3</v>
          </cell>
          <cell r="P88">
            <v>1.6291534158551408E-2</v>
          </cell>
          <cell r="Q88">
            <v>1.9971874451888808E-2</v>
          </cell>
          <cell r="R88">
            <v>2.2406291139407647E-2</v>
          </cell>
          <cell r="AC88" t="str">
            <v>XS1061711575</v>
          </cell>
          <cell r="AD88" t="str">
            <v>AEGON 4 04/25/44</v>
          </cell>
          <cell r="AE88">
            <v>45407</v>
          </cell>
          <cell r="AF88">
            <v>4.5193529999999996E-2</v>
          </cell>
          <cell r="AG88">
            <v>-6.0474543619059434E-4</v>
          </cell>
          <cell r="AH88">
            <v>6.4485942550532444E-2</v>
          </cell>
          <cell r="AI88">
            <v>-9.3083155970079406E-3</v>
          </cell>
        </row>
        <row r="89">
          <cell r="E89" t="str">
            <v>ASSICURAZIONI GENERALI - SOCIETA PER AZIONI</v>
          </cell>
          <cell r="F89" t="str">
            <v>Sr Unsecured</v>
          </cell>
          <cell r="G89" t="str">
            <v>Italy</v>
          </cell>
          <cell r="H89" t="str">
            <v/>
          </cell>
          <cell r="I89">
            <v>2.491627482098038E-2</v>
          </cell>
          <cell r="J89">
            <v>3.5165541024889641E-2</v>
          </cell>
          <cell r="K89">
            <v>3.9822100738030712E-2</v>
          </cell>
          <cell r="L89">
            <v>4.1682714161575776E-2</v>
          </cell>
          <cell r="M89">
            <v>4.4104925217055113E-2</v>
          </cell>
          <cell r="N89" t="str">
            <v/>
          </cell>
          <cell r="O89">
            <v>5.0933489452103789E-3</v>
          </cell>
          <cell r="P89">
            <v>1.1507359212290916E-2</v>
          </cell>
          <cell r="Q89">
            <v>1.3865948859115454E-2</v>
          </cell>
          <cell r="R89">
            <v>1.6083181497435269E-2</v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AH89" t="str">
            <v/>
          </cell>
          <cell r="AI89" t="str">
            <v/>
          </cell>
        </row>
        <row r="90">
          <cell r="E90" t="str">
            <v>ASSICURAZIONI GENERALI - SOCIETA PER AZIONI</v>
          </cell>
          <cell r="F90" t="str">
            <v>Subordinated</v>
          </cell>
          <cell r="G90" t="str">
            <v>Italy</v>
          </cell>
          <cell r="H90" t="str">
            <v>NR / Baa2 / BBB+</v>
          </cell>
          <cell r="I90">
            <v>2.6038073226218508E-2</v>
          </cell>
          <cell r="J90">
            <v>3.8864341937428257E-2</v>
          </cell>
          <cell r="K90">
            <v>4.5623006277465662E-2</v>
          </cell>
          <cell r="L90">
            <v>4.8713602794528479E-2</v>
          </cell>
          <cell r="M90">
            <v>5.1588525716931857E-2</v>
          </cell>
          <cell r="N90" t="str">
            <v/>
          </cell>
          <cell r="O90">
            <v>8.7962843123233735E-3</v>
          </cell>
          <cell r="P90">
            <v>1.7325267982261791E-2</v>
          </cell>
          <cell r="Q90">
            <v>2.0928177225288721E-2</v>
          </cell>
          <cell r="R90">
            <v>2.3618384992857143E-2</v>
          </cell>
          <cell r="AC90" t="str">
            <v>XS1062900912</v>
          </cell>
          <cell r="AD90" t="str">
            <v>ASSGEN 4 1/8 05/04/26</v>
          </cell>
          <cell r="AE90" t="str">
            <v xml:space="preserve"> </v>
          </cell>
          <cell r="AF90">
            <v>3.4456340000000002E-2</v>
          </cell>
          <cell r="AG90">
            <v>1.116666627746566E-2</v>
          </cell>
          <cell r="AH90">
            <v>4.6106804996405425E-2</v>
          </cell>
          <cell r="AI90">
            <v>1.0125758107054676E-2</v>
          </cell>
        </row>
        <row r="91">
          <cell r="E91" t="str">
            <v>AVIVA PLC</v>
          </cell>
          <cell r="F91" t="str">
            <v>Sr Unsecured</v>
          </cell>
          <cell r="G91" t="str">
            <v>UK</v>
          </cell>
          <cell r="H91" t="str">
            <v xml:space="preserve"> / A2 / A</v>
          </cell>
          <cell r="I91">
            <v>2.3196582023990032E-2</v>
          </cell>
          <cell r="J91">
            <v>3.3156650405160575E-2</v>
          </cell>
          <cell r="K91">
            <v>3.7608026517747237E-2</v>
          </cell>
          <cell r="L91">
            <v>3.9581295254787874E-2</v>
          </cell>
          <cell r="M91">
            <v>4.1894063277954384E-2</v>
          </cell>
          <cell r="N91" t="str">
            <v/>
          </cell>
          <cell r="O91">
            <v>3.0838715933199888E-3</v>
          </cell>
          <cell r="P91">
            <v>9.289717973521773E-3</v>
          </cell>
          <cell r="Q91">
            <v>1.175617721431783E-2</v>
          </cell>
          <cell r="R91">
            <v>1.3851168470569343E-2</v>
          </cell>
          <cell r="AC91" t="str">
            <v>XS1908273219</v>
          </cell>
          <cell r="AD91" t="str">
            <v>AVLN 1 7/8 11/13/27</v>
          </cell>
          <cell r="AE91" t="str">
            <v xml:space="preserve"> </v>
          </cell>
          <cell r="AF91">
            <v>3.4751549999999999E-2</v>
          </cell>
          <cell r="AG91">
            <v>2.8564765177472376E-3</v>
          </cell>
          <cell r="AH91">
            <v>4.4763165406301375E-2</v>
          </cell>
          <cell r="AI91">
            <v>3.4584928455089065E-3</v>
          </cell>
        </row>
        <row r="92">
          <cell r="E92" t="str">
            <v>AVIVA PLC</v>
          </cell>
          <cell r="F92" t="str">
            <v>Subordinated</v>
          </cell>
          <cell r="G92" t="str">
            <v>UK</v>
          </cell>
          <cell r="H92" t="str">
            <v>BBB+ / A3 / BBB+u</v>
          </cell>
          <cell r="I92">
            <v>2.467100942495699E-2</v>
          </cell>
          <cell r="J92">
            <v>3.6726940034199122E-2</v>
          </cell>
          <cell r="K92">
            <v>4.3508847906507837E-2</v>
          </cell>
          <cell r="L92">
            <v>4.6277215276798386E-2</v>
          </cell>
          <cell r="M92">
            <v>4.9735968041643937E-2</v>
          </cell>
          <cell r="N92" t="str">
            <v/>
          </cell>
          <cell r="O92">
            <v>6.6593516354452398E-3</v>
          </cell>
          <cell r="P92">
            <v>1.5212072643617854E-2</v>
          </cell>
          <cell r="Q92">
            <v>1.8489412462897085E-2</v>
          </cell>
          <cell r="R92">
            <v>2.1761076127340975E-2</v>
          </cell>
          <cell r="AC92" t="str">
            <v>XS0138717441</v>
          </cell>
          <cell r="AD92" t="str">
            <v>AVLN 6 1/8 11/14/36</v>
          </cell>
          <cell r="AE92">
            <v>46342</v>
          </cell>
          <cell r="AF92">
            <v>4.413489386803586E-2</v>
          </cell>
          <cell r="AG92">
            <v>-6.2604596152802255E-4</v>
          </cell>
          <cell r="AH92">
            <v>5.5299996370670582E-2</v>
          </cell>
          <cell r="AI92">
            <v>-1.2118840827703217E-3</v>
          </cell>
        </row>
        <row r="93">
          <cell r="E93" t="str">
            <v>AXA</v>
          </cell>
          <cell r="F93" t="str">
            <v>Sr Unsecured</v>
          </cell>
          <cell r="G93" t="str">
            <v>France</v>
          </cell>
          <cell r="H93" t="str">
            <v/>
          </cell>
          <cell r="I93">
            <v>2.3694233741053269E-2</v>
          </cell>
          <cell r="J93">
            <v>3.3148117406442544E-2</v>
          </cell>
          <cell r="K93">
            <v>3.7043385719230319E-2</v>
          </cell>
          <cell r="L93">
            <v>3.8455736997135302E-2</v>
          </cell>
          <cell r="M93">
            <v>4.0575777075471692E-2</v>
          </cell>
          <cell r="N93" t="str">
            <v/>
          </cell>
          <cell r="O93">
            <v>3.0758133219000684E-3</v>
          </cell>
          <cell r="P93">
            <v>8.7234276088932645E-3</v>
          </cell>
          <cell r="Q93">
            <v>1.0621869378313812E-2</v>
          </cell>
          <cell r="R93">
            <v>1.2513475664903809E-2</v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</row>
        <row r="94">
          <cell r="E94" t="str">
            <v>AXA</v>
          </cell>
          <cell r="F94" t="str">
            <v>Subordinated</v>
          </cell>
          <cell r="G94" t="str">
            <v>France</v>
          </cell>
          <cell r="H94" t="str">
            <v/>
          </cell>
          <cell r="I94">
            <v>2.3764310887103245E-2</v>
          </cell>
          <cell r="J94">
            <v>3.4793191623264462E-2</v>
          </cell>
          <cell r="K94">
            <v>4.0511079279854569E-2</v>
          </cell>
          <cell r="L94">
            <v>4.2781441772359118E-2</v>
          </cell>
          <cell r="M94">
            <v>4.5283568096874199E-2</v>
          </cell>
          <cell r="N94" t="str">
            <v/>
          </cell>
          <cell r="O94">
            <v>4.725248939413472E-3</v>
          </cell>
          <cell r="P94">
            <v>1.2210658258903046E-2</v>
          </cell>
          <cell r="Q94">
            <v>1.4983870527410514E-2</v>
          </cell>
          <cell r="R94">
            <v>1.7275799295271663E-2</v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H94" t="str">
            <v/>
          </cell>
          <cell r="AI94" t="str">
            <v/>
          </cell>
        </row>
        <row r="95">
          <cell r="E95" t="str">
            <v>PRUDENTIAL PUBLIC LIMITED COMPANY</v>
          </cell>
          <cell r="F95" t="str">
            <v>Sr Unsecured</v>
          </cell>
          <cell r="G95" t="str">
            <v>UK</v>
          </cell>
          <cell r="H95" t="str">
            <v xml:space="preserve"> /  / A-</v>
          </cell>
          <cell r="I95">
            <v>2.2934353211969408E-2</v>
          </cell>
          <cell r="J95">
            <v>3.2833440097715667E-2</v>
          </cell>
          <cell r="K95">
            <v>3.7299619209344104E-2</v>
          </cell>
          <cell r="L95">
            <v>3.9337254987925493E-2</v>
          </cell>
          <cell r="M95">
            <v>4.2062832702781265E-2</v>
          </cell>
          <cell r="N95" t="str">
            <v/>
          </cell>
          <cell r="O95">
            <v>2.7604664219947985E-3</v>
          </cell>
          <cell r="P95">
            <v>8.9803079406196636E-3</v>
          </cell>
          <cell r="Q95">
            <v>1.151104312680035E-2</v>
          </cell>
          <cell r="R95">
            <v>1.4024410042657788E-2</v>
          </cell>
          <cell r="AC95" t="str">
            <v>XS0096874671</v>
          </cell>
          <cell r="AD95" t="str">
            <v>PRUFIN 5 7/8 05/11/29</v>
          </cell>
          <cell r="AE95" t="str">
            <v xml:space="preserve"> </v>
          </cell>
          <cell r="AF95">
            <v>3.8133372388001893E-2</v>
          </cell>
          <cell r="AG95">
            <v>-8.3375317865778953E-4</v>
          </cell>
          <cell r="AH95">
            <v>4.7932100025994108E-2</v>
          </cell>
          <cell r="AI95">
            <v>-2.5733252777659921E-5</v>
          </cell>
        </row>
        <row r="96">
          <cell r="E96" t="str">
            <v>PRUDENTIAL PUBLIC LIMITED COMPANY</v>
          </cell>
          <cell r="F96" t="str">
            <v>Subordinated</v>
          </cell>
          <cell r="G96" t="str">
            <v>UK</v>
          </cell>
          <cell r="H96" t="str">
            <v xml:space="preserve">A- / A3 / </v>
          </cell>
          <cell r="I96">
            <v>2.4902253104508245E-2</v>
          </cell>
          <cell r="J96">
            <v>3.6694816597348363E-2</v>
          </cell>
          <cell r="K96">
            <v>4.3698702765588994E-2</v>
          </cell>
          <cell r="L96">
            <v>4.5858559742678148E-2</v>
          </cell>
          <cell r="M96">
            <v>4.8547023854307071E-2</v>
          </cell>
          <cell r="N96" t="str">
            <v/>
          </cell>
          <cell r="O96">
            <v>6.6276903508732891E-3</v>
          </cell>
          <cell r="P96">
            <v>1.5402513136261845E-2</v>
          </cell>
          <cell r="Q96">
            <v>1.8068081062470241E-2</v>
          </cell>
          <cell r="R96">
            <v>2.0560717010375471E-2</v>
          </cell>
          <cell r="AC96" t="str">
            <v>XS2403426427</v>
          </cell>
          <cell r="AD96" t="str">
            <v>PRUFIN 2.95 11/03/33</v>
          </cell>
          <cell r="AE96">
            <v>46968</v>
          </cell>
          <cell r="AF96">
            <v>4.3713561743624105E-2</v>
          </cell>
          <cell r="AG96">
            <v>-1.485897803511077E-5</v>
          </cell>
          <cell r="AH96">
            <v>5.4987300000000003E-2</v>
          </cell>
          <cell r="AI96">
            <v>-7.0988826214311851E-4</v>
          </cell>
        </row>
        <row r="97">
          <cell r="E97" t="str">
            <v>Hannover Rueck SE</v>
          </cell>
          <cell r="F97" t="str">
            <v>Sr Unsecured</v>
          </cell>
          <cell r="G97" t="str">
            <v>Germany</v>
          </cell>
          <cell r="H97" t="str">
            <v>AA- /  / A+u</v>
          </cell>
          <cell r="I97">
            <v>2.1997591851063356E-2</v>
          </cell>
          <cell r="J97">
            <v>3.1056532572719828E-2</v>
          </cell>
          <cell r="K97">
            <v>3.4824099538845105E-2</v>
          </cell>
          <cell r="L97">
            <v>3.6163740203048751E-2</v>
          </cell>
          <cell r="M97">
            <v>3.8063154687619102E-2</v>
          </cell>
          <cell r="N97" t="str">
            <v/>
          </cell>
          <cell r="O97">
            <v>9.8229791575309188E-4</v>
          </cell>
          <cell r="P97">
            <v>6.4947579131158072E-3</v>
          </cell>
          <cell r="Q97">
            <v>8.3096544076106723E-3</v>
          </cell>
          <cell r="R97">
            <v>9.960418572429651E-3</v>
          </cell>
          <cell r="AC97" t="str">
            <v>XS1808482746</v>
          </cell>
          <cell r="AD97" t="str">
            <v>HANRUE 1 1/8 04/18/28</v>
          </cell>
          <cell r="AE97">
            <v>46770</v>
          </cell>
          <cell r="AF97">
            <v>3.3434199999999997E-2</v>
          </cell>
          <cell r="AG97">
            <v>1.3898995388451074E-3</v>
          </cell>
          <cell r="AH97">
            <v>4.3149461810627038E-2</v>
          </cell>
          <cell r="AI97">
            <v>2.2423854570550253E-3</v>
          </cell>
        </row>
        <row r="98">
          <cell r="E98" t="str">
            <v>Hannover Rueck SE</v>
          </cell>
          <cell r="F98" t="str">
            <v>Subordinated</v>
          </cell>
          <cell r="G98" t="str">
            <v>Germany</v>
          </cell>
          <cell r="H98" t="str">
            <v xml:space="preserve">A- /  / </v>
          </cell>
          <cell r="I98">
            <v>2.4471748780398594E-2</v>
          </cell>
          <cell r="J98">
            <v>3.5473286703920429E-2</v>
          </cell>
          <cell r="K98">
            <v>4.2131064053205512E-2</v>
          </cell>
          <cell r="L98">
            <v>4.4196678145671388E-2</v>
          </cell>
          <cell r="M98">
            <v>4.6746660344128416E-2</v>
          </cell>
          <cell r="N98" t="str">
            <v/>
          </cell>
          <cell r="O98">
            <v>5.4061098559772475E-3</v>
          </cell>
          <cell r="P98">
            <v>1.383447338051621E-2</v>
          </cell>
          <cell r="Q98">
            <v>1.6403191523438027E-2</v>
          </cell>
          <cell r="R98">
            <v>1.8749380908658929E-2</v>
          </cell>
          <cell r="AC98" t="str">
            <v>XS1729882024</v>
          </cell>
          <cell r="AD98" t="str">
            <v>TALANX 2 1/4 12/05/47</v>
          </cell>
          <cell r="AE98">
            <v>46726</v>
          </cell>
          <cell r="AF98">
            <v>5.0341110000000001E-2</v>
          </cell>
          <cell r="AG98">
            <v>-8.2100459467944892E-3</v>
          </cell>
          <cell r="AH98">
            <v>5.9337437487448887E-2</v>
          </cell>
          <cell r="AI98">
            <v>-6.6382800967046546E-3</v>
          </cell>
        </row>
        <row r="99">
          <cell r="E99" t="str">
            <v>Muenchener Rueckversicherungs-Gesellschaft Aktiengesellschaft in Muenchen</v>
          </cell>
          <cell r="F99" t="str">
            <v>Sr Unsecured</v>
          </cell>
          <cell r="G99" t="str">
            <v>Germany</v>
          </cell>
          <cell r="H99" t="str">
            <v>A- / A2 / AA-</v>
          </cell>
          <cell r="I99">
            <v>2.2104083104326121E-2</v>
          </cell>
          <cell r="J99">
            <v>3.1124607136852847E-2</v>
          </cell>
          <cell r="K99">
            <v>3.477105878410925E-2</v>
          </cell>
          <cell r="L99">
            <v>3.6010931891291134E-2</v>
          </cell>
          <cell r="M99">
            <v>3.8004189587038585E-2</v>
          </cell>
          <cell r="N99" t="str">
            <v/>
          </cell>
          <cell r="O99">
            <v>1.0502920733853859E-3</v>
          </cell>
          <cell r="P99">
            <v>6.4414792346854412E-3</v>
          </cell>
          <cell r="Q99">
            <v>8.1550262611795564E-3</v>
          </cell>
          <cell r="R99">
            <v>9.9005277499669316E-3</v>
          </cell>
          <cell r="AC99" t="str">
            <v>US029163AD49</v>
          </cell>
          <cell r="AD99" t="str">
            <v>MUNRE 7.45 12/15/26</v>
          </cell>
          <cell r="AE99" t="str">
            <v xml:space="preserve"> </v>
          </cell>
          <cell r="AF99">
            <v>3.8828219423736085E-2</v>
          </cell>
          <cell r="AG99">
            <v>-4.0571606396268348E-3</v>
          </cell>
          <cell r="AH99">
            <v>4.9424910000000002E-2</v>
          </cell>
          <cell r="AI99">
            <v>-4.0821982402269169E-3</v>
          </cell>
        </row>
        <row r="100">
          <cell r="E100" t="str">
            <v>Muenchener Rueckversicherungs-Gesellschaft Aktiengesellschaft in Muenchen</v>
          </cell>
          <cell r="F100" t="str">
            <v>Subordinated</v>
          </cell>
          <cell r="G100" t="str">
            <v>Germany</v>
          </cell>
          <cell r="H100" t="str">
            <v/>
          </cell>
          <cell r="I100">
            <v>2.4970338300604682E-2</v>
          </cell>
          <cell r="J100">
            <v>3.5747908722087225E-2</v>
          </cell>
          <cell r="K100">
            <v>4.2517079255885243E-2</v>
          </cell>
          <cell r="L100">
            <v>4.4703845378258375E-2</v>
          </cell>
          <cell r="M100">
            <v>4.7484521811856376E-2</v>
          </cell>
          <cell r="N100" t="str">
            <v/>
          </cell>
          <cell r="O100">
            <v>5.6814351572173072E-3</v>
          </cell>
          <cell r="P100">
            <v>1.42212891108499E-2</v>
          </cell>
          <cell r="Q100">
            <v>1.6912216614874419E-2</v>
          </cell>
          <cell r="R100">
            <v>1.9493555178534527E-2</v>
          </cell>
          <cell r="AC100" t="str">
            <v/>
          </cell>
          <cell r="AD100" t="str">
            <v/>
          </cell>
          <cell r="AE100" t="str">
            <v/>
          </cell>
          <cell r="AF100" t="str">
            <v/>
          </cell>
          <cell r="AG100" t="str">
            <v/>
          </cell>
          <cell r="AH100" t="str">
            <v/>
          </cell>
          <cell r="AI100" t="str">
            <v/>
          </cell>
        </row>
        <row r="101">
          <cell r="E101" t="str">
            <v>Swiss Reinsurance Company Ltd</v>
          </cell>
          <cell r="F101" t="str">
            <v>Sr Unsecured</v>
          </cell>
          <cell r="G101" t="str">
            <v>Switzerland</v>
          </cell>
          <cell r="H101" t="str">
            <v>AA- / Aa3 / Au</v>
          </cell>
          <cell r="I101">
            <v>2.2856124830865646E-2</v>
          </cell>
          <cell r="J101">
            <v>3.2211268999712162E-2</v>
          </cell>
          <cell r="K101">
            <v>3.621800370525223E-2</v>
          </cell>
          <cell r="L101">
            <v>3.7770293378822727E-2</v>
          </cell>
          <cell r="M101">
            <v>3.9906358429188951E-2</v>
          </cell>
          <cell r="N101" t="str">
            <v/>
          </cell>
          <cell r="O101">
            <v>2.1381787570141433E-3</v>
          </cell>
          <cell r="P101">
            <v>7.8954338773753879E-3</v>
          </cell>
          <cell r="Q101">
            <v>9.9319787549323642E-3</v>
          </cell>
          <cell r="R101">
            <v>1.1835675815348917E-2</v>
          </cell>
          <cell r="AC101" t="str">
            <v>CH0262881441</v>
          </cell>
          <cell r="AD101" t="str">
            <v>SRENVX 0 3/4 01/21/27</v>
          </cell>
          <cell r="AE101" t="str">
            <v xml:space="preserve"> </v>
          </cell>
          <cell r="AF101">
            <v>3.0161267842846545E-2</v>
          </cell>
          <cell r="AG101">
            <v>6.0567358624056856E-3</v>
          </cell>
          <cell r="AH101">
            <v>4.0844479447471535E-2</v>
          </cell>
          <cell r="AI101">
            <v>5.9691175564466625E-3</v>
          </cell>
        </row>
        <row r="102">
          <cell r="E102" t="str">
            <v>Swiss Reinsurance Company Ltd</v>
          </cell>
          <cell r="F102" t="str">
            <v>Subordinated</v>
          </cell>
          <cell r="G102" t="str">
            <v>Switzerland</v>
          </cell>
          <cell r="H102" t="str">
            <v>BBB+ /  / BBB-u</v>
          </cell>
          <cell r="I102">
            <v>2.4275631332907284E-2</v>
          </cell>
          <cell r="J102">
            <v>3.5462910683437557E-2</v>
          </cell>
          <cell r="K102">
            <v>4.2273660214120212E-2</v>
          </cell>
          <cell r="L102">
            <v>4.4575622805964971E-2</v>
          </cell>
          <cell r="M102">
            <v>4.7401288484790645E-2</v>
          </cell>
          <cell r="N102" t="str">
            <v/>
          </cell>
          <cell r="O102">
            <v>5.3956807796180792E-3</v>
          </cell>
          <cell r="P102">
            <v>1.397692601394445E-2</v>
          </cell>
          <cell r="Q102">
            <v>1.6783691775984134E-2</v>
          </cell>
          <cell r="R102">
            <v>1.9410126155736035E-2</v>
          </cell>
          <cell r="AC102" t="str">
            <v>XS1423777215</v>
          </cell>
          <cell r="AD102" t="str">
            <v>SRENVX 5 5/8 08/15/52</v>
          </cell>
          <cell r="AE102">
            <v>46614</v>
          </cell>
          <cell r="AF102">
            <v>5.1343683600925276E-2</v>
          </cell>
          <cell r="AG102">
            <v>-9.0700233868050636E-3</v>
          </cell>
          <cell r="AH102">
            <v>6.2094079999999996E-2</v>
          </cell>
          <cell r="AI102">
            <v>-9.2538017431800443E-3</v>
          </cell>
        </row>
        <row r="103">
          <cell r="E103" t="str">
            <v>Zurich Insurance Company Ltd</v>
          </cell>
          <cell r="F103" t="str">
            <v>Sr Unsecured</v>
          </cell>
          <cell r="G103" t="str">
            <v>Switzerland</v>
          </cell>
          <cell r="H103" t="str">
            <v>AA- / A1 / AA-u</v>
          </cell>
          <cell r="I103">
            <v>2.3010823175561308E-2</v>
          </cell>
          <cell r="J103">
            <v>3.2615493886233415E-2</v>
          </cell>
          <cell r="K103">
            <v>3.6782622397491319E-2</v>
          </cell>
          <cell r="L103">
            <v>3.8102449496527566E-2</v>
          </cell>
          <cell r="M103">
            <v>4.0049225608537527E-2</v>
          </cell>
          <cell r="N103" t="str">
            <v/>
          </cell>
          <cell r="O103">
            <v>2.542622970856636E-3</v>
          </cell>
          <cell r="P103">
            <v>8.4619705201237072E-3</v>
          </cell>
          <cell r="Q103">
            <v>1.0265312700531545E-2</v>
          </cell>
          <cell r="R103">
            <v>1.1978251531921108E-2</v>
          </cell>
          <cell r="AC103" t="str">
            <v>CH0419040792</v>
          </cell>
          <cell r="AD103" t="str">
            <v>ZURNVX 0 3/4 10/22/27</v>
          </cell>
          <cell r="AE103">
            <v>46590</v>
          </cell>
          <cell r="AF103">
            <v>3.0806367640913011E-2</v>
          </cell>
          <cell r="AG103">
            <v>5.9762547565783072E-3</v>
          </cell>
          <cell r="AH103">
            <v>4.1014586000352675E-2</v>
          </cell>
          <cell r="AI103">
            <v>6.3715465320295511E-3</v>
          </cell>
        </row>
        <row r="104">
          <cell r="E104" t="str">
            <v>Zurich Insurance Company Ltd</v>
          </cell>
          <cell r="F104" t="str">
            <v>Subordinated</v>
          </cell>
          <cell r="G104" t="str">
            <v>Switzerland</v>
          </cell>
          <cell r="H104" t="str">
            <v>A+ / A2 / Au</v>
          </cell>
          <cell r="I104">
            <v>2.4961782702370865E-2</v>
          </cell>
          <cell r="J104">
            <v>3.5246205778233917E-2</v>
          </cell>
          <cell r="K104">
            <v>4.1343706072942396E-2</v>
          </cell>
          <cell r="L104">
            <v>4.3601090640780514E-2</v>
          </cell>
          <cell r="M104">
            <v>4.6290372009591269E-2</v>
          </cell>
          <cell r="N104" t="str">
            <v/>
          </cell>
          <cell r="O104">
            <v>5.1795758819624177E-3</v>
          </cell>
          <cell r="P104">
            <v>1.304631702305282E-2</v>
          </cell>
          <cell r="Q104">
            <v>1.5807502242939989E-2</v>
          </cell>
          <cell r="R104">
            <v>1.8291838974040728E-2</v>
          </cell>
          <cell r="AC104" t="str">
            <v>XS1795323952</v>
          </cell>
          <cell r="AD104" t="str">
            <v>ZURNVX 5 1/8 06/01/48</v>
          </cell>
          <cell r="AE104">
            <v>46905</v>
          </cell>
          <cell r="AF104">
            <v>5.1239144088889736E-2</v>
          </cell>
          <cell r="AG104">
            <v>-9.8954380159473401E-3</v>
          </cell>
          <cell r="AH104">
            <v>6.2040360000000003E-2</v>
          </cell>
          <cell r="AI104">
            <v>-1.0122112795860248E-2</v>
          </cell>
        </row>
        <row r="105">
          <cell r="E105" t="str">
            <v xml:space="preserve">                                          US</v>
          </cell>
        </row>
        <row r="106">
          <cell r="E106" t="str">
            <v>American International Group, Inc.</v>
          </cell>
          <cell r="F106" t="str">
            <v>Sr Unsecured</v>
          </cell>
          <cell r="G106" t="str">
            <v>US</v>
          </cell>
          <cell r="H106" t="str">
            <v>BBB+ / Baa2 / BBB+</v>
          </cell>
          <cell r="I106">
            <v>2.2621087864936665E-2</v>
          </cell>
          <cell r="J106">
            <v>3.373394707507954E-2</v>
          </cell>
          <cell r="K106">
            <v>3.9041882776936619E-2</v>
          </cell>
          <cell r="L106">
            <v>4.2039336571408105E-2</v>
          </cell>
          <cell r="M106">
            <v>4.4575859242171875E-2</v>
          </cell>
          <cell r="N106" t="str">
            <v/>
          </cell>
          <cell r="O106">
            <v>3.6607519960621779E-3</v>
          </cell>
          <cell r="P106">
            <v>1.0725998282704546E-2</v>
          </cell>
          <cell r="Q106">
            <v>1.4228174411829234E-2</v>
          </cell>
          <cell r="R106">
            <v>1.6566434782039178E-2</v>
          </cell>
          <cell r="AC106" t="str">
            <v>US026874DK01</v>
          </cell>
          <cell r="AD106" t="str">
            <v>AIG 4.2 04/01/28</v>
          </cell>
          <cell r="AE106">
            <v>46753</v>
          </cell>
          <cell r="AF106">
            <v>3.7429573995580966E-2</v>
          </cell>
          <cell r="AG106">
            <v>1.6123087813556536E-3</v>
          </cell>
          <cell r="AH106">
            <v>4.7730620000000001E-2</v>
          </cell>
          <cell r="AI106">
            <v>2.9408728668200226E-3</v>
          </cell>
        </row>
        <row r="107">
          <cell r="E107" t="str">
            <v>Lincoln National Corporation</v>
          </cell>
          <cell r="F107" t="str">
            <v>Sr Unsecured</v>
          </cell>
          <cell r="G107" t="str">
            <v>US</v>
          </cell>
          <cell r="H107" t="str">
            <v>BBB+ / Baa1 / BBB+</v>
          </cell>
          <cell r="I107">
            <v>2.419728260204326E-2</v>
          </cell>
          <cell r="J107">
            <v>3.7945189589408519E-2</v>
          </cell>
          <cell r="K107">
            <v>4.5690321293318216E-2</v>
          </cell>
          <cell r="L107">
            <v>4.8753691646898793E-2</v>
          </cell>
          <cell r="M107">
            <v>5.1409134869542912E-2</v>
          </cell>
          <cell r="N107" t="str">
            <v/>
          </cell>
          <cell r="O107">
            <v>7.8677992414785611E-3</v>
          </cell>
          <cell r="P107">
            <v>1.7368589870227814E-2</v>
          </cell>
          <cell r="Q107">
            <v>2.0937896572956825E-2</v>
          </cell>
          <cell r="R107">
            <v>2.342644311521664E-2</v>
          </cell>
          <cell r="AC107" t="str">
            <v>US534187BH11</v>
          </cell>
          <cell r="AD107" t="str">
            <v>LNC 3.8 03/01/28</v>
          </cell>
          <cell r="AE107">
            <v>46722</v>
          </cell>
          <cell r="AF107">
            <v>3.8662752355682908E-2</v>
          </cell>
          <cell r="AG107">
            <v>7.0275689376353076E-3</v>
          </cell>
          <cell r="AH107">
            <v>4.9161270000000007E-2</v>
          </cell>
          <cell r="AI107">
            <v>8.2348157930691931E-3</v>
          </cell>
        </row>
        <row r="108">
          <cell r="E108" t="str">
            <v>MetLife, Inc.</v>
          </cell>
          <cell r="F108" t="str">
            <v>Sr Unsecured</v>
          </cell>
          <cell r="G108" t="str">
            <v>US</v>
          </cell>
          <cell r="H108" t="str">
            <v>A- / A3 / A-</v>
          </cell>
          <cell r="I108">
            <v>2.2622882880675252E-2</v>
          </cell>
          <cell r="J108">
            <v>3.3523737356050264E-2</v>
          </cell>
          <cell r="K108">
            <v>3.9795594573938234E-2</v>
          </cell>
          <cell r="L108">
            <v>4.2402355451725771E-2</v>
          </cell>
          <cell r="M108">
            <v>4.4922832488058992E-2</v>
          </cell>
          <cell r="N108" t="str">
            <v/>
          </cell>
          <cell r="O108">
            <v>3.4504018023100444E-3</v>
          </cell>
          <cell r="P108">
            <v>1.1482389753663003E-2</v>
          </cell>
          <cell r="Q108">
            <v>1.459037038089608E-2</v>
          </cell>
          <cell r="R108">
            <v>1.6914426827206463E-2</v>
          </cell>
          <cell r="AC108" t="str">
            <v>XS1999735688</v>
          </cell>
          <cell r="AD108" t="str">
            <v>MET 0.769 05/23/29</v>
          </cell>
          <cell r="AE108" t="str">
            <v xml:space="preserve"> </v>
          </cell>
          <cell r="AF108">
            <v>4.1162716208595747E-2</v>
          </cell>
          <cell r="AG108">
            <v>-1.367121634657513E-3</v>
          </cell>
          <cell r="AH108">
            <v>5.1096365679784511E-2</v>
          </cell>
          <cell r="AI108">
            <v>3.1913595905380676E-4</v>
          </cell>
        </row>
        <row r="110">
          <cell r="E110" t="str">
            <v>DM Corps</v>
          </cell>
        </row>
        <row r="111">
          <cell r="E111" t="str">
            <v>Legal Entity / Index</v>
          </cell>
          <cell r="F111" t="str">
            <v>Rank</v>
          </cell>
          <cell r="G111" t="str">
            <v>Country of Risk</v>
          </cell>
          <cell r="H111" t="str">
            <v>Rating (S/M/F)</v>
          </cell>
          <cell r="I111" t="str">
            <v>1Y</v>
          </cell>
          <cell r="J111" t="str">
            <v>3Y</v>
          </cell>
          <cell r="K111" t="str">
            <v>5Y</v>
          </cell>
          <cell r="L111" t="str">
            <v>7Y</v>
          </cell>
          <cell r="M111" t="str">
            <v>10Y</v>
          </cell>
          <cell r="N111" t="str">
            <v>1Y</v>
          </cell>
          <cell r="O111" t="str">
            <v>3Y</v>
          </cell>
          <cell r="P111" t="str">
            <v>5Y</v>
          </cell>
          <cell r="Q111" t="str">
            <v>7Y</v>
          </cell>
          <cell r="R111" t="str">
            <v>10Y</v>
          </cell>
          <cell r="AC111" t="str">
            <v>ISIN</v>
          </cell>
          <cell r="AD111" t="str">
            <v>Benchmark Bond</v>
          </cell>
          <cell r="AE111" t="str">
            <v>Next Call Date</v>
          </cell>
          <cell r="AF111" t="str">
            <v>EUR Yield</v>
          </cell>
          <cell r="AG111" t="str">
            <v>5Y CLN vs benchmark</v>
          </cell>
          <cell r="AH111" t="str">
            <v>USD Yield</v>
          </cell>
          <cell r="AI111" t="str">
            <v>5Y CLN vs benchmark</v>
          </cell>
        </row>
        <row r="112">
          <cell r="E112" t="str">
            <v xml:space="preserve">                                          IG</v>
          </cell>
        </row>
        <row r="113">
          <cell r="E113" t="str">
            <v>Nordstrom, Inc.</v>
          </cell>
          <cell r="F113" t="str">
            <v>Sr Unsecured</v>
          </cell>
          <cell r="G113" t="str">
            <v>US</v>
          </cell>
          <cell r="H113" t="str">
            <v>BB+ / Ba1 / BB+</v>
          </cell>
          <cell r="I113">
            <v>3.5198128084816045E-2</v>
          </cell>
          <cell r="J113">
            <v>6.8662070651910989E-2</v>
          </cell>
          <cell r="K113">
            <v>8.7050606228488356E-2</v>
          </cell>
          <cell r="L113">
            <v>9.3660087440697828E-2</v>
          </cell>
          <cell r="M113">
            <v>9.597241528397929E-2</v>
          </cell>
          <cell r="N113">
            <v>2.827439118630903E-3</v>
          </cell>
          <cell r="O113">
            <v>3.8488954590065579E-2</v>
          </cell>
          <cell r="P113">
            <v>5.8472750828801504E-2</v>
          </cell>
          <cell r="Q113">
            <v>6.5537234822647672E-2</v>
          </cell>
          <cell r="R113">
            <v>6.7804677897100943E-2</v>
          </cell>
          <cell r="AC113" t="str">
            <v>US655664AS97</v>
          </cell>
          <cell r="AD113" t="str">
            <v>JWN 4 03/15/27</v>
          </cell>
          <cell r="AE113">
            <v>46371</v>
          </cell>
          <cell r="AF113">
            <v>6.3239968723413503E-2</v>
          </cell>
          <cell r="AG113">
            <v>2.3810637505074853E-2</v>
          </cell>
          <cell r="AH113">
            <v>7.731855E-2</v>
          </cell>
          <cell r="AI113">
            <v>2.2132463887972978E-2</v>
          </cell>
        </row>
        <row r="114">
          <cell r="E114" t="str">
            <v>UNIBAIL-RODAMCO-WESTFIELD SE</v>
          </cell>
          <cell r="F114" t="str">
            <v>Sr Unsecured</v>
          </cell>
          <cell r="G114" t="str">
            <v>France</v>
          </cell>
          <cell r="H114" t="str">
            <v>BBB+ / Baa2 / BBB+u</v>
          </cell>
          <cell r="I114">
            <v>3.0141501867907716E-2</v>
          </cell>
          <cell r="J114">
            <v>4.7165065622977127E-2</v>
          </cell>
          <cell r="K114">
            <v>5.3939065092583546E-2</v>
          </cell>
          <cell r="L114">
            <v>5.8029861642056903E-2</v>
          </cell>
          <cell r="M114">
            <v>6.1785537126820313E-2</v>
          </cell>
          <cell r="N114" t="str">
            <v/>
          </cell>
          <cell r="O114">
            <v>1.7069696444677554E-2</v>
          </cell>
          <cell r="P114">
            <v>2.5582416188571881E-2</v>
          </cell>
          <cell r="Q114">
            <v>3.0184157780202441E-2</v>
          </cell>
          <cell r="R114">
            <v>3.3808089320308092E-2</v>
          </cell>
          <cell r="AC114" t="str">
            <v>FR0014000UC8</v>
          </cell>
          <cell r="AD114" t="str">
            <v>ULFP 0 5/8 05/04/27</v>
          </cell>
          <cell r="AE114">
            <v>46422</v>
          </cell>
          <cell r="AF114">
            <v>3.8456989999999996E-2</v>
          </cell>
          <cell r="AG114">
            <v>1.548207509258355E-2</v>
          </cell>
          <cell r="AH114">
            <v>4.8351435705548541E-2</v>
          </cell>
          <cell r="AI114">
            <v>1.6530383070219389E-2</v>
          </cell>
        </row>
        <row r="115">
          <cell r="E115" t="str">
            <v>Auchan Holding</v>
          </cell>
          <cell r="F115" t="str">
            <v>Sr Unsecured</v>
          </cell>
          <cell r="G115" t="str">
            <v>France</v>
          </cell>
          <cell r="H115" t="str">
            <v xml:space="preserve">BBB- /  / </v>
          </cell>
          <cell r="I115">
            <v>2.6108547942904358E-2</v>
          </cell>
          <cell r="J115">
            <v>4.2776964657948231E-2</v>
          </cell>
          <cell r="K115">
            <v>5.2107046905026308E-2</v>
          </cell>
          <cell r="L115">
            <v>5.6167159844656957E-2</v>
          </cell>
          <cell r="M115">
            <v>5.9362838057524951E-2</v>
          </cell>
          <cell r="N115" t="str">
            <v/>
          </cell>
          <cell r="O115">
            <v>1.2690161298422915E-2</v>
          </cell>
          <cell r="P115">
            <v>2.376258021359982E-2</v>
          </cell>
          <cell r="Q115">
            <v>2.8328357047433545E-2</v>
          </cell>
          <cell r="R115">
            <v>3.1385462116461302E-2</v>
          </cell>
          <cell r="AC115" t="str">
            <v>FR001400EHH1</v>
          </cell>
          <cell r="AD115" t="str">
            <v>ELOFR 4 7/8 12/08/28</v>
          </cell>
          <cell r="AE115">
            <v>47004</v>
          </cell>
          <cell r="AF115">
            <v>5.5689559999999999E-2</v>
          </cell>
          <cell r="AG115">
            <v>-3.5825130949736911E-3</v>
          </cell>
          <cell r="AH115">
            <v>6.5616540227143721E-2</v>
          </cell>
          <cell r="AI115">
            <v>-2.7077732336593524E-3</v>
          </cell>
        </row>
        <row r="116">
          <cell r="E116" t="str">
            <v>ELO</v>
          </cell>
          <cell r="F116" t="str">
            <v>Sr Unsecured</v>
          </cell>
          <cell r="G116" t="str">
            <v>France</v>
          </cell>
          <cell r="H116" t="str">
            <v xml:space="preserve">BBB- /  / </v>
          </cell>
          <cell r="I116">
            <v>2.6121318608870004E-2</v>
          </cell>
          <cell r="J116">
            <v>4.284182673711015E-2</v>
          </cell>
          <cell r="K116">
            <v>5.2101404728143119E-2</v>
          </cell>
          <cell r="L116">
            <v>5.6363627358770589E-2</v>
          </cell>
          <cell r="M116">
            <v>5.9487663827951863E-2</v>
          </cell>
          <cell r="N116" t="str">
            <v/>
          </cell>
          <cell r="O116">
            <v>1.2754853098497242E-2</v>
          </cell>
          <cell r="P116">
            <v>2.3757662767024301E-2</v>
          </cell>
          <cell r="Q116">
            <v>2.8525850089927217E-2</v>
          </cell>
          <cell r="R116">
            <v>3.1511308367052897E-2</v>
          </cell>
          <cell r="AC116" t="str">
            <v>FR0013524865</v>
          </cell>
          <cell r="AD116" t="str">
            <v>ELOFR 3 1/4 07/23/27</v>
          </cell>
          <cell r="AE116">
            <v>46500</v>
          </cell>
          <cell r="AF116">
            <v>4.7205630000000005E-2</v>
          </cell>
          <cell r="AG116">
            <v>4.8957747281431138E-3</v>
          </cell>
          <cell r="AH116">
            <v>5.7322190648890825E-2</v>
          </cell>
          <cell r="AI116">
            <v>5.5792760248646045E-3</v>
          </cell>
        </row>
        <row r="117">
          <cell r="E117" t="str">
            <v>General Motors Company</v>
          </cell>
          <cell r="F117" t="str">
            <v>Sr Unsecured</v>
          </cell>
          <cell r="G117" t="str">
            <v>US</v>
          </cell>
          <cell r="H117" t="str">
            <v>BBB / Baa3 / BBB-</v>
          </cell>
          <cell r="I117">
            <v>2.8526240179897348E-2</v>
          </cell>
          <cell r="J117">
            <v>4.321195204506631E-2</v>
          </cell>
          <cell r="K117">
            <v>5.0944452670149444E-2</v>
          </cell>
          <cell r="L117">
            <v>5.4857971592289216E-2</v>
          </cell>
          <cell r="M117">
            <v>5.7839615274796696E-2</v>
          </cell>
          <cell r="N117" t="str">
            <v/>
          </cell>
          <cell r="O117">
            <v>1.3127036158760217E-2</v>
          </cell>
          <cell r="P117">
            <v>2.2602950446470652E-2</v>
          </cell>
          <cell r="Q117">
            <v>2.7026100414925789E-2</v>
          </cell>
          <cell r="R117">
            <v>2.9863462330016209E-2</v>
          </cell>
          <cell r="AC117" t="str">
            <v>US37045VAN01</v>
          </cell>
          <cell r="AD117" t="str">
            <v>GM 4.2 10/01/27</v>
          </cell>
          <cell r="AE117">
            <v>46569</v>
          </cell>
          <cell r="AF117">
            <v>3.9912291068833074E-2</v>
          </cell>
          <cell r="AG117">
            <v>1.103216160131637E-2</v>
          </cell>
          <cell r="AH117">
            <v>5.0564910000000005E-2</v>
          </cell>
          <cell r="AI117">
            <v>1.2241588189204664E-2</v>
          </cell>
        </row>
        <row r="118">
          <cell r="E118" t="str">
            <v>ArcelorMittal</v>
          </cell>
          <cell r="F118" t="str">
            <v>Sr Unsecured</v>
          </cell>
          <cell r="G118" t="str">
            <v>Luxembourg</v>
          </cell>
          <cell r="H118" t="str">
            <v xml:space="preserve">BBB- / Baa3 / </v>
          </cell>
          <cell r="I118">
            <v>2.6358471320268261E-2</v>
          </cell>
          <cell r="J118">
            <v>3.9953716426075113E-2</v>
          </cell>
          <cell r="K118">
            <v>4.9826714988552227E-2</v>
          </cell>
          <cell r="L118">
            <v>5.5401034644797231E-2</v>
          </cell>
          <cell r="M118">
            <v>5.7778470531247517E-2</v>
          </cell>
          <cell r="N118" t="str">
            <v/>
          </cell>
          <cell r="O118">
            <v>9.8749815491136986E-3</v>
          </cell>
          <cell r="P118">
            <v>2.1499375568483609E-2</v>
          </cell>
          <cell r="Q118">
            <v>2.7580566618260541E-2</v>
          </cell>
          <cell r="R118">
            <v>2.9809598550527377E-2</v>
          </cell>
          <cell r="AC118" t="str">
            <v>US03938LBE39</v>
          </cell>
          <cell r="AD118" t="str">
            <v>MTNA 6.55 11/29/27</v>
          </cell>
          <cell r="AE118">
            <v>46689</v>
          </cell>
          <cell r="AF118">
            <v>4.4882809195735743E-2</v>
          </cell>
          <cell r="AG118">
            <v>4.9439057928164845E-3</v>
          </cell>
          <cell r="AH118">
            <v>5.5135420000000004E-2</v>
          </cell>
          <cell r="AI118">
            <v>5.4399463473269669E-3</v>
          </cell>
        </row>
        <row r="119">
          <cell r="E119" t="str">
            <v>ITV PLC</v>
          </cell>
          <cell r="F119" t="str">
            <v>Sr Unsecured</v>
          </cell>
          <cell r="G119" t="str">
            <v>UK</v>
          </cell>
          <cell r="H119" t="str">
            <v xml:space="preserve">BBB- / Baa3 / </v>
          </cell>
          <cell r="I119">
            <v>2.5842048433798927E-2</v>
          </cell>
          <cell r="J119">
            <v>3.9585336416609579E-2</v>
          </cell>
          <cell r="K119">
            <v>4.8613385638888659E-2</v>
          </cell>
          <cell r="L119">
            <v>5.2643172348633242E-2</v>
          </cell>
          <cell r="M119">
            <v>5.5629398227490384E-2</v>
          </cell>
          <cell r="N119" t="str">
            <v/>
          </cell>
          <cell r="O119">
            <v>9.5076417998692618E-3</v>
          </cell>
          <cell r="P119">
            <v>2.028776387778972E-2</v>
          </cell>
          <cell r="Q119">
            <v>2.4824013835444171E-2</v>
          </cell>
          <cell r="R119">
            <v>2.7657650883338797E-2</v>
          </cell>
          <cell r="AC119" t="str">
            <v>XS2050543839</v>
          </cell>
          <cell r="AD119" t="str">
            <v>ITVLN 1 3/8 09/26/26</v>
          </cell>
          <cell r="AE119">
            <v>46199</v>
          </cell>
          <cell r="AF119">
            <v>3.7487510000000002E-2</v>
          </cell>
          <cell r="AG119">
            <v>1.1125875638888658E-2</v>
          </cell>
          <cell r="AH119">
            <v>4.8248370329496776E-2</v>
          </cell>
          <cell r="AI119">
            <v>1.1097184208342541E-2</v>
          </cell>
        </row>
        <row r="120">
          <cell r="E120" t="str">
            <v>Stellantis N.V.</v>
          </cell>
          <cell r="F120" t="str">
            <v>Sr Unsecured</v>
          </cell>
          <cell r="G120" t="str">
            <v>Netherlands</v>
          </cell>
          <cell r="H120" t="str">
            <v>BBB / Baa2 / BBB</v>
          </cell>
          <cell r="I120">
            <v>2.4949645179968057E-2</v>
          </cell>
          <cell r="J120">
            <v>3.8733144328321201E-2</v>
          </cell>
          <cell r="K120">
            <v>4.7183951459595412E-2</v>
          </cell>
          <cell r="L120">
            <v>5.1631500867037994E-2</v>
          </cell>
          <cell r="M120">
            <v>5.4467306135263016E-2</v>
          </cell>
          <cell r="N120" t="str">
            <v/>
          </cell>
          <cell r="O120">
            <v>8.6556890057608252E-3</v>
          </cell>
          <cell r="P120">
            <v>1.8860605422128304E-2</v>
          </cell>
          <cell r="Q120">
            <v>2.3817625722495898E-2</v>
          </cell>
          <cell r="R120">
            <v>2.6495947934814624E-2</v>
          </cell>
          <cell r="AC120" t="str">
            <v>USU85861AD15</v>
          </cell>
          <cell r="AD120" t="str">
            <v>STLA 5 5/8 01/12/28</v>
          </cell>
          <cell r="AE120">
            <v>46733</v>
          </cell>
          <cell r="AF120">
            <v>4.2279515763998882E-2</v>
          </cell>
          <cell r="AG120">
            <v>4.9044356955965304E-3</v>
          </cell>
          <cell r="AH120">
            <v>5.2605129999999993E-2</v>
          </cell>
          <cell r="AI120">
            <v>5.2934626803583934E-3</v>
          </cell>
        </row>
        <row r="121">
          <cell r="E121" t="str">
            <v>NEXT PLC</v>
          </cell>
          <cell r="F121" t="str">
            <v>Sr Unsecured</v>
          </cell>
          <cell r="G121" t="str">
            <v>UK</v>
          </cell>
          <cell r="H121" t="str">
            <v xml:space="preserve">BBB / Baa2 / </v>
          </cell>
          <cell r="I121">
            <v>2.5796143032932574E-2</v>
          </cell>
          <cell r="J121">
            <v>3.9554282310432592E-2</v>
          </cell>
          <cell r="K121">
            <v>4.6839645761952452E-2</v>
          </cell>
          <cell r="L121">
            <v>5.0215051931778804E-2</v>
          </cell>
          <cell r="M121">
            <v>5.3723838426466039E-2</v>
          </cell>
          <cell r="N121" t="str">
            <v/>
          </cell>
          <cell r="O121">
            <v>9.4755746350042112E-3</v>
          </cell>
          <cell r="P121">
            <v>1.8515440484661617E-2</v>
          </cell>
          <cell r="Q121">
            <v>2.2399794252649631E-2</v>
          </cell>
          <cell r="R121">
            <v>2.575110877841124E-2</v>
          </cell>
          <cell r="AC121" t="str">
            <v>XS1410414954</v>
          </cell>
          <cell r="AD121" t="str">
            <v>NXTLN 3 5/8 05/18/28</v>
          </cell>
          <cell r="AE121">
            <v>46801</v>
          </cell>
          <cell r="AF121">
            <v>3.8392389400879419E-2</v>
          </cell>
          <cell r="AG121">
            <v>8.4472563610730328E-3</v>
          </cell>
          <cell r="AH121">
            <v>4.8553430449259506E-2</v>
          </cell>
          <cell r="AI121">
            <v>9.0337956611525189E-3</v>
          </cell>
        </row>
        <row r="122">
          <cell r="E122" t="str">
            <v>Anglo American plc</v>
          </cell>
          <cell r="F122" t="str">
            <v>Sr Unsecured</v>
          </cell>
          <cell r="G122" t="str">
            <v>UK</v>
          </cell>
          <cell r="H122" t="str">
            <v>BBB+ / Baa2 / BBB</v>
          </cell>
          <cell r="I122">
            <v>2.4982943018633141E-2</v>
          </cell>
          <cell r="J122">
            <v>3.7890246160657191E-2</v>
          </cell>
          <cell r="K122">
            <v>4.6800396304335468E-2</v>
          </cell>
          <cell r="L122">
            <v>5.093111641831493E-2</v>
          </cell>
          <cell r="M122">
            <v>5.4720650773702313E-2</v>
          </cell>
          <cell r="N122" t="str">
            <v/>
          </cell>
          <cell r="O122">
            <v>7.8149540024306709E-3</v>
          </cell>
          <cell r="P122">
            <v>1.8480241598606936E-2</v>
          </cell>
          <cell r="Q122">
            <v>2.3119104596589481E-2</v>
          </cell>
          <cell r="R122">
            <v>2.6754535522473734E-2</v>
          </cell>
          <cell r="AC122" t="str">
            <v>US034863AU41</v>
          </cell>
          <cell r="AD122" t="str">
            <v>AALLN 4 1/2 03/15/28</v>
          </cell>
          <cell r="AE122">
            <v>46736</v>
          </cell>
          <cell r="AF122">
            <v>3.9794686862450211E-2</v>
          </cell>
          <cell r="AG122">
            <v>7.0057094418852564E-3</v>
          </cell>
          <cell r="AH122">
            <v>5.0188249999999997E-2</v>
          </cell>
          <cell r="AI122">
            <v>7.3075858310946498E-3</v>
          </cell>
        </row>
        <row r="123">
          <cell r="E123" t="str">
            <v>Glencore International AG</v>
          </cell>
          <cell r="F123" t="str">
            <v>Sr Unsecured</v>
          </cell>
          <cell r="G123" t="str">
            <v>Switzerland</v>
          </cell>
          <cell r="H123" t="str">
            <v xml:space="preserve">BBB+ / Baa1 / </v>
          </cell>
          <cell r="I123">
            <v>2.7026275089489776E-2</v>
          </cell>
          <cell r="J123">
            <v>3.901851381145955E-2</v>
          </cell>
          <cell r="K123">
            <v>4.6571145967208794E-2</v>
          </cell>
          <cell r="L123">
            <v>5.1342246293088603E-2</v>
          </cell>
          <cell r="M123">
            <v>5.3994957030067327E-2</v>
          </cell>
          <cell r="N123" t="str">
            <v/>
          </cell>
          <cell r="O123">
            <v>8.943006470781216E-3</v>
          </cell>
          <cell r="P123">
            <v>1.8253745715614413E-2</v>
          </cell>
          <cell r="Q123">
            <v>2.3536026341406217E-2</v>
          </cell>
          <cell r="R123">
            <v>2.6026697729851573E-2</v>
          </cell>
          <cell r="AC123" t="str">
            <v>XS2228892860</v>
          </cell>
          <cell r="AD123" t="str">
            <v>GLENLN 1 1/8 03/10/28</v>
          </cell>
          <cell r="AE123">
            <v>46731</v>
          </cell>
          <cell r="AF123">
            <v>4.2082189999999998E-2</v>
          </cell>
          <cell r="AG123">
            <v>4.488955967208795E-3</v>
          </cell>
          <cell r="AH123">
            <v>5.1083531590501413E-2</v>
          </cell>
          <cell r="AI123">
            <v>6.2305433723991305E-3</v>
          </cell>
        </row>
        <row r="124">
          <cell r="E124" t="str">
            <v>Syngenta AG</v>
          </cell>
          <cell r="F124" t="str">
            <v>Sr Unsecured</v>
          </cell>
          <cell r="G124" t="str">
            <v>Switzerland</v>
          </cell>
          <cell r="H124" t="str">
            <v>BBB / Ba1 / BBB+</v>
          </cell>
          <cell r="I124">
            <v>2.6081406477887027E-2</v>
          </cell>
          <cell r="J124">
            <v>3.9373895440420553E-2</v>
          </cell>
          <cell r="K124">
            <v>4.6540952294140299E-2</v>
          </cell>
          <cell r="L124">
            <v>4.9682046334846616E-2</v>
          </cell>
          <cell r="M124">
            <v>5.2705915477522187E-2</v>
          </cell>
          <cell r="N124" t="str">
            <v/>
          </cell>
          <cell r="O124">
            <v>9.2963446093849902E-3</v>
          </cell>
          <cell r="P124">
            <v>1.8218641458554199E-2</v>
          </cell>
          <cell r="Q124">
            <v>2.1868080903884816E-2</v>
          </cell>
          <cell r="R124">
            <v>2.4728580835761689E-2</v>
          </cell>
          <cell r="AC124" t="str">
            <v>XS1199954691</v>
          </cell>
          <cell r="AD124" t="str">
            <v>SYNNVX 1 1/4 09/10/27</v>
          </cell>
          <cell r="AE124">
            <v>46548</v>
          </cell>
          <cell r="AF124">
            <v>3.9791229999999997E-2</v>
          </cell>
          <cell r="AG124">
            <v>6.7497222941403021E-3</v>
          </cell>
          <cell r="AH124">
            <v>4.9443775483377701E-2</v>
          </cell>
          <cell r="AI124">
            <v>7.8407088558102439E-3</v>
          </cell>
        </row>
        <row r="125">
          <cell r="E125" t="str">
            <v>Aktiebolaget Electrolux</v>
          </cell>
          <cell r="F125" t="str">
            <v>Sr Unsecured</v>
          </cell>
          <cell r="G125" t="str">
            <v>Sweden</v>
          </cell>
          <cell r="H125" t="str">
            <v xml:space="preserve">A- /  / </v>
          </cell>
          <cell r="I125">
            <v>2.5181156365359107E-2</v>
          </cell>
          <cell r="J125">
            <v>3.8102757558378532E-2</v>
          </cell>
          <cell r="K125">
            <v>4.3898696762611704E-2</v>
          </cell>
          <cell r="L125">
            <v>4.5276981766554036E-2</v>
          </cell>
          <cell r="M125">
            <v>4.7358240908901943E-2</v>
          </cell>
          <cell r="N125" t="str">
            <v/>
          </cell>
          <cell r="O125">
            <v>8.0262773943752374E-3</v>
          </cell>
          <cell r="P125">
            <v>1.5579369106487852E-2</v>
          </cell>
          <cell r="Q125">
            <v>1.7459394991903545E-2</v>
          </cell>
          <cell r="R125">
            <v>1.9350764418219712E-2</v>
          </cell>
          <cell r="AC125" t="str">
            <v>XS2540585564</v>
          </cell>
          <cell r="AD125" t="str">
            <v>ELTLX 4 1/8 10/05/26</v>
          </cell>
          <cell r="AE125">
            <v>46270</v>
          </cell>
          <cell r="AF125">
            <v>3.5086849999999996E-2</v>
          </cell>
          <cell r="AG125">
            <v>8.8118467626117081E-3</v>
          </cell>
          <cell r="AH125">
            <v>4.6346121718229515E-2</v>
          </cell>
          <cell r="AI125">
            <v>8.2708734576105655E-3</v>
          </cell>
        </row>
        <row r="126">
          <cell r="E126" t="str">
            <v>HP Inc.</v>
          </cell>
          <cell r="F126" t="str">
            <v>Sr Unsecured</v>
          </cell>
          <cell r="G126" t="str">
            <v>US</v>
          </cell>
          <cell r="H126" t="str">
            <v>BBB / Baa2 / BBB+</v>
          </cell>
          <cell r="I126">
            <v>2.3631598474475823E-2</v>
          </cell>
          <cell r="J126">
            <v>3.6426605685438061E-2</v>
          </cell>
          <cell r="K126">
            <v>4.3120240784248705E-2</v>
          </cell>
          <cell r="L126">
            <v>4.663416807220333E-2</v>
          </cell>
          <cell r="M126">
            <v>4.9285500275004314E-2</v>
          </cell>
          <cell r="N126" t="str">
            <v/>
          </cell>
          <cell r="O126">
            <v>6.3511415988766256E-3</v>
          </cell>
          <cell r="P126">
            <v>1.4803223264093193E-2</v>
          </cell>
          <cell r="Q126">
            <v>1.8825723972461929E-2</v>
          </cell>
          <cell r="R126">
            <v>2.1301011585923135E-2</v>
          </cell>
          <cell r="AC126" t="str">
            <v>US40434LAM72</v>
          </cell>
          <cell r="AD126" t="str">
            <v>HPQ 4 3/4 01/15/28</v>
          </cell>
          <cell r="AE126">
            <v>46736</v>
          </cell>
          <cell r="AF126">
            <v>3.8640494660494892E-2</v>
          </cell>
          <cell r="AG126">
            <v>4.4797461237538125E-3</v>
          </cell>
          <cell r="AH126">
            <v>4.894913E-2</v>
          </cell>
          <cell r="AI126">
            <v>5.8523548068781725E-3</v>
          </cell>
        </row>
        <row r="127">
          <cell r="E127" t="str">
            <v>VOLKSWAGEN AKTIENGESELLSCHAFT</v>
          </cell>
          <cell r="F127" t="str">
            <v>Sr Unsecured</v>
          </cell>
          <cell r="G127" t="str">
            <v>Germany</v>
          </cell>
          <cell r="H127" t="str">
            <v xml:space="preserve">BBB+ / A3 / </v>
          </cell>
          <cell r="I127">
            <v>2.5891155882673954E-2</v>
          </cell>
          <cell r="J127">
            <v>3.6233045330889002E-2</v>
          </cell>
          <cell r="K127">
            <v>4.1881710171540965E-2</v>
          </cell>
          <cell r="L127">
            <v>4.4957065973901734E-2</v>
          </cell>
          <cell r="M127">
            <v>4.8211437295448571E-2</v>
          </cell>
          <cell r="N127" t="str">
            <v/>
          </cell>
          <cell r="O127">
            <v>6.1611062420975811E-3</v>
          </cell>
          <cell r="P127">
            <v>1.3569934183345202E-2</v>
          </cell>
          <cell r="Q127">
            <v>1.715320929713899E-2</v>
          </cell>
          <cell r="R127">
            <v>2.0226057772238414E-2</v>
          </cell>
          <cell r="AC127" t="str">
            <v>XS2374595044</v>
          </cell>
          <cell r="AD127" t="str">
            <v>VW 0 1/8 02/12/27</v>
          </cell>
          <cell r="AE127" t="str">
            <v xml:space="preserve"> </v>
          </cell>
          <cell r="AF127">
            <v>3.9047129999999999E-2</v>
          </cell>
          <cell r="AG127">
            <v>2.8345801715409652E-3</v>
          </cell>
          <cell r="AH127">
            <v>4.8995571707542783E-2</v>
          </cell>
          <cell r="AI127">
            <v>3.5750944024177667E-3</v>
          </cell>
        </row>
        <row r="128">
          <cell r="E128" t="str">
            <v>ENEL S.P.A.</v>
          </cell>
          <cell r="F128" t="str">
            <v>Sr Unsecured</v>
          </cell>
          <cell r="G128" t="str">
            <v>Italy</v>
          </cell>
          <cell r="H128" t="str">
            <v>BBB+ / Baa1 / BBB+</v>
          </cell>
          <cell r="I128">
            <v>2.5311724957960885E-2</v>
          </cell>
          <cell r="J128">
            <v>3.5951951918270324E-2</v>
          </cell>
          <cell r="K128">
            <v>4.1685979391282747E-2</v>
          </cell>
          <cell r="L128">
            <v>4.451419131425409E-2</v>
          </cell>
          <cell r="M128">
            <v>4.7978378886174775E-2</v>
          </cell>
          <cell r="N128" t="str">
            <v/>
          </cell>
          <cell r="O128">
            <v>5.8801339877474611E-3</v>
          </cell>
          <cell r="P128">
            <v>1.33728888066184E-2</v>
          </cell>
          <cell r="Q128">
            <v>1.6707063778796202E-2</v>
          </cell>
          <cell r="R128">
            <v>1.9991618939944063E-2</v>
          </cell>
          <cell r="AC128" t="str">
            <v>XS2066706909</v>
          </cell>
          <cell r="AD128" t="str">
            <v>ENELIM 0 3/8 06/17/27</v>
          </cell>
          <cell r="AE128">
            <v>46463</v>
          </cell>
          <cell r="AF128">
            <v>3.5090959999999997E-2</v>
          </cell>
          <cell r="AG128">
            <v>6.5950193912827498E-3</v>
          </cell>
          <cell r="AH128">
            <v>4.5040286932296898E-2</v>
          </cell>
          <cell r="AI128">
            <v>7.3200716917121503E-3</v>
          </cell>
        </row>
        <row r="129">
          <cell r="E129" t="str">
            <v>Electricite de France</v>
          </cell>
          <cell r="F129" t="str">
            <v>Sr Unsecured</v>
          </cell>
          <cell r="G129" t="str">
            <v>France</v>
          </cell>
          <cell r="H129" t="str">
            <v>BBB / Baa1 / BBB+</v>
          </cell>
          <cell r="I129">
            <v>2.5454861248907484E-2</v>
          </cell>
          <cell r="J129">
            <v>3.5813501016300972E-2</v>
          </cell>
          <cell r="K129">
            <v>4.0896167519172064E-2</v>
          </cell>
          <cell r="L129">
            <v>4.4032292236434435E-2</v>
          </cell>
          <cell r="M129">
            <v>4.7510536463873147E-2</v>
          </cell>
          <cell r="N129" t="str">
            <v/>
          </cell>
          <cell r="O129">
            <v>5.7412561737903225E-3</v>
          </cell>
          <cell r="P129">
            <v>1.258290184605091E-2</v>
          </cell>
          <cell r="Q129">
            <v>1.6227104789915028E-2</v>
          </cell>
          <cell r="R129">
            <v>1.9523553128063496E-2</v>
          </cell>
          <cell r="AC129" t="str">
            <v>FR0011225143</v>
          </cell>
          <cell r="AD129" t="str">
            <v>EDF 4 1/8 03/25/27</v>
          </cell>
          <cell r="AE129" t="str">
            <v xml:space="preserve"> </v>
          </cell>
          <cell r="AF129">
            <v>3.5248629999999996E-2</v>
          </cell>
          <cell r="AG129">
            <v>5.6475375191720675E-3</v>
          </cell>
          <cell r="AH129">
            <v>4.6027153572733154E-2</v>
          </cell>
          <cell r="AI129">
            <v>5.5488158761408043E-3</v>
          </cell>
        </row>
        <row r="130">
          <cell r="E130" t="str">
            <v>THE BOEING COMPANY</v>
          </cell>
          <cell r="F130" t="str">
            <v>Sr Unsecured</v>
          </cell>
          <cell r="G130" t="str">
            <v>US</v>
          </cell>
          <cell r="H130" t="str">
            <v>BBB- / Baa2 / BBB-</v>
          </cell>
          <cell r="I130">
            <v>2.5421087214114901E-2</v>
          </cell>
          <cell r="J130">
            <v>3.6828539038254691E-2</v>
          </cell>
          <cell r="K130">
            <v>4.0642143187155796E-2</v>
          </cell>
          <cell r="L130">
            <v>4.2714690228698518E-2</v>
          </cell>
          <cell r="M130">
            <v>4.4780029497901538E-2</v>
          </cell>
          <cell r="N130" t="str">
            <v/>
          </cell>
          <cell r="O130">
            <v>6.7541832563794615E-3</v>
          </cell>
          <cell r="P130">
            <v>1.2325615255097636E-2</v>
          </cell>
          <cell r="Q130">
            <v>1.4901932410102972E-2</v>
          </cell>
          <cell r="R130">
            <v>1.6765174377174959E-2</v>
          </cell>
          <cell r="AC130" t="str">
            <v>US097023CM50</v>
          </cell>
          <cell r="AD130" t="str">
            <v>BA 2.7 02/01/27</v>
          </cell>
          <cell r="AE130">
            <v>46357</v>
          </cell>
          <cell r="AF130">
            <v>3.6255049386778926E-2</v>
          </cell>
          <cell r="AG130">
            <v>4.3870938003768706E-3</v>
          </cell>
          <cell r="AH130">
            <v>4.7281940000000001E-2</v>
          </cell>
          <cell r="AI130">
            <v>5.0780037865126512E-3</v>
          </cell>
        </row>
        <row r="131">
          <cell r="E131" t="str">
            <v>EDP - Energias de Portugal, S.A.</v>
          </cell>
          <cell r="F131" t="str">
            <v>Sr Unsecured</v>
          </cell>
          <cell r="G131" t="str">
            <v>Portugal</v>
          </cell>
          <cell r="H131" t="str">
            <v>BBB / Baa3 / BBB</v>
          </cell>
          <cell r="I131">
            <v>2.5026341563818895E-2</v>
          </cell>
          <cell r="J131">
            <v>3.5230220811594659E-2</v>
          </cell>
          <cell r="K131">
            <v>4.0562416343525594E-2</v>
          </cell>
          <cell r="L131">
            <v>4.3080134681242985E-2</v>
          </cell>
          <cell r="M131">
            <v>4.6543284510134425E-2</v>
          </cell>
          <cell r="N131" t="str">
            <v/>
          </cell>
          <cell r="O131">
            <v>5.158146361363131E-3</v>
          </cell>
          <cell r="P131">
            <v>1.2249577544825552E-2</v>
          </cell>
          <cell r="Q131">
            <v>1.5270125774042513E-2</v>
          </cell>
          <cell r="R131">
            <v>1.854904107429857E-2</v>
          </cell>
          <cell r="AC131" t="str">
            <v>PTEDPNOM0015</v>
          </cell>
          <cell r="AD131" t="str">
            <v>EDPPL 1 5/8 04/15/27</v>
          </cell>
          <cell r="AE131">
            <v>46402</v>
          </cell>
          <cell r="AF131">
            <v>3.4781319999999998E-2</v>
          </cell>
          <cell r="AG131">
            <v>5.7810963435255963E-3</v>
          </cell>
          <cell r="AH131">
            <v>4.5130518139191785E-2</v>
          </cell>
          <cell r="AI131">
            <v>6.0963954799120243E-3</v>
          </cell>
        </row>
        <row r="132">
          <cell r="E132" t="str">
            <v>TELEFONICA, S.A.</v>
          </cell>
          <cell r="F132" t="str">
            <v>Sr Unsecured</v>
          </cell>
          <cell r="G132" t="str">
            <v>Spain</v>
          </cell>
          <cell r="H132" t="str">
            <v>BBB- / Baa3 / BBB</v>
          </cell>
          <cell r="I132">
            <v>2.4284739652633038E-2</v>
          </cell>
          <cell r="J132">
            <v>3.4326207347000204E-2</v>
          </cell>
          <cell r="K132">
            <v>4.0363763116566642E-2</v>
          </cell>
          <cell r="L132">
            <v>4.4200088573577129E-2</v>
          </cell>
          <cell r="M132">
            <v>4.743748940788492E-2</v>
          </cell>
          <cell r="N132" t="str">
            <v/>
          </cell>
          <cell r="O132">
            <v>4.254289391668881E-3</v>
          </cell>
          <cell r="P132">
            <v>1.2051801538602849E-2</v>
          </cell>
          <cell r="Q132">
            <v>1.639820003167794E-2</v>
          </cell>
          <cell r="R132">
            <v>1.9452304882440624E-2</v>
          </cell>
          <cell r="AC132" t="str">
            <v>XS1756296965</v>
          </cell>
          <cell r="AD132" t="str">
            <v>TELEFO 1.447 01/22/27</v>
          </cell>
          <cell r="AE132">
            <v>46317</v>
          </cell>
          <cell r="AF132">
            <v>3.227903E-2</v>
          </cell>
          <cell r="AG132">
            <v>8.084733116566642E-3</v>
          </cell>
          <cell r="AH132">
            <v>4.2857532877316293E-2</v>
          </cell>
          <cell r="AI132">
            <v>8.1439086797261279E-3</v>
          </cell>
        </row>
        <row r="133">
          <cell r="E133" t="str">
            <v>T-Mobile USA, Inc.</v>
          </cell>
          <cell r="F133" t="str">
            <v>Sr Unsecured</v>
          </cell>
          <cell r="G133" t="str">
            <v>US</v>
          </cell>
          <cell r="H133" t="str">
            <v>BBB- / Baa3 / BBB-</v>
          </cell>
          <cell r="I133">
            <v>2.5265507879825733E-2</v>
          </cell>
          <cell r="J133">
            <v>3.6192040591313583E-2</v>
          </cell>
          <cell r="K133">
            <v>4.0091520285827326E-2</v>
          </cell>
          <cell r="L133">
            <v>4.2581871157422353E-2</v>
          </cell>
          <cell r="M133">
            <v>4.5137824767663391E-2</v>
          </cell>
          <cell r="N133" t="str">
            <v/>
          </cell>
          <cell r="O133">
            <v>6.1186543416088283E-3</v>
          </cell>
          <cell r="P133">
            <v>1.1775896521250774E-2</v>
          </cell>
          <cell r="Q133">
            <v>1.477135220899134E-2</v>
          </cell>
          <cell r="R133">
            <v>1.7130680169083787E-2</v>
          </cell>
          <cell r="AC133" t="str">
            <v>US87264ACA16</v>
          </cell>
          <cell r="AD133" t="str">
            <v>TMUS 2.05 02/15/28</v>
          </cell>
          <cell r="AE133">
            <v>46736</v>
          </cell>
          <cell r="AF133">
            <v>3.7019541431782023E-2</v>
          </cell>
          <cell r="AG133">
            <v>3.0719788540453027E-3</v>
          </cell>
          <cell r="AH133">
            <v>4.7750329999999994E-2</v>
          </cell>
          <cell r="AI133">
            <v>4.0440829937761213E-3</v>
          </cell>
        </row>
        <row r="134">
          <cell r="E134" t="str">
            <v>ONEOK, INC.</v>
          </cell>
          <cell r="F134" t="str">
            <v>Sr Unsecured</v>
          </cell>
          <cell r="G134" t="str">
            <v>US</v>
          </cell>
          <cell r="H134" t="str">
            <v>BBB / Baa3 / BBB</v>
          </cell>
          <cell r="I134">
            <v>2.2321894796627741E-2</v>
          </cell>
          <cell r="J134">
            <v>3.3503703629833223E-2</v>
          </cell>
          <cell r="K134">
            <v>3.9804475392894785E-2</v>
          </cell>
          <cell r="L134">
            <v>4.3669200231615642E-2</v>
          </cell>
          <cell r="M134">
            <v>4.6473557670372881E-2</v>
          </cell>
          <cell r="N134" t="str">
            <v/>
          </cell>
          <cell r="O134">
            <v>3.4302328446102221E-3</v>
          </cell>
          <cell r="P134">
            <v>1.1491243326628568E-2</v>
          </cell>
          <cell r="Q134">
            <v>1.5865633718788193E-2</v>
          </cell>
          <cell r="R134">
            <v>1.8482193593189412E-2</v>
          </cell>
          <cell r="AC134" t="str">
            <v>US682680AS26</v>
          </cell>
          <cell r="AD134" t="str">
            <v>OKE 4 07/13/27</v>
          </cell>
          <cell r="AE134">
            <v>46490</v>
          </cell>
          <cell r="AF134">
            <v>3.8802550513484683E-2</v>
          </cell>
          <cell r="AG134">
            <v>1.0019248794101016E-3</v>
          </cell>
          <cell r="AH134">
            <v>4.960846E-2</v>
          </cell>
          <cell r="AI134">
            <v>1.8155679327617191E-3</v>
          </cell>
        </row>
        <row r="135">
          <cell r="E135" t="str">
            <v>AT&amp;T Inc.</v>
          </cell>
          <cell r="F135" t="str">
            <v>Sr Unsecured</v>
          </cell>
          <cell r="G135" t="str">
            <v>US</v>
          </cell>
          <cell r="H135" t="str">
            <v>BBB / Baa2 / BBB+</v>
          </cell>
          <cell r="I135">
            <v>2.5419572123567047E-2</v>
          </cell>
          <cell r="J135">
            <v>3.566329535808356E-2</v>
          </cell>
          <cell r="K135">
            <v>3.9757021078882973E-2</v>
          </cell>
          <cell r="L135">
            <v>4.1902483594727119E-2</v>
          </cell>
          <cell r="M135">
            <v>4.4364228929797009E-2</v>
          </cell>
          <cell r="N135" t="str">
            <v/>
          </cell>
          <cell r="O135">
            <v>5.5910214226181105E-3</v>
          </cell>
          <cell r="P135">
            <v>1.14422663536724E-2</v>
          </cell>
          <cell r="Q135">
            <v>1.4089758146895393E-2</v>
          </cell>
          <cell r="R135">
            <v>1.6350351681310209E-2</v>
          </cell>
          <cell r="AC135" t="str">
            <v>US00206RDQ20</v>
          </cell>
          <cell r="AD135" t="str">
            <v>T 4 1/4 03/01/27</v>
          </cell>
          <cell r="AE135">
            <v>46357</v>
          </cell>
          <cell r="AF135">
            <v>3.3262977608142889E-2</v>
          </cell>
          <cell r="AG135">
            <v>6.4940434707400838E-3</v>
          </cell>
          <cell r="AH135">
            <v>4.3954259999999995E-2</v>
          </cell>
          <cell r="AI135">
            <v>7.4982348361297066E-3</v>
          </cell>
        </row>
        <row r="136">
          <cell r="E136" t="str">
            <v>Universal Health Services, Inc.</v>
          </cell>
          <cell r="F136" t="str">
            <v>1st lien</v>
          </cell>
          <cell r="G136" t="str">
            <v>US</v>
          </cell>
          <cell r="H136" t="str">
            <v>BBB- /  / BBB-</v>
          </cell>
          <cell r="I136">
            <v>2.2577508981489178E-2</v>
          </cell>
          <cell r="J136">
            <v>3.3612938612131577E-2</v>
          </cell>
          <cell r="K136">
            <v>3.9572209539453652E-2</v>
          </cell>
          <cell r="L136">
            <v>4.2315698096192102E-2</v>
          </cell>
          <cell r="M136">
            <v>4.6220344211487616E-2</v>
          </cell>
          <cell r="N136" t="str">
            <v/>
          </cell>
          <cell r="O136">
            <v>3.540034855071721E-3</v>
          </cell>
          <cell r="P136">
            <v>1.1257134319881242E-2</v>
          </cell>
          <cell r="Q136">
            <v>1.4503533738223778E-2</v>
          </cell>
          <cell r="R136">
            <v>1.8228744156529961E-2</v>
          </cell>
          <cell r="AC136" t="str">
            <v>US913903AZ35</v>
          </cell>
          <cell r="AD136" t="str">
            <v>UHS 1.65 09/01/26</v>
          </cell>
          <cell r="AE136">
            <v>46235</v>
          </cell>
          <cell r="AF136">
            <v>4.1804547263942331E-2</v>
          </cell>
          <cell r="AG136">
            <v>-2.2323377244886783E-3</v>
          </cell>
          <cell r="AH136">
            <v>5.3878280000000001E-2</v>
          </cell>
          <cell r="AI136">
            <v>-2.6792632099209568E-3</v>
          </cell>
        </row>
        <row r="137">
          <cell r="E137" t="str">
            <v>BP P.L.C.</v>
          </cell>
          <cell r="F137" t="str">
            <v>Sr Unsecured</v>
          </cell>
          <cell r="G137" t="str">
            <v>UK</v>
          </cell>
          <cell r="H137" t="str">
            <v>A- / A2 / A</v>
          </cell>
          <cell r="I137">
            <v>2.4217923910949804E-2</v>
          </cell>
          <cell r="J137">
            <v>3.4632343645681726E-2</v>
          </cell>
          <cell r="K137">
            <v>3.9257529516123567E-2</v>
          </cell>
          <cell r="L137">
            <v>4.1844570200702584E-2</v>
          </cell>
          <cell r="M137">
            <v>4.4759942730651696E-2</v>
          </cell>
          <cell r="N137" t="str">
            <v/>
          </cell>
          <cell r="O137">
            <v>4.5594452064473155E-3</v>
          </cell>
          <cell r="P137">
            <v>1.094190941611387E-2</v>
          </cell>
          <cell r="Q137">
            <v>1.4031763787391224E-2</v>
          </cell>
          <cell r="R137">
            <v>1.6749519398785554E-2</v>
          </cell>
          <cell r="AC137" t="str">
            <v>US05565QDN51</v>
          </cell>
          <cell r="AD137" t="str">
            <v>BPLN 3.279 09/19/27</v>
          </cell>
          <cell r="AE137">
            <v>46557</v>
          </cell>
          <cell r="AF137">
            <v>3.2853328580630545E-2</v>
          </cell>
          <cell r="AG137">
            <v>6.4042009354930221E-3</v>
          </cell>
          <cell r="AH137">
            <v>4.3219260000000002E-2</v>
          </cell>
          <cell r="AI137">
            <v>6.6885370074643777E-3</v>
          </cell>
        </row>
        <row r="138">
          <cell r="E138" t="str">
            <v>VODAFONE GROUP PUBLIC LIMITED COMPANY</v>
          </cell>
          <cell r="F138" t="str">
            <v>Sr Unsecured</v>
          </cell>
          <cell r="G138" t="str">
            <v>UK</v>
          </cell>
          <cell r="H138" t="str">
            <v xml:space="preserve"> / Baa2 / BBB</v>
          </cell>
          <cell r="I138">
            <v>2.3049518371298122E-2</v>
          </cell>
          <cell r="J138">
            <v>3.3842646228039334E-2</v>
          </cell>
          <cell r="K138">
            <v>3.8842363478113047E-2</v>
          </cell>
          <cell r="L138">
            <v>4.1284755899224895E-2</v>
          </cell>
          <cell r="M138">
            <v>4.4280742788577243E-2</v>
          </cell>
          <cell r="N138" t="str">
            <v/>
          </cell>
          <cell r="O138">
            <v>3.7695192089621963E-3</v>
          </cell>
          <cell r="P138">
            <v>1.0525668275576768E-2</v>
          </cell>
          <cell r="Q138">
            <v>1.3468109416525632E-2</v>
          </cell>
          <cell r="R138">
            <v>1.6266003698140824E-2</v>
          </cell>
          <cell r="AC138" t="str">
            <v>XS1652855815</v>
          </cell>
          <cell r="AD138" t="str">
            <v>VOD 1 1/2 07/24/27</v>
          </cell>
          <cell r="AE138" t="str">
            <v xml:space="preserve"> </v>
          </cell>
          <cell r="AF138">
            <v>3.1883080000000001E-2</v>
          </cell>
          <cell r="AG138">
            <v>6.9592834781130458E-3</v>
          </cell>
          <cell r="AH138">
            <v>4.2142426602669501E-2</v>
          </cell>
          <cell r="AI138">
            <v>7.32411637865759E-3</v>
          </cell>
        </row>
        <row r="139">
          <cell r="E139" t="str">
            <v>General Electric Company</v>
          </cell>
          <cell r="F139" t="str">
            <v>Sr Unsecured</v>
          </cell>
          <cell r="G139" t="str">
            <v>US</v>
          </cell>
          <cell r="H139" t="str">
            <v>BBB+ / Baa1 / BBB</v>
          </cell>
          <cell r="I139">
            <v>2.353226437965026E-2</v>
          </cell>
          <cell r="J139">
            <v>3.3669160755878363E-2</v>
          </cell>
          <cell r="K139">
            <v>3.8471568744040611E-2</v>
          </cell>
          <cell r="L139">
            <v>4.1177538517353965E-2</v>
          </cell>
          <cell r="M139">
            <v>4.4149949827112317E-2</v>
          </cell>
          <cell r="N139" t="str">
            <v/>
          </cell>
          <cell r="O139">
            <v>3.5967929775234469E-3</v>
          </cell>
          <cell r="P139">
            <v>1.0155826607979217E-2</v>
          </cell>
          <cell r="Q139">
            <v>1.3364279332748683E-2</v>
          </cell>
          <cell r="R139">
            <v>1.6139760892347237E-2</v>
          </cell>
          <cell r="AC139" t="str">
            <v>XS1238902057</v>
          </cell>
          <cell r="AD139" t="str">
            <v>GE 1 7/8 05/28/27</v>
          </cell>
          <cell r="AE139">
            <v>46446</v>
          </cell>
          <cell r="AF139">
            <v>3.5683619999999999E-2</v>
          </cell>
          <cell r="AG139">
            <v>2.7879487440406123E-3</v>
          </cell>
          <cell r="AH139">
            <v>4.5996283015873954E-2</v>
          </cell>
          <cell r="AI139">
            <v>4.1136710522123796E-3</v>
          </cell>
        </row>
        <row r="140">
          <cell r="E140" t="str">
            <v>Koninklijke KPN N.V.</v>
          </cell>
          <cell r="F140" t="str">
            <v>Sr Unsecured</v>
          </cell>
          <cell r="G140" t="str">
            <v>Netherlands</v>
          </cell>
          <cell r="H140" t="str">
            <v>BBB / Baa3 / BBB</v>
          </cell>
          <cell r="I140">
            <v>2.2655617329676879E-2</v>
          </cell>
          <cell r="J140">
            <v>3.3214332396459316E-2</v>
          </cell>
          <cell r="K140">
            <v>3.8428515952710358E-2</v>
          </cell>
          <cell r="L140">
            <v>4.185761645384805E-2</v>
          </cell>
          <cell r="M140">
            <v>4.5193304536232229E-2</v>
          </cell>
          <cell r="N140" t="str">
            <v/>
          </cell>
          <cell r="O140">
            <v>3.1411977816118786E-3</v>
          </cell>
          <cell r="P140">
            <v>1.0111787150249284E-2</v>
          </cell>
          <cell r="Q140">
            <v>1.4047745716931381E-2</v>
          </cell>
          <cell r="R140">
            <v>1.7192399736407755E-2</v>
          </cell>
          <cell r="AC140" t="str">
            <v>XS1485533431</v>
          </cell>
          <cell r="AD140" t="str">
            <v>KPN 1 1/8 09/11/28</v>
          </cell>
          <cell r="AE140">
            <v>46915</v>
          </cell>
          <cell r="AF140">
            <v>3.3576979999999999E-2</v>
          </cell>
          <cell r="AG140">
            <v>4.8515359527103591E-3</v>
          </cell>
          <cell r="AH140">
            <v>4.3109070157338662E-2</v>
          </cell>
          <cell r="AI140">
            <v>5.9276768579182362E-3</v>
          </cell>
        </row>
        <row r="141">
          <cell r="E141" t="str">
            <v>Hyundai Motor Company</v>
          </cell>
          <cell r="F141" t="str">
            <v>Sr Unsecured</v>
          </cell>
          <cell r="G141" t="str">
            <v>Korea</v>
          </cell>
          <cell r="H141" t="str">
            <v xml:space="preserve">BBB+ / Baa1 / </v>
          </cell>
          <cell r="I141">
            <v>2.2113209617209854E-2</v>
          </cell>
          <cell r="J141">
            <v>3.2719514911677836E-2</v>
          </cell>
          <cell r="K141">
            <v>3.8358456728951947E-2</v>
          </cell>
          <cell r="L141">
            <v>4.0459193597132917E-2</v>
          </cell>
          <cell r="M141">
            <v>4.2617128763683357E-2</v>
          </cell>
          <cell r="N141" t="str">
            <v/>
          </cell>
          <cell r="O141">
            <v>2.6464101618595814E-3</v>
          </cell>
          <cell r="P141">
            <v>1.0043508218666409E-2</v>
          </cell>
          <cell r="Q141">
            <v>1.2640065567434708E-2</v>
          </cell>
          <cell r="R141">
            <v>1.4585996536457554E-2</v>
          </cell>
          <cell r="AC141" t="str">
            <v>US44891ABX46</v>
          </cell>
          <cell r="AD141" t="str">
            <v>HYNMTR 2 06/15/28</v>
          </cell>
          <cell r="AE141">
            <v>46858</v>
          </cell>
          <cell r="AF141">
            <v>4.2580935651585564E-2</v>
          </cell>
          <cell r="AG141">
            <v>-4.2224789226336171E-3</v>
          </cell>
          <cell r="AH141">
            <v>5.416812E-2</v>
          </cell>
          <cell r="AI141">
            <v>-4.204698889028774E-3</v>
          </cell>
        </row>
        <row r="142">
          <cell r="E142" t="str">
            <v>REPSOL, S.A.</v>
          </cell>
          <cell r="F142" t="str">
            <v>Sr Unsecured</v>
          </cell>
          <cell r="G142" t="str">
            <v>Spain</v>
          </cell>
          <cell r="H142" t="str">
            <v>BBB+ / Baa1 / BBB</v>
          </cell>
          <cell r="I142">
            <v>2.2940098337052933E-2</v>
          </cell>
          <cell r="J142">
            <v>3.3359614510718928E-2</v>
          </cell>
          <cell r="K142">
            <v>3.8226125638405786E-2</v>
          </cell>
          <cell r="L142">
            <v>4.1017420963406978E-2</v>
          </cell>
          <cell r="M142">
            <v>4.4255478162147269E-2</v>
          </cell>
          <cell r="N142" t="str">
            <v/>
          </cell>
          <cell r="O142">
            <v>3.2865566559170506E-3</v>
          </cell>
          <cell r="P142">
            <v>9.9087169787487241E-3</v>
          </cell>
          <cell r="Q142">
            <v>1.320194273333483E-2</v>
          </cell>
          <cell r="R142">
            <v>1.6243830122725976E-2</v>
          </cell>
          <cell r="AC142" t="str">
            <v>XS2035620710</v>
          </cell>
          <cell r="AD142" t="str">
            <v>REPSM 0 1/4 08/02/27</v>
          </cell>
          <cell r="AE142">
            <v>46509</v>
          </cell>
          <cell r="AF142">
            <v>3.1253639999999999E-2</v>
          </cell>
          <cell r="AG142">
            <v>6.9724856384057871E-3</v>
          </cell>
          <cell r="AH142">
            <v>4.1411512801859153E-2</v>
          </cell>
          <cell r="AI142">
            <v>7.4298567051946166E-3</v>
          </cell>
        </row>
        <row r="143">
          <cell r="E143" t="str">
            <v>Bayer Aktiengesellschaft</v>
          </cell>
          <cell r="F143" t="str">
            <v>Sr Unsecured</v>
          </cell>
          <cell r="G143" t="str">
            <v>Germany</v>
          </cell>
          <cell r="H143" t="str">
            <v>BBB / Baa2 / BBB+</v>
          </cell>
          <cell r="I143">
            <v>2.3483345231488033E-2</v>
          </cell>
          <cell r="J143">
            <v>3.3683814032539824E-2</v>
          </cell>
          <cell r="K143">
            <v>3.8131723757263238E-2</v>
          </cell>
          <cell r="L143">
            <v>4.0711702887436085E-2</v>
          </cell>
          <cell r="M143">
            <v>4.36828100667681E-2</v>
          </cell>
          <cell r="N143" t="str">
            <v/>
          </cell>
          <cell r="O143">
            <v>3.6108740124894526E-3</v>
          </cell>
          <cell r="P143">
            <v>9.814119633051269E-3</v>
          </cell>
          <cell r="Q143">
            <v>1.2894656919653835E-2</v>
          </cell>
          <cell r="R143">
            <v>1.5663982998256984E-2</v>
          </cell>
          <cell r="AC143" t="str">
            <v>XS2199266003</v>
          </cell>
          <cell r="AD143" t="str">
            <v>BAYNGR 0 3/4 01/06/27</v>
          </cell>
          <cell r="AE143">
            <v>46301</v>
          </cell>
          <cell r="AF143">
            <v>3.6585800000000002E-2</v>
          </cell>
          <cell r="AG143">
            <v>1.5459237572632359E-3</v>
          </cell>
          <cell r="AH143">
            <v>4.6956033281933901E-2</v>
          </cell>
          <cell r="AI143">
            <v>1.8024450371332476E-3</v>
          </cell>
        </row>
        <row r="144">
          <cell r="E144" t="str">
            <v>Daimler AG</v>
          </cell>
          <cell r="F144" t="str">
            <v>Sr Unsecured</v>
          </cell>
          <cell r="G144" t="str">
            <v>Germany</v>
          </cell>
          <cell r="H144" t="str">
            <v>A- / A3 / A-</v>
          </cell>
          <cell r="I144">
            <v>2.3401486050613259E-2</v>
          </cell>
          <cell r="J144">
            <v>3.358778690219149E-2</v>
          </cell>
          <cell r="K144">
            <v>3.8124251983708439E-2</v>
          </cell>
          <cell r="L144">
            <v>4.03322622899977E-2</v>
          </cell>
          <cell r="M144">
            <v>4.3099857638018484E-2</v>
          </cell>
          <cell r="N144" t="str">
            <v/>
          </cell>
          <cell r="O144">
            <v>3.5150939447258205E-3</v>
          </cell>
          <cell r="P144">
            <v>9.8069247006944502E-3</v>
          </cell>
          <cell r="Q144">
            <v>1.2511525214562662E-2</v>
          </cell>
          <cell r="R144">
            <v>1.5073237211366166E-2</v>
          </cell>
          <cell r="AC144" t="str">
            <v>DE000A2GSLY0</v>
          </cell>
          <cell r="AD144" t="str">
            <v>MBGGR 1 11/15/27</v>
          </cell>
          <cell r="AE144" t="str">
            <v xml:space="preserve"> </v>
          </cell>
          <cell r="AF144">
            <v>2.878638E-2</v>
          </cell>
          <cell r="AG144">
            <v>9.3378719837084387E-3</v>
          </cell>
          <cell r="AH144">
            <v>3.8917494552536486E-2</v>
          </cell>
          <cell r="AI144">
            <v>9.8290170357786741E-3</v>
          </cell>
        </row>
        <row r="145">
          <cell r="E145" t="str">
            <v>ENI S.P.A.</v>
          </cell>
          <cell r="F145" t="str">
            <v>Sr Unsecured</v>
          </cell>
          <cell r="G145" t="str">
            <v>Italy</v>
          </cell>
          <cell r="H145" t="str">
            <v>A- / Baa1 / A-</v>
          </cell>
          <cell r="I145">
            <v>2.3131674816072933E-2</v>
          </cell>
          <cell r="J145">
            <v>3.33625742879083E-2</v>
          </cell>
          <cell r="K145">
            <v>3.8021724039519818E-2</v>
          </cell>
          <cell r="L145">
            <v>4.0600989498989125E-2</v>
          </cell>
          <cell r="M145">
            <v>4.3576435739346914E-2</v>
          </cell>
          <cell r="N145" t="str">
            <v/>
          </cell>
          <cell r="O145">
            <v>3.2898600318775626E-3</v>
          </cell>
          <cell r="P145">
            <v>9.7038113659908658E-3</v>
          </cell>
          <cell r="Q145">
            <v>1.2783068291466059E-2</v>
          </cell>
          <cell r="R145">
            <v>1.5556301631676957E-2</v>
          </cell>
          <cell r="AC145" t="str">
            <v>XS1551068676</v>
          </cell>
          <cell r="AD145" t="str">
            <v>ENIIM 1 1/2 01/17/27</v>
          </cell>
          <cell r="AE145" t="str">
            <v xml:space="preserve"> </v>
          </cell>
          <cell r="AF145">
            <v>3.4642159999999998E-2</v>
          </cell>
          <cell r="AG145">
            <v>3.3795640395198195E-3</v>
          </cell>
          <cell r="AH145">
            <v>4.5193377705729947E-2</v>
          </cell>
          <cell r="AI145">
            <v>3.4445891488028776E-3</v>
          </cell>
        </row>
        <row r="146">
          <cell r="E146" t="str">
            <v>Oracle Corporation</v>
          </cell>
          <cell r="F146" t="str">
            <v>Sr Unsecured</v>
          </cell>
          <cell r="G146" t="str">
            <v>US</v>
          </cell>
          <cell r="H146" t="str">
            <v>BBB / Baa2 / BBB</v>
          </cell>
          <cell r="I146">
            <v>2.324283950143061E-2</v>
          </cell>
          <cell r="J146">
            <v>3.3123907620630839E-2</v>
          </cell>
          <cell r="K146">
            <v>3.7945774743579602E-2</v>
          </cell>
          <cell r="L146">
            <v>4.0146010888115806E-2</v>
          </cell>
          <cell r="M146">
            <v>4.239676680077329E-2</v>
          </cell>
          <cell r="N146" t="str">
            <v/>
          </cell>
          <cell r="O146">
            <v>3.0518249078774116E-3</v>
          </cell>
          <cell r="P146">
            <v>9.6302887393992925E-3</v>
          </cell>
          <cell r="Q146">
            <v>1.2327119846397694E-2</v>
          </cell>
          <cell r="R146">
            <v>1.4365150670734531E-2</v>
          </cell>
          <cell r="AC146" t="str">
            <v>US68389XBN49</v>
          </cell>
          <cell r="AD146" t="str">
            <v>ORCL 3 1/4 11/15/27</v>
          </cell>
          <cell r="AE146">
            <v>46614</v>
          </cell>
          <cell r="AF146">
            <v>3.6383592153641391E-2</v>
          </cell>
          <cell r="AG146">
            <v>1.5621825899382116E-3</v>
          </cell>
          <cell r="AH146">
            <v>4.6909270000000003E-2</v>
          </cell>
          <cell r="AI146">
            <v>2.659211063076497E-3</v>
          </cell>
        </row>
        <row r="147">
          <cell r="E147" t="str">
            <v>Viacom Inc.</v>
          </cell>
          <cell r="F147" t="str">
            <v>Sr Unsecured</v>
          </cell>
          <cell r="G147" t="str">
            <v>US</v>
          </cell>
          <cell r="H147" t="str">
            <v>BBB / Baa2 / BBB</v>
          </cell>
          <cell r="I147">
            <v>2.2169359425681139E-2</v>
          </cell>
          <cell r="J147">
            <v>3.2375481261043393E-2</v>
          </cell>
          <cell r="K147">
            <v>3.7851131755076088E-2</v>
          </cell>
          <cell r="L147">
            <v>4.1228671427907343E-2</v>
          </cell>
          <cell r="M147">
            <v>4.4082886730807576E-2</v>
          </cell>
          <cell r="N147" t="str">
            <v/>
          </cell>
          <cell r="O147">
            <v>2.3027131431404193E-3</v>
          </cell>
          <cell r="P147">
            <v>9.5352606889071833E-3</v>
          </cell>
          <cell r="Q147">
            <v>1.3418589657498866E-2</v>
          </cell>
          <cell r="R147">
            <v>1.60744799963147E-2</v>
          </cell>
          <cell r="AC147" t="str">
            <v>US124857AR43</v>
          </cell>
          <cell r="AD147" t="str">
            <v>PARA 2.9 01/15/27</v>
          </cell>
          <cell r="AE147">
            <v>46310</v>
          </cell>
          <cell r="AF147">
            <v>4.0184660864837608E-2</v>
          </cell>
          <cell r="AG147">
            <v>-2.3335291097615202E-3</v>
          </cell>
          <cell r="AH147">
            <v>5.1569659999999996E-2</v>
          </cell>
          <cell r="AI147">
            <v>-2.1191145003527367E-3</v>
          </cell>
        </row>
        <row r="148">
          <cell r="E148" t="str">
            <v>MARRIOTT INTERNATIONAL, INC.</v>
          </cell>
          <cell r="F148" t="str">
            <v>Sr Unsecured</v>
          </cell>
          <cell r="G148" t="str">
            <v>US</v>
          </cell>
          <cell r="H148" t="str">
            <v xml:space="preserve">BBB / Baa2 / </v>
          </cell>
          <cell r="I148">
            <v>2.2922451895527649E-2</v>
          </cell>
          <cell r="J148">
            <v>3.2888372589766776E-2</v>
          </cell>
          <cell r="K148">
            <v>3.7640546544237687E-2</v>
          </cell>
          <cell r="L148">
            <v>4.0019949718332906E-2</v>
          </cell>
          <cell r="M148">
            <v>4.2447179840236125E-2</v>
          </cell>
          <cell r="N148" t="str">
            <v/>
          </cell>
          <cell r="O148">
            <v>2.8159874231702031E-3</v>
          </cell>
          <cell r="P148">
            <v>9.3234780829656114E-3</v>
          </cell>
          <cell r="Q148">
            <v>1.2200882022930104E-2</v>
          </cell>
          <cell r="R148">
            <v>1.441755572927484E-2</v>
          </cell>
          <cell r="AC148" t="str">
            <v>US571903BJ14</v>
          </cell>
          <cell r="AD148" t="str">
            <v>MAR 5 10/15/27</v>
          </cell>
          <cell r="AE148">
            <v>46645</v>
          </cell>
          <cell r="AF148">
            <v>3.816535355210935E-2</v>
          </cell>
          <cell r="AG148">
            <v>-5.2480700787166379E-4</v>
          </cell>
          <cell r="AH148">
            <v>4.8568870000000007E-2</v>
          </cell>
          <cell r="AI148">
            <v>6.9106025431683871E-4</v>
          </cell>
        </row>
        <row r="149">
          <cell r="E149" t="str">
            <v>BASF SE</v>
          </cell>
          <cell r="F149" t="str">
            <v>Sr Unsecured</v>
          </cell>
          <cell r="G149" t="str">
            <v>Germany</v>
          </cell>
          <cell r="H149" t="str">
            <v>A / A3 / A</v>
          </cell>
          <cell r="I149">
            <v>2.3113038100815393E-2</v>
          </cell>
          <cell r="J149">
            <v>3.1989106082374763E-2</v>
          </cell>
          <cell r="K149">
            <v>3.6772874261825461E-2</v>
          </cell>
          <cell r="L149">
            <v>3.856415384409375E-2</v>
          </cell>
          <cell r="M149">
            <v>4.0446997064504844E-2</v>
          </cell>
          <cell r="N149" t="str">
            <v/>
          </cell>
          <cell r="O149">
            <v>1.9166325125615055E-3</v>
          </cell>
          <cell r="P149">
            <v>8.4543990000926113E-3</v>
          </cell>
          <cell r="Q149">
            <v>1.0733608011028233E-2</v>
          </cell>
          <cell r="R149">
            <v>1.2384008141733497E-2</v>
          </cell>
          <cell r="AC149" t="str">
            <v>XS1718418103</v>
          </cell>
          <cell r="AD149" t="str">
            <v>BASGR 0 7/8 11/15/27</v>
          </cell>
          <cell r="AE149">
            <v>46614</v>
          </cell>
          <cell r="AF149">
            <v>2.6243910000000002E-2</v>
          </cell>
          <cell r="AG149">
            <v>1.0528964261825459E-2</v>
          </cell>
          <cell r="AH149">
            <v>3.6438634358238048E-2</v>
          </cell>
          <cell r="AI149">
            <v>1.0923002461521739E-2</v>
          </cell>
        </row>
        <row r="150">
          <cell r="E150" t="str">
            <v>Aktiebolaget Volvo</v>
          </cell>
          <cell r="F150" t="str">
            <v>Sr Unsecured</v>
          </cell>
          <cell r="G150" t="str">
            <v>Sweden</v>
          </cell>
          <cell r="H150" t="str">
            <v>A- / A2 / A-u</v>
          </cell>
          <cell r="I150">
            <v>2.2529218309153838E-2</v>
          </cell>
          <cell r="J150">
            <v>3.2364530782340667E-2</v>
          </cell>
          <cell r="K150">
            <v>3.6477475990962238E-2</v>
          </cell>
          <cell r="L150">
            <v>3.8593048618588296E-2</v>
          </cell>
          <cell r="M150">
            <v>4.1188962113007918E-2</v>
          </cell>
          <cell r="N150" t="str">
            <v/>
          </cell>
          <cell r="O150">
            <v>2.2912141934026769E-3</v>
          </cell>
          <cell r="P150">
            <v>8.1547914024716287E-3</v>
          </cell>
          <cell r="Q150">
            <v>1.0762393843349351E-2</v>
          </cell>
          <cell r="R150">
            <v>1.3139643794290974E-2</v>
          </cell>
          <cell r="AC150" t="str">
            <v>XS2521820048</v>
          </cell>
          <cell r="AD150" t="str">
            <v>VLVY 2 08/19/27</v>
          </cell>
          <cell r="AE150">
            <v>46526</v>
          </cell>
          <cell r="AF150">
            <v>3.4224749999999998E-2</v>
          </cell>
          <cell r="AG150">
            <v>2.2527259909622399E-3</v>
          </cell>
          <cell r="AH150">
            <v>4.4426032230628104E-2</v>
          </cell>
          <cell r="AI150">
            <v>2.6479239817963351E-3</v>
          </cell>
        </row>
        <row r="151">
          <cell r="E151" t="str">
            <v>Orange</v>
          </cell>
          <cell r="F151" t="str">
            <v>Sr Unsecured</v>
          </cell>
          <cell r="G151" t="str">
            <v>France</v>
          </cell>
          <cell r="H151" t="str">
            <v>BBB+ / Baa1 / BBB+</v>
          </cell>
          <cell r="I151">
            <v>2.1999534425521741E-2</v>
          </cell>
          <cell r="J151">
            <v>3.1879304940436032E-2</v>
          </cell>
          <cell r="K151">
            <v>3.6065106915915635E-2</v>
          </cell>
          <cell r="L151">
            <v>3.7589464437741624E-2</v>
          </cell>
          <cell r="M151">
            <v>3.9905075264693085E-2</v>
          </cell>
          <cell r="N151" t="str">
            <v/>
          </cell>
          <cell r="O151">
            <v>1.8051225549059299E-3</v>
          </cell>
          <cell r="P151">
            <v>7.7415701530507575E-3</v>
          </cell>
          <cell r="Q151">
            <v>9.7484495031046493E-3</v>
          </cell>
          <cell r="R151">
            <v>1.1835593857319179E-2</v>
          </cell>
          <cell r="AC151" t="str">
            <v>FR0013506292</v>
          </cell>
          <cell r="AD151" t="str">
            <v>ORAFP 1 1/4 07/07/27</v>
          </cell>
          <cell r="AE151">
            <v>46484</v>
          </cell>
          <cell r="AF151">
            <v>3.1603100000000002E-2</v>
          </cell>
          <cell r="AG151">
            <v>4.4620069159156325E-3</v>
          </cell>
          <cell r="AH151">
            <v>4.1814923661657358E-2</v>
          </cell>
          <cell r="AI151">
            <v>4.8322389020971218E-3</v>
          </cell>
        </row>
        <row r="152">
          <cell r="E152" t="str">
            <v>TotalEnergies SE</v>
          </cell>
          <cell r="F152" t="str">
            <v>Sr Unsecured</v>
          </cell>
          <cell r="G152" t="str">
            <v>France</v>
          </cell>
          <cell r="H152" t="str">
            <v>A+ / A1 / AA-u</v>
          </cell>
          <cell r="I152">
            <v>2.2192339140100308E-2</v>
          </cell>
          <cell r="J152">
            <v>3.1811444852683175E-2</v>
          </cell>
          <cell r="K152">
            <v>3.5597479555529339E-2</v>
          </cell>
          <cell r="L152">
            <v>3.7170563142661976E-2</v>
          </cell>
          <cell r="M152">
            <v>3.9189219282208677E-2</v>
          </cell>
          <cell r="N152" t="str">
            <v/>
          </cell>
          <cell r="O152">
            <v>1.7375203715122261E-3</v>
          </cell>
          <cell r="P152">
            <v>7.2710639701869155E-3</v>
          </cell>
          <cell r="Q152">
            <v>9.3265319766210695E-3</v>
          </cell>
          <cell r="R152">
            <v>1.1106695187662651E-2</v>
          </cell>
          <cell r="AC152" t="str">
            <v>XS2004381674</v>
          </cell>
          <cell r="AD152" t="str">
            <v>TTEFP 0.696 05/31/28</v>
          </cell>
          <cell r="AE152">
            <v>46811</v>
          </cell>
          <cell r="AF152">
            <v>3.2556460000000002E-2</v>
          </cell>
          <cell r="AG152">
            <v>3.0410195555293368E-3</v>
          </cell>
          <cell r="AH152">
            <v>4.2209005403277385E-2</v>
          </cell>
          <cell r="AI152">
            <v>3.9743146835323276E-3</v>
          </cell>
        </row>
        <row r="153">
          <cell r="E153" t="str">
            <v>Omnicom Group Inc.</v>
          </cell>
          <cell r="F153" t="str">
            <v>Sr Unsecured</v>
          </cell>
          <cell r="G153" t="str">
            <v>US</v>
          </cell>
          <cell r="H153" t="str">
            <v xml:space="preserve">BBB+ / Baa1 / </v>
          </cell>
          <cell r="I153">
            <v>2.1758889597052768E-2</v>
          </cell>
          <cell r="J153">
            <v>3.1442003645065171E-2</v>
          </cell>
          <cell r="K153">
            <v>3.5476533138174587E-2</v>
          </cell>
          <cell r="L153">
            <v>3.7570708047911482E-2</v>
          </cell>
          <cell r="M153">
            <v>3.9991236672281778E-2</v>
          </cell>
          <cell r="N153" t="str">
            <v/>
          </cell>
          <cell r="O153">
            <v>1.3685472663253402E-3</v>
          </cell>
          <cell r="P153">
            <v>7.1525748137915134E-3</v>
          </cell>
          <cell r="Q153">
            <v>9.7362738044782602E-3</v>
          </cell>
          <cell r="R153">
            <v>1.1932306538703422E-2</v>
          </cell>
          <cell r="AC153" t="str">
            <v>XS2019814503</v>
          </cell>
          <cell r="AD153" t="str">
            <v>OMC 0.8 07/08/27</v>
          </cell>
          <cell r="AE153">
            <v>46485</v>
          </cell>
          <cell r="AF153">
            <v>3.4529820000000003E-2</v>
          </cell>
          <cell r="AG153">
            <v>9.4671313817458469E-4</v>
          </cell>
          <cell r="AH153">
            <v>4.4562512964567161E-2</v>
          </cell>
          <cell r="AI153">
            <v>2.4971034227661212E-3</v>
          </cell>
        </row>
        <row r="154">
          <cell r="E154" t="str">
            <v>MERCK Kommanditgesellschaft auf Aktien</v>
          </cell>
          <cell r="F154" t="str">
            <v>Sr Unsecured</v>
          </cell>
          <cell r="G154" t="str">
            <v>Germany</v>
          </cell>
          <cell r="H154" t="str">
            <v xml:space="preserve">A / A3 / </v>
          </cell>
          <cell r="I154">
            <v>2.1809754289969896E-2</v>
          </cell>
          <cell r="J154">
            <v>3.0703382729247344E-2</v>
          </cell>
          <cell r="K154">
            <v>3.4717378964856563E-2</v>
          </cell>
          <cell r="L154">
            <v>3.6007246488564584E-2</v>
          </cell>
          <cell r="M154">
            <v>3.7780985190245905E-2</v>
          </cell>
          <cell r="N154" t="str">
            <v/>
          </cell>
          <cell r="O154">
            <v>6.2851650620245579E-4</v>
          </cell>
          <cell r="P154">
            <v>6.3884510548237348E-3</v>
          </cell>
          <cell r="Q154">
            <v>8.1517446491480051E-3</v>
          </cell>
          <cell r="R154">
            <v>9.6726126204991526E-3</v>
          </cell>
          <cell r="AC154" t="str">
            <v>XS2023644201</v>
          </cell>
          <cell r="AD154" t="str">
            <v>MRKGR 0 3/8 07/05/27</v>
          </cell>
          <cell r="AE154">
            <v>46482</v>
          </cell>
          <cell r="AF154">
            <v>2.9905270000000001E-2</v>
          </cell>
          <cell r="AG154">
            <v>4.8121089648565617E-3</v>
          </cell>
          <cell r="AH154">
            <v>4.0195907374057843E-2</v>
          </cell>
          <cell r="AI154">
            <v>5.080697285230952E-3</v>
          </cell>
        </row>
        <row r="155">
          <cell r="E155" t="str">
            <v xml:space="preserve">                                          HY</v>
          </cell>
        </row>
        <row r="156">
          <cell r="E156" t="str">
            <v>American Airlines Group Inc.</v>
          </cell>
          <cell r="F156" t="str">
            <v>1st lien</v>
          </cell>
          <cell r="G156" t="str">
            <v>US</v>
          </cell>
          <cell r="H156" t="str">
            <v>B / Ba3 / B</v>
          </cell>
          <cell r="I156">
            <v>5.788141111885451E-2</v>
          </cell>
          <cell r="J156">
            <v>0.10228999250807562</v>
          </cell>
          <cell r="K156">
            <v>0.11456451345659027</v>
          </cell>
          <cell r="L156">
            <v>0.1206392286660479</v>
          </cell>
          <cell r="M156">
            <v>0.12362162120125764</v>
          </cell>
          <cell r="N156">
            <v>2.5552967426162174E-2</v>
          </cell>
          <cell r="O156">
            <v>7.1991228378069802E-2</v>
          </cell>
          <cell r="P156">
            <v>8.577824767422372E-2</v>
          </cell>
          <cell r="Q156">
            <v>9.2290951767592361E-2</v>
          </cell>
          <cell r="R156">
            <v>9.5270612821611839E-2</v>
          </cell>
          <cell r="AC156" t="str">
            <v>US023771S586</v>
          </cell>
          <cell r="AD156" t="str">
            <v>AAL 11 3/4 07/15/25</v>
          </cell>
          <cell r="AE156" t="str">
            <v xml:space="preserve"> </v>
          </cell>
          <cell r="AF156">
            <v>5.7261535471574081E-2</v>
          </cell>
          <cell r="AG156">
            <v>5.7302977985016192E-2</v>
          </cell>
          <cell r="AH156">
            <v>6.9087220000000005E-2</v>
          </cell>
          <cell r="AI156">
            <v>5.886923502414243E-2</v>
          </cell>
        </row>
        <row r="157">
          <cell r="E157" t="str">
            <v>Altice Finco S.A.</v>
          </cell>
          <cell r="F157" t="str">
            <v>Secured</v>
          </cell>
          <cell r="G157" t="str">
            <v>Luxembourg</v>
          </cell>
          <cell r="H157" t="str">
            <v xml:space="preserve">B / B2 / </v>
          </cell>
          <cell r="I157">
            <v>5.2993640181827742E-2</v>
          </cell>
          <cell r="J157">
            <v>9.0770834030828071E-2</v>
          </cell>
          <cell r="K157">
            <v>0.10947617031033036</v>
          </cell>
          <cell r="L157">
            <v>0.11916269427498472</v>
          </cell>
          <cell r="M157">
            <v>0.12426186269044537</v>
          </cell>
          <cell r="N157">
            <v>2.0653710938845389E-2</v>
          </cell>
          <cell r="O157">
            <v>6.0524979976132577E-2</v>
          </cell>
          <cell r="P157">
            <v>8.0752048034789206E-2</v>
          </cell>
          <cell r="Q157">
            <v>9.0852835091338707E-2</v>
          </cell>
          <cell r="R157">
            <v>9.5947946531338951E-2</v>
          </cell>
          <cell r="AC157" t="str">
            <v>XS2102493389</v>
          </cell>
          <cell r="AD157" t="str">
            <v>ALTICE 3 01/15/28</v>
          </cell>
          <cell r="AE157">
            <v>44987</v>
          </cell>
          <cell r="AF157">
            <v>7.785243E-2</v>
          </cell>
          <cell r="AG157">
            <v>3.1623740310330356E-2</v>
          </cell>
          <cell r="AH157">
            <v>8.2588803985613093E-2</v>
          </cell>
          <cell r="AI157">
            <v>3.890664988694488E-2</v>
          </cell>
        </row>
        <row r="158">
          <cell r="E158" t="str">
            <v>ALTICE FRANCE</v>
          </cell>
          <cell r="F158" t="str">
            <v>1st lien</v>
          </cell>
          <cell r="G158" t="str">
            <v>France</v>
          </cell>
          <cell r="H158" t="str">
            <v xml:space="preserve">B / B2 / </v>
          </cell>
          <cell r="I158">
            <v>5.1022153233168777E-2</v>
          </cell>
          <cell r="J158">
            <v>8.6130375363946396E-2</v>
          </cell>
          <cell r="K158">
            <v>0.10368413988058506</v>
          </cell>
          <cell r="L158">
            <v>0.11036311681407068</v>
          </cell>
          <cell r="M158">
            <v>0.11531387177203413</v>
          </cell>
          <cell r="N158">
            <v>1.8680011869849574E-2</v>
          </cell>
          <cell r="O158">
            <v>5.5902606939653057E-2</v>
          </cell>
          <cell r="P158">
            <v>7.5003305511147672E-2</v>
          </cell>
          <cell r="Q158">
            <v>8.2117915957952745E-2</v>
          </cell>
          <cell r="R158">
            <v>8.7053925356670572E-2</v>
          </cell>
          <cell r="AC158" t="str">
            <v>XS1859337419</v>
          </cell>
          <cell r="AD158" t="str">
            <v>SFRFP 5 7/8 02/01/27</v>
          </cell>
          <cell r="AE158">
            <v>44987</v>
          </cell>
          <cell r="AF158">
            <v>8.6262820000000004E-2</v>
          </cell>
          <cell r="AG158">
            <v>1.7421319880585054E-2</v>
          </cell>
          <cell r="AH158">
            <v>9.3995744031838371E-2</v>
          </cell>
          <cell r="AI158">
            <v>2.1592104270642953E-2</v>
          </cell>
        </row>
        <row r="159">
          <cell r="E159" t="str">
            <v>Saipem Finance International B.V.</v>
          </cell>
          <cell r="F159" t="str">
            <v>Sr Unsecured</v>
          </cell>
          <cell r="G159" t="str">
            <v>Netherlands</v>
          </cell>
          <cell r="H159" t="str">
            <v xml:space="preserve">BB+ / Ba3 / </v>
          </cell>
          <cell r="I159">
            <v>7.4072723904986482E-2</v>
          </cell>
          <cell r="J159">
            <v>9.7681487197919969E-2</v>
          </cell>
          <cell r="K159">
            <v>0.1021815861363219</v>
          </cell>
          <cell r="L159">
            <v>0.10304736666051577</v>
          </cell>
          <cell r="M159">
            <v>0.10509816558269729</v>
          </cell>
          <cell r="N159">
            <v>4.1765300504246775E-2</v>
          </cell>
          <cell r="O159">
            <v>6.7440339509017899E-2</v>
          </cell>
          <cell r="P159">
            <v>7.3543347719775221E-2</v>
          </cell>
          <cell r="Q159">
            <v>7.4895663875248958E-2</v>
          </cell>
          <cell r="R159">
            <v>7.6906155600128603E-2</v>
          </cell>
          <cell r="AC159" t="str">
            <v>XS2325696628</v>
          </cell>
          <cell r="AD159" t="str">
            <v>SPMIM 3 1/8 03/31/28</v>
          </cell>
          <cell r="AE159">
            <v>46752</v>
          </cell>
          <cell r="AF159">
            <v>5.794709E-2</v>
          </cell>
          <cell r="AG159">
            <v>4.4234496136321903E-2</v>
          </cell>
          <cell r="AH159">
            <v>6.6440722395506246E-2</v>
          </cell>
          <cell r="AI159">
            <v>4.8209096623721429E-2</v>
          </cell>
        </row>
        <row r="160">
          <cell r="E160" t="str">
            <v>Intrum AB</v>
          </cell>
          <cell r="F160" t="str">
            <v>Sr Unsecured</v>
          </cell>
          <cell r="G160" t="str">
            <v>Sweden</v>
          </cell>
          <cell r="H160" t="str">
            <v>BB / Ba3 / BB</v>
          </cell>
          <cell r="I160">
            <v>5.1205015755932733E-2</v>
          </cell>
          <cell r="J160">
            <v>8.3810314575487918E-2</v>
          </cell>
          <cell r="K160">
            <v>9.6700454666676289E-2</v>
          </cell>
          <cell r="L160">
            <v>9.9226587891372883E-2</v>
          </cell>
          <cell r="M160">
            <v>0.10024163283513682</v>
          </cell>
          <cell r="N160">
            <v>1.8861945920767641E-2</v>
          </cell>
          <cell r="O160">
            <v>5.359502850694841E-2</v>
          </cell>
          <cell r="P160">
            <v>6.8066661272791068E-2</v>
          </cell>
          <cell r="Q160">
            <v>7.1062413061877161E-2</v>
          </cell>
          <cell r="R160">
            <v>7.203692390035922E-2</v>
          </cell>
          <cell r="AC160" t="str">
            <v>XS2052216202</v>
          </cell>
          <cell r="AD160" t="str">
            <v>INTRUM 3 09/15/27</v>
          </cell>
          <cell r="AE160">
            <v>44967</v>
          </cell>
          <cell r="AF160">
            <v>7.1427100000000007E-2</v>
          </cell>
          <cell r="AG160">
            <v>2.5273354666676281E-2</v>
          </cell>
          <cell r="AH160">
            <v>7.7987155091351387E-2</v>
          </cell>
          <cell r="AI160">
            <v>3.0602320558560964E-2</v>
          </cell>
        </row>
        <row r="161">
          <cell r="E161" t="str">
            <v>The Goodyear Tire &amp; Rubber Company</v>
          </cell>
          <cell r="F161" t="str">
            <v>Sr Unsecured</v>
          </cell>
          <cell r="G161" t="str">
            <v>US</v>
          </cell>
          <cell r="H161" t="str">
            <v>BB- / B2 / BB-</v>
          </cell>
          <cell r="I161">
            <v>3.1255586767914824E-2</v>
          </cell>
          <cell r="J161">
            <v>5.7059720771638123E-2</v>
          </cell>
          <cell r="K161">
            <v>7.5487194024587409E-2</v>
          </cell>
          <cell r="L161">
            <v>8.4455210316862039E-2</v>
          </cell>
          <cell r="M161">
            <v>8.5693988780595171E-2</v>
          </cell>
          <cell r="N161" t="str">
            <v/>
          </cell>
          <cell r="O161">
            <v>2.692788462650262E-2</v>
          </cell>
          <cell r="P161">
            <v>4.7000030924955874E-2</v>
          </cell>
          <cell r="Q161">
            <v>5.6431021264576428E-2</v>
          </cell>
          <cell r="R161">
            <v>5.7601118661036226E-2</v>
          </cell>
          <cell r="AC161" t="str">
            <v>US382550BG56</v>
          </cell>
          <cell r="AD161" t="str">
            <v>GT 4 7/8 03/15/27</v>
          </cell>
          <cell r="AE161">
            <v>46371</v>
          </cell>
          <cell r="AF161">
            <v>5.4846064262011912E-2</v>
          </cell>
          <cell r="AG161">
            <v>2.0641129762575497E-2</v>
          </cell>
          <cell r="AH161">
            <v>6.6955020000000004E-2</v>
          </cell>
          <cell r="AI161">
            <v>2.0664086026885034E-2</v>
          </cell>
        </row>
        <row r="162">
          <cell r="E162" t="str">
            <v>TELECOM ITALIA SPA</v>
          </cell>
          <cell r="F162" t="str">
            <v>Sr Unsecured</v>
          </cell>
          <cell r="G162" t="str">
            <v>Italy</v>
          </cell>
          <cell r="H162" t="str">
            <v>B+ / B1 / BB-</v>
          </cell>
          <cell r="I162">
            <v>3.5205506574801759E-2</v>
          </cell>
          <cell r="J162">
            <v>5.8156718759214361E-2</v>
          </cell>
          <cell r="K162">
            <v>7.0285530271082905E-2</v>
          </cell>
          <cell r="L162">
            <v>7.6970112480853656E-2</v>
          </cell>
          <cell r="M162">
            <v>8.1147955532838323E-2</v>
          </cell>
          <cell r="N162">
            <v>2.8358629082187448E-3</v>
          </cell>
          <cell r="O162">
            <v>2.8025681382748094E-2</v>
          </cell>
          <cell r="P162">
            <v>4.1837500683179839E-2</v>
          </cell>
          <cell r="Q162">
            <v>4.9008213525851843E-2</v>
          </cell>
          <cell r="R162">
            <v>5.3105072290928187E-2</v>
          </cell>
          <cell r="AC162" t="str">
            <v>XS1698218523</v>
          </cell>
          <cell r="AD162" t="str">
            <v>TITIM 2 3/8 10/12/27</v>
          </cell>
          <cell r="AE162">
            <v>46580</v>
          </cell>
          <cell r="AF162">
            <v>6.2431789999999994E-2</v>
          </cell>
          <cell r="AG162">
            <v>7.853740271082911E-3</v>
          </cell>
          <cell r="AH162">
            <v>7.0064065509442733E-2</v>
          </cell>
          <cell r="AI162">
            <v>1.1418041328903644E-2</v>
          </cell>
        </row>
        <row r="163">
          <cell r="E163" t="str">
            <v>thyssenkrupp AG</v>
          </cell>
          <cell r="F163" t="str">
            <v>Sr Unsecured</v>
          </cell>
          <cell r="G163" t="str">
            <v>Germany</v>
          </cell>
          <cell r="H163" t="str">
            <v>BB / Ba3 / BB-</v>
          </cell>
          <cell r="I163">
            <v>3.4412568501115681E-2</v>
          </cell>
          <cell r="J163">
            <v>5.7559387828401372E-2</v>
          </cell>
          <cell r="K163">
            <v>7.008732928037599E-2</v>
          </cell>
          <cell r="L163">
            <v>7.4844567454789998E-2</v>
          </cell>
          <cell r="M163">
            <v>7.8439590556676583E-2</v>
          </cell>
          <cell r="N163">
            <v>2.0406193087576466E-3</v>
          </cell>
          <cell r="O163">
            <v>2.7430086623535504E-2</v>
          </cell>
          <cell r="P163">
            <v>4.1635716348907406E-2</v>
          </cell>
          <cell r="Q163">
            <v>4.6885958901550041E-2</v>
          </cell>
          <cell r="R163">
            <v>5.0393917006296675E-2</v>
          </cell>
          <cell r="AC163" t="str">
            <v>DE000A14J587</v>
          </cell>
          <cell r="AD163" t="str">
            <v>TKAGR 2 1/2 02/25/25</v>
          </cell>
          <cell r="AE163" t="str">
            <v xml:space="preserve"> </v>
          </cell>
          <cell r="AF163">
            <v>2.9524559999999998E-2</v>
          </cell>
          <cell r="AG163">
            <v>4.0562769280375992E-2</v>
          </cell>
          <cell r="AH163">
            <v>4.3525132847980916E-2</v>
          </cell>
          <cell r="AI163">
            <v>3.7759254825440056E-2</v>
          </cell>
        </row>
        <row r="164">
          <cell r="E164" t="str">
            <v>DUFRY ONE B.V.</v>
          </cell>
          <cell r="F164" t="str">
            <v>Sr Unsecured</v>
          </cell>
          <cell r="G164" t="str">
            <v>Netherlands</v>
          </cell>
          <cell r="H164" t="str">
            <v xml:space="preserve">B+ *+ / B1 / </v>
          </cell>
          <cell r="I164">
            <v>3.4406450143555173E-2</v>
          </cell>
          <cell r="J164">
            <v>5.9926198775119829E-2</v>
          </cell>
          <cell r="K164">
            <v>6.9207229206797435E-2</v>
          </cell>
          <cell r="L164">
            <v>7.0505098567233512E-2</v>
          </cell>
          <cell r="M164">
            <v>7.1442773193729547E-2</v>
          </cell>
          <cell r="N164">
            <v>2.0366766072206031E-3</v>
          </cell>
          <cell r="O164">
            <v>2.9783734767925254E-2</v>
          </cell>
          <cell r="P164">
            <v>4.075211909269448E-2</v>
          </cell>
          <cell r="Q164">
            <v>4.2555222917263026E-2</v>
          </cell>
          <cell r="R164">
            <v>4.338879243917422E-2</v>
          </cell>
          <cell r="AC164" t="str">
            <v>XS2079388828</v>
          </cell>
          <cell r="AD164" t="str">
            <v>DUFNSW 2 02/15/27</v>
          </cell>
          <cell r="AE164">
            <v>44987</v>
          </cell>
          <cell r="AF164">
            <v>5.8408719999999997E-2</v>
          </cell>
          <cell r="AG164">
            <v>1.0798509206797438E-2</v>
          </cell>
          <cell r="AH164">
            <v>6.6933893833034094E-2</v>
          </cell>
          <cell r="AI164">
            <v>1.3529013385717312E-2</v>
          </cell>
        </row>
        <row r="165">
          <cell r="E165" t="str">
            <v>NOVA Chemicals Corporation</v>
          </cell>
          <cell r="F165" t="str">
            <v>Sr Unsecured</v>
          </cell>
          <cell r="G165" t="str">
            <v>Canada</v>
          </cell>
          <cell r="H165" t="str">
            <v>BB / Ba3 / WD</v>
          </cell>
          <cell r="I165">
            <v>2.8563605570276679E-2</v>
          </cell>
          <cell r="J165">
            <v>5.5552879812325685E-2</v>
          </cell>
          <cell r="K165">
            <v>6.9032084854625572E-2</v>
          </cell>
          <cell r="L165">
            <v>7.629913706272004E-2</v>
          </cell>
          <cell r="M165">
            <v>8.244435680391847E-2</v>
          </cell>
          <cell r="N165" t="str">
            <v/>
          </cell>
          <cell r="O165">
            <v>2.5442642514109569E-2</v>
          </cell>
          <cell r="P165">
            <v>4.0630086474960192E-2</v>
          </cell>
          <cell r="Q165">
            <v>4.8394209499694182E-2</v>
          </cell>
          <cell r="R165">
            <v>5.4443386005098134E-2</v>
          </cell>
          <cell r="AC165" t="str">
            <v>US66977WAR07</v>
          </cell>
          <cell r="AD165" t="str">
            <v>NCX 5 1/4 06/01/27</v>
          </cell>
          <cell r="AE165">
            <v>46449</v>
          </cell>
          <cell r="AF165">
            <v>5.9046817040584933E-2</v>
          </cell>
          <cell r="AG165">
            <v>9.9852678140406395E-3</v>
          </cell>
          <cell r="AH165">
            <v>7.1429670000000001E-2</v>
          </cell>
          <cell r="AI165">
            <v>9.4293331700193994E-3</v>
          </cell>
        </row>
        <row r="166">
          <cell r="E166" t="str">
            <v>Ford Motor Company</v>
          </cell>
          <cell r="F166" t="str">
            <v>Sr Unsecured</v>
          </cell>
          <cell r="G166" t="str">
            <v>US</v>
          </cell>
          <cell r="H166" t="str">
            <v>BB+ / Ba2 / BB+</v>
          </cell>
          <cell r="I166">
            <v>3.4771452974787183E-2</v>
          </cell>
          <cell r="J166">
            <v>5.3281181909156483E-2</v>
          </cell>
          <cell r="K166">
            <v>6.2593409512246859E-2</v>
          </cell>
          <cell r="L166">
            <v>6.7428445789471492E-2</v>
          </cell>
          <cell r="M166">
            <v>7.5864500017361308E-2</v>
          </cell>
          <cell r="N166">
            <v>2.4021358939261888E-3</v>
          </cell>
          <cell r="O166">
            <v>2.3167713176626865E-2</v>
          </cell>
          <cell r="P166">
            <v>3.4192989756359288E-2</v>
          </cell>
          <cell r="Q166">
            <v>3.9528600699820608E-2</v>
          </cell>
          <cell r="R166">
            <v>4.7875140447144839E-2</v>
          </cell>
          <cell r="AC166" t="str">
            <v>US345397C353</v>
          </cell>
          <cell r="AD166" t="str">
            <v>F 7.35 11/04/27</v>
          </cell>
          <cell r="AE166">
            <v>46664</v>
          </cell>
          <cell r="AF166">
            <v>5.1695164536570089E-2</v>
          </cell>
          <cell r="AG166">
            <v>1.089824497567677E-2</v>
          </cell>
          <cell r="AH166">
            <v>6.1857849999999999E-2</v>
          </cell>
          <cell r="AI166">
            <v>1.2856057549887147E-2</v>
          </cell>
        </row>
        <row r="167">
          <cell r="E167" t="str">
            <v>ROLLS-ROYCE PLC</v>
          </cell>
          <cell r="F167" t="str">
            <v>Sr Unsecured</v>
          </cell>
          <cell r="G167" t="str">
            <v>UK</v>
          </cell>
          <cell r="H167" t="str">
            <v>BB- / Ba3 / BB-</v>
          </cell>
          <cell r="I167">
            <v>3.0724180549274539E-2</v>
          </cell>
          <cell r="J167">
            <v>5.1232390433418179E-2</v>
          </cell>
          <cell r="K167">
            <v>6.0429987027485484E-2</v>
          </cell>
          <cell r="L167">
            <v>6.7817403001805193E-2</v>
          </cell>
          <cell r="M167">
            <v>7.109468010460715E-2</v>
          </cell>
          <cell r="N167" t="str">
            <v/>
          </cell>
          <cell r="O167">
            <v>2.1123907997859511E-2</v>
          </cell>
          <cell r="P167">
            <v>3.2036228632696659E-2</v>
          </cell>
          <cell r="Q167">
            <v>3.9923466160535347E-2</v>
          </cell>
          <cell r="R167">
            <v>4.3094670413605464E-2</v>
          </cell>
          <cell r="AC167" t="str">
            <v>USG76237AC37</v>
          </cell>
          <cell r="AD167" t="str">
            <v>ROLLS 5 3/4 10/15/27</v>
          </cell>
          <cell r="AE167">
            <v>46583</v>
          </cell>
          <cell r="AF167">
            <v>5.3114929122508973E-2</v>
          </cell>
          <cell r="AG167">
            <v>7.3150579049765102E-3</v>
          </cell>
          <cell r="AH167">
            <v>6.4217919999999998E-2</v>
          </cell>
          <cell r="AI167">
            <v>7.2299928964047327E-3</v>
          </cell>
        </row>
        <row r="168">
          <cell r="E168" t="str">
            <v>RENAULT</v>
          </cell>
          <cell r="F168" t="str">
            <v>Sr Unsecured</v>
          </cell>
          <cell r="G168" t="str">
            <v>France</v>
          </cell>
          <cell r="H168" t="str">
            <v xml:space="preserve">BB+ / Ba2 / </v>
          </cell>
          <cell r="I168">
            <v>2.8016790089111766E-2</v>
          </cell>
          <cell r="J168">
            <v>4.5463521921910333E-2</v>
          </cell>
          <cell r="K168">
            <v>5.8278928494773431E-2</v>
          </cell>
          <cell r="L168">
            <v>6.2939904487514617E-2</v>
          </cell>
          <cell r="M168">
            <v>6.649815028503174E-2</v>
          </cell>
          <cell r="N168" t="str">
            <v/>
          </cell>
          <cell r="O168">
            <v>1.5372265259312458E-2</v>
          </cell>
          <cell r="P168">
            <v>2.9909852088209777E-2</v>
          </cell>
          <cell r="Q168">
            <v>3.5068034018866386E-2</v>
          </cell>
          <cell r="R168">
            <v>3.8508531196710341E-2</v>
          </cell>
          <cell r="AC168" t="str">
            <v>FR0014002OL8</v>
          </cell>
          <cell r="AD168" t="str">
            <v>RENAUL 2 1/2 04/01/28</v>
          </cell>
          <cell r="AE168">
            <v>46753</v>
          </cell>
          <cell r="AF168">
            <v>5.1051209999999993E-2</v>
          </cell>
          <cell r="AG168">
            <v>7.2277184947734385E-3</v>
          </cell>
          <cell r="AH168">
            <v>5.9834440077206293E-2</v>
          </cell>
          <cell r="AI168">
            <v>9.3022449140047134E-3</v>
          </cell>
        </row>
        <row r="169">
          <cell r="E169" t="str">
            <v>Delta Air Lines, Inc.</v>
          </cell>
          <cell r="F169" t="str">
            <v>Sr Unsecured</v>
          </cell>
          <cell r="G169" t="str">
            <v>US</v>
          </cell>
          <cell r="H169" t="str">
            <v>BB / Baa3 / BB+</v>
          </cell>
          <cell r="I169">
            <v>2.7613945917257E-2</v>
          </cell>
          <cell r="J169">
            <v>4.5327857842176043E-2</v>
          </cell>
          <cell r="K169">
            <v>5.7286804549480277E-2</v>
          </cell>
          <cell r="L169">
            <v>6.478415992918006E-2</v>
          </cell>
          <cell r="M169">
            <v>6.6778978646343315E-2</v>
          </cell>
          <cell r="N169" t="str">
            <v/>
          </cell>
          <cell r="O169">
            <v>1.5246355130899385E-2</v>
          </cell>
          <cell r="P169">
            <v>2.8952675680594557E-2</v>
          </cell>
          <cell r="Q169">
            <v>3.6955581096444312E-2</v>
          </cell>
          <cell r="R169">
            <v>3.8813474242405652E-2</v>
          </cell>
          <cell r="AC169" t="str">
            <v>US247361ZN12</v>
          </cell>
          <cell r="AD169" t="str">
            <v>DAL 4 3/8 04/19/28</v>
          </cell>
          <cell r="AE169">
            <v>46771</v>
          </cell>
          <cell r="AF169">
            <v>4.7317739774692821E-2</v>
          </cell>
          <cell r="AG169">
            <v>9.9690647747874561E-3</v>
          </cell>
          <cell r="AH169">
            <v>5.8449520000000005E-2</v>
          </cell>
          <cell r="AI169">
            <v>1.053880860188533E-2</v>
          </cell>
        </row>
        <row r="170">
          <cell r="E170" t="str">
            <v>VALEO</v>
          </cell>
          <cell r="F170" t="str">
            <v>Sr Unsecured</v>
          </cell>
          <cell r="G170" t="str">
            <v>France</v>
          </cell>
          <cell r="H170" t="str">
            <v xml:space="preserve">BB+ / Baa3 / </v>
          </cell>
          <cell r="I170">
            <v>2.9591982779425451E-2</v>
          </cell>
          <cell r="J170">
            <v>4.6622452597159476E-2</v>
          </cell>
          <cell r="K170">
            <v>5.7001573265315436E-2</v>
          </cell>
          <cell r="L170">
            <v>6.2132216578748539E-2</v>
          </cell>
          <cell r="M170">
            <v>6.4776322272863091E-2</v>
          </cell>
          <cell r="N170" t="str">
            <v/>
          </cell>
          <cell r="O170">
            <v>1.6528009280009279E-2</v>
          </cell>
          <cell r="P170">
            <v>2.8636800581137992E-2</v>
          </cell>
          <cell r="Q170">
            <v>3.4270343419172615E-2</v>
          </cell>
          <cell r="R170">
            <v>3.6788831607045984E-2</v>
          </cell>
          <cell r="AC170" t="str">
            <v>FR0014004UE6</v>
          </cell>
          <cell r="AD170" t="str">
            <v>FRFP 1 08/03/28</v>
          </cell>
          <cell r="AE170">
            <v>46876</v>
          </cell>
          <cell r="AF170">
            <v>5.1591049999999999E-2</v>
          </cell>
          <cell r="AG170">
            <v>5.4105232653154367E-3</v>
          </cell>
          <cell r="AH170">
            <v>5.9091972972156424E-2</v>
          </cell>
          <cell r="AI170">
            <v>8.823489991119822E-3</v>
          </cell>
        </row>
        <row r="171">
          <cell r="E171" t="str">
            <v>Deutsche Lufthansa Aktiengesellschaft</v>
          </cell>
          <cell r="F171" t="str">
            <v>Sr Unsecured</v>
          </cell>
          <cell r="G171" t="str">
            <v>Germany</v>
          </cell>
          <cell r="H171" t="str">
            <v xml:space="preserve">BB / Ba2 / </v>
          </cell>
          <cell r="I171">
            <v>2.998279932795557E-2</v>
          </cell>
          <cell r="J171">
            <v>4.5814718831953517E-2</v>
          </cell>
          <cell r="K171">
            <v>5.5658665140633314E-2</v>
          </cell>
          <cell r="L171">
            <v>6.0084746954943591E-2</v>
          </cell>
          <cell r="M171">
            <v>6.3333552464852033E-2</v>
          </cell>
          <cell r="N171" t="str">
            <v/>
          </cell>
          <cell r="O171">
            <v>1.5723852751152644E-2</v>
          </cell>
          <cell r="P171">
            <v>2.7300925487238732E-2</v>
          </cell>
          <cell r="Q171">
            <v>3.2232189169245973E-2</v>
          </cell>
          <cell r="R171">
            <v>3.5352095869114232E-2</v>
          </cell>
          <cell r="AC171" t="str">
            <v>XS2296203123</v>
          </cell>
          <cell r="AD171" t="str">
            <v>LHAGR 3 3/4 02/11/28</v>
          </cell>
          <cell r="AE171">
            <v>46702</v>
          </cell>
          <cell r="AF171">
            <v>5.7335869999999997E-2</v>
          </cell>
          <cell r="AG171">
            <v>-1.6772048593666836E-3</v>
          </cell>
          <cell r="AH171">
            <v>6.6488131065705627E-2</v>
          </cell>
          <cell r="AI171">
            <v>8.0103237869527666E-5</v>
          </cell>
        </row>
        <row r="172">
          <cell r="E172" t="str">
            <v>K+S Aktiengesellschaft</v>
          </cell>
          <cell r="F172" t="str">
            <v>Sr Unsecured</v>
          </cell>
          <cell r="G172" t="str">
            <v>Germany</v>
          </cell>
          <cell r="H172" t="str">
            <v xml:space="preserve">BB+ /  / </v>
          </cell>
          <cell r="I172">
            <v>3.0120566335633772E-2</v>
          </cell>
          <cell r="J172">
            <v>4.3079631579592582E-2</v>
          </cell>
          <cell r="K172">
            <v>5.5453001329691172E-2</v>
          </cell>
          <cell r="L172">
            <v>5.8834477306742003E-2</v>
          </cell>
          <cell r="M172">
            <v>6.2563658881706383E-2</v>
          </cell>
          <cell r="N172" t="str">
            <v/>
          </cell>
          <cell r="O172">
            <v>1.3001442078870126E-2</v>
          </cell>
          <cell r="P172">
            <v>2.7094340836874533E-2</v>
          </cell>
          <cell r="Q172">
            <v>3.0979036269885078E-2</v>
          </cell>
          <cell r="R172">
            <v>3.4580578182890273E-2</v>
          </cell>
          <cell r="AC172" t="str">
            <v>XS1854830889</v>
          </cell>
          <cell r="AD172" t="str">
            <v>SDFGR 3 1/4 07/18/24</v>
          </cell>
          <cell r="AE172">
            <v>45400</v>
          </cell>
          <cell r="AF172">
            <v>2.9604499999999999E-2</v>
          </cell>
          <cell r="AG172">
            <v>2.5848501329691173E-2</v>
          </cell>
          <cell r="AH172">
            <v>4.855193332139799E-2</v>
          </cell>
          <cell r="AI172">
            <v>1.7754807746897312E-2</v>
          </cell>
        </row>
        <row r="173">
          <cell r="E173" t="str">
            <v>ATLANTIA S.P.A.</v>
          </cell>
          <cell r="F173" t="str">
            <v>Sr Unsecured</v>
          </cell>
          <cell r="G173" t="str">
            <v>Italy</v>
          </cell>
          <cell r="H173" t="str">
            <v>BB+ / Ba2 / BB</v>
          </cell>
          <cell r="I173">
            <v>2.8837450929346052E-2</v>
          </cell>
          <cell r="J173">
            <v>4.3458807087642132E-2</v>
          </cell>
          <cell r="K173">
            <v>5.1099910317436166E-2</v>
          </cell>
          <cell r="L173">
            <v>5.3054726869430038E-2</v>
          </cell>
          <cell r="M173">
            <v>5.5459230469261954E-2</v>
          </cell>
          <cell r="N173" t="str">
            <v/>
          </cell>
          <cell r="O173">
            <v>1.3374857188177007E-2</v>
          </cell>
          <cell r="P173">
            <v>2.276073348299798E-2</v>
          </cell>
          <cell r="Q173">
            <v>2.5223504537246894E-2</v>
          </cell>
          <cell r="R173">
            <v>2.7471940969626164E-2</v>
          </cell>
          <cell r="AC173" t="str">
            <v>XS1645722262</v>
          </cell>
          <cell r="AD173" t="str">
            <v>ATLIM 1 7/8 07/13/27</v>
          </cell>
          <cell r="AE173">
            <v>46490</v>
          </cell>
          <cell r="AF173">
            <v>4.5638690000000003E-2</v>
          </cell>
          <cell r="AG173">
            <v>5.4612203174361634E-3</v>
          </cell>
          <cell r="AH173">
            <v>5.5205325574424459E-2</v>
          </cell>
          <cell r="AI173">
            <v>6.7410375428544403E-3</v>
          </cell>
        </row>
        <row r="174">
          <cell r="E174" t="str">
            <v>Schaeffler AG</v>
          </cell>
          <cell r="F174" t="str">
            <v>Sr Unsecured</v>
          </cell>
          <cell r="G174" t="str">
            <v>Germany</v>
          </cell>
          <cell r="H174" t="str">
            <v>BB+ / Ba1 / BB+</v>
          </cell>
          <cell r="I174">
            <v>2.7317224286999627E-2</v>
          </cell>
          <cell r="J174">
            <v>3.9785327676482247E-2</v>
          </cell>
          <cell r="K174">
            <v>4.9775009230791811E-2</v>
          </cell>
          <cell r="L174">
            <v>5.4458694717760353E-2</v>
          </cell>
          <cell r="M174">
            <v>5.7303554565445697E-2</v>
          </cell>
          <cell r="N174" t="str">
            <v/>
          </cell>
          <cell r="O174">
            <v>9.7089016965135038E-3</v>
          </cell>
          <cell r="P174">
            <v>2.1449453742310082E-2</v>
          </cell>
          <cell r="Q174">
            <v>2.663766988882308E-2</v>
          </cell>
          <cell r="R174">
            <v>2.9334351322662652E-2</v>
          </cell>
          <cell r="AC174" t="str">
            <v>DE000A3H2TA0</v>
          </cell>
          <cell r="AD174" t="str">
            <v>SHAEFF 3 3/8 10/12/28</v>
          </cell>
          <cell r="AE174">
            <v>46946</v>
          </cell>
          <cell r="AF174">
            <v>5.2165100000000006E-2</v>
          </cell>
          <cell r="AG174">
            <v>-2.3900907692081946E-3</v>
          </cell>
          <cell r="AH174">
            <v>6.1234853051374903E-2</v>
          </cell>
          <cell r="AI174">
            <v>-7.0639850068367205E-4</v>
          </cell>
        </row>
        <row r="175">
          <cell r="E175" t="str">
            <v>LEONARDO SOCIETA' PER AZIONI</v>
          </cell>
          <cell r="F175" t="str">
            <v>Sr Unsecured</v>
          </cell>
          <cell r="G175" t="str">
            <v>Italy</v>
          </cell>
          <cell r="H175" t="str">
            <v>BB+ / Ba1 / BBB-</v>
          </cell>
          <cell r="I175">
            <v>2.5290046968994048E-2</v>
          </cell>
          <cell r="J175">
            <v>3.8870982422002015E-2</v>
          </cell>
          <cell r="K175">
            <v>4.7282719320339457E-2</v>
          </cell>
          <cell r="L175">
            <v>5.3041928711290237E-2</v>
          </cell>
          <cell r="M175">
            <v>5.7557707426863294E-2</v>
          </cell>
          <cell r="N175" t="str">
            <v/>
          </cell>
          <cell r="O175">
            <v>8.7937437922979353E-3</v>
          </cell>
          <cell r="P175">
            <v>1.8958897255696976E-2</v>
          </cell>
          <cell r="Q175">
            <v>2.5229869122990044E-2</v>
          </cell>
          <cell r="R175">
            <v>2.9601837253341763E-2</v>
          </cell>
          <cell r="AC175" t="str">
            <v>XS0215093534</v>
          </cell>
          <cell r="AD175" t="str">
            <v>LDOIM 4 7/8 03/24/25</v>
          </cell>
          <cell r="AE175" t="str">
            <v xml:space="preserve"> </v>
          </cell>
          <cell r="AF175">
            <v>3.7563399999999997E-2</v>
          </cell>
          <cell r="AG175">
            <v>9.7193193203394604E-3</v>
          </cell>
          <cell r="AH175">
            <v>5.1493229077879336E-2</v>
          </cell>
          <cell r="AI175">
            <v>6.5107459995478664E-3</v>
          </cell>
        </row>
        <row r="177">
          <cell r="E177" t="str">
            <v>DM Sovereign</v>
          </cell>
        </row>
        <row r="178">
          <cell r="E178" t="str">
            <v>Legal Entity / Index</v>
          </cell>
          <cell r="F178" t="str">
            <v>Rank</v>
          </cell>
          <cell r="G178" t="str">
            <v>Country of Risk</v>
          </cell>
          <cell r="H178" t="str">
            <v>Rating (S/M/F)</v>
          </cell>
          <cell r="I178" t="str">
            <v>1Y</v>
          </cell>
          <cell r="J178" t="str">
            <v>3Y</v>
          </cell>
          <cell r="K178" t="str">
            <v>5Y</v>
          </cell>
          <cell r="L178" t="str">
            <v>7Y</v>
          </cell>
          <cell r="M178" t="str">
            <v>10Y</v>
          </cell>
          <cell r="N178" t="str">
            <v>1Y</v>
          </cell>
          <cell r="O178" t="str">
            <v>3Y</v>
          </cell>
          <cell r="P178" t="str">
            <v>5Y</v>
          </cell>
          <cell r="Q178" t="str">
            <v>7Y</v>
          </cell>
          <cell r="R178" t="str">
            <v>10Y</v>
          </cell>
          <cell r="AC178" t="str">
            <v>ISIN</v>
          </cell>
          <cell r="AD178" t="str">
            <v>Benchmark Bond</v>
          </cell>
          <cell r="AE178" t="str">
            <v>Next Call Date</v>
          </cell>
          <cell r="AF178" t="str">
            <v>EUR Yield</v>
          </cell>
          <cell r="AG178" t="str">
            <v>5Y CLN vs benchmark</v>
          </cell>
          <cell r="AH178" t="str">
            <v>USD Yield</v>
          </cell>
          <cell r="AI178" t="str">
            <v>5Y CLN vs benchmark</v>
          </cell>
        </row>
        <row r="179">
          <cell r="E179" t="str">
            <v>Republic of Italy</v>
          </cell>
          <cell r="F179" t="str">
            <v>Sr Unsecured</v>
          </cell>
          <cell r="G179" t="str">
            <v>Italy</v>
          </cell>
          <cell r="H179" t="str">
            <v xml:space="preserve"> /  / </v>
          </cell>
          <cell r="I179" t="str">
            <v/>
          </cell>
          <cell r="J179">
            <v>3.5700857969409146E-2</v>
          </cell>
          <cell r="K179">
            <v>4.1703264281740822E-2</v>
          </cell>
          <cell r="L179">
            <v>4.5048404361417327E-2</v>
          </cell>
          <cell r="M179">
            <v>4.8624027655497108E-2</v>
          </cell>
          <cell r="N179" t="str">
            <v/>
          </cell>
          <cell r="O179">
            <v>5.6282910828927045E-3</v>
          </cell>
          <cell r="P179">
            <v>1.3391399659722608E-2</v>
          </cell>
          <cell r="Q179">
            <v>1.7239858839388021E-2</v>
          </cell>
          <cell r="R179">
            <v>2.0634462963420083E-2</v>
          </cell>
          <cell r="AC179" t="str">
            <v>IT0005500068</v>
          </cell>
          <cell r="AD179" t="str">
            <v>BTPS 2.65 12/01/27</v>
          </cell>
          <cell r="AE179" t="str">
            <v xml:space="preserve"> </v>
          </cell>
          <cell r="AF179">
            <v>3.6046229999999999E-2</v>
          </cell>
          <cell r="AG179">
            <v>5.6570342817408234E-3</v>
          </cell>
          <cell r="AH179">
            <v>4.6094525582552427E-2</v>
          </cell>
          <cell r="AI179">
            <v>7.3607435780932221E-3</v>
          </cell>
        </row>
        <row r="180">
          <cell r="E180" t="str">
            <v>United Kingdom of Great Britain and Northern Ireland</v>
          </cell>
          <cell r="F180" t="str">
            <v>Unsecured</v>
          </cell>
          <cell r="G180" t="str">
            <v>UK</v>
          </cell>
          <cell r="H180" t="str">
            <v xml:space="preserve"> / Aa3u / AA-u</v>
          </cell>
          <cell r="I180" t="str">
            <v/>
          </cell>
          <cell r="J180">
            <v>3.0065507038469819E-2</v>
          </cell>
          <cell r="K180">
            <v>3.2501083733104362E-2</v>
          </cell>
          <cell r="L180">
            <v>3.3596359364933576E-2</v>
          </cell>
          <cell r="M180">
            <v>3.5387916389492659E-2</v>
          </cell>
          <cell r="N180" t="str">
            <v/>
          </cell>
          <cell r="O180" t="str">
            <v/>
          </cell>
          <cell r="P180">
            <v>4.1586370548096436E-3</v>
          </cell>
          <cell r="Q180">
            <v>5.7068447556817897E-3</v>
          </cell>
          <cell r="R180">
            <v>7.2213522024792967E-3</v>
          </cell>
          <cell r="AC180" t="str">
            <v>GB00BDRHNP05</v>
          </cell>
          <cell r="AD180" t="str">
            <v>UKT 1 1/4 07/22/27</v>
          </cell>
          <cell r="AE180" t="str">
            <v xml:space="preserve"> </v>
          </cell>
          <cell r="AF180">
            <v>2.2899637003477302E-2</v>
          </cell>
          <cell r="AG180">
            <v>9.6014467296270598E-3</v>
          </cell>
          <cell r="AH180">
            <v>3.3137323551717258E-2</v>
          </cell>
          <cell r="AI180">
            <v>1.0998410231126805E-2</v>
          </cell>
        </row>
        <row r="181">
          <cell r="E181" t="str">
            <v>Hellenic Republic</v>
          </cell>
          <cell r="F181" t="str">
            <v>Sr Unsecured</v>
          </cell>
          <cell r="G181" t="str">
            <v>Greece</v>
          </cell>
          <cell r="H181" t="str">
            <v>BB+ / Ba3 / BB+</v>
          </cell>
          <cell r="I181" t="str">
            <v/>
          </cell>
          <cell r="J181">
            <v>3.598195059174833E-2</v>
          </cell>
          <cell r="K181">
            <v>4.1763427888032001E-2</v>
          </cell>
          <cell r="L181">
            <v>4.6584221317146166E-2</v>
          </cell>
          <cell r="M181">
            <v>4.9785525192241942E-2</v>
          </cell>
          <cell r="N181" t="str">
            <v/>
          </cell>
          <cell r="O181">
            <v>5.9095066505604346E-3</v>
          </cell>
          <cell r="P181">
            <v>1.3452455079768492E-2</v>
          </cell>
          <cell r="Q181">
            <v>1.8783437357323053E-2</v>
          </cell>
          <cell r="R181">
            <v>2.1803443675870535E-2</v>
          </cell>
          <cell r="AC181" t="str">
            <v>GR0118020685</v>
          </cell>
          <cell r="AD181" t="str">
            <v>GGB 2 04/22/27</v>
          </cell>
          <cell r="AE181" t="str">
            <v xml:space="preserve"> </v>
          </cell>
          <cell r="AF181">
            <v>3.2299109999999999E-2</v>
          </cell>
          <cell r="AG181">
            <v>9.464317888032002E-3</v>
          </cell>
          <cell r="AH181">
            <v>4.2705848080191865E-2</v>
          </cell>
          <cell r="AI181">
            <v>1.0806226591017203E-2</v>
          </cell>
        </row>
        <row r="182">
          <cell r="E182" t="str">
            <v>Kingdom of Spain</v>
          </cell>
          <cell r="F182" t="str">
            <v>Sr Unsecured</v>
          </cell>
          <cell r="G182" t="str">
            <v>Spain</v>
          </cell>
          <cell r="H182" t="str">
            <v xml:space="preserve"> /  / </v>
          </cell>
          <cell r="I182" t="str">
            <v/>
          </cell>
          <cell r="J182">
            <v>3.1520775127638394E-2</v>
          </cell>
          <cell r="K182">
            <v>3.5223090173652556E-2</v>
          </cell>
          <cell r="L182">
            <v>3.6973947947221988E-2</v>
          </cell>
          <cell r="M182">
            <v>3.98414082739467E-2</v>
          </cell>
          <cell r="N182" t="str">
            <v/>
          </cell>
          <cell r="O182">
            <v>1.4466765315789172E-3</v>
          </cell>
          <cell r="P182">
            <v>6.8971659760960506E-3</v>
          </cell>
          <cell r="Q182">
            <v>9.1254053770417169E-3</v>
          </cell>
          <cell r="R182">
            <v>1.1766239207238145E-2</v>
          </cell>
          <cell r="AC182" t="str">
            <v>ES0000012J15</v>
          </cell>
          <cell r="AD182" t="str">
            <v>SPGB 0 01/31/27</v>
          </cell>
          <cell r="AE182" t="str">
            <v xml:space="preserve"> </v>
          </cell>
          <cell r="AF182">
            <v>2.8742090000000001E-2</v>
          </cell>
          <cell r="AG182">
            <v>6.4810001736525548E-3</v>
          </cell>
          <cell r="AH182">
            <v>3.9430712703040036E-2</v>
          </cell>
          <cell r="AI182">
            <v>7.4555261215520363E-3</v>
          </cell>
        </row>
        <row r="183">
          <cell r="E183" t="str">
            <v>French Republic</v>
          </cell>
          <cell r="F183" t="str">
            <v>Unsecured</v>
          </cell>
          <cell r="G183" t="str">
            <v>France</v>
          </cell>
          <cell r="H183" t="str">
            <v xml:space="preserve"> /  / AAu</v>
          </cell>
          <cell r="I183" t="str">
            <v/>
          </cell>
          <cell r="J183">
            <v>3.0223854721679374E-2</v>
          </cell>
          <cell r="K183">
            <v>3.2904033427843954E-2</v>
          </cell>
          <cell r="L183">
            <v>3.4403453460577292E-2</v>
          </cell>
          <cell r="M183">
            <v>3.6087077346117755E-2</v>
          </cell>
          <cell r="N183" t="str">
            <v/>
          </cell>
          <cell r="O183">
            <v>1.4668424171061269E-4</v>
          </cell>
          <cell r="P183">
            <v>4.5639352217941506E-3</v>
          </cell>
          <cell r="Q183">
            <v>6.5265935357651404E-3</v>
          </cell>
          <cell r="R183">
            <v>7.9376156240626265E-3</v>
          </cell>
          <cell r="AC183" t="str">
            <v>FR001400AIN5</v>
          </cell>
          <cell r="AD183" t="str">
            <v>FRTR 0 3/4 02/25/28</v>
          </cell>
          <cell r="AE183" t="str">
            <v xml:space="preserve"> </v>
          </cell>
          <cell r="AF183">
            <v>2.5968869999999998E-2</v>
          </cell>
          <cell r="AG183">
            <v>6.9351634278439558E-3</v>
          </cell>
          <cell r="AH183">
            <v>3.6022651580431539E-2</v>
          </cell>
          <cell r="AI183">
            <v>8.5220124970765421E-3</v>
          </cell>
        </row>
        <row r="184">
          <cell r="E184" t="str">
            <v>Portuguese Republic</v>
          </cell>
          <cell r="F184" t="str">
            <v>Sr Unsecured</v>
          </cell>
          <cell r="G184" t="str">
            <v>Portugal</v>
          </cell>
          <cell r="H184" t="str">
            <v xml:space="preserve"> /  / </v>
          </cell>
          <cell r="I184" t="str">
            <v/>
          </cell>
          <cell r="J184">
            <v>3.1522010343400374E-2</v>
          </cell>
          <cell r="K184">
            <v>3.5223374465003315E-2</v>
          </cell>
          <cell r="L184">
            <v>3.764936435919819E-2</v>
          </cell>
          <cell r="M184">
            <v>3.9558427727363205E-2</v>
          </cell>
          <cell r="N184" t="str">
            <v/>
          </cell>
          <cell r="O184">
            <v>1.4482231251167791E-3</v>
          </cell>
          <cell r="P184">
            <v>6.8972408166224379E-3</v>
          </cell>
          <cell r="Q184">
            <v>9.8093905086832252E-3</v>
          </cell>
          <cell r="R184">
            <v>1.147667169361322E-2</v>
          </cell>
          <cell r="AC184" t="str">
            <v>PTOTEMOE0035</v>
          </cell>
          <cell r="AD184" t="str">
            <v>PGB 0.7 10/15/27</v>
          </cell>
          <cell r="AE184" t="str">
            <v xml:space="preserve"> </v>
          </cell>
          <cell r="AF184">
            <v>2.705171E-2</v>
          </cell>
          <cell r="AG184">
            <v>8.1716644650033157E-3</v>
          </cell>
          <cell r="AH184">
            <v>3.7242309948746395E-2</v>
          </cell>
          <cell r="AI184">
            <v>9.6425717506878825E-3</v>
          </cell>
        </row>
        <row r="186">
          <cell r="E186" t="str">
            <v>EM</v>
          </cell>
        </row>
        <row r="187">
          <cell r="E187" t="str">
            <v>Legal Entity / Index</v>
          </cell>
          <cell r="F187" t="str">
            <v>Rank</v>
          </cell>
          <cell r="G187" t="str">
            <v>Country of Risk</v>
          </cell>
          <cell r="H187" t="str">
            <v>Rating (S/M/F)</v>
          </cell>
          <cell r="I187" t="str">
            <v>1Y</v>
          </cell>
          <cell r="J187" t="str">
            <v>3Y</v>
          </cell>
          <cell r="K187" t="str">
            <v>5Y</v>
          </cell>
          <cell r="L187" t="str">
            <v>7Y</v>
          </cell>
          <cell r="M187" t="str">
            <v>10Y</v>
          </cell>
          <cell r="N187" t="str">
            <v>1Y</v>
          </cell>
          <cell r="O187" t="str">
            <v>3Y</v>
          </cell>
          <cell r="P187" t="str">
            <v>5Y</v>
          </cell>
          <cell r="Q187" t="str">
            <v>7Y</v>
          </cell>
          <cell r="R187" t="str">
            <v>10Y</v>
          </cell>
          <cell r="AC187" t="str">
            <v>ISIN</v>
          </cell>
          <cell r="AD187" t="str">
            <v>Benchmark Bond</v>
          </cell>
          <cell r="AE187" t="str">
            <v>Next Call Date</v>
          </cell>
          <cell r="AF187" t="str">
            <v>EUR Yield</v>
          </cell>
          <cell r="AG187" t="str">
            <v>5Y CLN vs benchmark</v>
          </cell>
          <cell r="AH187" t="str">
            <v>USD Yield</v>
          </cell>
          <cell r="AI187" t="str">
            <v>5Y CLN vs benchmark</v>
          </cell>
        </row>
        <row r="188">
          <cell r="E188" t="str">
            <v>CDX.EM</v>
          </cell>
          <cell r="I188" t="str">
            <v/>
          </cell>
          <cell r="J188">
            <v>4.9894711034472565E-2</v>
          </cell>
          <cell r="K188">
            <v>5.2584332567221809E-2</v>
          </cell>
          <cell r="L188" t="str">
            <v/>
          </cell>
          <cell r="M188" t="str">
            <v/>
          </cell>
          <cell r="N188" t="str">
            <v/>
          </cell>
          <cell r="O188">
            <v>1.9809853041392836E-2</v>
          </cell>
          <cell r="P188">
            <v>2.4262403874408603E-2</v>
          </cell>
          <cell r="Q188" t="str">
            <v/>
          </cell>
          <cell r="R188" t="str">
            <v/>
          </cell>
        </row>
        <row r="189">
          <cell r="E189" t="str">
            <v>Abu Dhabi</v>
          </cell>
          <cell r="F189" t="str">
            <v>Unsecured</v>
          </cell>
          <cell r="G189" t="str">
            <v>UAE</v>
          </cell>
          <cell r="H189" t="str">
            <v xml:space="preserve"> /  / </v>
          </cell>
          <cell r="I189" t="str">
            <v/>
          </cell>
          <cell r="J189">
            <v>3.1972643229357667E-2</v>
          </cell>
          <cell r="K189">
            <v>3.5281919254081917E-2</v>
          </cell>
          <cell r="L189" t="str">
            <v/>
          </cell>
          <cell r="M189" t="str">
            <v/>
          </cell>
          <cell r="N189" t="str">
            <v/>
          </cell>
          <cell r="O189">
            <v>1.9012358191180831E-3</v>
          </cell>
          <cell r="P189">
            <v>6.960027791564764E-3</v>
          </cell>
          <cell r="Q189" t="str">
            <v/>
          </cell>
          <cell r="R189" t="str">
            <v/>
          </cell>
          <cell r="AC189" t="str">
            <v>AED01089C228</v>
          </cell>
          <cell r="AD189" t="str">
            <v>UAEGB 3.65 09/14/27</v>
          </cell>
          <cell r="AE189" t="str">
            <v xml:space="preserve"> </v>
          </cell>
          <cell r="AF189">
            <v>2.608703362469628E-2</v>
          </cell>
          <cell r="AG189">
            <v>9.1948856293856372E-3</v>
          </cell>
          <cell r="AH189">
            <v>3.6258541184096056E-2</v>
          </cell>
          <cell r="AI189">
            <v>1.0533115207047958E-2</v>
          </cell>
        </row>
        <row r="190">
          <cell r="E190" t="str">
            <v>Kingdom of Saudi Arabia</v>
          </cell>
          <cell r="F190" t="str">
            <v>Sr Unsecured</v>
          </cell>
          <cell r="G190" t="str">
            <v>Saudi Arabia</v>
          </cell>
          <cell r="H190" t="str">
            <v>A / A2 / A-</v>
          </cell>
          <cell r="I190" t="str">
            <v/>
          </cell>
          <cell r="J190">
            <v>3.3339656023361045E-2</v>
          </cell>
          <cell r="K190">
            <v>3.6937703292783647E-2</v>
          </cell>
          <cell r="L190" t="str">
            <v/>
          </cell>
          <cell r="M190" t="str">
            <v/>
          </cell>
          <cell r="N190" t="str">
            <v/>
          </cell>
          <cell r="O190">
            <v>3.27065386125008E-3</v>
          </cell>
          <cell r="P190">
            <v>8.624178752784057E-3</v>
          </cell>
          <cell r="Q190" t="str">
            <v/>
          </cell>
          <cell r="R190" t="str">
            <v/>
          </cell>
          <cell r="AC190" t="str">
            <v>US168863CF36</v>
          </cell>
          <cell r="AD190" t="str">
            <v>CHILE 3.24 02/06/28</v>
          </cell>
          <cell r="AE190">
            <v>46697</v>
          </cell>
          <cell r="AF190">
            <v>3.2891240286061947E-2</v>
          </cell>
          <cell r="AG190">
            <v>4.0464630067216997E-3</v>
          </cell>
          <cell r="AH190">
            <v>4.3040510000000004E-2</v>
          </cell>
          <cell r="AI190">
            <v>5.6072498820557704E-3</v>
          </cell>
        </row>
        <row r="191">
          <cell r="E191" t="str">
            <v>State of Qatar</v>
          </cell>
          <cell r="F191" t="str">
            <v>Sr Unsecured</v>
          </cell>
          <cell r="G191" t="str">
            <v>Qatar</v>
          </cell>
          <cell r="H191" t="str">
            <v>AA / Aa3 / AA-</v>
          </cell>
          <cell r="I191" t="str">
            <v/>
          </cell>
          <cell r="J191">
            <v>3.2151119544516597E-2</v>
          </cell>
          <cell r="K191">
            <v>3.5462312531097849E-2</v>
          </cell>
          <cell r="L191" t="str">
            <v/>
          </cell>
          <cell r="M191" t="str">
            <v/>
          </cell>
          <cell r="N191" t="str">
            <v/>
          </cell>
          <cell r="O191">
            <v>2.0806323517270227E-3</v>
          </cell>
          <cell r="P191">
            <v>7.1411044344135447E-3</v>
          </cell>
          <cell r="Q191" t="str">
            <v/>
          </cell>
          <cell r="R191" t="str">
            <v/>
          </cell>
          <cell r="AC191" t="str">
            <v>XS1807174393</v>
          </cell>
          <cell r="AD191" t="str">
            <v>QATAR 4 1/2 04/23/28</v>
          </cell>
          <cell r="AE191" t="str">
            <v xml:space="preserve"> </v>
          </cell>
          <cell r="AF191">
            <v>2.9992289060806622E-2</v>
          </cell>
          <cell r="AG191">
            <v>5.470023470291227E-3</v>
          </cell>
          <cell r="AH191">
            <v>3.9960120000000002E-2</v>
          </cell>
          <cell r="AI191">
            <v>7.0319104209994737E-3</v>
          </cell>
        </row>
        <row r="192">
          <cell r="E192" t="str">
            <v>Republic of South Africa</v>
          </cell>
          <cell r="F192" t="str">
            <v>Sr Unsecured</v>
          </cell>
          <cell r="G192" t="str">
            <v>South Africa</v>
          </cell>
          <cell r="H192" t="str">
            <v xml:space="preserve"> / Ba2 / BB-</v>
          </cell>
          <cell r="I192" t="str">
            <v/>
          </cell>
          <cell r="J192">
            <v>4.5506075124673237E-2</v>
          </cell>
          <cell r="K192">
            <v>5.4839705027055236E-2</v>
          </cell>
          <cell r="L192" t="str">
            <v/>
          </cell>
          <cell r="M192" t="str">
            <v/>
          </cell>
          <cell r="N192" t="str">
            <v/>
          </cell>
          <cell r="O192">
            <v>1.5421258177297342E-2</v>
          </cell>
          <cell r="P192">
            <v>2.650354346901183E-2</v>
          </cell>
          <cell r="Q192" t="str">
            <v/>
          </cell>
          <cell r="R192" t="str">
            <v/>
          </cell>
          <cell r="AC192" t="str">
            <v>US836205AW44</v>
          </cell>
          <cell r="AD192" t="str">
            <v>SOAF 4.85 09/27/27</v>
          </cell>
          <cell r="AE192" t="str">
            <v xml:space="preserve"> </v>
          </cell>
          <cell r="AF192">
            <v>4.5289338231391189E-2</v>
          </cell>
          <cell r="AG192">
            <v>9.5503667956640462E-3</v>
          </cell>
          <cell r="AH192">
            <v>5.6148240000000002E-2</v>
          </cell>
          <cell r="AI192">
            <v>1.2514493935822227E-2</v>
          </cell>
        </row>
        <row r="193">
          <cell r="E193" t="str">
            <v>United Mexican States</v>
          </cell>
          <cell r="F193" t="str">
            <v>Sr Unsecured</v>
          </cell>
          <cell r="G193" t="str">
            <v>Mexico</v>
          </cell>
          <cell r="H193" t="str">
            <v>BBB / Baa2 / BBB-</v>
          </cell>
          <cell r="I193" t="str">
            <v/>
          </cell>
          <cell r="J193">
            <v>3.5233735499642559E-2</v>
          </cell>
          <cell r="K193">
            <v>4.1829300258589185E-2</v>
          </cell>
          <cell r="L193" t="str">
            <v/>
          </cell>
          <cell r="M193" t="str">
            <v/>
          </cell>
          <cell r="N193" t="str">
            <v/>
          </cell>
          <cell r="O193">
            <v>5.1641147233243805E-3</v>
          </cell>
          <cell r="P193">
            <v>1.3528663035108612E-2</v>
          </cell>
          <cell r="Q193" t="str">
            <v/>
          </cell>
          <cell r="R193" t="str">
            <v/>
          </cell>
          <cell r="AC193" t="str">
            <v>US91087BAE02</v>
          </cell>
          <cell r="AD193" t="str">
            <v>MEX 3 3/4 01/11/28</v>
          </cell>
          <cell r="AE193" t="str">
            <v xml:space="preserve"> </v>
          </cell>
          <cell r="AF193">
            <v>3.5592832505638564E-2</v>
          </cell>
          <cell r="AG193">
            <v>6.236467752950621E-3</v>
          </cell>
          <cell r="AH193">
            <v>4.591953E-2</v>
          </cell>
          <cell r="AI193">
            <v>8.147546037112284E-3</v>
          </cell>
        </row>
        <row r="194">
          <cell r="E194" t="str">
            <v>Federative Republic of Brazil</v>
          </cell>
          <cell r="F194" t="str">
            <v>Sr Unsecured</v>
          </cell>
          <cell r="G194" t="str">
            <v>Brazil</v>
          </cell>
          <cell r="H194" t="str">
            <v>BB- /  / BB-</v>
          </cell>
          <cell r="I194" t="str">
            <v/>
          </cell>
          <cell r="J194">
            <v>4.1505735946033635E-2</v>
          </cell>
          <cell r="K194">
            <v>5.2063181994017667E-2</v>
          </cell>
          <cell r="L194" t="str">
            <v/>
          </cell>
          <cell r="M194" t="str">
            <v/>
          </cell>
          <cell r="N194" t="str">
            <v/>
          </cell>
          <cell r="O194">
            <v>1.1428673740770414E-2</v>
          </cell>
          <cell r="P194">
            <v>2.3742544081196918E-2</v>
          </cell>
          <cell r="Q194" t="str">
            <v/>
          </cell>
          <cell r="R194" t="str">
            <v/>
          </cell>
          <cell r="AC194" t="str">
            <v>US105756BZ27</v>
          </cell>
          <cell r="AD194" t="str">
            <v>BRAZIL 4 5/8 01/13/28</v>
          </cell>
          <cell r="AE194">
            <v>46673</v>
          </cell>
          <cell r="AF194">
            <v>4.0385475878052433E-2</v>
          </cell>
          <cell r="AG194">
            <v>1.1677706115965233E-2</v>
          </cell>
          <cell r="AH194">
            <v>5.0832189999999999E-2</v>
          </cell>
          <cell r="AI194">
            <v>1.4662095937886463E-2</v>
          </cell>
        </row>
        <row r="195">
          <cell r="E195" t="str">
            <v>Republic of Peru</v>
          </cell>
          <cell r="F195" t="str">
            <v>Sr Unsecured</v>
          </cell>
          <cell r="G195" t="str">
            <v>Peru</v>
          </cell>
          <cell r="H195" t="str">
            <v>BBB / Baa1 / BBB</v>
          </cell>
          <cell r="I195" t="str">
            <v/>
          </cell>
          <cell r="J195">
            <v>3.5113228114659167E-2</v>
          </cell>
          <cell r="K195">
            <v>4.1726029254281462E-2</v>
          </cell>
          <cell r="L195" t="str">
            <v/>
          </cell>
          <cell r="M195" t="str">
            <v/>
          </cell>
          <cell r="N195" t="str">
            <v/>
          </cell>
          <cell r="O195">
            <v>5.045253455672109E-3</v>
          </cell>
          <cell r="P195">
            <v>1.3425754580906611E-2</v>
          </cell>
          <cell r="Q195" t="str">
            <v/>
          </cell>
          <cell r="R195" t="str">
            <v/>
          </cell>
          <cell r="AC195" t="str">
            <v>US715638BU55</v>
          </cell>
          <cell r="AD195" t="str">
            <v>PERU 4 1/8 08/25/27</v>
          </cell>
          <cell r="AE195" t="str">
            <v xml:space="preserve"> </v>
          </cell>
          <cell r="AF195">
            <v>3.631228467255565E-2</v>
          </cell>
          <cell r="AG195">
            <v>5.4137445817258115E-3</v>
          </cell>
          <cell r="AH195">
            <v>4.6817960000000006E-2</v>
          </cell>
          <cell r="AI195">
            <v>7.1434671984452192E-3</v>
          </cell>
        </row>
        <row r="196">
          <cell r="E196" t="str">
            <v>Republic of Colombia</v>
          </cell>
          <cell r="F196" t="str">
            <v>Sr Unsecured</v>
          </cell>
          <cell r="G196" t="str">
            <v>Colombia</v>
          </cell>
          <cell r="H196" t="str">
            <v>BB+ / Baa2 / BB+</v>
          </cell>
          <cell r="I196" t="str">
            <v/>
          </cell>
          <cell r="J196">
            <v>4.4675828343551313E-2</v>
          </cell>
          <cell r="K196">
            <v>5.4803916724136544E-2</v>
          </cell>
          <cell r="L196" t="str">
            <v/>
          </cell>
          <cell r="M196" t="str">
            <v/>
          </cell>
          <cell r="N196" t="str">
            <v/>
          </cell>
          <cell r="O196">
            <v>1.4595218736340801E-2</v>
          </cell>
          <cell r="P196">
            <v>2.6470898598468594E-2</v>
          </cell>
          <cell r="Q196" t="str">
            <v/>
          </cell>
          <cell r="R196" t="str">
            <v/>
          </cell>
          <cell r="AC196" t="str">
            <v>US195325DL65</v>
          </cell>
          <cell r="AD196" t="str">
            <v>COLOM 3 7/8 04/25/27</v>
          </cell>
          <cell r="AE196">
            <v>46412</v>
          </cell>
          <cell r="AF196">
            <v>5.1178569343895919E-2</v>
          </cell>
          <cell r="AG196">
            <v>3.6253473802406247E-3</v>
          </cell>
          <cell r="AH196">
            <v>6.3347050000000002E-2</v>
          </cell>
          <cell r="AI196">
            <v>5.2605808168910279E-3</v>
          </cell>
        </row>
        <row r="197">
          <cell r="E197" t="str">
            <v>Republic of Chile</v>
          </cell>
          <cell r="F197" t="str">
            <v>Sr Unsecured</v>
          </cell>
          <cell r="G197" t="str">
            <v>Chile</v>
          </cell>
          <cell r="H197" t="str">
            <v>A / A2 / A-</v>
          </cell>
          <cell r="I197" t="str">
            <v/>
          </cell>
          <cell r="J197">
            <v>3.4120278036647189E-2</v>
          </cell>
          <cell r="K197">
            <v>4.0267712987624819E-2</v>
          </cell>
          <cell r="L197" t="str">
            <v/>
          </cell>
          <cell r="M197" t="str">
            <v/>
          </cell>
          <cell r="N197" t="str">
            <v/>
          </cell>
          <cell r="O197">
            <v>4.0503559243376293E-3</v>
          </cell>
          <cell r="P197">
            <v>1.1961885310600856E-2</v>
          </cell>
          <cell r="Q197" t="str">
            <v/>
          </cell>
          <cell r="R197" t="str">
            <v/>
          </cell>
          <cell r="AC197" t="str">
            <v>US168863CF36</v>
          </cell>
          <cell r="AD197" t="str">
            <v>CHILE 3.24 02/06/28</v>
          </cell>
          <cell r="AE197">
            <v>46697</v>
          </cell>
          <cell r="AF197">
            <v>3.2891240286061947E-2</v>
          </cell>
          <cell r="AG197">
            <v>7.3764727015628723E-3</v>
          </cell>
          <cell r="AH197">
            <v>4.3040510000000004E-2</v>
          </cell>
          <cell r="AI197">
            <v>9.2791756970383166E-3</v>
          </cell>
        </row>
        <row r="198">
          <cell r="E198" t="str">
            <v>Republic of Panama</v>
          </cell>
          <cell r="F198" t="str">
            <v>Sr Unsecured</v>
          </cell>
          <cell r="G198" t="str">
            <v>Panama</v>
          </cell>
          <cell r="H198" t="str">
            <v xml:space="preserve"> /  / </v>
          </cell>
          <cell r="I198" t="str">
            <v/>
          </cell>
          <cell r="J198">
            <v>3.5143998200049847E-2</v>
          </cell>
          <cell r="K198">
            <v>4.1737531078481466E-2</v>
          </cell>
          <cell r="L198" t="str">
            <v/>
          </cell>
          <cell r="M198" t="str">
            <v/>
          </cell>
          <cell r="N198" t="str">
            <v/>
          </cell>
          <cell r="O198">
            <v>5.0750132949429309E-3</v>
          </cell>
          <cell r="P198">
            <v>1.3436488157385693E-2</v>
          </cell>
          <cell r="Q198" t="str">
            <v/>
          </cell>
          <cell r="R198" t="str">
            <v/>
          </cell>
          <cell r="AC198" t="str">
            <v>PAL634445VA7</v>
          </cell>
          <cell r="AD198" t="str">
            <v>PANOTA 2.85 06/27/27</v>
          </cell>
          <cell r="AE198" t="str">
            <v xml:space="preserve"> </v>
          </cell>
          <cell r="AF198">
            <v>3.7199038199336433E-2</v>
          </cell>
          <cell r="AG198">
            <v>4.5384928791450327E-3</v>
          </cell>
          <cell r="AH198">
            <v>4.8103130000000001E-2</v>
          </cell>
          <cell r="AI198">
            <v>5.858853225516561E-3</v>
          </cell>
        </row>
        <row r="199">
          <cell r="E199" t="str">
            <v>Arab Republic of Egypt</v>
          </cell>
          <cell r="F199" t="str">
            <v>Sr Unsecured</v>
          </cell>
          <cell r="G199" t="str">
            <v>Arab Republic of Egypt</v>
          </cell>
          <cell r="H199" t="str">
            <v xml:space="preserve"> / B2 / B+</v>
          </cell>
          <cell r="I199" t="str">
            <v/>
          </cell>
          <cell r="J199">
            <v>9.7737596889808848E-2</v>
          </cell>
          <cell r="K199">
            <v>0.10708611972050981</v>
          </cell>
          <cell r="L199" t="str">
            <v/>
          </cell>
          <cell r="M199" t="str">
            <v/>
          </cell>
          <cell r="N199" t="str">
            <v/>
          </cell>
          <cell r="O199">
            <v>6.7496766810018441E-2</v>
          </cell>
          <cell r="P199">
            <v>7.846620683497732E-2</v>
          </cell>
          <cell r="Q199" t="str">
            <v/>
          </cell>
          <cell r="R199" t="str">
            <v/>
          </cell>
          <cell r="AC199" t="str">
            <v>XS1558078736</v>
          </cell>
          <cell r="AD199" t="str">
            <v>EGYPT 7 1/2 01/31/27</v>
          </cell>
          <cell r="AE199" t="str">
            <v xml:space="preserve"> </v>
          </cell>
          <cell r="AF199">
            <v>8.6847276510118976E-2</v>
          </cell>
          <cell r="AG199">
            <v>2.0238843210390836E-2</v>
          </cell>
          <cell r="AH199">
            <v>0.10187713999999999</v>
          </cell>
          <cell r="AI199">
            <v>2.5932709110864829E-2</v>
          </cell>
        </row>
        <row r="200">
          <cell r="E200" t="str">
            <v>State of Israel</v>
          </cell>
          <cell r="F200" t="str">
            <v>Sr Unsecured</v>
          </cell>
          <cell r="G200" t="str">
            <v>State of Israel</v>
          </cell>
          <cell r="H200" t="str">
            <v>AA- / A1 / A+</v>
          </cell>
          <cell r="I200" t="str">
            <v/>
          </cell>
          <cell r="J200">
            <v>3.1949993710202636E-2</v>
          </cell>
          <cell r="K200">
            <v>3.647312647437876E-2</v>
          </cell>
          <cell r="L200" t="str">
            <v/>
          </cell>
          <cell r="M200" t="str">
            <v/>
          </cell>
          <cell r="N200" t="str">
            <v/>
          </cell>
          <cell r="O200">
            <v>1.8796097851645848E-3</v>
          </cell>
          <cell r="P200">
            <v>8.1607025942866396E-3</v>
          </cell>
          <cell r="Q200" t="str">
            <v/>
          </cell>
          <cell r="R200" t="str">
            <v/>
          </cell>
          <cell r="AC200" t="str">
            <v>XS1551294256</v>
          </cell>
          <cell r="AD200" t="str">
            <v>ISRAEL 1 1/2 01/18/27</v>
          </cell>
          <cell r="AE200" t="str">
            <v xml:space="preserve"> </v>
          </cell>
          <cell r="AF200">
            <v>3.268865E-2</v>
          </cell>
          <cell r="AG200">
            <v>3.7844764743787604E-3</v>
          </cell>
          <cell r="AH200">
            <v>4.3301920674902489E-2</v>
          </cell>
          <cell r="AI200">
            <v>4.8047837281298272E-3</v>
          </cell>
        </row>
        <row r="201">
          <cell r="E201" t="str">
            <v>Kingdom of Bahrain</v>
          </cell>
          <cell r="F201" t="str">
            <v>Sr Unsecured</v>
          </cell>
          <cell r="G201" t="str">
            <v>Kingdom of Bahrain</v>
          </cell>
          <cell r="H201" t="str">
            <v>B+ /  / B+</v>
          </cell>
          <cell r="I201" t="str">
            <v/>
          </cell>
          <cell r="J201">
            <v>4.6676132667613182E-2</v>
          </cell>
          <cell r="K201">
            <v>5.198793090709785E-2</v>
          </cell>
          <cell r="L201" t="str">
            <v/>
          </cell>
          <cell r="M201" t="str">
            <v/>
          </cell>
          <cell r="N201" t="str">
            <v/>
          </cell>
          <cell r="O201">
            <v>1.6587307145307217E-2</v>
          </cell>
          <cell r="P201">
            <v>2.3657342473517879E-2</v>
          </cell>
          <cell r="Q201" t="str">
            <v/>
          </cell>
          <cell r="R201" t="str">
            <v/>
          </cell>
          <cell r="AC201" t="str">
            <v>XS2290956924</v>
          </cell>
          <cell r="AD201" t="str">
            <v>BHRAIN 4 1/4 01/25/28</v>
          </cell>
          <cell r="AE201" t="str">
            <v xml:space="preserve"> </v>
          </cell>
          <cell r="AF201">
            <v>4.4730441813503476E-2</v>
          </cell>
          <cell r="AG201">
            <v>7.2574890935943742E-3</v>
          </cell>
          <cell r="AH201">
            <v>5.5656530000000003E-2</v>
          </cell>
          <cell r="AI201">
            <v>9.9390724806055278E-3</v>
          </cell>
        </row>
        <row r="202">
          <cell r="E202" t="str">
            <v>Republic of Cote d'Ivoire</v>
          </cell>
          <cell r="F202" t="str">
            <v>Sr Unsecured</v>
          </cell>
          <cell r="G202" t="str">
            <v>Republic of Cote d'Ivoire</v>
          </cell>
          <cell r="H202" t="str">
            <v>BB- / Ba3 / BB-</v>
          </cell>
          <cell r="I202" t="str">
            <v/>
          </cell>
          <cell r="J202">
            <v>4.9390558488629499E-2</v>
          </cell>
          <cell r="K202">
            <v>5.6649841011194746E-2</v>
          </cell>
          <cell r="L202" t="str">
            <v/>
          </cell>
          <cell r="M202" t="str">
            <v/>
          </cell>
          <cell r="N202" t="str">
            <v/>
          </cell>
          <cell r="O202">
            <v>1.9300785198064219E-2</v>
          </cell>
          <cell r="P202">
            <v>2.8307835823574691E-2</v>
          </cell>
          <cell r="Q202" t="str">
            <v/>
          </cell>
          <cell r="R202" t="str">
            <v/>
          </cell>
          <cell r="AC202" t="str">
            <v>XS1196517434</v>
          </cell>
          <cell r="AD202" t="str">
            <v>IVYCST 6 3/8 03/03/28</v>
          </cell>
          <cell r="AE202" t="str">
            <v xml:space="preserve"> </v>
          </cell>
          <cell r="AF202">
            <v>5.7790805852653483E-2</v>
          </cell>
          <cell r="AG202">
            <v>-1.1409648414587373E-3</v>
          </cell>
          <cell r="AH202">
            <v>6.9333739999999991E-2</v>
          </cell>
          <cell r="AI202">
            <v>1.4482250884351316E-3</v>
          </cell>
        </row>
        <row r="203">
          <cell r="E203" t="str">
            <v>Republic of Turkey</v>
          </cell>
          <cell r="F203" t="str">
            <v>Sr Unsecured</v>
          </cell>
          <cell r="G203" t="str">
            <v>Republic of Turkey</v>
          </cell>
          <cell r="H203" t="str">
            <v xml:space="preserve"> / B3 / B</v>
          </cell>
          <cell r="I203" t="str">
            <v/>
          </cell>
          <cell r="J203">
            <v>7.5725455746542908E-2</v>
          </cell>
          <cell r="K203">
            <v>8.2462681330374918E-2</v>
          </cell>
          <cell r="L203" t="str">
            <v/>
          </cell>
          <cell r="M203" t="str">
            <v/>
          </cell>
          <cell r="N203" t="str">
            <v/>
          </cell>
          <cell r="O203">
            <v>4.5562350941697534E-2</v>
          </cell>
          <cell r="P203">
            <v>5.3982465550185328E-2</v>
          </cell>
          <cell r="Q203" t="str">
            <v/>
          </cell>
          <cell r="R203" t="str">
            <v/>
          </cell>
          <cell r="AC203" t="str">
            <v>US900123DF45</v>
          </cell>
          <cell r="AD203" t="str">
            <v>TURKEY 9 7/8 01/15/28</v>
          </cell>
          <cell r="AE203" t="str">
            <v xml:space="preserve"> </v>
          </cell>
          <cell r="AF203">
            <v>8.0872263509823392E-2</v>
          </cell>
          <cell r="AG203">
            <v>1.5904178205515263E-3</v>
          </cell>
          <cell r="AH203">
            <v>9.1128420000000002E-2</v>
          </cell>
          <cell r="AI203">
            <v>8.7546045991724053E-3</v>
          </cell>
        </row>
        <row r="204">
          <cell r="E204" t="str">
            <v>PETROLEO BRASILEIRO S/A PETROBRAS</v>
          </cell>
          <cell r="F204" t="str">
            <v>Sr Unsecured</v>
          </cell>
          <cell r="G204" t="str">
            <v>Brazil</v>
          </cell>
          <cell r="H204" t="str">
            <v>BB- / Ba1 / BB-</v>
          </cell>
          <cell r="I204" t="str">
            <v/>
          </cell>
          <cell r="J204">
            <v>4.6245184634660583E-2</v>
          </cell>
          <cell r="K204">
            <v>5.6437893802877219E-2</v>
          </cell>
          <cell r="L204" t="str">
            <v/>
          </cell>
          <cell r="M204" t="str">
            <v/>
          </cell>
          <cell r="N204" t="str">
            <v/>
          </cell>
          <cell r="O204">
            <v>1.6158532499296652E-2</v>
          </cell>
          <cell r="P204">
            <v>2.8094869503221886E-2</v>
          </cell>
          <cell r="Q204" t="str">
            <v/>
          </cell>
          <cell r="R204" t="str">
            <v/>
          </cell>
          <cell r="AC204" t="str">
            <v>US71647NAY58</v>
          </cell>
          <cell r="AD204" t="str">
            <v>PETBRA 5.999 01/27/28</v>
          </cell>
          <cell r="AE204" t="str">
            <v xml:space="preserve"> </v>
          </cell>
          <cell r="AF204">
            <v>4.7687302485671795E-2</v>
          </cell>
          <cell r="AG204">
            <v>8.7505913172054237E-3</v>
          </cell>
          <cell r="AH204">
            <v>5.8095179999999996E-2</v>
          </cell>
          <cell r="AI204">
            <v>1.2355477509539442E-2</v>
          </cell>
        </row>
        <row r="205">
          <cell r="E205" t="str">
            <v>Petroleos Mexicanos</v>
          </cell>
          <cell r="F205" t="str">
            <v>Sr Unsecured</v>
          </cell>
          <cell r="G205" t="str">
            <v>Mexico</v>
          </cell>
          <cell r="H205" t="str">
            <v>BBB / B1 / BB-u</v>
          </cell>
          <cell r="I205" t="str">
            <v/>
          </cell>
          <cell r="J205">
            <v>6.5346675782437746E-2</v>
          </cell>
          <cell r="K205">
            <v>7.5047039819852973E-2</v>
          </cell>
          <cell r="L205" t="str">
            <v/>
          </cell>
          <cell r="M205" t="str">
            <v/>
          </cell>
          <cell r="N205" t="str">
            <v/>
          </cell>
          <cell r="O205">
            <v>3.5204764621700406E-2</v>
          </cell>
          <cell r="P205">
            <v>4.6593628366130881E-2</v>
          </cell>
          <cell r="Q205" t="str">
            <v/>
          </cell>
          <cell r="R205" t="str">
            <v/>
          </cell>
          <cell r="AC205" t="str">
            <v>US71654QCG55</v>
          </cell>
          <cell r="AD205" t="str">
            <v>PEMEX 6 1/2 03/13/27</v>
          </cell>
          <cell r="AE205" t="str">
            <v xml:space="preserve"> </v>
          </cell>
          <cell r="AF205">
            <v>6.8441065373210458E-2</v>
          </cell>
          <cell r="AG205">
            <v>6.6059744466425152E-3</v>
          </cell>
          <cell r="AH205">
            <v>8.1201809999999999E-2</v>
          </cell>
          <cell r="AI205">
            <v>1.0246079027738095E-2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ECE7A-2009-4AF1-BC43-FDB0B3240A62}">
  <sheetPr codeName="Sheet05">
    <tabColor theme="7" tint="0.39997558519241921"/>
  </sheetPr>
  <dimension ref="A2:AL328"/>
  <sheetViews>
    <sheetView showGridLines="0" tabSelected="1" zoomScale="85" zoomScaleNormal="85" workbookViewId="0">
      <selection activeCell="B8" sqref="B8"/>
    </sheetView>
  </sheetViews>
  <sheetFormatPr defaultRowHeight="14.5" x14ac:dyDescent="0.35"/>
  <cols>
    <col min="2" max="2" width="76" bestFit="1" customWidth="1"/>
    <col min="3" max="3" width="16.1796875" bestFit="1" customWidth="1"/>
    <col min="4" max="4" width="24" bestFit="1" customWidth="1"/>
    <col min="5" max="5" width="21" bestFit="1" customWidth="1"/>
    <col min="6" max="7" width="7.81640625" bestFit="1" customWidth="1"/>
    <col min="8" max="10" width="7.1796875" bestFit="1" customWidth="1"/>
    <col min="11" max="11" width="6.81640625" bestFit="1" customWidth="1"/>
    <col min="12" max="15" width="6.1796875" bestFit="1" customWidth="1"/>
    <col min="16" max="16" width="15.26953125" bestFit="1" customWidth="1"/>
    <col min="17" max="17" width="22.1796875" bestFit="1" customWidth="1"/>
    <col min="18" max="18" width="13.7265625" bestFit="1" customWidth="1"/>
    <col min="19" max="19" width="9.54296875" bestFit="1" customWidth="1"/>
    <col min="20" max="20" width="19.81640625" bestFit="1" customWidth="1"/>
    <col min="22" max="26" width="4.7265625" hidden="1" customWidth="1"/>
    <col min="27" max="27" width="0" hidden="1" customWidth="1"/>
    <col min="28" max="37" width="6.1796875" hidden="1" customWidth="1"/>
  </cols>
  <sheetData>
    <row r="2" spans="2:37" ht="15" thickBot="1" x14ac:dyDescent="0.4">
      <c r="C2" s="45" t="s">
        <v>9</v>
      </c>
      <c r="D2" s="45" t="s">
        <v>10</v>
      </c>
      <c r="E2" s="45" t="s">
        <v>11</v>
      </c>
      <c r="F2" s="45" t="s">
        <v>12</v>
      </c>
      <c r="G2" s="45" t="s">
        <v>13</v>
      </c>
    </row>
    <row r="3" spans="2:37" ht="17.5" thickBot="1" x14ac:dyDescent="0.45">
      <c r="B3" s="51" t="s">
        <v>218</v>
      </c>
      <c r="C3" s="46">
        <f>C4</f>
        <v>0.998</v>
      </c>
      <c r="D3" s="47">
        <f>D4</f>
        <v>0.99399999999999999</v>
      </c>
      <c r="E3" s="47">
        <f>E4</f>
        <v>0.99399999999999999</v>
      </c>
      <c r="F3" s="47">
        <f>F4</f>
        <v>0.99399999999999999</v>
      </c>
      <c r="G3" s="47">
        <f>G4</f>
        <v>0.99399999999999999</v>
      </c>
    </row>
    <row r="4" spans="2:37" x14ac:dyDescent="0.35">
      <c r="B4" t="s">
        <v>217</v>
      </c>
      <c r="C4" s="131">
        <v>0.998</v>
      </c>
      <c r="D4" s="131">
        <v>0.99399999999999999</v>
      </c>
      <c r="E4" s="131">
        <v>0.99399999999999999</v>
      </c>
      <c r="F4" s="131">
        <v>0.99399999999999999</v>
      </c>
      <c r="G4" s="131">
        <v>0.99399999999999999</v>
      </c>
    </row>
    <row r="8" spans="2:37" x14ac:dyDescent="0.35">
      <c r="F8" s="158" t="s">
        <v>220</v>
      </c>
      <c r="G8" s="159"/>
      <c r="H8" s="159"/>
      <c r="I8" s="159"/>
      <c r="J8" s="160"/>
      <c r="K8" s="158" t="s">
        <v>0</v>
      </c>
      <c r="L8" s="159"/>
      <c r="M8" s="159"/>
      <c r="N8" s="159"/>
      <c r="O8" s="160"/>
      <c r="AB8" s="158" t="s">
        <v>220</v>
      </c>
      <c r="AC8" s="159"/>
      <c r="AD8" s="159"/>
      <c r="AE8" s="159"/>
      <c r="AF8" s="160"/>
      <c r="AG8" s="158" t="str">
        <f>K8</f>
        <v>3mE +X, floored to 0, 30/360</v>
      </c>
      <c r="AH8" s="159"/>
      <c r="AI8" s="159"/>
      <c r="AJ8" s="159"/>
      <c r="AK8" s="160"/>
    </row>
    <row r="9" spans="2:37" x14ac:dyDescent="0.35">
      <c r="F9" s="155" t="s">
        <v>1</v>
      </c>
      <c r="G9" s="156"/>
      <c r="H9" s="156"/>
      <c r="I9" s="156"/>
      <c r="J9" s="157"/>
      <c r="K9" s="155" t="s">
        <v>2</v>
      </c>
      <c r="L9" s="156"/>
      <c r="M9" s="156"/>
      <c r="N9" s="156"/>
      <c r="O9" s="157"/>
      <c r="AB9" s="155" t="s">
        <v>1</v>
      </c>
      <c r="AC9" s="156"/>
      <c r="AD9" s="156"/>
      <c r="AE9" s="156"/>
      <c r="AF9" s="157"/>
      <c r="AG9" s="155" t="s">
        <v>2</v>
      </c>
      <c r="AH9" s="156"/>
      <c r="AI9" s="156"/>
      <c r="AJ9" s="156"/>
      <c r="AK9" s="157"/>
    </row>
    <row r="10" spans="2:37" ht="15.5" x14ac:dyDescent="0.35">
      <c r="B10" s="1" t="s">
        <v>3</v>
      </c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Q10" s="3"/>
      <c r="R10" s="3"/>
      <c r="S10" s="3"/>
      <c r="T10" s="3"/>
      <c r="V10" s="155" t="s">
        <v>4</v>
      </c>
      <c r="W10" s="156"/>
      <c r="X10" s="156"/>
      <c r="Y10" s="156"/>
      <c r="Z10" s="157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2:37" x14ac:dyDescent="0.35">
      <c r="B11" s="4" t="s">
        <v>5</v>
      </c>
      <c r="C11" s="5" t="s">
        <v>6</v>
      </c>
      <c r="D11" s="5" t="s">
        <v>7</v>
      </c>
      <c r="E11" s="5" t="s">
        <v>8</v>
      </c>
      <c r="F11" s="6" t="s">
        <v>9</v>
      </c>
      <c r="G11" s="7" t="s">
        <v>10</v>
      </c>
      <c r="H11" s="7" t="s">
        <v>11</v>
      </c>
      <c r="I11" s="7" t="s">
        <v>12</v>
      </c>
      <c r="J11" s="8" t="s">
        <v>13</v>
      </c>
      <c r="K11" s="6" t="s">
        <v>9</v>
      </c>
      <c r="L11" s="7" t="s">
        <v>10</v>
      </c>
      <c r="M11" s="7" t="s">
        <v>11</v>
      </c>
      <c r="N11" s="7" t="s">
        <v>12</v>
      </c>
      <c r="O11" s="8" t="s">
        <v>13</v>
      </c>
      <c r="P11" s="9" t="s">
        <v>14</v>
      </c>
      <c r="Q11" s="10" t="s">
        <v>15</v>
      </c>
      <c r="R11" s="10" t="s">
        <v>16</v>
      </c>
      <c r="S11" s="10" t="s">
        <v>17</v>
      </c>
      <c r="T11" s="57" t="s">
        <v>18</v>
      </c>
      <c r="V11" s="109" t="s">
        <v>9</v>
      </c>
      <c r="W11" s="105" t="s">
        <v>10</v>
      </c>
      <c r="X11" s="105" t="s">
        <v>11</v>
      </c>
      <c r="Y11" s="105" t="s">
        <v>12</v>
      </c>
      <c r="Z11" s="110" t="s">
        <v>13</v>
      </c>
      <c r="AB11" s="50" t="s">
        <v>9</v>
      </c>
      <c r="AC11" s="49" t="s">
        <v>10</v>
      </c>
      <c r="AD11" s="49" t="s">
        <v>11</v>
      </c>
      <c r="AE11" s="49" t="s">
        <v>12</v>
      </c>
      <c r="AF11" s="48" t="s">
        <v>13</v>
      </c>
      <c r="AG11" s="50" t="s">
        <v>9</v>
      </c>
      <c r="AH11" s="49" t="s">
        <v>10</v>
      </c>
      <c r="AI11" s="49" t="s">
        <v>11</v>
      </c>
      <c r="AJ11" s="49" t="s">
        <v>12</v>
      </c>
      <c r="AK11" s="48" t="s">
        <v>13</v>
      </c>
    </row>
    <row r="12" spans="2:37" x14ac:dyDescent="0.35">
      <c r="B12" s="55" t="s">
        <v>19</v>
      </c>
      <c r="C12" s="123"/>
      <c r="D12" s="11" t="s">
        <v>20</v>
      </c>
      <c r="E12" s="123"/>
      <c r="F12" s="12" t="str">
        <f t="shared" ref="F12:J17" si="0">IF(ISNUMBER(AB12),AB12-((C$4-C$3)/V12),"")</f>
        <v/>
      </c>
      <c r="G12" s="13">
        <f t="shared" si="0"/>
        <v>3.2356914405196675E-2</v>
      </c>
      <c r="H12" s="13">
        <f t="shared" si="0"/>
        <v>3.6601391590424873E-2</v>
      </c>
      <c r="I12" s="13">
        <f t="shared" si="0"/>
        <v>4.0385280155438325E-2</v>
      </c>
      <c r="J12" s="14">
        <f t="shared" si="0"/>
        <v>4.4674640648525811E-2</v>
      </c>
      <c r="K12" s="88" t="str">
        <f t="shared" ref="K12:O17" si="1">IF(ISNUMBER(AG12),IF(AG12-((C$4-C$3)/V12)&lt;0,"",AG12-((C$4-C$3)/V12)),"")</f>
        <v/>
      </c>
      <c r="L12" s="86">
        <f t="shared" si="1"/>
        <v>4.7429633051966798E-3</v>
      </c>
      <c r="M12" s="86">
        <f t="shared" si="1"/>
        <v>8.486798490424878E-3</v>
      </c>
      <c r="N12" s="86">
        <f t="shared" si="1"/>
        <v>1.1485178155438331E-2</v>
      </c>
      <c r="O12" s="89">
        <f t="shared" si="1"/>
        <v>1.4527443148525816E-2</v>
      </c>
      <c r="P12" s="15"/>
      <c r="Q12" s="132"/>
      <c r="R12" s="132"/>
      <c r="S12" s="132"/>
      <c r="T12" s="16"/>
      <c r="V12" s="17">
        <v>1.12621642</v>
      </c>
      <c r="W12" s="18">
        <v>2.9242932399999999</v>
      </c>
      <c r="X12" s="18">
        <v>4.5532840300000004</v>
      </c>
      <c r="Y12" s="18">
        <v>5.9851308799999998</v>
      </c>
      <c r="Z12" s="19">
        <v>7.8025903699999999</v>
      </c>
      <c r="AB12" s="74"/>
      <c r="AC12" s="79">
        <v>3.2356914405196675E-2</v>
      </c>
      <c r="AD12" s="79">
        <v>3.6601391590424873E-2</v>
      </c>
      <c r="AE12" s="79">
        <v>4.0385280155438325E-2</v>
      </c>
      <c r="AF12" s="61">
        <v>4.4674640648525811E-2</v>
      </c>
      <c r="AG12" s="74"/>
      <c r="AH12" s="79">
        <v>4.7429633051966798E-3</v>
      </c>
      <c r="AI12" s="79">
        <v>8.486798490424878E-3</v>
      </c>
      <c r="AJ12" s="79">
        <v>1.1485178155438331E-2</v>
      </c>
      <c r="AK12" s="61">
        <v>1.4527443148525816E-2</v>
      </c>
    </row>
    <row r="13" spans="2:37" x14ac:dyDescent="0.35">
      <c r="B13" s="54" t="s">
        <v>22</v>
      </c>
      <c r="C13" s="122"/>
      <c r="D13" s="20" t="s">
        <v>23</v>
      </c>
      <c r="E13" s="122"/>
      <c r="F13" s="21">
        <f t="shared" si="0"/>
        <v>2.5314794487455383E-2</v>
      </c>
      <c r="G13" s="22">
        <f t="shared" si="0"/>
        <v>3.3206757471310307E-2</v>
      </c>
      <c r="H13" s="22">
        <f t="shared" si="0"/>
        <v>3.7791943771596226E-2</v>
      </c>
      <c r="I13" s="22">
        <f t="shared" si="0"/>
        <v>4.1581317655765018E-2</v>
      </c>
      <c r="J13" s="23">
        <f t="shared" si="0"/>
        <v>4.5816161634615361E-2</v>
      </c>
      <c r="K13" s="85" t="str">
        <f t="shared" si="1"/>
        <v/>
      </c>
      <c r="L13" s="67">
        <f t="shared" si="1"/>
        <v>5.5772642713103164E-3</v>
      </c>
      <c r="M13" s="67">
        <f t="shared" si="1"/>
        <v>9.6505539715962315E-3</v>
      </c>
      <c r="N13" s="67">
        <f t="shared" si="1"/>
        <v>1.2654798155765024E-2</v>
      </c>
      <c r="O13" s="90">
        <f t="shared" si="1"/>
        <v>1.5647759334615367E-2</v>
      </c>
      <c r="P13" s="24"/>
      <c r="Q13" s="25"/>
      <c r="R13" s="25"/>
      <c r="S13" s="25"/>
      <c r="T13" s="26"/>
      <c r="V13" s="27">
        <v>1.13067286</v>
      </c>
      <c r="W13" s="28">
        <v>2.9281644999999998</v>
      </c>
      <c r="X13" s="28">
        <v>4.5486916400000004</v>
      </c>
      <c r="Y13" s="28">
        <v>5.9689781900000005</v>
      </c>
      <c r="Z13" s="29">
        <v>7.76795949</v>
      </c>
      <c r="AB13" s="72">
        <v>2.5314794487455383E-2</v>
      </c>
      <c r="AC13" s="70">
        <v>3.3206757471310307E-2</v>
      </c>
      <c r="AD13" s="70">
        <v>3.7791943771596226E-2</v>
      </c>
      <c r="AE13" s="70">
        <v>4.1581317655765018E-2</v>
      </c>
      <c r="AF13" s="62">
        <v>4.5816161634615361E-2</v>
      </c>
      <c r="AG13" s="72" t="s">
        <v>21</v>
      </c>
      <c r="AH13" s="70">
        <v>5.5772642713103164E-3</v>
      </c>
      <c r="AI13" s="70">
        <v>9.6505539715962315E-3</v>
      </c>
      <c r="AJ13" s="70">
        <v>1.2654798155765024E-2</v>
      </c>
      <c r="AK13" s="62">
        <v>1.5647759334615367E-2</v>
      </c>
    </row>
    <row r="14" spans="2:37" x14ac:dyDescent="0.35">
      <c r="B14" s="55" t="s">
        <v>24</v>
      </c>
      <c r="C14" s="123"/>
      <c r="D14" s="11" t="s">
        <v>20</v>
      </c>
      <c r="E14" s="123"/>
      <c r="F14" s="12">
        <f t="shared" si="0"/>
        <v>4.8634988077311925E-2</v>
      </c>
      <c r="G14" s="13">
        <f t="shared" si="0"/>
        <v>5.7875913154974236E-2</v>
      </c>
      <c r="H14" s="13">
        <f t="shared" si="0"/>
        <v>6.4811734633450177E-2</v>
      </c>
      <c r="I14" s="13" t="str">
        <f t="shared" si="0"/>
        <v/>
      </c>
      <c r="J14" s="14" t="str">
        <f t="shared" si="0"/>
        <v/>
      </c>
      <c r="K14" s="88">
        <f t="shared" si="1"/>
        <v>2.076174517731192E-2</v>
      </c>
      <c r="L14" s="86">
        <f t="shared" si="1"/>
        <v>2.9102788954974233E-2</v>
      </c>
      <c r="M14" s="86">
        <f t="shared" si="1"/>
        <v>3.5322444233450191E-2</v>
      </c>
      <c r="N14" s="86" t="str">
        <f t="shared" si="1"/>
        <v/>
      </c>
      <c r="O14" s="89" t="str">
        <f t="shared" si="1"/>
        <v/>
      </c>
      <c r="P14" s="15"/>
      <c r="Q14" s="132"/>
      <c r="R14" s="132"/>
      <c r="S14" s="132"/>
      <c r="T14" s="16"/>
      <c r="V14" s="17">
        <v>1.0935761500000001</v>
      </c>
      <c r="W14" s="18">
        <v>2.72715124</v>
      </c>
      <c r="X14" s="18">
        <v>4.0886225399999994</v>
      </c>
      <c r="Y14" s="18">
        <v>5.2108751500000006</v>
      </c>
      <c r="Z14" s="19">
        <v>6.5503760900000003</v>
      </c>
      <c r="AB14" s="74">
        <v>4.8634988077311925E-2</v>
      </c>
      <c r="AC14" s="79">
        <v>5.7875913154974236E-2</v>
      </c>
      <c r="AD14" s="79">
        <v>6.4811734633450177E-2</v>
      </c>
      <c r="AE14" s="79"/>
      <c r="AF14" s="61"/>
      <c r="AG14" s="74">
        <v>2.076174517731192E-2</v>
      </c>
      <c r="AH14" s="79">
        <v>2.9102788954974233E-2</v>
      </c>
      <c r="AI14" s="79">
        <v>3.5322444233450191E-2</v>
      </c>
      <c r="AJ14" s="79"/>
      <c r="AK14" s="61"/>
    </row>
    <row r="15" spans="2:37" x14ac:dyDescent="0.35">
      <c r="B15" s="56" t="s">
        <v>25</v>
      </c>
      <c r="C15" s="124"/>
      <c r="D15" s="20" t="s">
        <v>23</v>
      </c>
      <c r="E15" s="124"/>
      <c r="F15" s="30">
        <f t="shared" si="0"/>
        <v>3.6902946562223725E-2</v>
      </c>
      <c r="G15" s="31">
        <f t="shared" si="0"/>
        <v>5.4093935772306007E-2</v>
      </c>
      <c r="H15" s="31">
        <f t="shared" si="0"/>
        <v>6.5630725493209779E-2</v>
      </c>
      <c r="I15" s="31">
        <f t="shared" si="0"/>
        <v>7.0917570927838056E-2</v>
      </c>
      <c r="J15" s="32">
        <f t="shared" si="0"/>
        <v>7.6674299999150361E-2</v>
      </c>
      <c r="K15" s="91">
        <f t="shared" si="1"/>
        <v>9.473843862223736E-3</v>
      </c>
      <c r="L15" s="87">
        <f t="shared" si="1"/>
        <v>2.5474494072306009E-2</v>
      </c>
      <c r="M15" s="87">
        <f t="shared" si="1"/>
        <v>3.5924208693209773E-2</v>
      </c>
      <c r="N15" s="87">
        <f t="shared" si="1"/>
        <v>4.0255692027838068E-2</v>
      </c>
      <c r="O15" s="92">
        <f t="shared" si="1"/>
        <v>4.4704691499150365E-2</v>
      </c>
      <c r="P15" s="33"/>
      <c r="Q15" s="133"/>
      <c r="R15" s="133"/>
      <c r="S15" s="133"/>
      <c r="T15" s="34"/>
      <c r="V15" s="27">
        <v>1.0857922900000001</v>
      </c>
      <c r="W15" s="28">
        <v>2.7237429999999998</v>
      </c>
      <c r="X15" s="28">
        <v>4.03925497</v>
      </c>
      <c r="Y15" s="28">
        <v>5.0635954999999999</v>
      </c>
      <c r="Z15" s="29">
        <v>6.1874566800000004</v>
      </c>
      <c r="AB15" s="73">
        <v>3.6902946562223725E-2</v>
      </c>
      <c r="AC15" s="75">
        <v>5.4093935772306007E-2</v>
      </c>
      <c r="AD15" s="75">
        <v>6.5630725493209779E-2</v>
      </c>
      <c r="AE15" s="75">
        <v>7.0917570927838056E-2</v>
      </c>
      <c r="AF15" s="63">
        <v>7.6674299999150361E-2</v>
      </c>
      <c r="AG15" s="73">
        <v>9.473843862223736E-3</v>
      </c>
      <c r="AH15" s="75">
        <v>2.5474494072306009E-2</v>
      </c>
      <c r="AI15" s="75">
        <v>3.5924208693209773E-2</v>
      </c>
      <c r="AJ15" s="75">
        <v>4.0255692027838068E-2</v>
      </c>
      <c r="AK15" s="63">
        <v>4.4704691499150365E-2</v>
      </c>
    </row>
    <row r="16" spans="2:37" x14ac:dyDescent="0.35">
      <c r="B16" s="54" t="s">
        <v>26</v>
      </c>
      <c r="C16" s="122"/>
      <c r="D16" s="11" t="s">
        <v>23</v>
      </c>
      <c r="E16" s="122"/>
      <c r="F16" s="21">
        <f t="shared" si="0"/>
        <v>2.5565174268706439E-2</v>
      </c>
      <c r="G16" s="22">
        <f t="shared" si="0"/>
        <v>3.3399509234941893E-2</v>
      </c>
      <c r="H16" s="22">
        <f t="shared" si="0"/>
        <v>3.8330752789355223E-2</v>
      </c>
      <c r="I16" s="22" t="str">
        <f t="shared" si="0"/>
        <v/>
      </c>
      <c r="J16" s="23" t="str">
        <f t="shared" si="0"/>
        <v/>
      </c>
      <c r="K16" s="85" t="str">
        <f t="shared" si="1"/>
        <v/>
      </c>
      <c r="L16" s="67">
        <f t="shared" si="1"/>
        <v>5.7676938349419064E-3</v>
      </c>
      <c r="M16" s="67">
        <f t="shared" si="1"/>
        <v>1.0173876289355222E-2</v>
      </c>
      <c r="N16" s="67" t="str">
        <f t="shared" si="1"/>
        <v/>
      </c>
      <c r="O16" s="90" t="str">
        <f t="shared" si="1"/>
        <v/>
      </c>
      <c r="P16" s="24"/>
      <c r="Q16" s="25"/>
      <c r="R16" s="25"/>
      <c r="S16" s="25"/>
      <c r="T16" s="26"/>
      <c r="V16" s="17">
        <v>1.1195791099999999</v>
      </c>
      <c r="W16" s="18">
        <v>2.8907505200000001</v>
      </c>
      <c r="X16" s="18">
        <v>4.5015226200000003</v>
      </c>
      <c r="Y16" s="18">
        <v>5.8867049099999997</v>
      </c>
      <c r="Z16" s="19">
        <v>7.5922947599999997</v>
      </c>
      <c r="AB16" s="72">
        <v>2.5565174268706439E-2</v>
      </c>
      <c r="AC16" s="70">
        <v>3.3399509234941893E-2</v>
      </c>
      <c r="AD16" s="70">
        <v>3.8330752789355223E-2</v>
      </c>
      <c r="AE16" s="70"/>
      <c r="AF16" s="62"/>
      <c r="AG16" s="72" t="s">
        <v>21</v>
      </c>
      <c r="AH16" s="70">
        <v>5.7676938349419064E-3</v>
      </c>
      <c r="AI16" s="70">
        <v>1.0173876289355222E-2</v>
      </c>
      <c r="AJ16" s="70"/>
      <c r="AK16" s="62"/>
    </row>
    <row r="17" spans="2:37" x14ac:dyDescent="0.35">
      <c r="B17" s="56" t="s">
        <v>27</v>
      </c>
      <c r="C17" s="124"/>
      <c r="D17" s="35" t="s">
        <v>23</v>
      </c>
      <c r="E17" s="124"/>
      <c r="F17" s="30" t="str">
        <f t="shared" si="0"/>
        <v/>
      </c>
      <c r="G17" s="31">
        <f t="shared" si="0"/>
        <v>3.6066327328350224E-2</v>
      </c>
      <c r="H17" s="31">
        <f t="shared" si="0"/>
        <v>4.3138368050073025E-2</v>
      </c>
      <c r="I17" s="31" t="str">
        <f t="shared" si="0"/>
        <v/>
      </c>
      <c r="J17" s="32">
        <f t="shared" si="0"/>
        <v>5.8584779948387969E-2</v>
      </c>
      <c r="K17" s="91" t="str">
        <f t="shared" si="1"/>
        <v/>
      </c>
      <c r="L17" s="87">
        <f t="shared" si="1"/>
        <v>8.3815808283502196E-3</v>
      </c>
      <c r="M17" s="87">
        <f t="shared" si="1"/>
        <v>1.4866408150073028E-2</v>
      </c>
      <c r="N17" s="87" t="str">
        <f t="shared" si="1"/>
        <v/>
      </c>
      <c r="O17" s="92">
        <f t="shared" si="1"/>
        <v>2.7995444848387972E-2</v>
      </c>
      <c r="P17" s="33"/>
      <c r="Q17" s="133"/>
      <c r="R17" s="133"/>
      <c r="S17" s="133"/>
      <c r="T17" s="34"/>
      <c r="V17" s="36">
        <v>1.1158569199999999</v>
      </c>
      <c r="W17" s="37">
        <v>2.8720459699999998</v>
      </c>
      <c r="X17" s="37">
        <v>4.4591583899999998</v>
      </c>
      <c r="Y17" s="37">
        <v>5.7987250800000005</v>
      </c>
      <c r="Z17" s="38">
        <v>7.4022566400000001</v>
      </c>
      <c r="AB17" s="73"/>
      <c r="AC17" s="75">
        <v>3.6066327328350224E-2</v>
      </c>
      <c r="AD17" s="75">
        <v>4.3138368050073025E-2</v>
      </c>
      <c r="AE17" s="75"/>
      <c r="AF17" s="63">
        <v>5.8584779948387969E-2</v>
      </c>
      <c r="AG17" s="73"/>
      <c r="AH17" s="75">
        <v>8.3815808283502196E-3</v>
      </c>
      <c r="AI17" s="75">
        <v>1.4866408150073028E-2</v>
      </c>
      <c r="AJ17" s="75"/>
      <c r="AK17" s="63">
        <v>2.7995444848387972E-2</v>
      </c>
    </row>
    <row r="18" spans="2:37" x14ac:dyDescent="0.35">
      <c r="B18" s="52"/>
      <c r="C18" s="122"/>
      <c r="D18" s="122"/>
      <c r="E18" s="122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126"/>
      <c r="Q18" s="126"/>
      <c r="R18" s="126"/>
      <c r="S18" s="126"/>
      <c r="T18" s="126"/>
      <c r="V18" s="40"/>
      <c r="W18" s="40"/>
      <c r="X18" s="40"/>
      <c r="Y18" s="40"/>
      <c r="Z18" s="40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</row>
    <row r="19" spans="2:37" s="52" customFormat="1" ht="15.5" x14ac:dyDescent="0.35">
      <c r="B19" s="121" t="s">
        <v>223</v>
      </c>
      <c r="C19" s="122"/>
      <c r="D19" s="122"/>
      <c r="E19" s="122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Q19" s="125"/>
      <c r="R19" s="125"/>
      <c r="S19" s="125"/>
      <c r="T19" s="125"/>
      <c r="V19" s="155" t="s">
        <v>4</v>
      </c>
      <c r="W19" s="156"/>
      <c r="X19" s="156"/>
      <c r="Y19" s="156"/>
      <c r="Z19" s="157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</row>
    <row r="20" spans="2:37" s="52" customFormat="1" x14ac:dyDescent="0.35">
      <c r="B20" s="84" t="s">
        <v>5</v>
      </c>
      <c r="C20" s="83" t="s">
        <v>6</v>
      </c>
      <c r="D20" s="83" t="s">
        <v>7</v>
      </c>
      <c r="E20" s="83" t="s">
        <v>8</v>
      </c>
      <c r="F20" s="82" t="s">
        <v>9</v>
      </c>
      <c r="G20" s="81" t="s">
        <v>10</v>
      </c>
      <c r="H20" s="81" t="s">
        <v>11</v>
      </c>
      <c r="I20" s="81" t="s">
        <v>12</v>
      </c>
      <c r="J20" s="80" t="s">
        <v>13</v>
      </c>
      <c r="K20" s="82" t="s">
        <v>9</v>
      </c>
      <c r="L20" s="81" t="s">
        <v>10</v>
      </c>
      <c r="M20" s="81" t="s">
        <v>11</v>
      </c>
      <c r="N20" s="81" t="s">
        <v>12</v>
      </c>
      <c r="O20" s="80" t="s">
        <v>13</v>
      </c>
      <c r="P20" s="69" t="s">
        <v>14</v>
      </c>
      <c r="Q20" s="57" t="s">
        <v>15</v>
      </c>
      <c r="R20" s="57" t="s">
        <v>16</v>
      </c>
      <c r="S20" s="57" t="s">
        <v>17</v>
      </c>
      <c r="T20" s="57" t="s">
        <v>18</v>
      </c>
      <c r="V20" s="109" t="s">
        <v>9</v>
      </c>
      <c r="W20" s="105" t="s">
        <v>10</v>
      </c>
      <c r="X20" s="105" t="s">
        <v>11</v>
      </c>
      <c r="Y20" s="105" t="s">
        <v>12</v>
      </c>
      <c r="Z20" s="110" t="s">
        <v>13</v>
      </c>
      <c r="AB20" s="82" t="s">
        <v>9</v>
      </c>
      <c r="AC20" s="81" t="s">
        <v>10</v>
      </c>
      <c r="AD20" s="81" t="s">
        <v>11</v>
      </c>
      <c r="AE20" s="81" t="s">
        <v>12</v>
      </c>
      <c r="AF20" s="80" t="s">
        <v>13</v>
      </c>
      <c r="AG20" s="82" t="s">
        <v>9</v>
      </c>
      <c r="AH20" s="81" t="s">
        <v>10</v>
      </c>
      <c r="AI20" s="81" t="s">
        <v>11</v>
      </c>
      <c r="AJ20" s="81" t="s">
        <v>12</v>
      </c>
      <c r="AK20" s="80" t="s">
        <v>13</v>
      </c>
    </row>
    <row r="21" spans="2:37" s="52" customFormat="1" x14ac:dyDescent="0.35">
      <c r="B21" s="55" t="s">
        <v>19</v>
      </c>
      <c r="C21" s="123"/>
      <c r="D21" s="11" t="s">
        <v>20</v>
      </c>
      <c r="E21" s="123"/>
      <c r="F21" s="74" t="str">
        <f t="shared" ref="F21:J26" si="2">IF(ISNUMBER(AB21),AB21-((C$4-C$3)/V21),"")</f>
        <v/>
      </c>
      <c r="G21" s="79">
        <f t="shared" si="2"/>
        <v>3.4990288099963157E-2</v>
      </c>
      <c r="H21" s="79">
        <f t="shared" si="2"/>
        <v>4.0144897623919762E-2</v>
      </c>
      <c r="I21" s="79">
        <f t="shared" si="2"/>
        <v>4.4622629152593199E-2</v>
      </c>
      <c r="J21" s="61">
        <f t="shared" si="2"/>
        <v>4.9452844703277744E-2</v>
      </c>
      <c r="K21" s="88" t="str">
        <f t="shared" ref="K21:O26" si="3">IF(ISNUMBER(AG21),IF(AG21-((C$4-C$3)/V21)&lt;0,"",AG21-((C$4-C$3)/V21)),"")</f>
        <v/>
      </c>
      <c r="L21" s="86">
        <f t="shared" si="3"/>
        <v>7.3494002999631609E-3</v>
      </c>
      <c r="M21" s="86">
        <f t="shared" si="3"/>
        <v>1.1986244723919759E-2</v>
      </c>
      <c r="N21" s="86">
        <f t="shared" si="3"/>
        <v>1.5656786952593198E-2</v>
      </c>
      <c r="O21" s="89">
        <f t="shared" si="3"/>
        <v>1.921619780327774E-2</v>
      </c>
      <c r="P21" s="15"/>
      <c r="Q21" s="132"/>
      <c r="R21" s="132"/>
      <c r="S21" s="132"/>
      <c r="T21" s="16"/>
      <c r="V21" s="17">
        <v>1.12621642</v>
      </c>
      <c r="W21" s="18">
        <v>2.9242932399999999</v>
      </c>
      <c r="X21" s="18">
        <v>4.5532840300000004</v>
      </c>
      <c r="Y21" s="18">
        <v>5.9851308799999998</v>
      </c>
      <c r="Z21" s="19">
        <v>7.8025903699999999</v>
      </c>
      <c r="AB21" s="74"/>
      <c r="AC21" s="79">
        <v>3.4990288099963157E-2</v>
      </c>
      <c r="AD21" s="79">
        <v>4.0144897623919762E-2</v>
      </c>
      <c r="AE21" s="79">
        <v>4.4622629152593199E-2</v>
      </c>
      <c r="AF21" s="61">
        <v>4.9452844703277744E-2</v>
      </c>
      <c r="AG21" s="74"/>
      <c r="AH21" s="79">
        <v>7.3494002999631609E-3</v>
      </c>
      <c r="AI21" s="79">
        <v>1.1986244723919759E-2</v>
      </c>
      <c r="AJ21" s="79">
        <v>1.5656786952593198E-2</v>
      </c>
      <c r="AK21" s="61">
        <v>1.921619780327774E-2</v>
      </c>
    </row>
    <row r="22" spans="2:37" s="52" customFormat="1" x14ac:dyDescent="0.35">
      <c r="B22" s="54" t="s">
        <v>22</v>
      </c>
      <c r="C22" s="122"/>
      <c r="D22" s="20" t="s">
        <v>23</v>
      </c>
      <c r="E22" s="122"/>
      <c r="F22" s="72">
        <f t="shared" si="2"/>
        <v>2.6025229881871795E-2</v>
      </c>
      <c r="G22" s="70">
        <f t="shared" si="2"/>
        <v>3.5988470240203324E-2</v>
      </c>
      <c r="H22" s="70">
        <f t="shared" si="2"/>
        <v>4.1618480932540072E-2</v>
      </c>
      <c r="I22" s="70">
        <f t="shared" si="2"/>
        <v>4.6088108494022492E-2</v>
      </c>
      <c r="J22" s="62">
        <f t="shared" si="2"/>
        <v>5.0817353541537436E-2</v>
      </c>
      <c r="K22" s="85" t="str">
        <f t="shared" si="3"/>
        <v/>
      </c>
      <c r="L22" s="67">
        <f t="shared" si="3"/>
        <v>8.328367840203332E-3</v>
      </c>
      <c r="M22" s="67">
        <f t="shared" si="3"/>
        <v>1.3424466532540076E-2</v>
      </c>
      <c r="N22" s="67">
        <f t="shared" si="3"/>
        <v>1.7086001094022498E-2</v>
      </c>
      <c r="O22" s="90">
        <f t="shared" si="3"/>
        <v>2.0549847741537446E-2</v>
      </c>
      <c r="P22" s="24"/>
      <c r="Q22" s="25"/>
      <c r="R22" s="25"/>
      <c r="S22" s="25"/>
      <c r="T22" s="26"/>
      <c r="V22" s="27">
        <v>1.13067286</v>
      </c>
      <c r="W22" s="28">
        <v>2.9281644999999998</v>
      </c>
      <c r="X22" s="28">
        <v>4.5486916400000004</v>
      </c>
      <c r="Y22" s="28">
        <v>5.9689781900000005</v>
      </c>
      <c r="Z22" s="29">
        <v>7.76795949</v>
      </c>
      <c r="AB22" s="72">
        <v>2.6025229881871795E-2</v>
      </c>
      <c r="AC22" s="70">
        <v>3.5988470240203324E-2</v>
      </c>
      <c r="AD22" s="70">
        <v>4.1618480932540072E-2</v>
      </c>
      <c r="AE22" s="70">
        <v>4.6088108494022492E-2</v>
      </c>
      <c r="AF22" s="62">
        <v>5.0817353541537436E-2</v>
      </c>
      <c r="AG22" s="72" t="s">
        <v>21</v>
      </c>
      <c r="AH22" s="70">
        <v>8.328367840203332E-3</v>
      </c>
      <c r="AI22" s="70">
        <v>1.3424466532540076E-2</v>
      </c>
      <c r="AJ22" s="70">
        <v>1.7086001094022498E-2</v>
      </c>
      <c r="AK22" s="62">
        <v>2.0549847741537446E-2</v>
      </c>
    </row>
    <row r="23" spans="2:37" s="52" customFormat="1" x14ac:dyDescent="0.35">
      <c r="B23" s="55" t="s">
        <v>24</v>
      </c>
      <c r="C23" s="123"/>
      <c r="D23" s="11" t="s">
        <v>20</v>
      </c>
      <c r="E23" s="123"/>
      <c r="F23" s="74">
        <f t="shared" si="2"/>
        <v>5.4842301236506179E-2</v>
      </c>
      <c r="G23" s="79">
        <f t="shared" si="2"/>
        <v>6.5725248080140797E-2</v>
      </c>
      <c r="H23" s="79">
        <f>IF(ISNUMBER(AD23),AD23-((E$4-E$3)/X23),"")</f>
        <v>7.3472012100707154E-2</v>
      </c>
      <c r="I23" s="79" t="str">
        <f>IF(ISNUMBER(AE23),AE23-((F$4-F$3)/Y23),"")</f>
        <v/>
      </c>
      <c r="J23" s="61" t="str">
        <f>IF(ISNUMBER(AF23),AF23-((G$4-G$3)/Z23),"")</f>
        <v/>
      </c>
      <c r="K23" s="88">
        <f>IF(ISNUMBER(AG23),IF(AG23-((C$4-C$3)/V23)&lt;0,"",AG23-((C$4-C$3)/V23)),"")</f>
        <v>2.6730109736506181E-2</v>
      </c>
      <c r="L23" s="86">
        <f>IF(ISNUMBER(AH23),IF(AH23-((D$4-D$3)/W23)&lt;0,"",AH23-((D$4-D$3)/W23)),"")</f>
        <v>3.6624133280140789E-2</v>
      </c>
      <c r="M23" s="86">
        <f t="shared" si="3"/>
        <v>4.3574145400707164E-2</v>
      </c>
      <c r="N23" s="86" t="str">
        <f t="shared" si="3"/>
        <v/>
      </c>
      <c r="O23" s="89" t="str">
        <f t="shared" si="3"/>
        <v/>
      </c>
      <c r="P23" s="15"/>
      <c r="Q23" s="132"/>
      <c r="R23" s="132"/>
      <c r="S23" s="132"/>
      <c r="T23" s="16"/>
      <c r="V23" s="17">
        <v>1.0935761500000001</v>
      </c>
      <c r="W23" s="18">
        <v>2.72715124</v>
      </c>
      <c r="X23" s="18">
        <v>4.0886225399999994</v>
      </c>
      <c r="Y23" s="18">
        <v>5.2108751500000006</v>
      </c>
      <c r="Z23" s="19">
        <v>6.5503760900000003</v>
      </c>
      <c r="AB23" s="74">
        <v>5.4842301236506179E-2</v>
      </c>
      <c r="AC23" s="79">
        <v>6.5725248080140797E-2</v>
      </c>
      <c r="AD23" s="79">
        <v>7.3472012100707154E-2</v>
      </c>
      <c r="AE23" s="79"/>
      <c r="AF23" s="61"/>
      <c r="AG23" s="74">
        <v>2.6730109736506181E-2</v>
      </c>
      <c r="AH23" s="79">
        <v>3.6624133280140789E-2</v>
      </c>
      <c r="AI23" s="79">
        <v>4.3574145400707164E-2</v>
      </c>
      <c r="AJ23" s="79"/>
      <c r="AK23" s="61"/>
    </row>
    <row r="24" spans="2:37" s="52" customFormat="1" x14ac:dyDescent="0.35">
      <c r="B24" s="56" t="s">
        <v>25</v>
      </c>
      <c r="C24" s="124"/>
      <c r="D24" s="20" t="s">
        <v>23</v>
      </c>
      <c r="E24" s="124"/>
      <c r="F24" s="73">
        <f t="shared" si="2"/>
        <v>4.1591322892196698E-2</v>
      </c>
      <c r="G24" s="75">
        <f t="shared" si="2"/>
        <v>6.3465007521315175E-2</v>
      </c>
      <c r="H24" s="75">
        <f t="shared" si="2"/>
        <v>7.7596014102134792E-2</v>
      </c>
      <c r="I24" s="75">
        <f t="shared" si="2"/>
        <v>8.3183846644730108E-2</v>
      </c>
      <c r="J24" s="63">
        <f t="shared" si="2"/>
        <v>8.8564252437403901E-2</v>
      </c>
      <c r="K24" s="91">
        <f t="shared" si="3"/>
        <v>1.4008323792196704E-2</v>
      </c>
      <c r="L24" s="87">
        <f t="shared" si="3"/>
        <v>3.4422614821315194E-2</v>
      </c>
      <c r="M24" s="87">
        <f t="shared" si="3"/>
        <v>4.7184366502134784E-2</v>
      </c>
      <c r="N24" s="87">
        <f t="shared" si="3"/>
        <v>5.1727328544730111E-2</v>
      </c>
      <c r="O24" s="92">
        <f t="shared" si="3"/>
        <v>5.5746741637403896E-2</v>
      </c>
      <c r="P24" s="33"/>
      <c r="Q24" s="133"/>
      <c r="R24" s="133"/>
      <c r="S24" s="133"/>
      <c r="T24" s="34"/>
      <c r="V24" s="27">
        <v>1.0857922900000001</v>
      </c>
      <c r="W24" s="28">
        <v>2.7237429999999998</v>
      </c>
      <c r="X24" s="28">
        <v>4.03925497</v>
      </c>
      <c r="Y24" s="28">
        <v>5.0635954999999999</v>
      </c>
      <c r="Z24" s="29">
        <v>6.1874566800000004</v>
      </c>
      <c r="AB24" s="73">
        <v>4.1591322892196698E-2</v>
      </c>
      <c r="AC24" s="75">
        <v>6.3465007521315175E-2</v>
      </c>
      <c r="AD24" s="75">
        <v>7.7596014102134792E-2</v>
      </c>
      <c r="AE24" s="75">
        <v>8.3183846644730108E-2</v>
      </c>
      <c r="AF24" s="63">
        <v>8.8564252437403901E-2</v>
      </c>
      <c r="AG24" s="73">
        <v>1.4008323792196704E-2</v>
      </c>
      <c r="AH24" s="75">
        <v>3.4422614821315194E-2</v>
      </c>
      <c r="AI24" s="75">
        <v>4.7184366502134784E-2</v>
      </c>
      <c r="AJ24" s="75">
        <v>5.1727328544730111E-2</v>
      </c>
      <c r="AK24" s="63">
        <v>5.5746741637403896E-2</v>
      </c>
    </row>
    <row r="25" spans="2:37" s="52" customFormat="1" x14ac:dyDescent="0.35">
      <c r="B25" s="54" t="s">
        <v>26</v>
      </c>
      <c r="C25" s="122"/>
      <c r="D25" s="11" t="s">
        <v>23</v>
      </c>
      <c r="E25" s="122"/>
      <c r="F25" s="72">
        <f t="shared" si="2"/>
        <v>2.6384348993666689E-2</v>
      </c>
      <c r="G25" s="70">
        <f t="shared" si="2"/>
        <v>3.6258811807577201E-2</v>
      </c>
      <c r="H25" s="70">
        <f t="shared" si="2"/>
        <v>4.2315424854637823E-2</v>
      </c>
      <c r="I25" s="70" t="str">
        <f t="shared" si="2"/>
        <v/>
      </c>
      <c r="J25" s="62" t="str">
        <f t="shared" si="2"/>
        <v/>
      </c>
      <c r="K25" s="85" t="str">
        <f t="shared" si="3"/>
        <v/>
      </c>
      <c r="L25" s="67">
        <f t="shared" si="3"/>
        <v>8.5947668075772084E-3</v>
      </c>
      <c r="M25" s="67">
        <f t="shared" si="3"/>
        <v>1.4100987154637829E-2</v>
      </c>
      <c r="N25" s="67" t="str">
        <f t="shared" si="3"/>
        <v/>
      </c>
      <c r="O25" s="90" t="str">
        <f t="shared" si="3"/>
        <v/>
      </c>
      <c r="P25" s="24"/>
      <c r="Q25" s="25"/>
      <c r="R25" s="25"/>
      <c r="S25" s="25"/>
      <c r="T25" s="26"/>
      <c r="V25" s="17">
        <v>1.1195791099999999</v>
      </c>
      <c r="W25" s="18">
        <v>2.8907505200000001</v>
      </c>
      <c r="X25" s="18">
        <v>4.5015226200000003</v>
      </c>
      <c r="Y25" s="18">
        <v>5.8867049099999997</v>
      </c>
      <c r="Z25" s="19">
        <v>7.5922947599999997</v>
      </c>
      <c r="AB25" s="72">
        <v>2.6384348993666689E-2</v>
      </c>
      <c r="AC25" s="70">
        <v>3.6258811807577201E-2</v>
      </c>
      <c r="AD25" s="70">
        <v>4.2315424854637823E-2</v>
      </c>
      <c r="AE25" s="70"/>
      <c r="AF25" s="62"/>
      <c r="AG25" s="72" t="s">
        <v>21</v>
      </c>
      <c r="AH25" s="70">
        <v>8.5947668075772084E-3</v>
      </c>
      <c r="AI25" s="70">
        <v>1.4100987154637829E-2</v>
      </c>
      <c r="AJ25" s="70"/>
      <c r="AK25" s="62"/>
    </row>
    <row r="26" spans="2:37" s="52" customFormat="1" x14ac:dyDescent="0.35">
      <c r="B26" s="56" t="s">
        <v>27</v>
      </c>
      <c r="C26" s="124"/>
      <c r="D26" s="35" t="s">
        <v>23</v>
      </c>
      <c r="E26" s="124"/>
      <c r="F26" s="73" t="str">
        <f t="shared" si="2"/>
        <v/>
      </c>
      <c r="G26" s="75">
        <f t="shared" si="2"/>
        <v>3.811906006745313E-2</v>
      </c>
      <c r="H26" s="75">
        <f t="shared" si="2"/>
        <v>4.5913760534337801E-2</v>
      </c>
      <c r="I26" s="75" t="str">
        <f t="shared" si="2"/>
        <v/>
      </c>
      <c r="J26" s="63">
        <f t="shared" si="2"/>
        <v>6.2709781081665653E-2</v>
      </c>
      <c r="K26" s="91" t="str">
        <f t="shared" si="3"/>
        <v/>
      </c>
      <c r="L26" s="87">
        <f t="shared" si="3"/>
        <v>1.0412822967453137E-2</v>
      </c>
      <c r="M26" s="87">
        <f t="shared" si="3"/>
        <v>1.759892073433781E-2</v>
      </c>
      <c r="N26" s="87" t="str">
        <f t="shared" si="3"/>
        <v/>
      </c>
      <c r="O26" s="92">
        <f t="shared" si="3"/>
        <v>3.2001579581665655E-2</v>
      </c>
      <c r="P26" s="33"/>
      <c r="Q26" s="133"/>
      <c r="R26" s="133"/>
      <c r="S26" s="133"/>
      <c r="T26" s="34"/>
      <c r="V26" s="36">
        <v>1.1158569199999999</v>
      </c>
      <c r="W26" s="37">
        <v>2.8720459699999998</v>
      </c>
      <c r="X26" s="37">
        <v>4.4591583899999998</v>
      </c>
      <c r="Y26" s="37">
        <v>5.7987250800000005</v>
      </c>
      <c r="Z26" s="38">
        <v>7.4022566400000001</v>
      </c>
      <c r="AB26" s="73"/>
      <c r="AC26" s="75">
        <v>3.811906006745313E-2</v>
      </c>
      <c r="AD26" s="75">
        <v>4.5913760534337801E-2</v>
      </c>
      <c r="AE26" s="75"/>
      <c r="AF26" s="63">
        <v>6.2709781081665653E-2</v>
      </c>
      <c r="AG26" s="73"/>
      <c r="AH26" s="75">
        <v>1.0412822967453137E-2</v>
      </c>
      <c r="AI26" s="75">
        <v>1.759892073433781E-2</v>
      </c>
      <c r="AJ26" s="75"/>
      <c r="AK26" s="63">
        <v>3.2001579581665655E-2</v>
      </c>
    </row>
    <row r="27" spans="2:37" s="52" customFormat="1" x14ac:dyDescent="0.35">
      <c r="C27" s="122"/>
      <c r="D27" s="122"/>
      <c r="E27" s="122"/>
      <c r="F27" s="59"/>
      <c r="G27" s="59"/>
      <c r="H27" s="59"/>
      <c r="I27" s="59"/>
      <c r="J27" s="59"/>
      <c r="K27" s="67"/>
      <c r="L27" s="67"/>
      <c r="M27" s="67"/>
      <c r="N27" s="67"/>
      <c r="O27" s="67"/>
      <c r="P27" s="126"/>
      <c r="Q27" s="126"/>
      <c r="R27" s="126"/>
      <c r="S27" s="126"/>
      <c r="T27" s="134"/>
      <c r="V27" s="40"/>
      <c r="W27" s="40"/>
      <c r="X27" s="40"/>
      <c r="Y27" s="40"/>
      <c r="Z27" s="40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</row>
    <row r="28" spans="2:37" ht="15.5" x14ac:dyDescent="0.35">
      <c r="B28" s="121" t="s">
        <v>28</v>
      </c>
      <c r="C28" s="122"/>
      <c r="D28" s="122"/>
      <c r="E28" s="122"/>
      <c r="F28" s="3"/>
      <c r="G28" s="3"/>
      <c r="H28" s="3"/>
      <c r="I28" s="3"/>
      <c r="J28" s="3"/>
      <c r="K28" s="3"/>
      <c r="L28" s="3"/>
      <c r="M28" s="3"/>
      <c r="N28" s="3"/>
      <c r="O28" s="3"/>
      <c r="P28" s="125"/>
      <c r="Q28" s="125"/>
      <c r="R28" s="125"/>
      <c r="S28" s="125"/>
      <c r="T28" s="125"/>
      <c r="V28" s="40"/>
      <c r="W28" s="40"/>
      <c r="X28" s="40"/>
      <c r="Y28" s="40"/>
      <c r="Z28" s="40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</row>
    <row r="29" spans="2:37" x14ac:dyDescent="0.35">
      <c r="B29" s="84" t="s">
        <v>5</v>
      </c>
      <c r="C29" s="83" t="s">
        <v>6</v>
      </c>
      <c r="D29" s="83" t="s">
        <v>7</v>
      </c>
      <c r="E29" s="83" t="s">
        <v>8</v>
      </c>
      <c r="F29" s="6" t="s">
        <v>9</v>
      </c>
      <c r="G29" s="7" t="s">
        <v>10</v>
      </c>
      <c r="H29" s="7" t="s">
        <v>11</v>
      </c>
      <c r="I29" s="7" t="s">
        <v>12</v>
      </c>
      <c r="J29" s="8" t="s">
        <v>13</v>
      </c>
      <c r="K29" s="6" t="s">
        <v>9</v>
      </c>
      <c r="L29" s="7" t="s">
        <v>10</v>
      </c>
      <c r="M29" s="7" t="s">
        <v>11</v>
      </c>
      <c r="N29" s="7" t="s">
        <v>12</v>
      </c>
      <c r="O29" s="8" t="s">
        <v>13</v>
      </c>
      <c r="P29" s="69" t="s">
        <v>14</v>
      </c>
      <c r="Q29" s="57" t="s">
        <v>15</v>
      </c>
      <c r="R29" s="57" t="s">
        <v>16</v>
      </c>
      <c r="S29" s="57" t="s">
        <v>17</v>
      </c>
      <c r="T29" s="57" t="s">
        <v>18</v>
      </c>
      <c r="V29" s="109" t="s">
        <v>9</v>
      </c>
      <c r="W29" s="105" t="s">
        <v>10</v>
      </c>
      <c r="X29" s="105" t="s">
        <v>11</v>
      </c>
      <c r="Y29" s="105" t="s">
        <v>12</v>
      </c>
      <c r="Z29" s="110" t="s">
        <v>13</v>
      </c>
      <c r="AB29" s="82" t="s">
        <v>9</v>
      </c>
      <c r="AC29" s="81" t="s">
        <v>10</v>
      </c>
      <c r="AD29" s="81" t="s">
        <v>11</v>
      </c>
      <c r="AE29" s="81" t="s">
        <v>12</v>
      </c>
      <c r="AF29" s="80" t="s">
        <v>13</v>
      </c>
      <c r="AG29" s="82" t="s">
        <v>9</v>
      </c>
      <c r="AH29" s="81" t="s">
        <v>10</v>
      </c>
      <c r="AI29" s="81" t="s">
        <v>11</v>
      </c>
      <c r="AJ29" s="81" t="s">
        <v>12</v>
      </c>
      <c r="AK29" s="80" t="s">
        <v>13</v>
      </c>
    </row>
    <row r="30" spans="2:37" x14ac:dyDescent="0.35">
      <c r="B30" s="78" t="s">
        <v>416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6"/>
      <c r="P30" s="78"/>
      <c r="Q30" s="77"/>
      <c r="R30" s="77"/>
      <c r="S30" s="77"/>
      <c r="T30" s="76"/>
      <c r="V30" s="111"/>
      <c r="W30" s="106"/>
      <c r="X30" s="106"/>
      <c r="Y30" s="106"/>
      <c r="Z30" s="112"/>
      <c r="AB30" s="77"/>
      <c r="AC30" s="77"/>
      <c r="AD30" s="77"/>
      <c r="AE30" s="77"/>
      <c r="AF30" s="77"/>
      <c r="AG30" s="77"/>
      <c r="AH30" s="77"/>
      <c r="AI30" s="77"/>
      <c r="AJ30" s="77"/>
      <c r="AK30" s="76"/>
    </row>
    <row r="31" spans="2:37" x14ac:dyDescent="0.35">
      <c r="B31" s="55" t="s">
        <v>29</v>
      </c>
      <c r="C31" s="52" t="s">
        <v>30</v>
      </c>
      <c r="D31" s="52" t="s">
        <v>31</v>
      </c>
      <c r="E31" s="52" t="s">
        <v>417</v>
      </c>
      <c r="F31" s="88">
        <f>IF(ISNUMBER(AB31),AB31-((C$4-C$3)/V31),"")</f>
        <v>2.4461679163763746E-2</v>
      </c>
      <c r="G31" s="59">
        <f>IF(ISNUMBER(AC31),AC31-((D$4-D$3)/W31),"")</f>
        <v>3.0761477472959743E-2</v>
      </c>
      <c r="H31" s="70">
        <f>IF(ISNUMBER(AD31),AD31-((E$4-E$3)/X31),"")</f>
        <v>3.5115424497792973E-2</v>
      </c>
      <c r="I31" s="70">
        <f>IF(ISNUMBER(AE31),AE31-((F$4-F$3)/Y31),"")</f>
        <v>3.7966950320360709E-2</v>
      </c>
      <c r="J31" s="62">
        <f>IF(ISNUMBER(AF31),AF31-((G$4-G$3)/Z31),"")</f>
        <v>4.0986606478194167E-2</v>
      </c>
      <c r="K31" s="72" t="str">
        <f>IF(ISNUMBER(AG31),IF(AG31-((C$4-C$3)/V31)&lt;0,"",AG31-((C$4-C$3)/V31)),"")</f>
        <v/>
      </c>
      <c r="L31" s="59">
        <f>IF(ISNUMBER(AH31),IF(AH31-((D$4-D$3)/W31)&lt;0,"",AH31-((D$4-D$3)/W31)),"")</f>
        <v>3.1818187729597421E-3</v>
      </c>
      <c r="M31" s="70">
        <f>IF(ISNUMBER(AI31),IF(AI31-((E$4-E$3)/X31)&lt;0,"",AI31-((E$4-E$3)/X31)),"")</f>
        <v>7.0579722977929674E-3</v>
      </c>
      <c r="N31" s="70">
        <f>IF(ISNUMBER(AJ31),IF(AJ31-((F$4-F$3)/Y31)&lt;0,"",AJ31-((F$4-F$3)/Y31)),"")</f>
        <v>9.1456542203607084E-3</v>
      </c>
      <c r="O31" s="62">
        <f>IF(ISNUMBER(AK31),IF(AK31-((G$4-G$3)/Z31)&lt;0,"",AK31-((G$4-G$3)/Z31)),"")</f>
        <v>1.0931948578194156E-2</v>
      </c>
      <c r="P31" s="54" t="s">
        <v>418</v>
      </c>
      <c r="Q31" s="52" t="s">
        <v>419</v>
      </c>
      <c r="R31" s="93" t="s">
        <v>32</v>
      </c>
      <c r="S31" s="70">
        <v>4.0575260000000002E-2</v>
      </c>
      <c r="T31" s="62">
        <f>IF(S31="","",H31-S31)</f>
        <v>-5.4598355022070291E-3</v>
      </c>
      <c r="V31" s="113">
        <v>1.13061831</v>
      </c>
      <c r="W31" s="71">
        <v>2.9399705000000003</v>
      </c>
      <c r="X31" s="71">
        <v>4.5917090700000003</v>
      </c>
      <c r="Y31" s="71">
        <v>6.0613816900000002</v>
      </c>
      <c r="Z31" s="114">
        <v>7.966604049999999</v>
      </c>
      <c r="AB31" s="74">
        <v>2.4461679163763746E-2</v>
      </c>
      <c r="AC31" s="70">
        <v>3.0761477472959743E-2</v>
      </c>
      <c r="AD31" s="70">
        <v>3.5115424497792973E-2</v>
      </c>
      <c r="AE31" s="70">
        <v>3.7966950320360709E-2</v>
      </c>
      <c r="AF31" s="62">
        <v>4.0986606478194167E-2</v>
      </c>
      <c r="AG31" s="72" t="s">
        <v>21</v>
      </c>
      <c r="AH31" s="70">
        <v>3.1818187729597421E-3</v>
      </c>
      <c r="AI31" s="70">
        <v>7.0579722977929674E-3</v>
      </c>
      <c r="AJ31" s="70">
        <v>9.1456542203607084E-3</v>
      </c>
      <c r="AK31" s="62">
        <v>1.0931948578194156E-2</v>
      </c>
    </row>
    <row r="32" spans="2:37" x14ac:dyDescent="0.35">
      <c r="B32" s="54" t="s">
        <v>29</v>
      </c>
      <c r="C32" s="52" t="s">
        <v>33</v>
      </c>
      <c r="D32" s="52" t="s">
        <v>31</v>
      </c>
      <c r="E32" s="52" t="s">
        <v>34</v>
      </c>
      <c r="F32" s="72">
        <f t="shared" ref="F32:F110" si="4">IF(ISNUMBER(AB32),AB32-((C$4-C$3)/V32),"")</f>
        <v>2.4809384441799177E-2</v>
      </c>
      <c r="G32" s="59">
        <f t="shared" ref="G32:G110" si="5">IF(ISNUMBER(AC32),AC32-((D$4-D$3)/W32),"")</f>
        <v>3.2487954494128689E-2</v>
      </c>
      <c r="H32" s="70">
        <f t="shared" ref="H32:H110" si="6">IF(ISNUMBER(AD32),AD32-((E$4-E$3)/X32),"")</f>
        <v>3.8103154404209715E-2</v>
      </c>
      <c r="I32" s="70">
        <f t="shared" ref="I32:I110" si="7">IF(ISNUMBER(AE32),AE32-((F$4-F$3)/Y32),"")</f>
        <v>4.1797146215425574E-2</v>
      </c>
      <c r="J32" s="62">
        <f t="shared" ref="J32:J110" si="8">IF(ISNUMBER(AF32),AF32-((G$4-G$3)/Z32),"")</f>
        <v>4.5287330901247612E-2</v>
      </c>
      <c r="K32" s="72" t="str">
        <f t="shared" ref="K32:K110" si="9">IF(ISNUMBER(AG32),IF(AG32-((C$4-C$3)/V32)&lt;0,"",AG32-((C$4-C$3)/V32)),"")</f>
        <v/>
      </c>
      <c r="L32" s="59">
        <f t="shared" ref="L32:L110" si="10">IF(ISNUMBER(AH32),IF(AH32-((D$4-D$3)/W32)&lt;0,"",AH32-((D$4-D$3)/W32)),"")</f>
        <v>4.8492883941286952E-3</v>
      </c>
      <c r="M32" s="70">
        <f t="shared" ref="M32:M110" si="11">IF(ISNUMBER(AI32),IF(AI32-((E$4-E$3)/X32)&lt;0,"",AI32-((E$4-E$3)/X32)),"")</f>
        <v>9.9405876042097142E-3</v>
      </c>
      <c r="N32" s="70">
        <f t="shared" ref="N32:N110" si="12">IF(ISNUMBER(AJ32),IF(AJ32-((F$4-F$3)/Y32)&lt;0,"",AJ32-((F$4-F$3)/Y32)),"")</f>
        <v>1.2834433215425572E-2</v>
      </c>
      <c r="O32" s="62">
        <f t="shared" ref="O32:O110" si="13">IF(ISNUMBER(AK32),IF(AK32-((G$4-G$3)/Z32)&lt;0,"",AK32-((G$4-G$3)/Z32)),"")</f>
        <v>1.5094320801247615E-2</v>
      </c>
      <c r="P32" s="54" t="s">
        <v>21</v>
      </c>
      <c r="Q32" s="52" t="s">
        <v>21</v>
      </c>
      <c r="R32" s="93" t="s">
        <v>21</v>
      </c>
      <c r="S32" s="70" t="s">
        <v>21</v>
      </c>
      <c r="T32" s="62" t="str">
        <f t="shared" ref="T32:T110" si="14">IF(S32="","",H32-S32)</f>
        <v/>
      </c>
      <c r="V32" s="113">
        <v>1.1299620800000001</v>
      </c>
      <c r="W32" s="71">
        <v>2.9276521900000003</v>
      </c>
      <c r="X32" s="71">
        <v>4.5441473599999993</v>
      </c>
      <c r="Y32" s="71">
        <v>5.9517593399999997</v>
      </c>
      <c r="Z32" s="114">
        <v>7.7317753399999996</v>
      </c>
      <c r="AB32" s="72">
        <v>2.4809384441799177E-2</v>
      </c>
      <c r="AC32" s="70">
        <v>3.2487954494128689E-2</v>
      </c>
      <c r="AD32" s="70">
        <v>3.8103154404209715E-2</v>
      </c>
      <c r="AE32" s="70">
        <v>4.1797146215425574E-2</v>
      </c>
      <c r="AF32" s="62">
        <v>4.5287330901247612E-2</v>
      </c>
      <c r="AG32" s="72" t="s">
        <v>21</v>
      </c>
      <c r="AH32" s="70">
        <v>4.8492883941286952E-3</v>
      </c>
      <c r="AI32" s="70">
        <v>9.9405876042097142E-3</v>
      </c>
      <c r="AJ32" s="70">
        <v>1.2834433215425572E-2</v>
      </c>
      <c r="AK32" s="62">
        <v>1.5094320801247615E-2</v>
      </c>
    </row>
    <row r="33" spans="2:37" x14ac:dyDescent="0.35">
      <c r="B33" s="56" t="s">
        <v>29</v>
      </c>
      <c r="C33" s="66" t="s">
        <v>35</v>
      </c>
      <c r="D33" s="66" t="s">
        <v>31</v>
      </c>
      <c r="E33" s="66" t="s">
        <v>338</v>
      </c>
      <c r="F33" s="73">
        <f t="shared" si="4"/>
        <v>2.563165719981194E-2</v>
      </c>
      <c r="G33" s="75">
        <f t="shared" si="5"/>
        <v>3.4751987184311196E-2</v>
      </c>
      <c r="H33" s="75">
        <f t="shared" si="6"/>
        <v>4.1792941568294911E-2</v>
      </c>
      <c r="I33" s="75">
        <f t="shared" si="7"/>
        <v>4.6503312870147209E-2</v>
      </c>
      <c r="J33" s="63">
        <f t="shared" si="8"/>
        <v>5.0908630627633539E-2</v>
      </c>
      <c r="K33" s="73" t="str">
        <f t="shared" si="9"/>
        <v/>
      </c>
      <c r="L33" s="75">
        <f t="shared" si="10"/>
        <v>7.068297284311199E-3</v>
      </c>
      <c r="M33" s="75">
        <f t="shared" si="11"/>
        <v>1.3550635168294908E-2</v>
      </c>
      <c r="N33" s="75">
        <f t="shared" si="12"/>
        <v>1.7423912270147203E-2</v>
      </c>
      <c r="O33" s="63">
        <f t="shared" si="13"/>
        <v>2.0573570627633535E-2</v>
      </c>
      <c r="P33" s="54" t="s">
        <v>21</v>
      </c>
      <c r="Q33" s="52" t="s">
        <v>21</v>
      </c>
      <c r="R33" s="93" t="s">
        <v>21</v>
      </c>
      <c r="S33" s="70" t="s">
        <v>21</v>
      </c>
      <c r="T33" s="62" t="str">
        <f t="shared" si="14"/>
        <v/>
      </c>
      <c r="V33" s="115">
        <v>1.1298031099999999</v>
      </c>
      <c r="W33" s="107">
        <v>2.9232692599999996</v>
      </c>
      <c r="X33" s="107">
        <v>4.5271762400000002</v>
      </c>
      <c r="Y33" s="107">
        <v>5.9121526500000003</v>
      </c>
      <c r="Z33" s="116">
        <v>7.64115754</v>
      </c>
      <c r="AB33" s="73">
        <v>2.563165719981194E-2</v>
      </c>
      <c r="AC33" s="75">
        <v>3.4751987184311196E-2</v>
      </c>
      <c r="AD33" s="75">
        <v>4.1792941568294911E-2</v>
      </c>
      <c r="AE33" s="75">
        <v>4.6503312870147209E-2</v>
      </c>
      <c r="AF33" s="63">
        <v>5.0908630627633539E-2</v>
      </c>
      <c r="AG33" s="73" t="s">
        <v>21</v>
      </c>
      <c r="AH33" s="75">
        <v>7.068297284311199E-3</v>
      </c>
      <c r="AI33" s="75">
        <v>1.3550635168294908E-2</v>
      </c>
      <c r="AJ33" s="75">
        <v>1.7423912270147203E-2</v>
      </c>
      <c r="AK33" s="63">
        <v>2.0573570627633535E-2</v>
      </c>
    </row>
    <row r="34" spans="2:37" x14ac:dyDescent="0.35">
      <c r="B34" s="54" t="s">
        <v>37</v>
      </c>
      <c r="C34" s="52" t="s">
        <v>30</v>
      </c>
      <c r="D34" s="52" t="s">
        <v>31</v>
      </c>
      <c r="E34" s="52" t="s">
        <v>338</v>
      </c>
      <c r="F34" s="72">
        <f t="shared" si="4"/>
        <v>2.4929772738046335E-2</v>
      </c>
      <c r="G34" s="59">
        <f t="shared" si="5"/>
        <v>3.1652362414032312E-2</v>
      </c>
      <c r="H34" s="70">
        <f t="shared" si="6"/>
        <v>3.5737543249966086E-2</v>
      </c>
      <c r="I34" s="70">
        <f t="shared" si="7"/>
        <v>3.8624146529869757E-2</v>
      </c>
      <c r="J34" s="62">
        <f t="shared" si="8"/>
        <v>4.160355623081749E-2</v>
      </c>
      <c r="K34" s="72" t="str">
        <f t="shared" si="9"/>
        <v/>
      </c>
      <c r="L34" s="59">
        <f t="shared" si="10"/>
        <v>4.0433195140323142E-3</v>
      </c>
      <c r="M34" s="70">
        <f t="shared" si="11"/>
        <v>7.6595612499660848E-3</v>
      </c>
      <c r="N34" s="70">
        <f t="shared" si="12"/>
        <v>9.7799087298697622E-3</v>
      </c>
      <c r="O34" s="62">
        <f t="shared" si="13"/>
        <v>1.1529698930817487E-2</v>
      </c>
      <c r="P34" s="55" t="s">
        <v>21</v>
      </c>
      <c r="Q34" s="65" t="s">
        <v>21</v>
      </c>
      <c r="R34" s="99" t="s">
        <v>21</v>
      </c>
      <c r="S34" s="79" t="s">
        <v>21</v>
      </c>
      <c r="T34" s="61" t="str">
        <f t="shared" si="14"/>
        <v/>
      </c>
      <c r="V34" s="113">
        <v>1.1297111</v>
      </c>
      <c r="W34" s="71">
        <v>2.9325801400000002</v>
      </c>
      <c r="X34" s="71">
        <v>4.5757859600000002</v>
      </c>
      <c r="Y34" s="71">
        <v>6.0349645600000006</v>
      </c>
      <c r="Z34" s="114">
        <v>7.92232833</v>
      </c>
      <c r="AB34" s="72">
        <v>2.4929772738046335E-2</v>
      </c>
      <c r="AC34" s="70">
        <v>3.1652362414032312E-2</v>
      </c>
      <c r="AD34" s="70">
        <v>3.5737543249966086E-2</v>
      </c>
      <c r="AE34" s="70">
        <v>3.8624146529869757E-2</v>
      </c>
      <c r="AF34" s="62">
        <v>4.160355623081749E-2</v>
      </c>
      <c r="AG34" s="72" t="s">
        <v>21</v>
      </c>
      <c r="AH34" s="70">
        <v>4.0433195140323142E-3</v>
      </c>
      <c r="AI34" s="70">
        <v>7.6595612499660848E-3</v>
      </c>
      <c r="AJ34" s="70">
        <v>9.7799087298697622E-3</v>
      </c>
      <c r="AK34" s="62">
        <v>1.1529698930817487E-2</v>
      </c>
    </row>
    <row r="35" spans="2:37" x14ac:dyDescent="0.35">
      <c r="B35" s="54" t="s">
        <v>37</v>
      </c>
      <c r="C35" s="52" t="s">
        <v>33</v>
      </c>
      <c r="D35" s="52" t="s">
        <v>31</v>
      </c>
      <c r="E35" s="52" t="s">
        <v>38</v>
      </c>
      <c r="F35" s="72">
        <f t="shared" si="4"/>
        <v>2.5219964258623828E-2</v>
      </c>
      <c r="G35" s="59">
        <f t="shared" si="5"/>
        <v>3.2615254827752654E-2</v>
      </c>
      <c r="H35" s="70">
        <f t="shared" si="6"/>
        <v>3.8151591180459979E-2</v>
      </c>
      <c r="I35" s="70">
        <f t="shared" si="7"/>
        <v>4.1749748628673963E-2</v>
      </c>
      <c r="J35" s="62">
        <f t="shared" si="8"/>
        <v>4.5334506624034848E-2</v>
      </c>
      <c r="K35" s="72" t="str">
        <f t="shared" si="9"/>
        <v/>
      </c>
      <c r="L35" s="59">
        <f t="shared" si="10"/>
        <v>4.973506527752661E-3</v>
      </c>
      <c r="M35" s="70">
        <f t="shared" si="11"/>
        <v>9.9880578804599808E-3</v>
      </c>
      <c r="N35" s="70">
        <f t="shared" si="12"/>
        <v>1.278943252867396E-2</v>
      </c>
      <c r="O35" s="62">
        <f t="shared" si="13"/>
        <v>1.5139106624034853E-2</v>
      </c>
      <c r="P35" s="54" t="s">
        <v>21</v>
      </c>
      <c r="Q35" s="52" t="s">
        <v>21</v>
      </c>
      <c r="R35" s="93" t="s">
        <v>21</v>
      </c>
      <c r="S35" s="70" t="s">
        <v>21</v>
      </c>
      <c r="T35" s="62" t="str">
        <f t="shared" si="14"/>
        <v/>
      </c>
      <c r="V35" s="113">
        <v>1.1291390400000001</v>
      </c>
      <c r="W35" s="71">
        <v>2.9253461399999998</v>
      </c>
      <c r="X35" s="71">
        <v>4.5411108899999997</v>
      </c>
      <c r="Y35" s="71">
        <v>5.9494572699999999</v>
      </c>
      <c r="Z35" s="114">
        <v>7.7291073700000004</v>
      </c>
      <c r="AB35" s="72">
        <v>2.5219964258623828E-2</v>
      </c>
      <c r="AC35" s="70">
        <v>3.2615254827752654E-2</v>
      </c>
      <c r="AD35" s="70">
        <v>3.8151591180459979E-2</v>
      </c>
      <c r="AE35" s="70">
        <v>4.1749748628673963E-2</v>
      </c>
      <c r="AF35" s="62">
        <v>4.5334506624034848E-2</v>
      </c>
      <c r="AG35" s="72" t="s">
        <v>21</v>
      </c>
      <c r="AH35" s="70">
        <v>4.973506527752661E-3</v>
      </c>
      <c r="AI35" s="70">
        <v>9.9880578804599808E-3</v>
      </c>
      <c r="AJ35" s="70">
        <v>1.278943252867396E-2</v>
      </c>
      <c r="AK35" s="62">
        <v>1.5139106624034853E-2</v>
      </c>
    </row>
    <row r="36" spans="2:37" x14ac:dyDescent="0.35">
      <c r="B36" s="56" t="s">
        <v>37</v>
      </c>
      <c r="C36" s="66" t="s">
        <v>35</v>
      </c>
      <c r="D36" s="66" t="s">
        <v>31</v>
      </c>
      <c r="E36" s="66" t="s">
        <v>39</v>
      </c>
      <c r="F36" s="73">
        <f t="shared" si="4"/>
        <v>2.5664812386848049E-2</v>
      </c>
      <c r="G36" s="75">
        <f t="shared" si="5"/>
        <v>3.491083470952723E-2</v>
      </c>
      <c r="H36" s="75">
        <f t="shared" si="6"/>
        <v>4.188257896440882E-2</v>
      </c>
      <c r="I36" s="75">
        <f t="shared" si="7"/>
        <v>4.6501043649970812E-2</v>
      </c>
      <c r="J36" s="63">
        <f t="shared" si="8"/>
        <v>5.0997988012179266E-2</v>
      </c>
      <c r="K36" s="73" t="str">
        <f t="shared" si="9"/>
        <v/>
      </c>
      <c r="L36" s="75">
        <f t="shared" si="10"/>
        <v>7.2265116095272253E-3</v>
      </c>
      <c r="M36" s="75">
        <f t="shared" si="11"/>
        <v>1.3640172064408821E-2</v>
      </c>
      <c r="N36" s="75">
        <f t="shared" si="12"/>
        <v>1.7424327249970811E-2</v>
      </c>
      <c r="O36" s="63">
        <f t="shared" si="13"/>
        <v>2.0661070912179266E-2</v>
      </c>
      <c r="P36" s="56" t="s">
        <v>21</v>
      </c>
      <c r="Q36" s="66" t="s">
        <v>21</v>
      </c>
      <c r="R36" s="95" t="s">
        <v>21</v>
      </c>
      <c r="S36" s="75" t="s">
        <v>21</v>
      </c>
      <c r="T36" s="63" t="str">
        <f t="shared" si="14"/>
        <v/>
      </c>
      <c r="V36" s="115">
        <v>1.1296836799999999</v>
      </c>
      <c r="W36" s="107">
        <v>2.92225505</v>
      </c>
      <c r="X36" s="107">
        <v>4.5250969699999999</v>
      </c>
      <c r="Y36" s="107">
        <v>5.9099520199999995</v>
      </c>
      <c r="Z36" s="116">
        <v>7.6376109600000008</v>
      </c>
      <c r="AB36" s="73">
        <v>2.5664812386848049E-2</v>
      </c>
      <c r="AC36" s="75">
        <v>3.491083470952723E-2</v>
      </c>
      <c r="AD36" s="75">
        <v>4.188257896440882E-2</v>
      </c>
      <c r="AE36" s="75">
        <v>4.6501043649970812E-2</v>
      </c>
      <c r="AF36" s="63">
        <v>5.0997988012179266E-2</v>
      </c>
      <c r="AG36" s="73" t="s">
        <v>21</v>
      </c>
      <c r="AH36" s="75">
        <v>7.2265116095272253E-3</v>
      </c>
      <c r="AI36" s="75">
        <v>1.3640172064408821E-2</v>
      </c>
      <c r="AJ36" s="75">
        <v>1.7424327249970811E-2</v>
      </c>
      <c r="AK36" s="63">
        <v>2.0661070912179266E-2</v>
      </c>
    </row>
    <row r="37" spans="2:37" x14ac:dyDescent="0.35">
      <c r="B37" s="54" t="s">
        <v>40</v>
      </c>
      <c r="C37" s="52" t="s">
        <v>30</v>
      </c>
      <c r="D37" s="52" t="s">
        <v>31</v>
      </c>
      <c r="E37" s="52" t="s">
        <v>21</v>
      </c>
      <c r="F37" s="72">
        <f t="shared" si="4"/>
        <v>2.5294566042699501E-2</v>
      </c>
      <c r="G37" s="59">
        <f t="shared" si="5"/>
        <v>3.1741922260711652E-2</v>
      </c>
      <c r="H37" s="70">
        <f t="shared" si="6"/>
        <v>3.6096008886027556E-2</v>
      </c>
      <c r="I37" s="70">
        <f t="shared" si="7"/>
        <v>3.9365197716732477E-2</v>
      </c>
      <c r="J37" s="62">
        <f t="shared" si="8"/>
        <v>4.2832230053521742E-2</v>
      </c>
      <c r="K37" s="72" t="str">
        <f t="shared" si="9"/>
        <v/>
      </c>
      <c r="L37" s="59">
        <f t="shared" si="10"/>
        <v>4.1298306607116565E-3</v>
      </c>
      <c r="M37" s="70">
        <f t="shared" si="11"/>
        <v>8.0058086860275521E-3</v>
      </c>
      <c r="N37" s="70">
        <f t="shared" si="12"/>
        <v>1.0494640616732481E-2</v>
      </c>
      <c r="O37" s="62">
        <f t="shared" si="13"/>
        <v>1.2720405353521744E-2</v>
      </c>
      <c r="P37" s="54" t="s">
        <v>21</v>
      </c>
      <c r="Q37" s="52" t="s">
        <v>21</v>
      </c>
      <c r="R37" s="93" t="s">
        <v>21</v>
      </c>
      <c r="S37" s="70" t="s">
        <v>21</v>
      </c>
      <c r="T37" s="62" t="str">
        <f t="shared" si="14"/>
        <v/>
      </c>
      <c r="V37" s="113">
        <v>1.12900494</v>
      </c>
      <c r="W37" s="71">
        <v>2.9307353000000003</v>
      </c>
      <c r="X37" s="71">
        <v>4.5700309600000004</v>
      </c>
      <c r="Y37" s="71">
        <v>6.0176030599999999</v>
      </c>
      <c r="Z37" s="114">
        <v>7.8700643900000005</v>
      </c>
      <c r="AB37" s="72">
        <v>2.5294566042699501E-2</v>
      </c>
      <c r="AC37" s="70">
        <v>3.1741922260711652E-2</v>
      </c>
      <c r="AD37" s="70">
        <v>3.6096008886027556E-2</v>
      </c>
      <c r="AE37" s="70">
        <v>3.9365197716732477E-2</v>
      </c>
      <c r="AF37" s="62">
        <v>4.2832230053521742E-2</v>
      </c>
      <c r="AG37" s="72" t="s">
        <v>21</v>
      </c>
      <c r="AH37" s="70">
        <v>4.1298306607116565E-3</v>
      </c>
      <c r="AI37" s="70">
        <v>8.0058086860275521E-3</v>
      </c>
      <c r="AJ37" s="70">
        <v>1.0494640616732481E-2</v>
      </c>
      <c r="AK37" s="62">
        <v>1.2720405353521744E-2</v>
      </c>
    </row>
    <row r="38" spans="2:37" x14ac:dyDescent="0.35">
      <c r="B38" s="54" t="s">
        <v>40</v>
      </c>
      <c r="C38" s="52" t="s">
        <v>33</v>
      </c>
      <c r="D38" s="52" t="s">
        <v>31</v>
      </c>
      <c r="E38" s="52" t="s">
        <v>41</v>
      </c>
      <c r="F38" s="72">
        <f t="shared" si="4"/>
        <v>2.5580387356176168E-2</v>
      </c>
      <c r="G38" s="59">
        <f t="shared" si="5"/>
        <v>3.3427623448050128E-2</v>
      </c>
      <c r="H38" s="70">
        <f t="shared" si="6"/>
        <v>3.9487981503479527E-2</v>
      </c>
      <c r="I38" s="70">
        <f t="shared" si="7"/>
        <v>4.3623541698455469E-2</v>
      </c>
      <c r="J38" s="62">
        <f t="shared" si="8"/>
        <v>4.7600376238953156E-2</v>
      </c>
      <c r="K38" s="72" t="str">
        <f t="shared" si="9"/>
        <v/>
      </c>
      <c r="L38" s="59">
        <f t="shared" si="10"/>
        <v>5.7554980480501259E-3</v>
      </c>
      <c r="M38" s="70">
        <f t="shared" si="11"/>
        <v>1.1271614003479521E-2</v>
      </c>
      <c r="N38" s="70">
        <f t="shared" si="12"/>
        <v>1.4583444398455474E-2</v>
      </c>
      <c r="O38" s="62">
        <f t="shared" si="13"/>
        <v>1.7316792238953153E-2</v>
      </c>
      <c r="P38" s="54" t="s">
        <v>420</v>
      </c>
      <c r="Q38" s="52" t="s">
        <v>421</v>
      </c>
      <c r="R38" s="93">
        <v>47729</v>
      </c>
      <c r="S38" s="70">
        <v>3.69856E-2</v>
      </c>
      <c r="T38" s="62">
        <f t="shared" si="14"/>
        <v>2.5023815034795269E-3</v>
      </c>
      <c r="V38" s="113">
        <v>1.1284641899999999</v>
      </c>
      <c r="W38" s="71">
        <v>2.91893432</v>
      </c>
      <c r="X38" s="71">
        <v>4.51911196</v>
      </c>
      <c r="Y38" s="71">
        <v>5.8981689800000003</v>
      </c>
      <c r="Z38" s="114">
        <v>7.6148871800000002</v>
      </c>
      <c r="AB38" s="72">
        <v>2.5580387356176168E-2</v>
      </c>
      <c r="AC38" s="70">
        <v>3.3427623448050128E-2</v>
      </c>
      <c r="AD38" s="70">
        <v>3.9487981503479527E-2</v>
      </c>
      <c r="AE38" s="70">
        <v>4.3623541698455469E-2</v>
      </c>
      <c r="AF38" s="62">
        <v>4.7600376238953156E-2</v>
      </c>
      <c r="AG38" s="72" t="s">
        <v>21</v>
      </c>
      <c r="AH38" s="70">
        <v>5.7554980480501259E-3</v>
      </c>
      <c r="AI38" s="70">
        <v>1.1271614003479521E-2</v>
      </c>
      <c r="AJ38" s="70">
        <v>1.4583444398455474E-2</v>
      </c>
      <c r="AK38" s="62">
        <v>1.7316792238953153E-2</v>
      </c>
    </row>
    <row r="39" spans="2:37" x14ac:dyDescent="0.35">
      <c r="B39" s="56" t="s">
        <v>40</v>
      </c>
      <c r="C39" s="66" t="s">
        <v>35</v>
      </c>
      <c r="D39" s="66" t="s">
        <v>31</v>
      </c>
      <c r="E39" s="66" t="s">
        <v>21</v>
      </c>
      <c r="F39" s="73">
        <f t="shared" si="4"/>
        <v>2.6029974525346548E-2</v>
      </c>
      <c r="G39" s="75">
        <f t="shared" si="5"/>
        <v>3.5842830913341596E-2</v>
      </c>
      <c r="H39" s="75">
        <f t="shared" si="6"/>
        <v>4.3542406203692395E-2</v>
      </c>
      <c r="I39" s="75">
        <f t="shared" si="7"/>
        <v>4.8982195478922748E-2</v>
      </c>
      <c r="J39" s="63">
        <f t="shared" si="8"/>
        <v>5.3999485619874284E-2</v>
      </c>
      <c r="K39" s="73" t="str">
        <f t="shared" si="9"/>
        <v/>
      </c>
      <c r="L39" s="75">
        <f t="shared" si="10"/>
        <v>8.1275351133415948E-3</v>
      </c>
      <c r="M39" s="75">
        <f t="shared" si="11"/>
        <v>1.5236831703692395E-2</v>
      </c>
      <c r="N39" s="75">
        <f t="shared" si="12"/>
        <v>1.9803030678922744E-2</v>
      </c>
      <c r="O39" s="63">
        <f t="shared" si="13"/>
        <v>2.3542772319874294E-2</v>
      </c>
      <c r="P39" s="54" t="s">
        <v>21</v>
      </c>
      <c r="Q39" s="52" t="s">
        <v>21</v>
      </c>
      <c r="R39" s="93" t="s">
        <v>21</v>
      </c>
      <c r="S39" s="70" t="s">
        <v>21</v>
      </c>
      <c r="T39" s="62" t="str">
        <f t="shared" si="14"/>
        <v/>
      </c>
      <c r="V39" s="115">
        <v>1.1291700499999999</v>
      </c>
      <c r="W39" s="107">
        <v>2.9168224600000001</v>
      </c>
      <c r="X39" s="107">
        <v>4.5047409599999995</v>
      </c>
      <c r="Y39" s="107">
        <v>5.8602590699999997</v>
      </c>
      <c r="Z39" s="116">
        <v>7.5244592700000004</v>
      </c>
      <c r="AB39" s="73">
        <v>2.6029974525346548E-2</v>
      </c>
      <c r="AC39" s="75">
        <v>3.5842830913341596E-2</v>
      </c>
      <c r="AD39" s="75">
        <v>4.3542406203692395E-2</v>
      </c>
      <c r="AE39" s="75">
        <v>4.8982195478922748E-2</v>
      </c>
      <c r="AF39" s="63">
        <v>5.3999485619874284E-2</v>
      </c>
      <c r="AG39" s="73" t="s">
        <v>21</v>
      </c>
      <c r="AH39" s="75">
        <v>8.1275351133415948E-3</v>
      </c>
      <c r="AI39" s="75">
        <v>1.5236831703692395E-2</v>
      </c>
      <c r="AJ39" s="75">
        <v>1.9803030678922744E-2</v>
      </c>
      <c r="AK39" s="63">
        <v>2.3542772319874294E-2</v>
      </c>
    </row>
    <row r="40" spans="2:37" x14ac:dyDescent="0.35">
      <c r="B40" s="78" t="s">
        <v>422</v>
      </c>
      <c r="C40" s="77"/>
      <c r="D40" s="77"/>
      <c r="E40" s="77"/>
      <c r="F40" s="77" t="str">
        <f t="shared" si="4"/>
        <v/>
      </c>
      <c r="G40" s="77" t="str">
        <f t="shared" si="5"/>
        <v/>
      </c>
      <c r="H40" s="77" t="str">
        <f t="shared" si="6"/>
        <v/>
      </c>
      <c r="I40" s="77" t="str">
        <f t="shared" si="7"/>
        <v/>
      </c>
      <c r="J40" s="77" t="str">
        <f t="shared" si="8"/>
        <v/>
      </c>
      <c r="K40" s="77" t="str">
        <f t="shared" si="9"/>
        <v/>
      </c>
      <c r="L40" s="77" t="str">
        <f t="shared" si="10"/>
        <v/>
      </c>
      <c r="M40" s="77" t="str">
        <f t="shared" si="11"/>
        <v/>
      </c>
      <c r="N40" s="77" t="str">
        <f t="shared" si="12"/>
        <v/>
      </c>
      <c r="O40" s="76" t="str">
        <f t="shared" si="13"/>
        <v/>
      </c>
      <c r="P40" s="78"/>
      <c r="Q40" s="77"/>
      <c r="R40" s="94"/>
      <c r="S40" s="77"/>
      <c r="T40" s="76" t="str">
        <f t="shared" si="14"/>
        <v/>
      </c>
      <c r="V40" s="111"/>
      <c r="W40" s="106"/>
      <c r="X40" s="106"/>
      <c r="Y40" s="106"/>
      <c r="Z40" s="112"/>
      <c r="AB40" s="77"/>
      <c r="AC40" s="77"/>
      <c r="AD40" s="77"/>
      <c r="AE40" s="77"/>
      <c r="AF40" s="77"/>
      <c r="AG40" s="77"/>
      <c r="AH40" s="77"/>
      <c r="AI40" s="77"/>
      <c r="AJ40" s="77"/>
      <c r="AK40" s="76"/>
    </row>
    <row r="41" spans="2:37" x14ac:dyDescent="0.35">
      <c r="B41" s="54" t="s">
        <v>42</v>
      </c>
      <c r="C41" s="52" t="s">
        <v>30</v>
      </c>
      <c r="D41" s="52" t="s">
        <v>43</v>
      </c>
      <c r="E41" s="52" t="s">
        <v>423</v>
      </c>
      <c r="F41" s="72">
        <f t="shared" si="4"/>
        <v>2.5028329076311726E-2</v>
      </c>
      <c r="G41" s="59">
        <f t="shared" si="5"/>
        <v>3.1660300429714378E-2</v>
      </c>
      <c r="H41" s="70">
        <f t="shared" si="6"/>
        <v>3.6353792019145813E-2</v>
      </c>
      <c r="I41" s="70">
        <f t="shared" si="7"/>
        <v>3.9565211877582149E-2</v>
      </c>
      <c r="J41" s="62">
        <f t="shared" si="8"/>
        <v>4.2794538726350723E-2</v>
      </c>
      <c r="K41" s="72" t="str">
        <f t="shared" si="9"/>
        <v/>
      </c>
      <c r="L41" s="59">
        <f t="shared" si="10"/>
        <v>4.0505235297143777E-3</v>
      </c>
      <c r="M41" s="70">
        <f t="shared" si="11"/>
        <v>8.2545271191458037E-3</v>
      </c>
      <c r="N41" s="70">
        <f t="shared" si="12"/>
        <v>1.0687794977582146E-2</v>
      </c>
      <c r="O41" s="62">
        <f t="shared" si="13"/>
        <v>1.2685239726350718E-2</v>
      </c>
      <c r="P41" s="54" t="s">
        <v>424</v>
      </c>
      <c r="Q41" s="52" t="s">
        <v>425</v>
      </c>
      <c r="R41" s="93" t="s">
        <v>32</v>
      </c>
      <c r="S41" s="70">
        <v>3.547202E-2</v>
      </c>
      <c r="T41" s="62">
        <f t="shared" si="14"/>
        <v>8.8177201914581282E-4</v>
      </c>
      <c r="V41" s="113">
        <v>1.1295294600000001</v>
      </c>
      <c r="W41" s="71">
        <v>2.9322075400000003</v>
      </c>
      <c r="X41" s="71">
        <v>4.56893437</v>
      </c>
      <c r="Y41" s="71">
        <v>6.01275212</v>
      </c>
      <c r="Z41" s="114">
        <v>7.8649522200000002</v>
      </c>
      <c r="AB41" s="72">
        <v>2.5028329076311726E-2</v>
      </c>
      <c r="AC41" s="70">
        <v>3.1660300429714378E-2</v>
      </c>
      <c r="AD41" s="70">
        <v>3.6353792019145813E-2</v>
      </c>
      <c r="AE41" s="70">
        <v>3.9565211877582149E-2</v>
      </c>
      <c r="AF41" s="62">
        <v>4.2794538726350723E-2</v>
      </c>
      <c r="AG41" s="72" t="s">
        <v>21</v>
      </c>
      <c r="AH41" s="70">
        <v>4.0505235297143777E-3</v>
      </c>
      <c r="AI41" s="70">
        <v>8.2545271191458037E-3</v>
      </c>
      <c r="AJ41" s="70">
        <v>1.0687794977582146E-2</v>
      </c>
      <c r="AK41" s="62">
        <v>1.2685239726350718E-2</v>
      </c>
    </row>
    <row r="42" spans="2:37" x14ac:dyDescent="0.35">
      <c r="B42" s="54" t="s">
        <v>42</v>
      </c>
      <c r="C42" s="52" t="s">
        <v>33</v>
      </c>
      <c r="D42" s="52" t="s">
        <v>43</v>
      </c>
      <c r="E42" s="52" t="s">
        <v>426</v>
      </c>
      <c r="F42" s="72">
        <f t="shared" si="4"/>
        <v>2.4912955261195809E-2</v>
      </c>
      <c r="G42" s="59">
        <f t="shared" si="5"/>
        <v>3.3548944314619772E-2</v>
      </c>
      <c r="H42" s="70">
        <f t="shared" si="6"/>
        <v>3.9639578691616731E-2</v>
      </c>
      <c r="I42" s="70">
        <f t="shared" si="7"/>
        <v>4.4008149262244362E-2</v>
      </c>
      <c r="J42" s="62">
        <f t="shared" si="8"/>
        <v>4.7942980935524328E-2</v>
      </c>
      <c r="K42" s="72" t="str">
        <f t="shared" si="9"/>
        <v/>
      </c>
      <c r="L42" s="59">
        <f t="shared" si="10"/>
        <v>5.8747123146197719E-3</v>
      </c>
      <c r="M42" s="70">
        <f t="shared" si="11"/>
        <v>1.1419041891616726E-2</v>
      </c>
      <c r="N42" s="70">
        <f t="shared" si="12"/>
        <v>1.4952841562244353E-2</v>
      </c>
      <c r="O42" s="62">
        <f t="shared" si="13"/>
        <v>1.764806213552432E-2</v>
      </c>
      <c r="P42" s="54" t="s">
        <v>427</v>
      </c>
      <c r="Q42" s="52" t="s">
        <v>428</v>
      </c>
      <c r="R42" s="93" t="s">
        <v>32</v>
      </c>
      <c r="S42" s="70">
        <v>3.9143129999999998E-2</v>
      </c>
      <c r="T42" s="62">
        <f t="shared" si="14"/>
        <v>4.9644869161673266E-4</v>
      </c>
      <c r="V42" s="113">
        <v>1.1297127299999998</v>
      </c>
      <c r="W42" s="71">
        <v>2.9203633600000001</v>
      </c>
      <c r="X42" s="71">
        <v>4.5185140300000004</v>
      </c>
      <c r="Y42" s="71">
        <v>5.8916674799999997</v>
      </c>
      <c r="Z42" s="114">
        <v>7.5978416199999996</v>
      </c>
      <c r="AB42" s="72">
        <v>2.4912955261195809E-2</v>
      </c>
      <c r="AC42" s="70">
        <v>3.3548944314619772E-2</v>
      </c>
      <c r="AD42" s="70">
        <v>3.9639578691616731E-2</v>
      </c>
      <c r="AE42" s="70">
        <v>4.4008149262244362E-2</v>
      </c>
      <c r="AF42" s="62">
        <v>4.7942980935524328E-2</v>
      </c>
      <c r="AG42" s="72" t="s">
        <v>21</v>
      </c>
      <c r="AH42" s="70">
        <v>5.8747123146197719E-3</v>
      </c>
      <c r="AI42" s="70">
        <v>1.1419041891616726E-2</v>
      </c>
      <c r="AJ42" s="70">
        <v>1.4952841562244353E-2</v>
      </c>
      <c r="AK42" s="62">
        <v>1.764806213552432E-2</v>
      </c>
    </row>
    <row r="43" spans="2:37" x14ac:dyDescent="0.35">
      <c r="B43" s="54" t="s">
        <v>42</v>
      </c>
      <c r="C43" s="52" t="s">
        <v>35</v>
      </c>
      <c r="D43" s="52" t="s">
        <v>43</v>
      </c>
      <c r="E43" s="52" t="s">
        <v>429</v>
      </c>
      <c r="F43" s="72">
        <f t="shared" si="4"/>
        <v>2.637652170066011E-2</v>
      </c>
      <c r="G43" s="59">
        <f t="shared" si="5"/>
        <v>3.6705374916384537E-2</v>
      </c>
      <c r="H43" s="70">
        <f t="shared" si="6"/>
        <v>4.4909812825687082E-2</v>
      </c>
      <c r="I43" s="70">
        <f t="shared" si="7"/>
        <v>5.0518936997944137E-2</v>
      </c>
      <c r="J43" s="62">
        <f t="shared" si="8"/>
        <v>5.6051393176486206E-2</v>
      </c>
      <c r="K43" s="72" t="str">
        <f t="shared" si="9"/>
        <v/>
      </c>
      <c r="L43" s="59">
        <f t="shared" si="10"/>
        <v>8.959712416384543E-3</v>
      </c>
      <c r="M43" s="70">
        <f t="shared" si="11"/>
        <v>1.6548817025687081E-2</v>
      </c>
      <c r="N43" s="70">
        <f t="shared" si="12"/>
        <v>2.1271741197944137E-2</v>
      </c>
      <c r="O43" s="62">
        <f t="shared" si="13"/>
        <v>2.5504144576486205E-2</v>
      </c>
      <c r="P43" s="54" t="s">
        <v>21</v>
      </c>
      <c r="Q43" s="52" t="s">
        <v>21</v>
      </c>
      <c r="R43" s="93" t="s">
        <v>21</v>
      </c>
      <c r="S43" s="70" t="s">
        <v>21</v>
      </c>
      <c r="T43" s="62" t="str">
        <f t="shared" si="14"/>
        <v/>
      </c>
      <c r="V43" s="113">
        <v>1.1286939300000001</v>
      </c>
      <c r="W43" s="71">
        <v>2.9118106200000002</v>
      </c>
      <c r="X43" s="71">
        <v>4.48738159</v>
      </c>
      <c r="Y43" s="71">
        <v>5.8244766000000006</v>
      </c>
      <c r="Z43" s="114">
        <v>7.4477918700000005</v>
      </c>
      <c r="AB43" s="72">
        <v>2.637652170066011E-2</v>
      </c>
      <c r="AC43" s="70">
        <v>3.6705374916384537E-2</v>
      </c>
      <c r="AD43" s="70">
        <v>4.4909812825687082E-2</v>
      </c>
      <c r="AE43" s="70">
        <v>5.0518936997944137E-2</v>
      </c>
      <c r="AF43" s="62">
        <v>5.6051393176486206E-2</v>
      </c>
      <c r="AG43" s="72" t="s">
        <v>21</v>
      </c>
      <c r="AH43" s="70">
        <v>8.959712416384543E-3</v>
      </c>
      <c r="AI43" s="70">
        <v>1.6548817025687081E-2</v>
      </c>
      <c r="AJ43" s="70">
        <v>2.1271741197944137E-2</v>
      </c>
      <c r="AK43" s="62">
        <v>2.5504144576486205E-2</v>
      </c>
    </row>
    <row r="44" spans="2:37" x14ac:dyDescent="0.35">
      <c r="B44" s="78" t="s">
        <v>45</v>
      </c>
      <c r="C44" s="77"/>
      <c r="D44" s="77"/>
      <c r="E44" s="77"/>
      <c r="F44" s="77" t="str">
        <f t="shared" si="4"/>
        <v/>
      </c>
      <c r="G44" s="77" t="str">
        <f t="shared" si="5"/>
        <v/>
      </c>
      <c r="H44" s="77" t="str">
        <f t="shared" si="6"/>
        <v/>
      </c>
      <c r="I44" s="77" t="str">
        <f t="shared" si="7"/>
        <v/>
      </c>
      <c r="J44" s="77" t="str">
        <f t="shared" si="8"/>
        <v/>
      </c>
      <c r="K44" s="77" t="str">
        <f t="shared" si="9"/>
        <v/>
      </c>
      <c r="L44" s="77" t="str">
        <f t="shared" si="10"/>
        <v/>
      </c>
      <c r="M44" s="77" t="str">
        <f t="shared" si="11"/>
        <v/>
      </c>
      <c r="N44" s="77" t="str">
        <f t="shared" si="12"/>
        <v/>
      </c>
      <c r="O44" s="76" t="str">
        <f t="shared" si="13"/>
        <v/>
      </c>
      <c r="P44" s="78"/>
      <c r="Q44" s="77"/>
      <c r="R44" s="94"/>
      <c r="S44" s="77"/>
      <c r="T44" s="76" t="str">
        <f t="shared" si="14"/>
        <v/>
      </c>
      <c r="V44" s="111"/>
      <c r="W44" s="106"/>
      <c r="X44" s="106"/>
      <c r="Y44" s="106"/>
      <c r="Z44" s="112"/>
      <c r="AB44" s="77"/>
      <c r="AC44" s="77"/>
      <c r="AD44" s="77"/>
      <c r="AE44" s="77"/>
      <c r="AF44" s="77"/>
      <c r="AG44" s="77"/>
      <c r="AH44" s="77"/>
      <c r="AI44" s="77"/>
      <c r="AJ44" s="77"/>
      <c r="AK44" s="76"/>
    </row>
    <row r="45" spans="2:37" x14ac:dyDescent="0.35">
      <c r="B45" s="55" t="s">
        <v>46</v>
      </c>
      <c r="C45" s="65" t="s">
        <v>30</v>
      </c>
      <c r="D45" s="65" t="s">
        <v>47</v>
      </c>
      <c r="E45" s="65" t="s">
        <v>430</v>
      </c>
      <c r="F45" s="74">
        <f t="shared" si="4"/>
        <v>2.4414727643128544E-2</v>
      </c>
      <c r="G45" s="79">
        <f t="shared" si="5"/>
        <v>3.1388180749436723E-2</v>
      </c>
      <c r="H45" s="79">
        <f t="shared" si="6"/>
        <v>3.5995974971191454E-2</v>
      </c>
      <c r="I45" s="79">
        <f t="shared" si="7"/>
        <v>3.955687944550413E-2</v>
      </c>
      <c r="J45" s="61">
        <f t="shared" si="8"/>
        <v>4.3213485969612324E-2</v>
      </c>
      <c r="K45" s="74" t="str">
        <f t="shared" si="9"/>
        <v/>
      </c>
      <c r="L45" s="79">
        <f t="shared" si="10"/>
        <v>3.7871474494367203E-3</v>
      </c>
      <c r="M45" s="79">
        <f t="shared" si="11"/>
        <v>7.9088724711914478E-3</v>
      </c>
      <c r="N45" s="79">
        <f t="shared" si="12"/>
        <v>1.0679673645504128E-2</v>
      </c>
      <c r="O45" s="61">
        <f t="shared" si="13"/>
        <v>1.3091074469612328E-2</v>
      </c>
      <c r="P45" s="54" t="s">
        <v>431</v>
      </c>
      <c r="Q45" s="52" t="s">
        <v>432</v>
      </c>
      <c r="R45" s="93" t="s">
        <v>32</v>
      </c>
      <c r="S45" s="70">
        <v>3.472799E-2</v>
      </c>
      <c r="T45" s="62">
        <f t="shared" si="14"/>
        <v>1.2679849711914534E-3</v>
      </c>
      <c r="V45" s="117">
        <v>1.1307269899999999</v>
      </c>
      <c r="W45" s="60">
        <v>2.9361190599999998</v>
      </c>
      <c r="X45" s="60">
        <v>4.5771244500000003</v>
      </c>
      <c r="Y45" s="60">
        <v>6.0217236200000004</v>
      </c>
      <c r="Z45" s="118">
        <v>7.8624367400000006</v>
      </c>
      <c r="AB45" s="74">
        <v>2.4414727643128544E-2</v>
      </c>
      <c r="AC45" s="79">
        <v>3.1388180749436723E-2</v>
      </c>
      <c r="AD45" s="79">
        <v>3.5995974971191454E-2</v>
      </c>
      <c r="AE45" s="79">
        <v>3.955687944550413E-2</v>
      </c>
      <c r="AF45" s="61">
        <v>4.3213485969612324E-2</v>
      </c>
      <c r="AG45" s="74" t="s">
        <v>21</v>
      </c>
      <c r="AH45" s="79">
        <v>3.7871474494367203E-3</v>
      </c>
      <c r="AI45" s="79">
        <v>7.9088724711914478E-3</v>
      </c>
      <c r="AJ45" s="79">
        <v>1.0679673645504128E-2</v>
      </c>
      <c r="AK45" s="61">
        <v>1.3091074469612328E-2</v>
      </c>
    </row>
    <row r="46" spans="2:37" x14ac:dyDescent="0.35">
      <c r="B46" s="54" t="s">
        <v>46</v>
      </c>
      <c r="C46" s="52" t="s">
        <v>33</v>
      </c>
      <c r="D46" s="52" t="s">
        <v>47</v>
      </c>
      <c r="E46" s="52" t="s">
        <v>433</v>
      </c>
      <c r="F46" s="72">
        <f t="shared" si="4"/>
        <v>2.5096097003585754E-2</v>
      </c>
      <c r="G46" s="59">
        <f t="shared" si="5"/>
        <v>3.3224536202459652E-2</v>
      </c>
      <c r="H46" s="70">
        <f t="shared" si="6"/>
        <v>3.9436193511553301E-2</v>
      </c>
      <c r="I46" s="70">
        <f t="shared" si="7"/>
        <v>4.3571254023767811E-2</v>
      </c>
      <c r="J46" s="62">
        <f t="shared" si="8"/>
        <v>4.7269188422355536E-2</v>
      </c>
      <c r="K46" s="72" t="str">
        <f t="shared" si="9"/>
        <v/>
      </c>
      <c r="L46" s="59">
        <f t="shared" si="10"/>
        <v>5.559295802459654E-3</v>
      </c>
      <c r="M46" s="70">
        <f t="shared" si="11"/>
        <v>1.1221694611553304E-2</v>
      </c>
      <c r="N46" s="70">
        <f t="shared" si="12"/>
        <v>1.4533690023767813E-2</v>
      </c>
      <c r="O46" s="62">
        <f t="shared" si="13"/>
        <v>1.7000627122355533E-2</v>
      </c>
      <c r="P46" s="54" t="s">
        <v>21</v>
      </c>
      <c r="Q46" s="52" t="s">
        <v>21</v>
      </c>
      <c r="R46" s="93" t="s">
        <v>21</v>
      </c>
      <c r="S46" s="70" t="s">
        <v>21</v>
      </c>
      <c r="T46" s="62" t="str">
        <f t="shared" si="14"/>
        <v/>
      </c>
      <c r="V46" s="113">
        <v>1.1294119300000001</v>
      </c>
      <c r="W46" s="71">
        <v>2.92193506</v>
      </c>
      <c r="X46" s="71">
        <v>4.5229950400000005</v>
      </c>
      <c r="Y46" s="71">
        <v>5.9026151699999998</v>
      </c>
      <c r="Z46" s="114">
        <v>7.6269059099999996</v>
      </c>
      <c r="AB46" s="72">
        <v>2.5096097003585754E-2</v>
      </c>
      <c r="AC46" s="70">
        <v>3.3224536202459652E-2</v>
      </c>
      <c r="AD46" s="70">
        <v>3.9436193511553301E-2</v>
      </c>
      <c r="AE46" s="70">
        <v>4.3571254023767811E-2</v>
      </c>
      <c r="AF46" s="62">
        <v>4.7269188422355536E-2</v>
      </c>
      <c r="AG46" s="72" t="s">
        <v>21</v>
      </c>
      <c r="AH46" s="70">
        <v>5.559295802459654E-3</v>
      </c>
      <c r="AI46" s="70">
        <v>1.1221694611553304E-2</v>
      </c>
      <c r="AJ46" s="70">
        <v>1.4533690023767813E-2</v>
      </c>
      <c r="AK46" s="62">
        <v>1.7000627122355533E-2</v>
      </c>
    </row>
    <row r="47" spans="2:37" x14ac:dyDescent="0.35">
      <c r="B47" s="56" t="s">
        <v>46</v>
      </c>
      <c r="C47" s="66" t="s">
        <v>35</v>
      </c>
      <c r="D47" s="66" t="s">
        <v>47</v>
      </c>
      <c r="E47" s="66" t="s">
        <v>21</v>
      </c>
      <c r="F47" s="73">
        <f t="shared" si="4"/>
        <v>2.6058384908645333E-2</v>
      </c>
      <c r="G47" s="75">
        <f t="shared" si="5"/>
        <v>3.5847681581336742E-2</v>
      </c>
      <c r="H47" s="75">
        <f t="shared" si="6"/>
        <v>4.3747402590768494E-2</v>
      </c>
      <c r="I47" s="75">
        <f t="shared" si="7"/>
        <v>4.9002805127675936E-2</v>
      </c>
      <c r="J47" s="63">
        <f t="shared" si="8"/>
        <v>5.4027679739754135E-2</v>
      </c>
      <c r="K47" s="73" t="str">
        <f t="shared" si="9"/>
        <v/>
      </c>
      <c r="L47" s="75">
        <f t="shared" si="10"/>
        <v>8.1276122813367466E-3</v>
      </c>
      <c r="M47" s="75">
        <f t="shared" si="11"/>
        <v>1.5430460090768504E-2</v>
      </c>
      <c r="N47" s="75">
        <f t="shared" si="12"/>
        <v>1.9820056327675931E-2</v>
      </c>
      <c r="O47" s="63">
        <f t="shared" si="13"/>
        <v>2.3567069639754142E-2</v>
      </c>
      <c r="P47" s="54" t="s">
        <v>21</v>
      </c>
      <c r="Q47" s="52" t="s">
        <v>21</v>
      </c>
      <c r="R47" s="93" t="s">
        <v>21</v>
      </c>
      <c r="S47" s="70" t="s">
        <v>21</v>
      </c>
      <c r="T47" s="62" t="str">
        <f t="shared" si="14"/>
        <v/>
      </c>
      <c r="V47" s="115">
        <v>1.12920205</v>
      </c>
      <c r="W47" s="107">
        <v>2.9168862600000001</v>
      </c>
      <c r="X47" s="107">
        <v>4.5032237000000004</v>
      </c>
      <c r="Y47" s="107">
        <v>5.8581582799999996</v>
      </c>
      <c r="Z47" s="116">
        <v>7.52220567</v>
      </c>
      <c r="AB47" s="73">
        <v>2.6058384908645333E-2</v>
      </c>
      <c r="AC47" s="75">
        <v>3.5847681581336742E-2</v>
      </c>
      <c r="AD47" s="75">
        <v>4.3747402590768494E-2</v>
      </c>
      <c r="AE47" s="75">
        <v>4.9002805127675936E-2</v>
      </c>
      <c r="AF47" s="63">
        <v>5.4027679739754135E-2</v>
      </c>
      <c r="AG47" s="73" t="s">
        <v>21</v>
      </c>
      <c r="AH47" s="75">
        <v>8.1276122813367466E-3</v>
      </c>
      <c r="AI47" s="75">
        <v>1.5430460090768504E-2</v>
      </c>
      <c r="AJ47" s="75">
        <v>1.9820056327675931E-2</v>
      </c>
      <c r="AK47" s="63">
        <v>2.3567069639754142E-2</v>
      </c>
    </row>
    <row r="48" spans="2:37" x14ac:dyDescent="0.35">
      <c r="B48" s="54" t="s">
        <v>49</v>
      </c>
      <c r="C48" s="52" t="s">
        <v>30</v>
      </c>
      <c r="D48" s="52" t="s">
        <v>47</v>
      </c>
      <c r="E48" s="52" t="s">
        <v>356</v>
      </c>
      <c r="F48" s="72">
        <f t="shared" si="4"/>
        <v>2.4208070398754663E-2</v>
      </c>
      <c r="G48" s="59">
        <f t="shared" si="5"/>
        <v>3.0763594679841917E-2</v>
      </c>
      <c r="H48" s="70">
        <f t="shared" si="6"/>
        <v>3.527211639046559E-2</v>
      </c>
      <c r="I48" s="70">
        <f t="shared" si="7"/>
        <v>3.8265552358501417E-2</v>
      </c>
      <c r="J48" s="62">
        <f t="shared" si="8"/>
        <v>4.2056949673905254E-2</v>
      </c>
      <c r="K48" s="72" t="str">
        <f t="shared" si="9"/>
        <v/>
      </c>
      <c r="L48" s="59">
        <f t="shared" si="10"/>
        <v>3.1833410798419188E-3</v>
      </c>
      <c r="M48" s="70">
        <f t="shared" si="11"/>
        <v>7.2093088904655878E-3</v>
      </c>
      <c r="N48" s="70">
        <f t="shared" si="12"/>
        <v>9.4342328585014165E-3</v>
      </c>
      <c r="O48" s="62">
        <f t="shared" si="13"/>
        <v>1.1969375073905259E-2</v>
      </c>
      <c r="P48" s="55" t="s">
        <v>434</v>
      </c>
      <c r="Q48" s="65" t="s">
        <v>435</v>
      </c>
      <c r="R48" s="99" t="s">
        <v>32</v>
      </c>
      <c r="S48" s="79">
        <v>3.4140950000000003E-2</v>
      </c>
      <c r="T48" s="61">
        <f t="shared" si="14"/>
        <v>1.1311663904655864E-3</v>
      </c>
      <c r="V48" s="113">
        <v>1.1311214999999999</v>
      </c>
      <c r="W48" s="71">
        <v>2.9408676300000001</v>
      </c>
      <c r="X48" s="71">
        <v>4.5909076799999999</v>
      </c>
      <c r="Y48" s="71">
        <v>6.0557316299999995</v>
      </c>
      <c r="Z48" s="114">
        <v>7.9324543400000005</v>
      </c>
      <c r="AB48" s="72">
        <v>2.4208070398754663E-2</v>
      </c>
      <c r="AC48" s="70">
        <v>3.0763594679841917E-2</v>
      </c>
      <c r="AD48" s="70">
        <v>3.527211639046559E-2</v>
      </c>
      <c r="AE48" s="70">
        <v>3.8265552358501417E-2</v>
      </c>
      <c r="AF48" s="62">
        <v>4.2056949673905254E-2</v>
      </c>
      <c r="AG48" s="72" t="s">
        <v>21</v>
      </c>
      <c r="AH48" s="70">
        <v>3.1833410798419188E-3</v>
      </c>
      <c r="AI48" s="70">
        <v>7.2093088904655878E-3</v>
      </c>
      <c r="AJ48" s="70">
        <v>9.4342328585014165E-3</v>
      </c>
      <c r="AK48" s="62">
        <v>1.1969375073905259E-2</v>
      </c>
    </row>
    <row r="49" spans="2:37" x14ac:dyDescent="0.35">
      <c r="B49" s="54" t="s">
        <v>49</v>
      </c>
      <c r="C49" s="52" t="s">
        <v>33</v>
      </c>
      <c r="D49" s="52" t="s">
        <v>47</v>
      </c>
      <c r="E49" s="52" t="s">
        <v>274</v>
      </c>
      <c r="F49" s="72">
        <f t="shared" si="4"/>
        <v>2.4623843679356903E-2</v>
      </c>
      <c r="G49" s="59">
        <f t="shared" si="5"/>
        <v>3.270606178991517E-2</v>
      </c>
      <c r="H49" s="70">
        <f t="shared" si="6"/>
        <v>3.8509754486671266E-2</v>
      </c>
      <c r="I49" s="70">
        <f t="shared" si="7"/>
        <v>4.2384853817163344E-2</v>
      </c>
      <c r="J49" s="62">
        <f t="shared" si="8"/>
        <v>4.6395985089893538E-2</v>
      </c>
      <c r="K49" s="72" t="str">
        <f t="shared" si="9"/>
        <v/>
      </c>
      <c r="L49" s="59">
        <f t="shared" si="10"/>
        <v>5.0619691899151682E-3</v>
      </c>
      <c r="M49" s="70">
        <f t="shared" si="11"/>
        <v>1.033344298667126E-2</v>
      </c>
      <c r="N49" s="70">
        <f t="shared" si="12"/>
        <v>1.3399537617163337E-2</v>
      </c>
      <c r="O49" s="62">
        <f t="shared" si="13"/>
        <v>1.6161672089893546E-2</v>
      </c>
      <c r="P49" s="54" t="s">
        <v>436</v>
      </c>
      <c r="Q49" s="52" t="s">
        <v>437</v>
      </c>
      <c r="R49" s="93" t="s">
        <v>32</v>
      </c>
      <c r="S49" s="70">
        <v>3.9055579999999999E-2</v>
      </c>
      <c r="T49" s="62">
        <f t="shared" si="14"/>
        <v>-5.4582551332873347E-4</v>
      </c>
      <c r="V49" s="113">
        <v>1.1302780100000001</v>
      </c>
      <c r="W49" s="71">
        <v>2.9267919</v>
      </c>
      <c r="X49" s="71">
        <v>4.5384767799999999</v>
      </c>
      <c r="Y49" s="71">
        <v>5.9367369800000001</v>
      </c>
      <c r="Z49" s="114">
        <v>7.6871489999999998</v>
      </c>
      <c r="AB49" s="72">
        <v>2.4623843679356903E-2</v>
      </c>
      <c r="AC49" s="70">
        <v>3.270606178991517E-2</v>
      </c>
      <c r="AD49" s="70">
        <v>3.8509754486671266E-2</v>
      </c>
      <c r="AE49" s="70">
        <v>4.2384853817163344E-2</v>
      </c>
      <c r="AF49" s="62">
        <v>4.6395985089893538E-2</v>
      </c>
      <c r="AG49" s="72" t="s">
        <v>21</v>
      </c>
      <c r="AH49" s="70">
        <v>5.0619691899151682E-3</v>
      </c>
      <c r="AI49" s="70">
        <v>1.033344298667126E-2</v>
      </c>
      <c r="AJ49" s="70">
        <v>1.3399537617163337E-2</v>
      </c>
      <c r="AK49" s="62">
        <v>1.6161672089893546E-2</v>
      </c>
    </row>
    <row r="50" spans="2:37" x14ac:dyDescent="0.35">
      <c r="B50" s="56" t="s">
        <v>49</v>
      </c>
      <c r="C50" s="66" t="s">
        <v>35</v>
      </c>
      <c r="D50" s="66" t="s">
        <v>47</v>
      </c>
      <c r="E50" s="66" t="s">
        <v>21</v>
      </c>
      <c r="F50" s="73">
        <f t="shared" si="4"/>
        <v>2.5747380662844974E-2</v>
      </c>
      <c r="G50" s="75">
        <f t="shared" si="5"/>
        <v>3.5006011966578869E-2</v>
      </c>
      <c r="H50" s="75">
        <f t="shared" si="6"/>
        <v>4.2379996427144934E-2</v>
      </c>
      <c r="I50" s="75">
        <f t="shared" si="7"/>
        <v>4.7829905688297841E-2</v>
      </c>
      <c r="J50" s="63">
        <f t="shared" si="8"/>
        <v>5.2763265653313754E-2</v>
      </c>
      <c r="K50" s="73" t="str">
        <f t="shared" si="9"/>
        <v/>
      </c>
      <c r="L50" s="75">
        <f t="shared" si="10"/>
        <v>7.313058966578875E-3</v>
      </c>
      <c r="M50" s="75">
        <f t="shared" si="11"/>
        <v>1.4115172827144938E-2</v>
      </c>
      <c r="N50" s="75">
        <f t="shared" si="12"/>
        <v>1.8696162488297835E-2</v>
      </c>
      <c r="O50" s="63">
        <f t="shared" si="13"/>
        <v>2.2355722953313759E-2</v>
      </c>
      <c r="P50" s="56" t="s">
        <v>21</v>
      </c>
      <c r="Q50" s="66" t="s">
        <v>21</v>
      </c>
      <c r="R50" s="95" t="s">
        <v>21</v>
      </c>
      <c r="S50" s="75" t="s">
        <v>21</v>
      </c>
      <c r="T50" s="63" t="str">
        <f t="shared" si="14"/>
        <v/>
      </c>
      <c r="V50" s="115">
        <v>1.12965498</v>
      </c>
      <c r="W50" s="107">
        <v>2.9217780200000001</v>
      </c>
      <c r="X50" s="107">
        <v>4.5205308899999999</v>
      </c>
      <c r="Y50" s="107">
        <v>5.8902390599999999</v>
      </c>
      <c r="Z50" s="116">
        <v>7.5798598199999994</v>
      </c>
      <c r="AB50" s="73">
        <v>2.5747380662844974E-2</v>
      </c>
      <c r="AC50" s="75">
        <v>3.5006011966578869E-2</v>
      </c>
      <c r="AD50" s="75">
        <v>4.2379996427144934E-2</v>
      </c>
      <c r="AE50" s="75">
        <v>4.7829905688297841E-2</v>
      </c>
      <c r="AF50" s="63">
        <v>5.2763265653313754E-2</v>
      </c>
      <c r="AG50" s="73" t="s">
        <v>21</v>
      </c>
      <c r="AH50" s="75">
        <v>7.313058966578875E-3</v>
      </c>
      <c r="AI50" s="75">
        <v>1.4115172827144938E-2</v>
      </c>
      <c r="AJ50" s="75">
        <v>1.8696162488297835E-2</v>
      </c>
      <c r="AK50" s="63">
        <v>2.2355722953313759E-2</v>
      </c>
    </row>
    <row r="51" spans="2:37" x14ac:dyDescent="0.35">
      <c r="B51" s="55" t="s">
        <v>50</v>
      </c>
      <c r="C51" s="65" t="s">
        <v>30</v>
      </c>
      <c r="D51" s="65" t="s">
        <v>47</v>
      </c>
      <c r="E51" s="65" t="s">
        <v>179</v>
      </c>
      <c r="F51" s="74">
        <f t="shared" si="4"/>
        <v>2.4039142178032716E-2</v>
      </c>
      <c r="G51" s="79">
        <f t="shared" si="5"/>
        <v>3.0833616816362496E-2</v>
      </c>
      <c r="H51" s="79">
        <f t="shared" si="6"/>
        <v>3.5580645984999451E-2</v>
      </c>
      <c r="I51" s="79">
        <f t="shared" si="7"/>
        <v>3.8858842250559404E-2</v>
      </c>
      <c r="J51" s="61">
        <f t="shared" si="8"/>
        <v>4.246200094813541E-2</v>
      </c>
      <c r="K51" s="74" t="str">
        <f t="shared" si="9"/>
        <v/>
      </c>
      <c r="L51" s="79">
        <f t="shared" si="10"/>
        <v>3.251552716362501E-3</v>
      </c>
      <c r="M51" s="79">
        <f t="shared" si="11"/>
        <v>7.508088684999456E-3</v>
      </c>
      <c r="N51" s="79">
        <f t="shared" si="12"/>
        <v>1.0007597350559408E-2</v>
      </c>
      <c r="O51" s="61">
        <f t="shared" si="13"/>
        <v>1.2364276048135413E-2</v>
      </c>
      <c r="P51" s="54" t="s">
        <v>438</v>
      </c>
      <c r="Q51" s="52" t="s">
        <v>439</v>
      </c>
      <c r="R51" s="93" t="s">
        <v>32</v>
      </c>
      <c r="S51" s="70">
        <v>3.3326600000000005E-2</v>
      </c>
      <c r="T51" s="62">
        <f t="shared" si="14"/>
        <v>2.2540459849994463E-3</v>
      </c>
      <c r="V51" s="117">
        <v>1.1314404199999999</v>
      </c>
      <c r="W51" s="60">
        <v>2.9409831</v>
      </c>
      <c r="X51" s="60">
        <v>4.5875566599999997</v>
      </c>
      <c r="Y51" s="60">
        <v>6.0428738400000004</v>
      </c>
      <c r="Z51" s="118">
        <v>7.9056367399999994</v>
      </c>
      <c r="AB51" s="74">
        <v>2.4039142178032716E-2</v>
      </c>
      <c r="AC51" s="79">
        <v>3.0833616816362496E-2</v>
      </c>
      <c r="AD51" s="79">
        <v>3.5580645984999451E-2</v>
      </c>
      <c r="AE51" s="79">
        <v>3.8858842250559404E-2</v>
      </c>
      <c r="AF51" s="61">
        <v>4.246200094813541E-2</v>
      </c>
      <c r="AG51" s="74" t="s">
        <v>21</v>
      </c>
      <c r="AH51" s="79">
        <v>3.251552716362501E-3</v>
      </c>
      <c r="AI51" s="79">
        <v>7.508088684999456E-3</v>
      </c>
      <c r="AJ51" s="79">
        <v>1.0007597350559408E-2</v>
      </c>
      <c r="AK51" s="61">
        <v>1.2364276048135413E-2</v>
      </c>
    </row>
    <row r="52" spans="2:37" x14ac:dyDescent="0.35">
      <c r="B52" s="54" t="s">
        <v>50</v>
      </c>
      <c r="C52" s="52" t="s">
        <v>33</v>
      </c>
      <c r="D52" s="52" t="s">
        <v>47</v>
      </c>
      <c r="E52" s="52" t="s">
        <v>133</v>
      </c>
      <c r="F52" s="72">
        <f t="shared" si="4"/>
        <v>2.4857160694422377E-2</v>
      </c>
      <c r="G52" s="59">
        <f t="shared" si="5"/>
        <v>3.2923778103607172E-2</v>
      </c>
      <c r="H52" s="70">
        <f t="shared" si="6"/>
        <v>3.8923898037194218E-2</v>
      </c>
      <c r="I52" s="70">
        <f t="shared" si="7"/>
        <v>4.3169523641415936E-2</v>
      </c>
      <c r="J52" s="62">
        <f t="shared" si="8"/>
        <v>4.6862725649663844E-2</v>
      </c>
      <c r="K52" s="72" t="str">
        <f t="shared" si="9"/>
        <v/>
      </c>
      <c r="L52" s="59">
        <f t="shared" si="10"/>
        <v>5.2695322036071671E-3</v>
      </c>
      <c r="M52" s="70">
        <f t="shared" si="11"/>
        <v>1.0729789537194218E-2</v>
      </c>
      <c r="N52" s="70">
        <f t="shared" si="12"/>
        <v>1.4149399541415933E-2</v>
      </c>
      <c r="O52" s="62">
        <f t="shared" si="13"/>
        <v>1.6611046449663842E-2</v>
      </c>
      <c r="P52" s="54" t="s">
        <v>440</v>
      </c>
      <c r="Q52" s="52" t="s">
        <v>441</v>
      </c>
      <c r="R52" s="93" t="s">
        <v>32</v>
      </c>
      <c r="S52" s="70">
        <v>3.4409999999999996E-2</v>
      </c>
      <c r="T52" s="62">
        <f t="shared" si="14"/>
        <v>4.5138980371942222E-3</v>
      </c>
      <c r="V52" s="113">
        <v>1.12987211</v>
      </c>
      <c r="W52" s="71">
        <v>2.9246884799999999</v>
      </c>
      <c r="X52" s="71">
        <v>4.5316768100000004</v>
      </c>
      <c r="Y52" s="71">
        <v>5.9179905900000005</v>
      </c>
      <c r="Z52" s="114">
        <v>7.6530199500000009</v>
      </c>
      <c r="AB52" s="72">
        <v>2.4857160694422377E-2</v>
      </c>
      <c r="AC52" s="70">
        <v>3.2923778103607172E-2</v>
      </c>
      <c r="AD52" s="70">
        <v>3.8923898037194218E-2</v>
      </c>
      <c r="AE52" s="70">
        <v>4.3169523641415936E-2</v>
      </c>
      <c r="AF52" s="62">
        <v>4.6862725649663844E-2</v>
      </c>
      <c r="AG52" s="72" t="s">
        <v>21</v>
      </c>
      <c r="AH52" s="70">
        <v>5.2695322036071671E-3</v>
      </c>
      <c r="AI52" s="70">
        <v>1.0729789537194218E-2</v>
      </c>
      <c r="AJ52" s="70">
        <v>1.4149399541415933E-2</v>
      </c>
      <c r="AK52" s="62">
        <v>1.6611046449663842E-2</v>
      </c>
    </row>
    <row r="53" spans="2:37" x14ac:dyDescent="0.35">
      <c r="B53" s="56" t="s">
        <v>50</v>
      </c>
      <c r="C53" s="66" t="s">
        <v>35</v>
      </c>
      <c r="D53" s="66" t="s">
        <v>47</v>
      </c>
      <c r="E53" s="66" t="s">
        <v>21</v>
      </c>
      <c r="F53" s="73">
        <f t="shared" si="4"/>
        <v>2.6081651441665139E-2</v>
      </c>
      <c r="G53" s="75">
        <f t="shared" si="5"/>
        <v>3.5787447670838378E-2</v>
      </c>
      <c r="H53" s="75">
        <f t="shared" si="6"/>
        <v>4.3647129993247845E-2</v>
      </c>
      <c r="I53" s="75">
        <f t="shared" si="7"/>
        <v>4.9083354849727485E-2</v>
      </c>
      <c r="J53" s="63">
        <f t="shared" si="8"/>
        <v>5.4010459124720106E-2</v>
      </c>
      <c r="K53" s="73" t="str">
        <f t="shared" si="9"/>
        <v/>
      </c>
      <c r="L53" s="75">
        <f t="shared" si="10"/>
        <v>8.0695531708383852E-3</v>
      </c>
      <c r="M53" s="75">
        <f t="shared" si="11"/>
        <v>1.5334233493247857E-2</v>
      </c>
      <c r="N53" s="75">
        <f t="shared" si="12"/>
        <v>1.9897206849727497E-2</v>
      </c>
      <c r="O53" s="63">
        <f t="shared" si="13"/>
        <v>2.3551327224720107E-2</v>
      </c>
      <c r="P53" s="54" t="s">
        <v>21</v>
      </c>
      <c r="Q53" s="52" t="s">
        <v>21</v>
      </c>
      <c r="R53" s="93" t="s">
        <v>21</v>
      </c>
      <c r="S53" s="70" t="s">
        <v>21</v>
      </c>
      <c r="T53" s="62" t="str">
        <f t="shared" si="14"/>
        <v/>
      </c>
      <c r="V53" s="115">
        <v>1.12916511</v>
      </c>
      <c r="W53" s="107">
        <v>2.9171098500000001</v>
      </c>
      <c r="X53" s="107">
        <v>4.5043543800000005</v>
      </c>
      <c r="Y53" s="107">
        <v>5.8586046099999995</v>
      </c>
      <c r="Z53" s="116">
        <v>7.5222665499999994</v>
      </c>
      <c r="AB53" s="73">
        <v>2.6081651441665139E-2</v>
      </c>
      <c r="AC53" s="75">
        <v>3.5787447670838378E-2</v>
      </c>
      <c r="AD53" s="75">
        <v>4.3647129993247845E-2</v>
      </c>
      <c r="AE53" s="75">
        <v>4.9083354849727485E-2</v>
      </c>
      <c r="AF53" s="63">
        <v>5.4010459124720106E-2</v>
      </c>
      <c r="AG53" s="73" t="s">
        <v>21</v>
      </c>
      <c r="AH53" s="75">
        <v>8.0695531708383852E-3</v>
      </c>
      <c r="AI53" s="75">
        <v>1.5334233493247857E-2</v>
      </c>
      <c r="AJ53" s="75">
        <v>1.9897206849727497E-2</v>
      </c>
      <c r="AK53" s="63">
        <v>2.3551327224720107E-2</v>
      </c>
    </row>
    <row r="54" spans="2:37" x14ac:dyDescent="0.35">
      <c r="B54" s="78" t="s">
        <v>51</v>
      </c>
      <c r="C54" s="77"/>
      <c r="D54" s="77"/>
      <c r="E54" s="77"/>
      <c r="F54" s="77" t="str">
        <f t="shared" si="4"/>
        <v/>
      </c>
      <c r="G54" s="77" t="str">
        <f t="shared" si="5"/>
        <v/>
      </c>
      <c r="H54" s="77" t="str">
        <f t="shared" si="6"/>
        <v/>
      </c>
      <c r="I54" s="77" t="str">
        <f t="shared" si="7"/>
        <v/>
      </c>
      <c r="J54" s="77" t="str">
        <f t="shared" si="8"/>
        <v/>
      </c>
      <c r="K54" s="77" t="str">
        <f t="shared" si="9"/>
        <v/>
      </c>
      <c r="L54" s="77" t="str">
        <f t="shared" si="10"/>
        <v/>
      </c>
      <c r="M54" s="77" t="str">
        <f t="shared" si="11"/>
        <v/>
      </c>
      <c r="N54" s="77" t="str">
        <f t="shared" si="12"/>
        <v/>
      </c>
      <c r="O54" s="76" t="str">
        <f t="shared" si="13"/>
        <v/>
      </c>
      <c r="P54" s="78"/>
      <c r="Q54" s="77"/>
      <c r="R54" s="94"/>
      <c r="S54" s="77"/>
      <c r="T54" s="76" t="str">
        <f t="shared" si="14"/>
        <v/>
      </c>
      <c r="V54" s="111"/>
      <c r="W54" s="106"/>
      <c r="X54" s="106"/>
      <c r="Y54" s="106"/>
      <c r="Z54" s="112"/>
      <c r="AB54" s="77"/>
      <c r="AC54" s="77"/>
      <c r="AD54" s="77"/>
      <c r="AE54" s="77"/>
      <c r="AF54" s="77"/>
      <c r="AG54" s="77"/>
      <c r="AH54" s="77"/>
      <c r="AI54" s="77"/>
      <c r="AJ54" s="77"/>
      <c r="AK54" s="76"/>
    </row>
    <row r="55" spans="2:37" x14ac:dyDescent="0.35">
      <c r="B55" s="55" t="s">
        <v>52</v>
      </c>
      <c r="C55" s="65" t="s">
        <v>30</v>
      </c>
      <c r="D55" s="65" t="s">
        <v>53</v>
      </c>
      <c r="E55" s="65" t="s">
        <v>57</v>
      </c>
      <c r="F55" s="74">
        <f t="shared" si="4"/>
        <v>2.5111267442381402E-2</v>
      </c>
      <c r="G55" s="79">
        <f t="shared" si="5"/>
        <v>3.1543090086035355E-2</v>
      </c>
      <c r="H55" s="79">
        <f t="shared" si="6"/>
        <v>3.5736842163460514E-2</v>
      </c>
      <c r="I55" s="79">
        <f t="shared" si="7"/>
        <v>3.8721541470745434E-2</v>
      </c>
      <c r="J55" s="61">
        <f t="shared" si="8"/>
        <v>4.1990936229701251E-2</v>
      </c>
      <c r="K55" s="74" t="str">
        <f t="shared" si="9"/>
        <v/>
      </c>
      <c r="L55" s="79">
        <f t="shared" si="10"/>
        <v>3.9370964860353528E-3</v>
      </c>
      <c r="M55" s="79">
        <f t="shared" si="11"/>
        <v>7.6583934634605151E-3</v>
      </c>
      <c r="N55" s="79">
        <f t="shared" si="12"/>
        <v>9.8735330707454341E-3</v>
      </c>
      <c r="O55" s="61">
        <f t="shared" si="13"/>
        <v>1.1904737729701248E-2</v>
      </c>
      <c r="P55" s="54" t="s">
        <v>442</v>
      </c>
      <c r="Q55" s="52" t="s">
        <v>443</v>
      </c>
      <c r="R55" s="93" t="s">
        <v>32</v>
      </c>
      <c r="S55" s="70">
        <v>3.2694000000000001E-2</v>
      </c>
      <c r="T55" s="62">
        <f t="shared" si="14"/>
        <v>3.0428421634605129E-3</v>
      </c>
      <c r="V55" s="117">
        <v>1.12937197</v>
      </c>
      <c r="W55" s="60">
        <v>2.9326828799999998</v>
      </c>
      <c r="X55" s="60">
        <v>4.5761932399999994</v>
      </c>
      <c r="Y55" s="60">
        <v>6.0339130400000007</v>
      </c>
      <c r="Z55" s="118">
        <v>7.9109296699999998</v>
      </c>
      <c r="AB55" s="74">
        <v>2.5111267442381402E-2</v>
      </c>
      <c r="AC55" s="79">
        <v>3.1543090086035355E-2</v>
      </c>
      <c r="AD55" s="79">
        <v>3.5736842163460514E-2</v>
      </c>
      <c r="AE55" s="79">
        <v>3.8721541470745434E-2</v>
      </c>
      <c r="AF55" s="61">
        <v>4.1990936229701251E-2</v>
      </c>
      <c r="AG55" s="74" t="s">
        <v>21</v>
      </c>
      <c r="AH55" s="79">
        <v>3.9370964860353528E-3</v>
      </c>
      <c r="AI55" s="79">
        <v>7.6583934634605151E-3</v>
      </c>
      <c r="AJ55" s="79">
        <v>9.8735330707454341E-3</v>
      </c>
      <c r="AK55" s="61">
        <v>1.1904737729701248E-2</v>
      </c>
    </row>
    <row r="56" spans="2:37" x14ac:dyDescent="0.35">
      <c r="B56" s="54" t="s">
        <v>52</v>
      </c>
      <c r="C56" s="52" t="s">
        <v>33</v>
      </c>
      <c r="D56" s="52" t="s">
        <v>53</v>
      </c>
      <c r="E56" s="52" t="s">
        <v>58</v>
      </c>
      <c r="F56" s="72">
        <f t="shared" si="4"/>
        <v>2.5519073419418482E-2</v>
      </c>
      <c r="G56" s="59">
        <f t="shared" si="5"/>
        <v>3.2977304940550185E-2</v>
      </c>
      <c r="H56" s="70">
        <f t="shared" si="6"/>
        <v>3.8821211054857918E-2</v>
      </c>
      <c r="I56" s="70">
        <f t="shared" si="7"/>
        <v>4.259271618826007E-2</v>
      </c>
      <c r="J56" s="62">
        <f t="shared" si="8"/>
        <v>4.6279877551183651E-2</v>
      </c>
      <c r="K56" s="72" t="str">
        <f t="shared" si="9"/>
        <v/>
      </c>
      <c r="L56" s="59">
        <f t="shared" si="10"/>
        <v>5.3209956405501852E-3</v>
      </c>
      <c r="M56" s="70">
        <f t="shared" si="11"/>
        <v>1.0630770854857923E-2</v>
      </c>
      <c r="N56" s="70">
        <f t="shared" si="12"/>
        <v>1.3596640288260067E-2</v>
      </c>
      <c r="O56" s="62">
        <f t="shared" si="13"/>
        <v>1.604823205118365E-2</v>
      </c>
      <c r="P56" s="54" t="s">
        <v>444</v>
      </c>
      <c r="Q56" s="52" t="s">
        <v>445</v>
      </c>
      <c r="R56" s="93" t="s">
        <v>32</v>
      </c>
      <c r="S56" s="70">
        <v>3.4723709999999998E-2</v>
      </c>
      <c r="T56" s="62">
        <f t="shared" si="14"/>
        <v>4.0975010548579202E-3</v>
      </c>
      <c r="V56" s="113">
        <v>1.1285925000000001</v>
      </c>
      <c r="W56" s="71">
        <v>2.9220578099999996</v>
      </c>
      <c r="X56" s="71">
        <v>4.5301421299999998</v>
      </c>
      <c r="Y56" s="71">
        <v>5.92512039</v>
      </c>
      <c r="Z56" s="114">
        <v>7.67824084</v>
      </c>
      <c r="AB56" s="72">
        <v>2.5519073419418482E-2</v>
      </c>
      <c r="AC56" s="70">
        <v>3.2977304940550185E-2</v>
      </c>
      <c r="AD56" s="70">
        <v>3.8821211054857918E-2</v>
      </c>
      <c r="AE56" s="70">
        <v>4.259271618826007E-2</v>
      </c>
      <c r="AF56" s="62">
        <v>4.6279877551183651E-2</v>
      </c>
      <c r="AG56" s="72" t="s">
        <v>21</v>
      </c>
      <c r="AH56" s="70">
        <v>5.3209956405501852E-3</v>
      </c>
      <c r="AI56" s="70">
        <v>1.0630770854857923E-2</v>
      </c>
      <c r="AJ56" s="70">
        <v>1.3596640288260067E-2</v>
      </c>
      <c r="AK56" s="62">
        <v>1.604823205118365E-2</v>
      </c>
    </row>
    <row r="57" spans="2:37" x14ac:dyDescent="0.35">
      <c r="B57" s="56" t="s">
        <v>52</v>
      </c>
      <c r="C57" s="66" t="s">
        <v>35</v>
      </c>
      <c r="D57" s="66" t="s">
        <v>53</v>
      </c>
      <c r="E57" s="66" t="s">
        <v>351</v>
      </c>
      <c r="F57" s="73">
        <f t="shared" si="4"/>
        <v>2.610325156598943E-2</v>
      </c>
      <c r="G57" s="75">
        <f t="shared" si="5"/>
        <v>3.5855490333523199E-2</v>
      </c>
      <c r="H57" s="75">
        <f t="shared" si="6"/>
        <v>4.3550748015964903E-2</v>
      </c>
      <c r="I57" s="75">
        <f t="shared" si="7"/>
        <v>4.8988717739907074E-2</v>
      </c>
      <c r="J57" s="63">
        <f t="shared" si="8"/>
        <v>5.3651409433429699E-2</v>
      </c>
      <c r="K57" s="73" t="str">
        <f t="shared" si="9"/>
        <v/>
      </c>
      <c r="L57" s="75">
        <f t="shared" si="10"/>
        <v>8.1357830335232074E-3</v>
      </c>
      <c r="M57" s="75">
        <f t="shared" si="11"/>
        <v>1.5241871415964909E-2</v>
      </c>
      <c r="N57" s="75">
        <f t="shared" si="12"/>
        <v>1.9806708839907067E-2</v>
      </c>
      <c r="O57" s="63">
        <f t="shared" si="13"/>
        <v>2.3207759633429699E-2</v>
      </c>
      <c r="P57" s="54" t="s">
        <v>21</v>
      </c>
      <c r="Q57" s="52" t="s">
        <v>21</v>
      </c>
      <c r="R57" s="93" t="s">
        <v>21</v>
      </c>
      <c r="S57" s="70" t="s">
        <v>21</v>
      </c>
      <c r="T57" s="62" t="str">
        <f t="shared" si="14"/>
        <v/>
      </c>
      <c r="V57" s="115">
        <v>1.1291271300000001</v>
      </c>
      <c r="W57" s="107">
        <v>2.91670973</v>
      </c>
      <c r="X57" s="107">
        <v>4.5046143499999998</v>
      </c>
      <c r="Y57" s="107">
        <v>5.8601200499999999</v>
      </c>
      <c r="Z57" s="116">
        <v>7.5305367799999994</v>
      </c>
      <c r="AB57" s="73">
        <v>2.610325156598943E-2</v>
      </c>
      <c r="AC57" s="75">
        <v>3.5855490333523199E-2</v>
      </c>
      <c r="AD57" s="75">
        <v>4.3550748015964903E-2</v>
      </c>
      <c r="AE57" s="75">
        <v>4.8988717739907074E-2</v>
      </c>
      <c r="AF57" s="63">
        <v>5.3651409433429699E-2</v>
      </c>
      <c r="AG57" s="73" t="s">
        <v>21</v>
      </c>
      <c r="AH57" s="75">
        <v>8.1357830335232074E-3</v>
      </c>
      <c r="AI57" s="75">
        <v>1.5241871415964909E-2</v>
      </c>
      <c r="AJ57" s="75">
        <v>1.9806708839907067E-2</v>
      </c>
      <c r="AK57" s="63">
        <v>2.3207759633429699E-2</v>
      </c>
    </row>
    <row r="58" spans="2:37" x14ac:dyDescent="0.35">
      <c r="B58" s="54" t="s">
        <v>56</v>
      </c>
      <c r="C58" s="52" t="s">
        <v>30</v>
      </c>
      <c r="D58" s="52" t="s">
        <v>53</v>
      </c>
      <c r="E58" s="52" t="s">
        <v>446</v>
      </c>
      <c r="F58" s="72">
        <f t="shared" si="4"/>
        <v>2.4753473877556397E-2</v>
      </c>
      <c r="G58" s="59">
        <f t="shared" si="5"/>
        <v>3.1490402804879802E-2</v>
      </c>
      <c r="H58" s="70">
        <f t="shared" si="6"/>
        <v>3.5737985274302102E-2</v>
      </c>
      <c r="I58" s="70">
        <f t="shared" si="7"/>
        <v>3.8917544989656265E-2</v>
      </c>
      <c r="J58" s="62">
        <f t="shared" si="8"/>
        <v>4.1995511248235959E-2</v>
      </c>
      <c r="K58" s="72" t="str">
        <f t="shared" si="9"/>
        <v/>
      </c>
      <c r="L58" s="59">
        <f t="shared" si="10"/>
        <v>3.8862879048798004E-3</v>
      </c>
      <c r="M58" s="70">
        <f t="shared" si="11"/>
        <v>7.6596855743020966E-3</v>
      </c>
      <c r="N58" s="70">
        <f t="shared" si="12"/>
        <v>1.0062939189656268E-2</v>
      </c>
      <c r="O58" s="62">
        <f t="shared" si="13"/>
        <v>1.1911000648235952E-2</v>
      </c>
      <c r="P58" s="55" t="s">
        <v>447</v>
      </c>
      <c r="Q58" s="65" t="s">
        <v>448</v>
      </c>
      <c r="R58" s="99" t="s">
        <v>32</v>
      </c>
      <c r="S58" s="79">
        <v>4.1482369999999998E-2</v>
      </c>
      <c r="T58" s="61">
        <f t="shared" si="14"/>
        <v>-5.7443847256978958E-3</v>
      </c>
      <c r="V58" s="113">
        <v>1.13006311</v>
      </c>
      <c r="W58" s="71">
        <v>2.9342629200000001</v>
      </c>
      <c r="X58" s="71">
        <v>4.5778122300000001</v>
      </c>
      <c r="Y58" s="71">
        <v>6.0325678099999998</v>
      </c>
      <c r="Z58" s="114">
        <v>7.9077225700000007</v>
      </c>
      <c r="AB58" s="72">
        <v>2.4753473877556397E-2</v>
      </c>
      <c r="AC58" s="70">
        <v>3.1490402804879802E-2</v>
      </c>
      <c r="AD58" s="70">
        <v>3.5737985274302102E-2</v>
      </c>
      <c r="AE58" s="70">
        <v>3.8917544989656265E-2</v>
      </c>
      <c r="AF58" s="62">
        <v>4.1995511248235959E-2</v>
      </c>
      <c r="AG58" s="72" t="s">
        <v>21</v>
      </c>
      <c r="AH58" s="70">
        <v>3.8862879048798004E-3</v>
      </c>
      <c r="AI58" s="70">
        <v>7.6596855743020966E-3</v>
      </c>
      <c r="AJ58" s="70">
        <v>1.0062939189656268E-2</v>
      </c>
      <c r="AK58" s="62">
        <v>1.1911000648235952E-2</v>
      </c>
    </row>
    <row r="59" spans="2:37" x14ac:dyDescent="0.35">
      <c r="B59" s="54" t="s">
        <v>56</v>
      </c>
      <c r="C59" s="52" t="s">
        <v>33</v>
      </c>
      <c r="D59" s="52" t="s">
        <v>53</v>
      </c>
      <c r="E59" s="52" t="s">
        <v>449</v>
      </c>
      <c r="F59" s="72">
        <f t="shared" si="4"/>
        <v>2.543886232016921E-2</v>
      </c>
      <c r="G59" s="59">
        <f t="shared" si="5"/>
        <v>3.2854331083092533E-2</v>
      </c>
      <c r="H59" s="70">
        <f t="shared" si="6"/>
        <v>3.8514911052917017E-2</v>
      </c>
      <c r="I59" s="70">
        <f t="shared" si="7"/>
        <v>4.2150666406365174E-2</v>
      </c>
      <c r="J59" s="62">
        <f t="shared" si="8"/>
        <v>4.5739214138150019E-2</v>
      </c>
      <c r="K59" s="72" t="str">
        <f t="shared" si="9"/>
        <v/>
      </c>
      <c r="L59" s="59">
        <f t="shared" si="10"/>
        <v>5.2020901830925372E-3</v>
      </c>
      <c r="M59" s="70">
        <f t="shared" si="11"/>
        <v>1.0336071752917014E-2</v>
      </c>
      <c r="N59" s="70">
        <f t="shared" si="12"/>
        <v>1.3172735506365177E-2</v>
      </c>
      <c r="O59" s="62">
        <f t="shared" si="13"/>
        <v>1.5527692638150025E-2</v>
      </c>
      <c r="P59" s="54" t="s">
        <v>450</v>
      </c>
      <c r="Q59" s="52" t="s">
        <v>451</v>
      </c>
      <c r="R59" s="93" t="s">
        <v>32</v>
      </c>
      <c r="S59" s="70">
        <v>3.6038100000000003E-2</v>
      </c>
      <c r="T59" s="62">
        <f t="shared" si="14"/>
        <v>2.4768110529170134E-3</v>
      </c>
      <c r="V59" s="113">
        <v>1.1287541999999999</v>
      </c>
      <c r="W59" s="71">
        <v>2.9231400399999998</v>
      </c>
      <c r="X59" s="71">
        <v>4.5346738799999997</v>
      </c>
      <c r="Y59" s="71">
        <v>5.9366306700000004</v>
      </c>
      <c r="Z59" s="114">
        <v>7.7049425099999995</v>
      </c>
      <c r="AB59" s="72">
        <v>2.543886232016921E-2</v>
      </c>
      <c r="AC59" s="70">
        <v>3.2854331083092533E-2</v>
      </c>
      <c r="AD59" s="70">
        <v>3.8514911052917017E-2</v>
      </c>
      <c r="AE59" s="70">
        <v>4.2150666406365174E-2</v>
      </c>
      <c r="AF59" s="62">
        <v>4.5739214138150019E-2</v>
      </c>
      <c r="AG59" s="72" t="s">
        <v>21</v>
      </c>
      <c r="AH59" s="70">
        <v>5.2020901830925372E-3</v>
      </c>
      <c r="AI59" s="70">
        <v>1.0336071752917014E-2</v>
      </c>
      <c r="AJ59" s="70">
        <v>1.3172735506365177E-2</v>
      </c>
      <c r="AK59" s="62">
        <v>1.5527692638150025E-2</v>
      </c>
    </row>
    <row r="60" spans="2:37" x14ac:dyDescent="0.35">
      <c r="B60" s="54" t="s">
        <v>56</v>
      </c>
      <c r="C60" s="52" t="s">
        <v>35</v>
      </c>
      <c r="D60" s="52" t="s">
        <v>53</v>
      </c>
      <c r="E60" s="52" t="s">
        <v>54</v>
      </c>
      <c r="F60" s="72">
        <f t="shared" si="4"/>
        <v>2.5759058779694227E-2</v>
      </c>
      <c r="G60" s="59">
        <f t="shared" si="5"/>
        <v>3.5057147566287451E-2</v>
      </c>
      <c r="H60" s="70">
        <f t="shared" si="6"/>
        <v>4.2280682567159146E-2</v>
      </c>
      <c r="I60" s="70">
        <f t="shared" si="7"/>
        <v>4.745357691524818E-2</v>
      </c>
      <c r="J60" s="62">
        <f t="shared" si="8"/>
        <v>5.2212074689913762E-2</v>
      </c>
      <c r="K60" s="72" t="str">
        <f t="shared" si="9"/>
        <v/>
      </c>
      <c r="L60" s="59">
        <f t="shared" si="10"/>
        <v>7.364061366287443E-3</v>
      </c>
      <c r="M60" s="70">
        <f t="shared" si="11"/>
        <v>1.4020622167159146E-2</v>
      </c>
      <c r="N60" s="70">
        <f t="shared" si="12"/>
        <v>1.8336115015248174E-2</v>
      </c>
      <c r="O60" s="62">
        <f t="shared" si="13"/>
        <v>2.1826802189913765E-2</v>
      </c>
      <c r="P60" s="56" t="s">
        <v>452</v>
      </c>
      <c r="Q60" s="66" t="s">
        <v>453</v>
      </c>
      <c r="R60" s="95" t="s">
        <v>32</v>
      </c>
      <c r="S60" s="75">
        <v>3.9543590000000003E-2</v>
      </c>
      <c r="T60" s="63">
        <f t="shared" si="14"/>
        <v>2.7370925671591426E-3</v>
      </c>
      <c r="V60" s="113">
        <v>1.1296137899999998</v>
      </c>
      <c r="W60" s="71">
        <v>2.9214462800000001</v>
      </c>
      <c r="X60" s="71">
        <v>4.5208941899999999</v>
      </c>
      <c r="Y60" s="71">
        <v>5.8948551399999998</v>
      </c>
      <c r="Z60" s="114">
        <v>7.5962771700000005</v>
      </c>
      <c r="AB60" s="72">
        <v>2.5759058779694227E-2</v>
      </c>
      <c r="AC60" s="70">
        <v>3.5057147566287451E-2</v>
      </c>
      <c r="AD60" s="70">
        <v>4.2280682567159146E-2</v>
      </c>
      <c r="AE60" s="70">
        <v>4.745357691524818E-2</v>
      </c>
      <c r="AF60" s="62">
        <v>5.2212074689913762E-2</v>
      </c>
      <c r="AG60" s="72" t="s">
        <v>21</v>
      </c>
      <c r="AH60" s="70">
        <v>7.364061366287443E-3</v>
      </c>
      <c r="AI60" s="70">
        <v>1.4020622167159146E-2</v>
      </c>
      <c r="AJ60" s="70">
        <v>1.8336115015248174E-2</v>
      </c>
      <c r="AK60" s="62">
        <v>2.1826802189913765E-2</v>
      </c>
    </row>
    <row r="61" spans="2:37" x14ac:dyDescent="0.35">
      <c r="B61" s="78" t="s">
        <v>59</v>
      </c>
      <c r="C61" s="77"/>
      <c r="D61" s="77"/>
      <c r="E61" s="77"/>
      <c r="F61" s="77" t="str">
        <f t="shared" si="4"/>
        <v/>
      </c>
      <c r="G61" s="77" t="str">
        <f t="shared" si="5"/>
        <v/>
      </c>
      <c r="H61" s="77" t="str">
        <f t="shared" si="6"/>
        <v/>
      </c>
      <c r="I61" s="77" t="str">
        <f t="shared" si="7"/>
        <v/>
      </c>
      <c r="J61" s="77" t="str">
        <f t="shared" si="8"/>
        <v/>
      </c>
      <c r="K61" s="77" t="str">
        <f t="shared" si="9"/>
        <v/>
      </c>
      <c r="L61" s="77" t="str">
        <f t="shared" si="10"/>
        <v/>
      </c>
      <c r="M61" s="77" t="str">
        <f t="shared" si="11"/>
        <v/>
      </c>
      <c r="N61" s="77" t="str">
        <f t="shared" si="12"/>
        <v/>
      </c>
      <c r="O61" s="76" t="str">
        <f t="shared" si="13"/>
        <v/>
      </c>
      <c r="P61" s="78"/>
      <c r="Q61" s="77"/>
      <c r="R61" s="94"/>
      <c r="S61" s="77"/>
      <c r="T61" s="76" t="str">
        <f t="shared" si="14"/>
        <v/>
      </c>
      <c r="V61" s="111"/>
      <c r="W61" s="106"/>
      <c r="X61" s="106"/>
      <c r="Y61" s="106"/>
      <c r="Z61" s="112"/>
      <c r="AB61" s="77"/>
      <c r="AC61" s="77"/>
      <c r="AD61" s="77"/>
      <c r="AE61" s="77"/>
      <c r="AF61" s="77"/>
      <c r="AG61" s="77"/>
      <c r="AH61" s="77"/>
      <c r="AI61" s="77"/>
      <c r="AJ61" s="77"/>
      <c r="AK61" s="76"/>
    </row>
    <row r="62" spans="2:37" x14ac:dyDescent="0.35">
      <c r="B62" s="55" t="s">
        <v>60</v>
      </c>
      <c r="C62" s="65" t="s">
        <v>61</v>
      </c>
      <c r="D62" s="65" t="s">
        <v>62</v>
      </c>
      <c r="E62" s="65" t="s">
        <v>179</v>
      </c>
      <c r="F62" s="74">
        <f t="shared" si="4"/>
        <v>2.5513270126538482E-2</v>
      </c>
      <c r="G62" s="79">
        <f t="shared" si="5"/>
        <v>3.1872033494163877E-2</v>
      </c>
      <c r="H62" s="79">
        <f t="shared" si="6"/>
        <v>3.6248767107230642E-2</v>
      </c>
      <c r="I62" s="79">
        <f t="shared" si="7"/>
        <v>3.9074334486808644E-2</v>
      </c>
      <c r="J62" s="61">
        <f t="shared" si="8"/>
        <v>4.230066575031366E-2</v>
      </c>
      <c r="K62" s="74" t="str">
        <f t="shared" si="9"/>
        <v/>
      </c>
      <c r="L62" s="79">
        <f t="shared" si="10"/>
        <v>4.2562189941638788E-3</v>
      </c>
      <c r="M62" s="79">
        <f t="shared" si="11"/>
        <v>8.1537592072306389E-3</v>
      </c>
      <c r="N62" s="79">
        <f t="shared" si="12"/>
        <v>1.0214706186808642E-2</v>
      </c>
      <c r="O62" s="61">
        <f t="shared" si="13"/>
        <v>1.2204830250313667E-2</v>
      </c>
      <c r="P62" s="54" t="s">
        <v>454</v>
      </c>
      <c r="Q62" s="52" t="s">
        <v>455</v>
      </c>
      <c r="R62" s="93" t="s">
        <v>32</v>
      </c>
      <c r="S62" s="70">
        <v>0</v>
      </c>
      <c r="T62" s="62">
        <f t="shared" si="14"/>
        <v>3.6248767107230642E-2</v>
      </c>
      <c r="V62" s="117">
        <v>1.1285678299999999</v>
      </c>
      <c r="W62" s="60">
        <v>2.9291054999999999</v>
      </c>
      <c r="X62" s="60">
        <v>4.5665259000000002</v>
      </c>
      <c r="Y62" s="60">
        <v>6.0180047800000001</v>
      </c>
      <c r="Z62" s="118">
        <v>7.8862960499999994</v>
      </c>
      <c r="AB62" s="74">
        <v>2.5513270126538482E-2</v>
      </c>
      <c r="AC62" s="79">
        <v>3.1872033494163877E-2</v>
      </c>
      <c r="AD62" s="79">
        <v>3.6248767107230642E-2</v>
      </c>
      <c r="AE62" s="79">
        <v>3.9074334486808644E-2</v>
      </c>
      <c r="AF62" s="61">
        <v>4.230066575031366E-2</v>
      </c>
      <c r="AG62" s="74" t="s">
        <v>21</v>
      </c>
      <c r="AH62" s="79">
        <v>4.2562189941638788E-3</v>
      </c>
      <c r="AI62" s="79">
        <v>8.1537592072306389E-3</v>
      </c>
      <c r="AJ62" s="79">
        <v>1.0214706186808642E-2</v>
      </c>
      <c r="AK62" s="61">
        <v>1.2204830250313667E-2</v>
      </c>
    </row>
    <row r="63" spans="2:37" x14ac:dyDescent="0.35">
      <c r="B63" s="56" t="s">
        <v>60</v>
      </c>
      <c r="C63" s="66" t="s">
        <v>63</v>
      </c>
      <c r="D63" s="66" t="s">
        <v>62</v>
      </c>
      <c r="E63" s="66" t="s">
        <v>21</v>
      </c>
      <c r="F63" s="73">
        <f t="shared" si="4"/>
        <v>2.7242917683974025E-2</v>
      </c>
      <c r="G63" s="75">
        <f t="shared" si="5"/>
        <v>3.5094360347871771E-2</v>
      </c>
      <c r="H63" s="75">
        <f t="shared" si="6"/>
        <v>4.0956501854661084E-2</v>
      </c>
      <c r="I63" s="75">
        <f t="shared" si="7"/>
        <v>4.4794476818587968E-2</v>
      </c>
      <c r="J63" s="63">
        <f t="shared" si="8"/>
        <v>4.8195777780238411E-2</v>
      </c>
      <c r="K63" s="73">
        <f t="shared" si="9"/>
        <v>1.2755378397402012E-4</v>
      </c>
      <c r="L63" s="75">
        <f t="shared" si="10"/>
        <v>7.4089744478717705E-3</v>
      </c>
      <c r="M63" s="75">
        <f t="shared" si="11"/>
        <v>1.2750166954661081E-2</v>
      </c>
      <c r="N63" s="75">
        <f t="shared" si="12"/>
        <v>1.5784335018587971E-2</v>
      </c>
      <c r="O63" s="63">
        <f t="shared" si="13"/>
        <v>1.7960098980238412E-2</v>
      </c>
      <c r="P63" s="54" t="s">
        <v>21</v>
      </c>
      <c r="Q63" s="52" t="s">
        <v>21</v>
      </c>
      <c r="R63" s="93" t="s">
        <v>21</v>
      </c>
      <c r="S63" s="70" t="s">
        <v>21</v>
      </c>
      <c r="T63" s="62" t="str">
        <f t="shared" si="14"/>
        <v/>
      </c>
      <c r="V63" s="115">
        <v>1.1271511200000002</v>
      </c>
      <c r="W63" s="107">
        <v>2.9170015899999999</v>
      </c>
      <c r="X63" s="107">
        <v>4.5270154600000003</v>
      </c>
      <c r="Y63" s="107">
        <v>5.9325948500000001</v>
      </c>
      <c r="Z63" s="116">
        <v>7.7197690799999998</v>
      </c>
      <c r="AB63" s="73">
        <v>2.7242917683974025E-2</v>
      </c>
      <c r="AC63" s="75">
        <v>3.5094360347871771E-2</v>
      </c>
      <c r="AD63" s="75">
        <v>4.0956501854661084E-2</v>
      </c>
      <c r="AE63" s="75">
        <v>4.4794476818587968E-2</v>
      </c>
      <c r="AF63" s="63">
        <v>4.8195777780238411E-2</v>
      </c>
      <c r="AG63" s="73">
        <v>1.2755378397402012E-4</v>
      </c>
      <c r="AH63" s="75">
        <v>7.4089744478717705E-3</v>
      </c>
      <c r="AI63" s="75">
        <v>1.2750166954661081E-2</v>
      </c>
      <c r="AJ63" s="75">
        <v>1.5784335018587971E-2</v>
      </c>
      <c r="AK63" s="63">
        <v>1.7960098980238412E-2</v>
      </c>
    </row>
    <row r="64" spans="2:37" x14ac:dyDescent="0.35">
      <c r="B64" s="55" t="s">
        <v>64</v>
      </c>
      <c r="C64" s="65" t="s">
        <v>65</v>
      </c>
      <c r="D64" s="65" t="s">
        <v>62</v>
      </c>
      <c r="E64" s="65" t="s">
        <v>179</v>
      </c>
      <c r="F64" s="74">
        <f t="shared" si="4"/>
        <v>2.4799740341741781E-2</v>
      </c>
      <c r="G64" s="79">
        <f t="shared" si="5"/>
        <v>3.2122537701440211E-2</v>
      </c>
      <c r="H64" s="79">
        <f t="shared" si="6"/>
        <v>3.7538549082250072E-2</v>
      </c>
      <c r="I64" s="79">
        <f t="shared" si="7"/>
        <v>4.0909775893900623E-2</v>
      </c>
      <c r="J64" s="61">
        <f t="shared" si="8"/>
        <v>4.410590811647791E-2</v>
      </c>
      <c r="K64" s="74" t="str">
        <f t="shared" si="9"/>
        <v/>
      </c>
      <c r="L64" s="79">
        <f t="shared" si="10"/>
        <v>4.4959891014402127E-3</v>
      </c>
      <c r="M64" s="79">
        <f t="shared" si="11"/>
        <v>9.396514182250076E-3</v>
      </c>
      <c r="N64" s="79">
        <f t="shared" si="12"/>
        <v>1.1982010193900623E-2</v>
      </c>
      <c r="O64" s="61">
        <f t="shared" si="13"/>
        <v>1.3954454016477909E-2</v>
      </c>
      <c r="P64" s="55" t="s">
        <v>21</v>
      </c>
      <c r="Q64" s="65" t="s">
        <v>21</v>
      </c>
      <c r="R64" s="99" t="s">
        <v>21</v>
      </c>
      <c r="S64" s="79" t="s">
        <v>21</v>
      </c>
      <c r="T64" s="61" t="str">
        <f t="shared" si="14"/>
        <v/>
      </c>
      <c r="V64" s="117">
        <v>1.1299925100000001</v>
      </c>
      <c r="W64" s="60">
        <v>2.9300666799999999</v>
      </c>
      <c r="X64" s="60">
        <v>4.5532910900000001</v>
      </c>
      <c r="Y64" s="60">
        <v>5.9748117000000001</v>
      </c>
      <c r="Z64" s="118">
        <v>7.7880823100000001</v>
      </c>
      <c r="AB64" s="74">
        <v>2.4799740341741781E-2</v>
      </c>
      <c r="AC64" s="79">
        <v>3.2122537701440211E-2</v>
      </c>
      <c r="AD64" s="79">
        <v>3.7538549082250072E-2</v>
      </c>
      <c r="AE64" s="79">
        <v>4.0909775893900623E-2</v>
      </c>
      <c r="AF64" s="61">
        <v>4.410590811647791E-2</v>
      </c>
      <c r="AG64" s="74" t="s">
        <v>21</v>
      </c>
      <c r="AH64" s="79">
        <v>4.4959891014402127E-3</v>
      </c>
      <c r="AI64" s="79">
        <v>9.396514182250076E-3</v>
      </c>
      <c r="AJ64" s="79">
        <v>1.1982010193900623E-2</v>
      </c>
      <c r="AK64" s="61">
        <v>1.3954454016477909E-2</v>
      </c>
    </row>
    <row r="65" spans="2:37" x14ac:dyDescent="0.35">
      <c r="B65" s="56" t="s">
        <v>64</v>
      </c>
      <c r="C65" s="66" t="s">
        <v>66</v>
      </c>
      <c r="D65" s="66" t="s">
        <v>62</v>
      </c>
      <c r="E65" s="66" t="s">
        <v>21</v>
      </c>
      <c r="F65" s="73">
        <f t="shared" si="4"/>
        <v>2.5877665917616012E-2</v>
      </c>
      <c r="G65" s="75">
        <f t="shared" si="5"/>
        <v>3.461937937349855E-2</v>
      </c>
      <c r="H65" s="75">
        <f t="shared" si="6"/>
        <v>4.1592097252058605E-2</v>
      </c>
      <c r="I65" s="75">
        <f t="shared" si="7"/>
        <v>4.5366355450459209E-2</v>
      </c>
      <c r="J65" s="63">
        <f t="shared" si="8"/>
        <v>4.9598455641135797E-2</v>
      </c>
      <c r="K65" s="73" t="str">
        <f t="shared" si="9"/>
        <v/>
      </c>
      <c r="L65" s="75">
        <f t="shared" si="10"/>
        <v>6.9419475734985494E-3</v>
      </c>
      <c r="M65" s="75">
        <f t="shared" si="11"/>
        <v>1.3358542552058608E-2</v>
      </c>
      <c r="N65" s="75">
        <f t="shared" si="12"/>
        <v>1.6332420550459206E-2</v>
      </c>
      <c r="O65" s="63">
        <f t="shared" si="13"/>
        <v>1.9310940141135803E-2</v>
      </c>
      <c r="P65" s="56" t="s">
        <v>21</v>
      </c>
      <c r="Q65" s="66" t="s">
        <v>21</v>
      </c>
      <c r="R65" s="95" t="s">
        <v>21</v>
      </c>
      <c r="S65" s="75" t="s">
        <v>21</v>
      </c>
      <c r="T65" s="63" t="str">
        <f t="shared" si="14"/>
        <v/>
      </c>
      <c r="V65" s="115">
        <v>1.1294115900000001</v>
      </c>
      <c r="W65" s="107">
        <v>2.92319738</v>
      </c>
      <c r="X65" s="107">
        <v>4.5289624599999998</v>
      </c>
      <c r="Y65" s="107">
        <v>5.9265118999999995</v>
      </c>
      <c r="Z65" s="116">
        <v>7.6852874</v>
      </c>
      <c r="AB65" s="73">
        <v>2.5877665917616012E-2</v>
      </c>
      <c r="AC65" s="75">
        <v>3.461937937349855E-2</v>
      </c>
      <c r="AD65" s="75">
        <v>4.1592097252058605E-2</v>
      </c>
      <c r="AE65" s="75">
        <v>4.5366355450459209E-2</v>
      </c>
      <c r="AF65" s="63">
        <v>4.9598455641135797E-2</v>
      </c>
      <c r="AG65" s="73" t="s">
        <v>21</v>
      </c>
      <c r="AH65" s="75">
        <v>6.9419475734985494E-3</v>
      </c>
      <c r="AI65" s="75">
        <v>1.3358542552058608E-2</v>
      </c>
      <c r="AJ65" s="75">
        <v>1.6332420550459206E-2</v>
      </c>
      <c r="AK65" s="63">
        <v>1.9310940141135803E-2</v>
      </c>
    </row>
    <row r="66" spans="2:37" s="52" customFormat="1" x14ac:dyDescent="0.35">
      <c r="B66" s="78" t="s">
        <v>226</v>
      </c>
      <c r="C66" s="77"/>
      <c r="D66" s="77"/>
      <c r="E66" s="77"/>
      <c r="F66" s="77" t="str">
        <f t="shared" ref="F66:F70" si="15">IF(ISNUMBER(AB66),AB66-((C$4-C$3)/V66),"")</f>
        <v/>
      </c>
      <c r="G66" s="77" t="str">
        <f t="shared" ref="G66:G70" si="16">IF(ISNUMBER(AC66),AC66-((D$4-D$3)/W66),"")</f>
        <v/>
      </c>
      <c r="H66" s="77" t="str">
        <f t="shared" ref="H66:H70" si="17">IF(ISNUMBER(AD66),AD66-((E$4-E$3)/X66),"")</f>
        <v/>
      </c>
      <c r="I66" s="77" t="str">
        <f t="shared" ref="I66:I70" si="18">IF(ISNUMBER(AE66),AE66-((F$4-F$3)/Y66),"")</f>
        <v/>
      </c>
      <c r="J66" s="77" t="str">
        <f t="shared" ref="J66:J70" si="19">IF(ISNUMBER(AF66),AF66-((G$4-G$3)/Z66),"")</f>
        <v/>
      </c>
      <c r="K66" s="77" t="str">
        <f t="shared" ref="K66:K70" si="20">IF(ISNUMBER(AG66),IF(AG66-((C$4-C$3)/V66)&lt;0,"",AG66-((C$4-C$3)/V66)),"")</f>
        <v/>
      </c>
      <c r="L66" s="77" t="str">
        <f t="shared" ref="L66:L70" si="21">IF(ISNUMBER(AH66),IF(AH66-((D$4-D$3)/W66)&lt;0,"",AH66-((D$4-D$3)/W66)),"")</f>
        <v/>
      </c>
      <c r="M66" s="77" t="str">
        <f t="shared" ref="M66:M70" si="22">IF(ISNUMBER(AI66),IF(AI66-((E$4-E$3)/X66)&lt;0,"",AI66-((E$4-E$3)/X66)),"")</f>
        <v/>
      </c>
      <c r="N66" s="77" t="str">
        <f t="shared" ref="N66:N70" si="23">IF(ISNUMBER(AJ66),IF(AJ66-((F$4-F$3)/Y66)&lt;0,"",AJ66-((F$4-F$3)/Y66)),"")</f>
        <v/>
      </c>
      <c r="O66" s="76" t="str">
        <f t="shared" ref="O66:O70" si="24">IF(ISNUMBER(AK66),IF(AK66-((G$4-G$3)/Z66)&lt;0,"",AK66-((G$4-G$3)/Z66)),"")</f>
        <v/>
      </c>
      <c r="P66" s="78"/>
      <c r="Q66" s="77"/>
      <c r="R66" s="94"/>
      <c r="S66" s="77"/>
      <c r="T66" s="76" t="str">
        <f t="shared" ref="T66:T78" si="25">IF(S66="","",H66-S66)</f>
        <v/>
      </c>
      <c r="V66" s="111"/>
      <c r="W66" s="106"/>
      <c r="X66" s="106"/>
      <c r="Y66" s="106"/>
      <c r="Z66" s="112"/>
      <c r="AB66" s="77"/>
      <c r="AC66" s="77"/>
      <c r="AD66" s="77"/>
      <c r="AE66" s="77"/>
      <c r="AF66" s="77"/>
      <c r="AG66" s="77"/>
      <c r="AH66" s="77"/>
      <c r="AI66" s="77"/>
      <c r="AJ66" s="77"/>
      <c r="AK66" s="76"/>
    </row>
    <row r="67" spans="2:37" s="52" customFormat="1" x14ac:dyDescent="0.35">
      <c r="B67" s="55" t="s">
        <v>227</v>
      </c>
      <c r="C67" s="65" t="s">
        <v>61</v>
      </c>
      <c r="D67" s="65" t="s">
        <v>97</v>
      </c>
      <c r="E67" s="65" t="s">
        <v>21</v>
      </c>
      <c r="F67" s="74">
        <f t="shared" si="15"/>
        <v>2.3931043500618542E-2</v>
      </c>
      <c r="G67" s="79">
        <f t="shared" si="16"/>
        <v>3.0071618347564312E-2</v>
      </c>
      <c r="H67" s="79">
        <f t="shared" si="17"/>
        <v>3.3879922763730197E-2</v>
      </c>
      <c r="I67" s="79">
        <f t="shared" si="18"/>
        <v>3.6317600537893506E-2</v>
      </c>
      <c r="J67" s="61">
        <f t="shared" si="19"/>
        <v>3.8682746294749631E-2</v>
      </c>
      <c r="K67" s="74" t="str">
        <f t="shared" si="20"/>
        <v/>
      </c>
      <c r="L67" s="79">
        <f t="shared" si="21"/>
        <v>2.512904547564311E-3</v>
      </c>
      <c r="M67" s="79">
        <f t="shared" si="22"/>
        <v>5.8603581637302043E-3</v>
      </c>
      <c r="N67" s="79">
        <f t="shared" si="23"/>
        <v>7.547676437893505E-3</v>
      </c>
      <c r="O67" s="61">
        <f t="shared" si="24"/>
        <v>8.6874936947496286E-3</v>
      </c>
      <c r="P67" s="54" t="s">
        <v>21</v>
      </c>
      <c r="Q67" s="52" t="s">
        <v>21</v>
      </c>
      <c r="R67" s="93" t="s">
        <v>21</v>
      </c>
      <c r="S67" s="70" t="s">
        <v>21</v>
      </c>
      <c r="T67" s="62" t="str">
        <f t="shared" si="25"/>
        <v/>
      </c>
      <c r="V67" s="117">
        <v>1.13166681</v>
      </c>
      <c r="W67" s="60">
        <v>2.9463433299999999</v>
      </c>
      <c r="X67" s="60">
        <v>4.61273483</v>
      </c>
      <c r="Y67" s="60">
        <v>6.1095825399999999</v>
      </c>
      <c r="Z67" s="118">
        <v>8.0822107600000006</v>
      </c>
      <c r="AB67" s="74">
        <v>2.3931043500618542E-2</v>
      </c>
      <c r="AC67" s="79">
        <v>3.0071618347564312E-2</v>
      </c>
      <c r="AD67" s="79">
        <v>3.3879922763730197E-2</v>
      </c>
      <c r="AE67" s="79">
        <v>3.6317600537893506E-2</v>
      </c>
      <c r="AF67" s="61">
        <v>3.8682746294749631E-2</v>
      </c>
      <c r="AG67" s="74" t="s">
        <v>21</v>
      </c>
      <c r="AH67" s="79">
        <v>2.512904547564311E-3</v>
      </c>
      <c r="AI67" s="79">
        <v>5.8603581637302043E-3</v>
      </c>
      <c r="AJ67" s="79">
        <v>7.547676437893505E-3</v>
      </c>
      <c r="AK67" s="61">
        <v>8.6874936947496286E-3</v>
      </c>
    </row>
    <row r="68" spans="2:37" s="52" customFormat="1" x14ac:dyDescent="0.35">
      <c r="B68" s="56" t="s">
        <v>227</v>
      </c>
      <c r="C68" s="66" t="s">
        <v>63</v>
      </c>
      <c r="D68" s="66" t="s">
        <v>97</v>
      </c>
      <c r="E68" s="66" t="s">
        <v>21</v>
      </c>
      <c r="F68" s="73">
        <f t="shared" si="15"/>
        <v>2.5350074575523983E-2</v>
      </c>
      <c r="G68" s="75">
        <f t="shared" si="16"/>
        <v>3.2817144159582007E-2</v>
      </c>
      <c r="H68" s="75">
        <f t="shared" si="17"/>
        <v>3.8018788973080656E-2</v>
      </c>
      <c r="I68" s="75">
        <f t="shared" si="18"/>
        <v>4.1573960228943892E-2</v>
      </c>
      <c r="J68" s="63">
        <f t="shared" si="19"/>
        <v>4.4547092316985545E-2</v>
      </c>
      <c r="K68" s="73" t="str">
        <f t="shared" si="20"/>
        <v/>
      </c>
      <c r="L68" s="75">
        <f t="shared" si="21"/>
        <v>5.1950049595820055E-3</v>
      </c>
      <c r="M68" s="75">
        <f t="shared" si="22"/>
        <v>9.903476673080655E-3</v>
      </c>
      <c r="N68" s="75">
        <f t="shared" si="23"/>
        <v>1.2673723328943896E-2</v>
      </c>
      <c r="O68" s="63">
        <f t="shared" si="24"/>
        <v>1.4426718016985541E-2</v>
      </c>
      <c r="P68" s="54" t="s">
        <v>21</v>
      </c>
      <c r="Q68" s="52" t="s">
        <v>21</v>
      </c>
      <c r="R68" s="93" t="s">
        <v>21</v>
      </c>
      <c r="S68" s="70" t="s">
        <v>21</v>
      </c>
      <c r="T68" s="62" t="str">
        <f t="shared" si="25"/>
        <v/>
      </c>
      <c r="V68" s="113">
        <v>1.13016088</v>
      </c>
      <c r="W68" s="107">
        <v>2.9333179999999999</v>
      </c>
      <c r="X68" s="107">
        <v>4.57012324</v>
      </c>
      <c r="Y68" s="107">
        <v>6.0156476300000001</v>
      </c>
      <c r="Z68" s="114">
        <v>7.8826473800000008</v>
      </c>
      <c r="AB68" s="73">
        <v>2.5350074575523983E-2</v>
      </c>
      <c r="AC68" s="75">
        <v>3.2817144159582007E-2</v>
      </c>
      <c r="AD68" s="75">
        <v>3.8018788973080656E-2</v>
      </c>
      <c r="AE68" s="75">
        <v>4.1573960228943892E-2</v>
      </c>
      <c r="AF68" s="63">
        <v>4.4547092316985545E-2</v>
      </c>
      <c r="AG68" s="73" t="s">
        <v>21</v>
      </c>
      <c r="AH68" s="75">
        <v>5.1950049595820055E-3</v>
      </c>
      <c r="AI68" s="75">
        <v>9.903476673080655E-3</v>
      </c>
      <c r="AJ68" s="75">
        <v>1.2673723328943896E-2</v>
      </c>
      <c r="AK68" s="63">
        <v>1.4426718016985541E-2</v>
      </c>
    </row>
    <row r="69" spans="2:37" s="52" customFormat="1" x14ac:dyDescent="0.35">
      <c r="B69" s="55" t="s">
        <v>228</v>
      </c>
      <c r="C69" s="65" t="s">
        <v>65</v>
      </c>
      <c r="D69" s="65" t="s">
        <v>97</v>
      </c>
      <c r="E69" s="65" t="s">
        <v>21</v>
      </c>
      <c r="F69" s="74">
        <f t="shared" si="15"/>
        <v>2.4669969837087479E-2</v>
      </c>
      <c r="G69" s="79">
        <f t="shared" si="16"/>
        <v>3.2123520333161661E-2</v>
      </c>
      <c r="H69" s="79">
        <f t="shared" si="17"/>
        <v>3.7588539093260112E-2</v>
      </c>
      <c r="I69" s="79">
        <f t="shared" si="18"/>
        <v>4.090984806507611E-2</v>
      </c>
      <c r="J69" s="61">
        <f t="shared" si="19"/>
        <v>4.4484928227661084E-2</v>
      </c>
      <c r="K69" s="74" t="str">
        <f t="shared" si="20"/>
        <v/>
      </c>
      <c r="L69" s="79">
        <f t="shared" si="21"/>
        <v>4.4977085331616594E-3</v>
      </c>
      <c r="M69" s="79">
        <f t="shared" si="22"/>
        <v>9.4452610932601131E-3</v>
      </c>
      <c r="N69" s="79">
        <f t="shared" si="23"/>
        <v>1.1982702965076104E-2</v>
      </c>
      <c r="O69" s="61">
        <f t="shared" si="24"/>
        <v>1.4319543027661089E-2</v>
      </c>
      <c r="P69" s="55" t="s">
        <v>21</v>
      </c>
      <c r="Q69" s="65" t="s">
        <v>21</v>
      </c>
      <c r="R69" s="99" t="s">
        <v>21</v>
      </c>
      <c r="S69" s="79" t="s">
        <v>21</v>
      </c>
      <c r="T69" s="61" t="str">
        <f t="shared" si="25"/>
        <v/>
      </c>
      <c r="V69" s="117">
        <v>1.13022898</v>
      </c>
      <c r="W69" s="60">
        <v>2.9304766400000002</v>
      </c>
      <c r="X69" s="60">
        <v>4.5531331399999999</v>
      </c>
      <c r="Y69" s="60">
        <v>5.9744707100000003</v>
      </c>
      <c r="Z69" s="118">
        <v>7.7786890299999998</v>
      </c>
      <c r="AB69" s="74">
        <v>2.4669969837087479E-2</v>
      </c>
      <c r="AC69" s="79">
        <v>3.2123520333161661E-2</v>
      </c>
      <c r="AD69" s="79">
        <v>3.7588539093260112E-2</v>
      </c>
      <c r="AE69" s="79">
        <v>4.090984806507611E-2</v>
      </c>
      <c r="AF69" s="61">
        <v>4.4484928227661084E-2</v>
      </c>
      <c r="AG69" s="74" t="s">
        <v>21</v>
      </c>
      <c r="AH69" s="79">
        <v>4.4977085331616594E-3</v>
      </c>
      <c r="AI69" s="79">
        <v>9.4452610932601131E-3</v>
      </c>
      <c r="AJ69" s="79">
        <v>1.1982702965076104E-2</v>
      </c>
      <c r="AK69" s="61">
        <v>1.4319543027661089E-2</v>
      </c>
    </row>
    <row r="70" spans="2:37" s="52" customFormat="1" x14ac:dyDescent="0.35">
      <c r="B70" s="56" t="s">
        <v>228</v>
      </c>
      <c r="C70" s="66" t="s">
        <v>66</v>
      </c>
      <c r="D70" s="66" t="s">
        <v>97</v>
      </c>
      <c r="E70" s="66" t="s">
        <v>21</v>
      </c>
      <c r="F70" s="73">
        <f t="shared" si="15"/>
        <v>2.580168391526837E-2</v>
      </c>
      <c r="G70" s="75">
        <f t="shared" si="16"/>
        <v>3.5176011625972621E-2</v>
      </c>
      <c r="H70" s="75">
        <f t="shared" si="17"/>
        <v>4.2473639267977766E-2</v>
      </c>
      <c r="I70" s="75">
        <f t="shared" si="18"/>
        <v>4.7272009838419185E-2</v>
      </c>
      <c r="J70" s="63">
        <f t="shared" si="19"/>
        <v>5.1495681410202263E-2</v>
      </c>
      <c r="K70" s="73" t="str">
        <f t="shared" si="20"/>
        <v/>
      </c>
      <c r="L70" s="75">
        <f t="shared" si="21"/>
        <v>7.4802051259726145E-3</v>
      </c>
      <c r="M70" s="75">
        <f t="shared" si="22"/>
        <v>1.4207181367977773E-2</v>
      </c>
      <c r="N70" s="75">
        <f t="shared" si="23"/>
        <v>1.8162711138419187E-2</v>
      </c>
      <c r="O70" s="63">
        <f t="shared" si="24"/>
        <v>2.1139203310202269E-2</v>
      </c>
      <c r="P70" s="56" t="s">
        <v>21</v>
      </c>
      <c r="Q70" s="66" t="s">
        <v>21</v>
      </c>
      <c r="R70" s="95" t="s">
        <v>21</v>
      </c>
      <c r="S70" s="75" t="s">
        <v>21</v>
      </c>
      <c r="T70" s="63" t="str">
        <f t="shared" si="25"/>
        <v/>
      </c>
      <c r="V70" s="115">
        <v>1.1295345700000001</v>
      </c>
      <c r="W70" s="71">
        <v>2.9207205599999999</v>
      </c>
      <c r="X70" s="71">
        <v>4.5183935599999998</v>
      </c>
      <c r="Y70" s="71">
        <v>5.89394799</v>
      </c>
      <c r="Z70" s="114">
        <v>7.6096330399999994</v>
      </c>
      <c r="AB70" s="73">
        <v>2.580168391526837E-2</v>
      </c>
      <c r="AC70" s="75">
        <v>3.5176011625972621E-2</v>
      </c>
      <c r="AD70" s="75">
        <v>4.2473639267977766E-2</v>
      </c>
      <c r="AE70" s="75">
        <v>4.7272009838419185E-2</v>
      </c>
      <c r="AF70" s="63">
        <v>5.1495681410202263E-2</v>
      </c>
      <c r="AG70" s="73" t="s">
        <v>21</v>
      </c>
      <c r="AH70" s="75">
        <v>7.4802051259726145E-3</v>
      </c>
      <c r="AI70" s="75">
        <v>1.4207181367977773E-2</v>
      </c>
      <c r="AJ70" s="75">
        <v>1.8162711138419187E-2</v>
      </c>
      <c r="AK70" s="63">
        <v>2.1139203310202269E-2</v>
      </c>
    </row>
    <row r="71" spans="2:37" s="52" customFormat="1" x14ac:dyDescent="0.35">
      <c r="B71" s="56" t="s">
        <v>306</v>
      </c>
      <c r="C71" s="66" t="s">
        <v>61</v>
      </c>
      <c r="D71" s="66" t="s">
        <v>97</v>
      </c>
      <c r="E71" s="66" t="s">
        <v>21</v>
      </c>
      <c r="F71" s="73">
        <f t="shared" ref="F71" si="26">IF(ISNUMBER(AB71),AB71-((C$4-C$3)/V71),"")</f>
        <v>2.3667740408082241E-2</v>
      </c>
      <c r="G71" s="75">
        <f t="shared" ref="G71" si="27">IF(ISNUMBER(AC71),AC71-((D$4-D$3)/W71),"")</f>
        <v>2.9871558846051503E-2</v>
      </c>
      <c r="H71" s="75">
        <f t="shared" ref="H71" si="28">IF(ISNUMBER(AD71),AD71-((E$4-E$3)/X71),"")</f>
        <v>3.3672975230385746E-2</v>
      </c>
      <c r="I71" s="75">
        <f t="shared" ref="I71" si="29">IF(ISNUMBER(AE71),AE71-((F$4-F$3)/Y71),"")</f>
        <v>3.6214544108319105E-2</v>
      </c>
      <c r="J71" s="63">
        <f t="shared" ref="J71" si="30">IF(ISNUMBER(AF71),AF71-((G$4-G$3)/Z71),"")</f>
        <v>3.8872931718148686E-2</v>
      </c>
      <c r="K71" s="73" t="str">
        <f t="shared" ref="K71" si="31">IF(ISNUMBER(AG71),IF(AG71-((C$4-C$3)/V71)&lt;0,"",AG71-((C$4-C$3)/V71)),"")</f>
        <v/>
      </c>
      <c r="L71" s="75">
        <f t="shared" ref="L71" si="32">IF(ISNUMBER(AH71),IF(AH71-((D$4-D$3)/W71)&lt;0,"",AH71-((D$4-D$3)/W71)),"")</f>
        <v>2.3195545460515062E-3</v>
      </c>
      <c r="M71" s="75">
        <f t="shared" ref="M71" si="33">IF(ISNUMBER(AI71),IF(AI71-((E$4-E$3)/X71)&lt;0,"",AI71-((E$4-E$3)/X71)),"")</f>
        <v>5.6599745303857491E-3</v>
      </c>
      <c r="N71" s="75">
        <f t="shared" ref="N71" si="34">IF(ISNUMBER(AJ71),IF(AJ71-((F$4-F$3)/Y71)&lt;0,"",AJ71-((F$4-F$3)/Y71)),"")</f>
        <v>7.4480399083190962E-3</v>
      </c>
      <c r="O71" s="63">
        <f t="shared" ref="O71" si="35">IF(ISNUMBER(AK71),IF(AK71-((G$4-G$3)/Z71)&lt;0,"",AK71-((G$4-G$3)/Z71)),"")</f>
        <v>8.8732560181486852E-3</v>
      </c>
      <c r="P71" s="56" t="s">
        <v>21</v>
      </c>
      <c r="Q71" s="66" t="s">
        <v>21</v>
      </c>
      <c r="R71" s="95" t="s">
        <v>21</v>
      </c>
      <c r="S71" s="75" t="s">
        <v>21</v>
      </c>
      <c r="T71" s="63" t="str">
        <f t="shared" si="25"/>
        <v/>
      </c>
      <c r="V71" s="117">
        <v>1.1321673000000001</v>
      </c>
      <c r="W71" s="60">
        <v>2.9485408</v>
      </c>
      <c r="X71" s="60">
        <v>4.6175517800000003</v>
      </c>
      <c r="Y71" s="60">
        <v>6.1163220900000006</v>
      </c>
      <c r="Z71" s="118">
        <v>8.0842938499999999</v>
      </c>
      <c r="AB71" s="73">
        <v>2.3667740408082241E-2</v>
      </c>
      <c r="AC71" s="75">
        <v>2.9871558846051503E-2</v>
      </c>
      <c r="AD71" s="75">
        <v>3.3672975230385746E-2</v>
      </c>
      <c r="AE71" s="75">
        <v>3.6214544108319105E-2</v>
      </c>
      <c r="AF71" s="63">
        <v>3.8872931718148686E-2</v>
      </c>
      <c r="AG71" s="73" t="s">
        <v>21</v>
      </c>
      <c r="AH71" s="75">
        <v>2.3195545460515062E-3</v>
      </c>
      <c r="AI71" s="75">
        <v>5.6599745303857491E-3</v>
      </c>
      <c r="AJ71" s="75">
        <v>7.4480399083190962E-3</v>
      </c>
      <c r="AK71" s="63">
        <v>8.8732560181486852E-3</v>
      </c>
    </row>
    <row r="72" spans="2:37" s="52" customFormat="1" x14ac:dyDescent="0.35">
      <c r="B72" s="78" t="s">
        <v>301</v>
      </c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6"/>
      <c r="P72" s="78"/>
      <c r="Q72" s="77"/>
      <c r="R72" s="94"/>
      <c r="S72" s="77"/>
      <c r="T72" s="76"/>
      <c r="V72" s="111"/>
      <c r="W72" s="106"/>
      <c r="X72" s="106"/>
      <c r="Y72" s="106"/>
      <c r="Z72" s="112"/>
      <c r="AB72" s="77"/>
      <c r="AC72" s="77"/>
      <c r="AD72" s="77"/>
      <c r="AE72" s="77"/>
      <c r="AF72" s="77"/>
      <c r="AG72" s="77"/>
      <c r="AH72" s="77"/>
      <c r="AI72" s="77"/>
      <c r="AJ72" s="77"/>
      <c r="AK72" s="76"/>
    </row>
    <row r="73" spans="2:37" s="136" customFormat="1" x14ac:dyDescent="0.35">
      <c r="B73" s="55" t="s">
        <v>303</v>
      </c>
      <c r="C73" s="65" t="s">
        <v>30</v>
      </c>
      <c r="D73" s="65" t="s">
        <v>304</v>
      </c>
      <c r="E73" s="65" t="s">
        <v>21</v>
      </c>
      <c r="F73" s="74">
        <f t="shared" ref="F73:F75" si="36">IF(ISNUMBER(AB73),AB73-((C$4-C$3)/V73),"")</f>
        <v>2.4020664511541813E-2</v>
      </c>
      <c r="G73" s="79">
        <f t="shared" ref="G73:G75" si="37">IF(ISNUMBER(AC73),AC73-((D$4-D$3)/W73),"")</f>
        <v>3.0492750930767542E-2</v>
      </c>
      <c r="H73" s="79">
        <f t="shared" ref="H73:H75" si="38">IF(ISNUMBER(AD73),AD73-((E$4-E$3)/X73),"")</f>
        <v>3.4499877519413545E-2</v>
      </c>
      <c r="I73" s="79">
        <f t="shared" ref="I73:I75" si="39">IF(ISNUMBER(AE73),AE73-((F$4-F$3)/Y73),"")</f>
        <v>3.7563934886680507E-2</v>
      </c>
      <c r="J73" s="61">
        <f t="shared" ref="J73:J75" si="40">IF(ISNUMBER(AF73),AF73-((G$4-G$3)/Z73),"")</f>
        <v>4.0771541761576061E-2</v>
      </c>
      <c r="K73" s="74" t="str">
        <f t="shared" ref="K73:K75" si="41">IF(ISNUMBER(AG73),IF(AG73-((C$4-C$3)/V73)&lt;0,"",AG73-((C$4-C$3)/V73)),"")</f>
        <v/>
      </c>
      <c r="L73" s="79">
        <f t="shared" ref="L73:L75" si="42">IF(ISNUMBER(AH73),IF(AH73-((D$4-D$3)/W73)&lt;0,"",AH73-((D$4-D$3)/W73)),"")</f>
        <v>2.9210967307675404E-3</v>
      </c>
      <c r="M73" s="79">
        <f t="shared" ref="M73:M75" si="43">IF(ISNUMBER(AI73),IF(AI73-((E$4-E$3)/X73)&lt;0,"",AI73-((E$4-E$3)/X73)),"")</f>
        <v>6.4616226194135536E-3</v>
      </c>
      <c r="N73" s="79">
        <f t="shared" ref="N73:N75" si="44">IF(ISNUMBER(AJ73),IF(AJ73-((F$4-F$3)/Y73)&lt;0,"",AJ73-((F$4-F$3)/Y73)),"")</f>
        <v>8.7552526866805022E-3</v>
      </c>
      <c r="O73" s="61">
        <f t="shared" ref="O73:O75" si="45">IF(ISNUMBER(AK73),IF(AK73-((G$4-G$3)/Z73)&lt;0,"",AK73-((G$4-G$3)/Z73)),"")</f>
        <v>1.0722749361576059E-2</v>
      </c>
      <c r="P73" s="54" t="s">
        <v>21</v>
      </c>
      <c r="Q73" s="52" t="s">
        <v>21</v>
      </c>
      <c r="R73" s="93" t="s">
        <v>21</v>
      </c>
      <c r="S73" s="70" t="s">
        <v>21</v>
      </c>
      <c r="T73" s="62" t="str">
        <f t="shared" si="14"/>
        <v/>
      </c>
      <c r="U73" s="54"/>
      <c r="V73" s="117">
        <v>1.1314868299999998</v>
      </c>
      <c r="W73" s="60">
        <v>2.9432819800000001</v>
      </c>
      <c r="X73" s="60">
        <v>4.6021045799999998</v>
      </c>
      <c r="Y73" s="60">
        <v>6.0791836699999999</v>
      </c>
      <c r="Z73" s="118">
        <v>7.9912192699999993</v>
      </c>
      <c r="AB73" s="74">
        <v>2.4020664511541813E-2</v>
      </c>
      <c r="AC73" s="79">
        <v>3.0492750930767542E-2</v>
      </c>
      <c r="AD73" s="79">
        <v>3.4499877519413545E-2</v>
      </c>
      <c r="AE73" s="79">
        <v>3.7563934886680507E-2</v>
      </c>
      <c r="AF73" s="61">
        <v>4.0771541761576061E-2</v>
      </c>
      <c r="AG73" s="74" t="s">
        <v>21</v>
      </c>
      <c r="AH73" s="79">
        <v>2.9210967307675404E-3</v>
      </c>
      <c r="AI73" s="79">
        <v>6.4616226194135536E-3</v>
      </c>
      <c r="AJ73" s="79">
        <v>8.7552526866805022E-3</v>
      </c>
      <c r="AK73" s="61">
        <v>1.0722749361576059E-2</v>
      </c>
    </row>
    <row r="74" spans="2:37" s="136" customFormat="1" x14ac:dyDescent="0.35">
      <c r="B74" s="54" t="s">
        <v>303</v>
      </c>
      <c r="C74" s="66" t="s">
        <v>35</v>
      </c>
      <c r="D74" s="52" t="s">
        <v>304</v>
      </c>
      <c r="E74" s="52" t="s">
        <v>21</v>
      </c>
      <c r="F74" s="72">
        <f t="shared" si="36"/>
        <v>2.6080835932180586E-2</v>
      </c>
      <c r="G74" s="59">
        <f t="shared" si="37"/>
        <v>3.5795640443116505E-2</v>
      </c>
      <c r="H74" s="70">
        <f t="shared" si="38"/>
        <v>4.3454123571537231E-2</v>
      </c>
      <c r="I74" s="70">
        <f t="shared" si="39"/>
        <v>4.8614631624946024E-2</v>
      </c>
      <c r="J74" s="62">
        <f t="shared" si="40"/>
        <v>5.2477574657359395E-2</v>
      </c>
      <c r="K74" s="72" t="str">
        <f t="shared" si="41"/>
        <v/>
      </c>
      <c r="L74" s="59">
        <f t="shared" si="42"/>
        <v>8.0774795431165017E-3</v>
      </c>
      <c r="M74" s="70">
        <f t="shared" si="43"/>
        <v>1.5148681371537232E-2</v>
      </c>
      <c r="N74" s="70">
        <f t="shared" si="44"/>
        <v>1.9448309124946026E-2</v>
      </c>
      <c r="O74" s="62">
        <f t="shared" si="45"/>
        <v>2.2082606457359391E-2</v>
      </c>
      <c r="P74" s="54" t="s">
        <v>21</v>
      </c>
      <c r="Q74" s="52" t="s">
        <v>21</v>
      </c>
      <c r="R74" s="93" t="s">
        <v>21</v>
      </c>
      <c r="S74" s="70" t="s">
        <v>21</v>
      </c>
      <c r="T74" s="62" t="str">
        <f t="shared" si="14"/>
        <v/>
      </c>
      <c r="U74" s="54"/>
      <c r="V74" s="113">
        <v>1.1291662600000001</v>
      </c>
      <c r="W74" s="71">
        <v>2.9170722199999997</v>
      </c>
      <c r="X74" s="71">
        <v>4.5058592500000003</v>
      </c>
      <c r="Y74" s="71">
        <v>5.8655022600000004</v>
      </c>
      <c r="Z74" s="114">
        <v>7.5585294100000002</v>
      </c>
      <c r="AB74" s="72">
        <v>2.6080835932180586E-2</v>
      </c>
      <c r="AC74" s="70">
        <v>3.5795640443116505E-2</v>
      </c>
      <c r="AD74" s="70">
        <v>4.3454123571537231E-2</v>
      </c>
      <c r="AE74" s="70">
        <v>4.8614631624946024E-2</v>
      </c>
      <c r="AF74" s="62">
        <v>5.2477574657359395E-2</v>
      </c>
      <c r="AG74" s="72" t="s">
        <v>21</v>
      </c>
      <c r="AH74" s="70">
        <v>8.0774795431165017E-3</v>
      </c>
      <c r="AI74" s="70">
        <v>1.5148681371537232E-2</v>
      </c>
      <c r="AJ74" s="70">
        <v>1.9448309124946026E-2</v>
      </c>
      <c r="AK74" s="62">
        <v>2.2082606457359391E-2</v>
      </c>
    </row>
    <row r="75" spans="2:37" s="136" customFormat="1" x14ac:dyDescent="0.35">
      <c r="B75" s="56" t="s">
        <v>303</v>
      </c>
      <c r="C75" s="52" t="s">
        <v>33</v>
      </c>
      <c r="D75" s="66" t="s">
        <v>304</v>
      </c>
      <c r="E75" s="53" t="s">
        <v>21</v>
      </c>
      <c r="F75" s="73">
        <f t="shared" si="36"/>
        <v>2.4710093240500497E-2</v>
      </c>
      <c r="G75" s="75">
        <f t="shared" si="37"/>
        <v>3.2786464334779768E-2</v>
      </c>
      <c r="H75" s="75">
        <f t="shared" si="38"/>
        <v>3.8512111381178389E-2</v>
      </c>
      <c r="I75" s="75">
        <f t="shared" si="39"/>
        <v>4.2339213218151532E-2</v>
      </c>
      <c r="J75" s="63">
        <f t="shared" si="40"/>
        <v>4.6023264861839885E-2</v>
      </c>
      <c r="K75" s="73" t="str">
        <f t="shared" si="41"/>
        <v/>
      </c>
      <c r="L75" s="75">
        <f t="shared" si="42"/>
        <v>5.1387960347797756E-3</v>
      </c>
      <c r="M75" s="75">
        <f t="shared" si="43"/>
        <v>1.0335158281178385E-2</v>
      </c>
      <c r="N75" s="75">
        <f t="shared" si="44"/>
        <v>1.3355229518151518E-2</v>
      </c>
      <c r="O75" s="63">
        <f t="shared" si="45"/>
        <v>1.5803396061839878E-2</v>
      </c>
      <c r="P75" s="54" t="s">
        <v>21</v>
      </c>
      <c r="Q75" s="52" t="s">
        <v>21</v>
      </c>
      <c r="R75" s="93" t="s">
        <v>21</v>
      </c>
      <c r="S75" s="70" t="s">
        <v>21</v>
      </c>
      <c r="T75" s="62" t="str">
        <f t="shared" si="14"/>
        <v/>
      </c>
      <c r="U75" s="54"/>
      <c r="V75" s="113">
        <v>1.1301247800000001</v>
      </c>
      <c r="W75" s="107">
        <v>2.9260073900000001</v>
      </c>
      <c r="X75" s="107">
        <v>4.5375234100000004</v>
      </c>
      <c r="Y75" s="107">
        <v>5.93653692</v>
      </c>
      <c r="Z75" s="114">
        <v>7.6962954299999993</v>
      </c>
      <c r="AB75" s="73">
        <v>2.4710093240500497E-2</v>
      </c>
      <c r="AC75" s="75">
        <v>3.2786464334779768E-2</v>
      </c>
      <c r="AD75" s="75">
        <v>3.8512111381178389E-2</v>
      </c>
      <c r="AE75" s="75">
        <v>4.2339213218151532E-2</v>
      </c>
      <c r="AF75" s="63">
        <v>4.6023264861839885E-2</v>
      </c>
      <c r="AG75" s="73" t="s">
        <v>21</v>
      </c>
      <c r="AH75" s="75">
        <v>5.1387960347797756E-3</v>
      </c>
      <c r="AI75" s="75">
        <v>1.0335158281178385E-2</v>
      </c>
      <c r="AJ75" s="75">
        <v>1.3355229518151518E-2</v>
      </c>
      <c r="AK75" s="63">
        <v>1.5803396061839878E-2</v>
      </c>
    </row>
    <row r="76" spans="2:37" s="136" customFormat="1" x14ac:dyDescent="0.35">
      <c r="B76" s="78" t="s">
        <v>302</v>
      </c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8"/>
      <c r="Q76" s="77"/>
      <c r="R76" s="94"/>
      <c r="S76" s="77"/>
      <c r="T76" s="77"/>
      <c r="U76" s="54"/>
      <c r="V76" s="111"/>
      <c r="W76" s="106"/>
      <c r="X76" s="106"/>
      <c r="Y76" s="106"/>
      <c r="Z76" s="112"/>
      <c r="AB76" s="77"/>
      <c r="AC76" s="77"/>
      <c r="AD76" s="77"/>
      <c r="AE76" s="77"/>
      <c r="AF76" s="77"/>
      <c r="AG76" s="77"/>
      <c r="AH76" s="77"/>
      <c r="AI76" s="77"/>
      <c r="AJ76" s="77"/>
      <c r="AK76" s="76"/>
    </row>
    <row r="77" spans="2:37" s="136" customFormat="1" x14ac:dyDescent="0.35">
      <c r="B77" s="55" t="s">
        <v>305</v>
      </c>
      <c r="C77" s="65" t="s">
        <v>30</v>
      </c>
      <c r="D77" s="65" t="s">
        <v>131</v>
      </c>
      <c r="E77" s="65" t="s">
        <v>21</v>
      </c>
      <c r="F77" s="74">
        <f t="shared" ref="F77:F78" si="46">IF(ISNUMBER(AB77),AB77-((C$4-C$3)/V77),"")</f>
        <v>2.4111289055377478E-2</v>
      </c>
      <c r="G77" s="79">
        <f t="shared" ref="G77:G78" si="47">IF(ISNUMBER(AC77),AC77-((D$4-D$3)/W77),"")</f>
        <v>3.0501066490021086E-2</v>
      </c>
      <c r="H77" s="79">
        <f t="shared" ref="H77:H78" si="48">IF(ISNUMBER(AD77),AD77-((E$4-E$3)/X77),"")</f>
        <v>3.4550680052361143E-2</v>
      </c>
      <c r="I77" s="79">
        <f t="shared" ref="I77:I78" si="49">IF(ISNUMBER(AE77),AE77-((F$4-F$3)/Y77),"")</f>
        <v>3.7367153426774338E-2</v>
      </c>
      <c r="J77" s="61">
        <f t="shared" ref="J77:J78" si="50">IF(ISNUMBER(AF77),AF77-((G$4-G$3)/Z77),"")</f>
        <v>4.0136566905245114E-2</v>
      </c>
      <c r="K77" s="74" t="str">
        <f t="shared" ref="K77:K78" si="51">IF(ISNUMBER(AG77),IF(AG77-((C$4-C$3)/V77)&lt;0,"",AG77-((C$4-C$3)/V77)),"")</f>
        <v/>
      </c>
      <c r="L77" s="79">
        <f t="shared" ref="L77:L78" si="52">IF(ISNUMBER(AH77),IF(AH77-((D$4-D$3)/W77)&lt;0,"",AH77-((D$4-D$3)/W77)),"")</f>
        <v>2.9292372900210891E-3</v>
      </c>
      <c r="M77" s="79">
        <f t="shared" ref="M77:M78" si="53">IF(ISNUMBER(AI77),IF(AI77-((E$4-E$3)/X77)&lt;0,"",AI77-((E$4-E$3)/X77)),"")</f>
        <v>6.5108774523611477E-3</v>
      </c>
      <c r="N77" s="79">
        <f t="shared" ref="N77:N78" si="54">IF(ISNUMBER(AJ77),IF(AJ77-((F$4-F$3)/Y77)&lt;0,"",AJ77-((F$4-F$3)/Y77)),"")</f>
        <v>8.5650011267743315E-3</v>
      </c>
      <c r="O77" s="61">
        <f t="shared" ref="O77:O78" si="55">IF(ISNUMBER(AK77),IF(AK77-((G$4-G$3)/Z77)&lt;0,"",AK77-((G$4-G$3)/Z77)),"")</f>
        <v>1.0105504905245113E-2</v>
      </c>
      <c r="P77" s="55" t="s">
        <v>21</v>
      </c>
      <c r="Q77" s="65" t="s">
        <v>21</v>
      </c>
      <c r="R77" s="99" t="s">
        <v>21</v>
      </c>
      <c r="S77" s="79" t="s">
        <v>21</v>
      </c>
      <c r="T77" s="61" t="str">
        <f t="shared" si="25"/>
        <v/>
      </c>
      <c r="U77" s="54"/>
      <c r="V77" s="117">
        <v>1.13130891</v>
      </c>
      <c r="W77" s="60">
        <v>2.9429067299999998</v>
      </c>
      <c r="X77" s="60">
        <v>4.6011846800000002</v>
      </c>
      <c r="Y77" s="60">
        <v>6.0810096700000003</v>
      </c>
      <c r="Z77" s="118">
        <v>8.0105589199999994</v>
      </c>
      <c r="AB77" s="74">
        <v>2.4111289055377478E-2</v>
      </c>
      <c r="AC77" s="79">
        <v>3.0501066490021086E-2</v>
      </c>
      <c r="AD77" s="79">
        <v>3.4550680052361143E-2</v>
      </c>
      <c r="AE77" s="79">
        <v>3.7367153426774338E-2</v>
      </c>
      <c r="AF77" s="61">
        <v>4.0136566905245114E-2</v>
      </c>
      <c r="AG77" s="74" t="s">
        <v>21</v>
      </c>
      <c r="AH77" s="79">
        <v>2.9292372900210891E-3</v>
      </c>
      <c r="AI77" s="79">
        <v>6.5108774523611477E-3</v>
      </c>
      <c r="AJ77" s="79">
        <v>8.5650011267743315E-3</v>
      </c>
      <c r="AK77" s="61">
        <v>1.0105504905245113E-2</v>
      </c>
    </row>
    <row r="78" spans="2:37" s="136" customFormat="1" x14ac:dyDescent="0.35">
      <c r="B78" s="56" t="s">
        <v>305</v>
      </c>
      <c r="C78" s="66" t="s">
        <v>35</v>
      </c>
      <c r="D78" s="66" t="s">
        <v>131</v>
      </c>
      <c r="E78" s="66" t="s">
        <v>21</v>
      </c>
      <c r="F78" s="73">
        <f t="shared" si="46"/>
        <v>2.6095978498341537E-2</v>
      </c>
      <c r="G78" s="75">
        <f t="shared" si="47"/>
        <v>3.5801454414660192E-2</v>
      </c>
      <c r="H78" s="75">
        <f t="shared" si="48"/>
        <v>4.3457883028669854E-2</v>
      </c>
      <c r="I78" s="75">
        <f t="shared" si="49"/>
        <v>4.8617527270011014E-2</v>
      </c>
      <c r="J78" s="63">
        <f t="shared" si="50"/>
        <v>5.2836646492946289E-2</v>
      </c>
      <c r="K78" s="73" t="str">
        <f t="shared" si="51"/>
        <v/>
      </c>
      <c r="L78" s="75">
        <f t="shared" si="52"/>
        <v>8.0813193146602007E-3</v>
      </c>
      <c r="M78" s="75">
        <f t="shared" si="53"/>
        <v>1.5150971528669864E-2</v>
      </c>
      <c r="N78" s="75">
        <f t="shared" si="54"/>
        <v>1.9449954070011009E-2</v>
      </c>
      <c r="O78" s="63">
        <f t="shared" si="55"/>
        <v>2.2425504892946299E-2</v>
      </c>
      <c r="P78" s="56" t="s">
        <v>21</v>
      </c>
      <c r="Q78" s="66" t="s">
        <v>21</v>
      </c>
      <c r="R78" s="95" t="s">
        <v>21</v>
      </c>
      <c r="S78" s="75" t="s">
        <v>21</v>
      </c>
      <c r="T78" s="63" t="str">
        <f t="shared" si="25"/>
        <v/>
      </c>
      <c r="U78" s="54"/>
      <c r="V78" s="115">
        <v>1.1291726199999998</v>
      </c>
      <c r="W78" s="71">
        <v>2.9170667699999999</v>
      </c>
      <c r="X78" s="71">
        <v>4.5058443300000004</v>
      </c>
      <c r="Y78" s="71">
        <v>5.8654788599999996</v>
      </c>
      <c r="Z78" s="114">
        <v>7.55218173</v>
      </c>
      <c r="AB78" s="73">
        <v>2.6095978498341537E-2</v>
      </c>
      <c r="AC78" s="75">
        <v>3.5801454414660192E-2</v>
      </c>
      <c r="AD78" s="75">
        <v>4.3457883028669854E-2</v>
      </c>
      <c r="AE78" s="75">
        <v>4.8617527270011014E-2</v>
      </c>
      <c r="AF78" s="63">
        <v>5.2836646492946289E-2</v>
      </c>
      <c r="AG78" s="73" t="s">
        <v>21</v>
      </c>
      <c r="AH78" s="75">
        <v>8.0813193146602007E-3</v>
      </c>
      <c r="AI78" s="75">
        <v>1.5150971528669864E-2</v>
      </c>
      <c r="AJ78" s="75">
        <v>1.9449954070011009E-2</v>
      </c>
      <c r="AK78" s="63">
        <v>2.2425504892946299E-2</v>
      </c>
    </row>
    <row r="79" spans="2:37" x14ac:dyDescent="0.35">
      <c r="B79" s="78" t="s">
        <v>67</v>
      </c>
      <c r="C79" s="77"/>
      <c r="D79" s="77"/>
      <c r="E79" s="77"/>
      <c r="F79" s="77" t="str">
        <f t="shared" si="4"/>
        <v/>
      </c>
      <c r="G79" s="77" t="str">
        <f t="shared" si="5"/>
        <v/>
      </c>
      <c r="H79" s="77" t="str">
        <f t="shared" si="6"/>
        <v/>
      </c>
      <c r="I79" s="77" t="str">
        <f t="shared" si="7"/>
        <v/>
      </c>
      <c r="J79" s="77" t="str">
        <f t="shared" si="8"/>
        <v/>
      </c>
      <c r="K79" s="77" t="str">
        <f t="shared" si="9"/>
        <v/>
      </c>
      <c r="L79" s="77" t="str">
        <f t="shared" si="10"/>
        <v/>
      </c>
      <c r="M79" s="77" t="str">
        <f t="shared" si="11"/>
        <v/>
      </c>
      <c r="N79" s="77" t="str">
        <f t="shared" si="12"/>
        <v/>
      </c>
      <c r="O79" s="76" t="str">
        <f t="shared" si="13"/>
        <v/>
      </c>
      <c r="P79" s="78"/>
      <c r="Q79" s="77"/>
      <c r="R79" s="94"/>
      <c r="S79" s="77"/>
      <c r="T79" s="76" t="str">
        <f t="shared" si="14"/>
        <v/>
      </c>
      <c r="V79" s="111"/>
      <c r="W79" s="106"/>
      <c r="X79" s="106"/>
      <c r="Y79" s="106"/>
      <c r="Z79" s="112"/>
      <c r="AB79" s="77"/>
      <c r="AC79" s="77"/>
      <c r="AD79" s="77"/>
      <c r="AE79" s="77"/>
      <c r="AF79" s="77"/>
      <c r="AG79" s="77"/>
      <c r="AH79" s="77"/>
      <c r="AI79" s="77"/>
      <c r="AJ79" s="77"/>
      <c r="AK79" s="76"/>
    </row>
    <row r="80" spans="2:37" x14ac:dyDescent="0.35">
      <c r="B80" s="55" t="s">
        <v>68</v>
      </c>
      <c r="C80" s="65" t="s">
        <v>61</v>
      </c>
      <c r="D80" s="65" t="s">
        <v>69</v>
      </c>
      <c r="E80" s="65" t="s">
        <v>21</v>
      </c>
      <c r="F80" s="74">
        <f t="shared" si="4"/>
        <v>2.6610462458126462E-2</v>
      </c>
      <c r="G80" s="79">
        <f t="shared" si="5"/>
        <v>3.3269291672836175E-2</v>
      </c>
      <c r="H80" s="79">
        <f t="shared" si="6"/>
        <v>3.8107171901392373E-2</v>
      </c>
      <c r="I80" s="79">
        <f t="shared" si="7"/>
        <v>4.1178608164575338E-2</v>
      </c>
      <c r="J80" s="61">
        <f t="shared" si="8"/>
        <v>4.4380357595379824E-2</v>
      </c>
      <c r="K80" s="74" t="str">
        <f t="shared" si="9"/>
        <v/>
      </c>
      <c r="L80" s="79">
        <f t="shared" si="10"/>
        <v>5.6028611728361783E-3</v>
      </c>
      <c r="M80" s="79">
        <f t="shared" si="11"/>
        <v>9.9439638013923779E-3</v>
      </c>
      <c r="N80" s="79">
        <f t="shared" si="12"/>
        <v>1.2238874864575335E-2</v>
      </c>
      <c r="O80" s="61">
        <f t="shared" si="13"/>
        <v>1.4214675195379819E-2</v>
      </c>
      <c r="P80" s="55" t="s">
        <v>21</v>
      </c>
      <c r="Q80" s="65" t="s">
        <v>21</v>
      </c>
      <c r="R80" s="99" t="s">
        <v>21</v>
      </c>
      <c r="S80" s="79" t="s">
        <v>21</v>
      </c>
      <c r="T80" s="61" t="str">
        <f t="shared" si="14"/>
        <v/>
      </c>
      <c r="V80" s="117">
        <v>1.1264756199999999</v>
      </c>
      <c r="W80" s="60">
        <v>2.9163977700000001</v>
      </c>
      <c r="X80" s="60">
        <v>4.5314947400000003</v>
      </c>
      <c r="Y80" s="60">
        <v>5.9490606499999998</v>
      </c>
      <c r="Z80" s="118">
        <v>7.7571268700000005</v>
      </c>
      <c r="AB80" s="74">
        <v>2.6610462458126462E-2</v>
      </c>
      <c r="AC80" s="79">
        <v>3.3269291672836175E-2</v>
      </c>
      <c r="AD80" s="79">
        <v>3.8107171901392373E-2</v>
      </c>
      <c r="AE80" s="79">
        <v>4.1178608164575338E-2</v>
      </c>
      <c r="AF80" s="61">
        <v>4.4380357595379824E-2</v>
      </c>
      <c r="AG80" s="74" t="s">
        <v>21</v>
      </c>
      <c r="AH80" s="79">
        <v>5.6028611728361783E-3</v>
      </c>
      <c r="AI80" s="79">
        <v>9.9439638013923779E-3</v>
      </c>
      <c r="AJ80" s="79">
        <v>1.2238874864575335E-2</v>
      </c>
      <c r="AK80" s="61">
        <v>1.4214675195379819E-2</v>
      </c>
    </row>
    <row r="81" spans="2:37" x14ac:dyDescent="0.35">
      <c r="B81" s="56" t="s">
        <v>68</v>
      </c>
      <c r="C81" s="66" t="s">
        <v>63</v>
      </c>
      <c r="D81" s="66" t="s">
        <v>69</v>
      </c>
      <c r="E81" s="66" t="s">
        <v>81</v>
      </c>
      <c r="F81" s="73">
        <f t="shared" si="4"/>
        <v>2.807493887113939E-2</v>
      </c>
      <c r="G81" s="75">
        <f t="shared" si="5"/>
        <v>3.5787611411106514E-2</v>
      </c>
      <c r="H81" s="75">
        <f t="shared" si="6"/>
        <v>4.1395137596065057E-2</v>
      </c>
      <c r="I81" s="75">
        <f t="shared" si="7"/>
        <v>4.4835368834256692E-2</v>
      </c>
      <c r="J81" s="63">
        <f t="shared" si="8"/>
        <v>4.7936801371670758E-2</v>
      </c>
      <c r="K81" s="73">
        <f t="shared" si="9"/>
        <v>9.1591387113938976E-4</v>
      </c>
      <c r="L81" s="75">
        <f t="shared" si="10"/>
        <v>8.073718911106512E-3</v>
      </c>
      <c r="M81" s="75">
        <f t="shared" si="11"/>
        <v>1.3168493396065054E-2</v>
      </c>
      <c r="N81" s="75">
        <f t="shared" si="12"/>
        <v>1.5819365234256696E-2</v>
      </c>
      <c r="O81" s="63">
        <f t="shared" si="13"/>
        <v>1.7705045171670753E-2</v>
      </c>
      <c r="P81" s="56" t="s">
        <v>21</v>
      </c>
      <c r="Q81" s="66" t="s">
        <v>21</v>
      </c>
      <c r="R81" s="95" t="s">
        <v>21</v>
      </c>
      <c r="S81" s="75" t="s">
        <v>21</v>
      </c>
      <c r="T81" s="63" t="str">
        <f t="shared" si="14"/>
        <v/>
      </c>
      <c r="V81" s="115">
        <v>1.12569246</v>
      </c>
      <c r="W81" s="107">
        <v>2.9108900200000001</v>
      </c>
      <c r="X81" s="107">
        <v>4.5167642600000004</v>
      </c>
      <c r="Y81" s="107">
        <v>5.9216054300000005</v>
      </c>
      <c r="Z81" s="116">
        <v>7.7149302799999999</v>
      </c>
      <c r="AB81" s="73">
        <v>2.807493887113939E-2</v>
      </c>
      <c r="AC81" s="75">
        <v>3.5787611411106514E-2</v>
      </c>
      <c r="AD81" s="75">
        <v>4.1395137596065057E-2</v>
      </c>
      <c r="AE81" s="75">
        <v>4.4835368834256692E-2</v>
      </c>
      <c r="AF81" s="63">
        <v>4.7936801371670758E-2</v>
      </c>
      <c r="AG81" s="73">
        <v>9.1591387113938976E-4</v>
      </c>
      <c r="AH81" s="75">
        <v>8.073718911106512E-3</v>
      </c>
      <c r="AI81" s="75">
        <v>1.3168493396065054E-2</v>
      </c>
      <c r="AJ81" s="75">
        <v>1.5819365234256696E-2</v>
      </c>
      <c r="AK81" s="63">
        <v>1.7705045171670753E-2</v>
      </c>
    </row>
    <row r="82" spans="2:37" x14ac:dyDescent="0.35">
      <c r="B82" s="55" t="s">
        <v>70</v>
      </c>
      <c r="C82" s="65" t="s">
        <v>65</v>
      </c>
      <c r="D82" s="65" t="s">
        <v>69</v>
      </c>
      <c r="E82" s="65" t="s">
        <v>229</v>
      </c>
      <c r="F82" s="74">
        <f t="shared" si="4"/>
        <v>2.686642700745577E-2</v>
      </c>
      <c r="G82" s="79">
        <f t="shared" si="5"/>
        <v>3.3971553581270159E-2</v>
      </c>
      <c r="H82" s="79">
        <f t="shared" si="6"/>
        <v>3.9032683730536852E-2</v>
      </c>
      <c r="I82" s="79">
        <f t="shared" si="7"/>
        <v>4.2612006111057796E-2</v>
      </c>
      <c r="J82" s="61">
        <f t="shared" si="8"/>
        <v>4.6113893702985527E-2</v>
      </c>
      <c r="K82" s="74" t="str">
        <f t="shared" si="9"/>
        <v/>
      </c>
      <c r="L82" s="79">
        <f t="shared" si="10"/>
        <v>6.2805783812701632E-3</v>
      </c>
      <c r="M82" s="79">
        <f t="shared" si="11"/>
        <v>1.0834787030536853E-2</v>
      </c>
      <c r="N82" s="79">
        <f t="shared" si="12"/>
        <v>1.3614286611057787E-2</v>
      </c>
      <c r="O82" s="61">
        <f t="shared" si="13"/>
        <v>1.5885569702985526E-2</v>
      </c>
      <c r="P82" s="54" t="s">
        <v>456</v>
      </c>
      <c r="Q82" s="52" t="s">
        <v>457</v>
      </c>
      <c r="R82" s="93">
        <v>47371</v>
      </c>
      <c r="S82" s="70">
        <v>3.6275000000000002E-2</v>
      </c>
      <c r="T82" s="62">
        <f t="shared" si="14"/>
        <v>2.7576837305368501E-3</v>
      </c>
      <c r="V82" s="117">
        <v>1.12595614</v>
      </c>
      <c r="W82" s="60">
        <v>2.9109663100000001</v>
      </c>
      <c r="X82" s="60">
        <v>4.5149384700000006</v>
      </c>
      <c r="Y82" s="60">
        <v>5.91032972</v>
      </c>
      <c r="Z82" s="118">
        <v>7.6695563199999999</v>
      </c>
      <c r="AB82" s="74">
        <v>2.686642700745577E-2</v>
      </c>
      <c r="AC82" s="79">
        <v>3.3971553581270159E-2</v>
      </c>
      <c r="AD82" s="79">
        <v>3.9032683730536852E-2</v>
      </c>
      <c r="AE82" s="79">
        <v>4.2612006111057796E-2</v>
      </c>
      <c r="AF82" s="61">
        <v>4.6113893702985527E-2</v>
      </c>
      <c r="AG82" s="74" t="s">
        <v>21</v>
      </c>
      <c r="AH82" s="79">
        <v>6.2805783812701632E-3</v>
      </c>
      <c r="AI82" s="79">
        <v>1.0834787030536853E-2</v>
      </c>
      <c r="AJ82" s="79">
        <v>1.3614286611057787E-2</v>
      </c>
      <c r="AK82" s="61">
        <v>1.5885569702985526E-2</v>
      </c>
    </row>
    <row r="83" spans="2:37" x14ac:dyDescent="0.35">
      <c r="B83" s="54" t="s">
        <v>70</v>
      </c>
      <c r="C83" s="52" t="s">
        <v>66</v>
      </c>
      <c r="D83" s="52" t="s">
        <v>69</v>
      </c>
      <c r="E83" s="52" t="s">
        <v>81</v>
      </c>
      <c r="F83" s="72">
        <f t="shared" si="4"/>
        <v>2.8092386843095243E-2</v>
      </c>
      <c r="G83" s="59">
        <f t="shared" si="5"/>
        <v>3.6910563165992193E-2</v>
      </c>
      <c r="H83" s="59">
        <f t="shared" si="6"/>
        <v>4.3948786301125128E-2</v>
      </c>
      <c r="I83" s="59">
        <f t="shared" si="7"/>
        <v>4.9020032793542813E-2</v>
      </c>
      <c r="J83" s="62">
        <f t="shared" si="8"/>
        <v>5.3062650596473165E-2</v>
      </c>
      <c r="K83" s="72">
        <f t="shared" si="9"/>
        <v>9.2671664309524129E-4</v>
      </c>
      <c r="L83" s="59">
        <f t="shared" si="10"/>
        <v>9.1563277659921973E-3</v>
      </c>
      <c r="M83" s="59">
        <f t="shared" si="11"/>
        <v>1.5624223301125135E-2</v>
      </c>
      <c r="N83" s="59">
        <f t="shared" si="12"/>
        <v>1.9835227093542809E-2</v>
      </c>
      <c r="O83" s="62">
        <f t="shared" si="13"/>
        <v>2.2640297396473167E-2</v>
      </c>
      <c r="P83" s="54" t="s">
        <v>21</v>
      </c>
      <c r="Q83" s="52" t="s">
        <v>21</v>
      </c>
      <c r="R83" s="93" t="s">
        <v>21</v>
      </c>
      <c r="S83" s="70" t="s">
        <v>21</v>
      </c>
      <c r="T83" s="62" t="str">
        <f t="shared" si="14"/>
        <v/>
      </c>
      <c r="V83" s="115">
        <v>1.12571453</v>
      </c>
      <c r="W83" s="107">
        <v>2.90551103</v>
      </c>
      <c r="X83" s="107">
        <v>4.48881219</v>
      </c>
      <c r="Y83" s="107">
        <v>5.8442899399999995</v>
      </c>
      <c r="Z83" s="116">
        <v>7.5273021699999996</v>
      </c>
      <c r="AB83" s="72">
        <v>2.8092386843095243E-2</v>
      </c>
      <c r="AC83" s="70">
        <v>3.6910563165992193E-2</v>
      </c>
      <c r="AD83" s="70">
        <v>4.3948786301125128E-2</v>
      </c>
      <c r="AE83" s="70">
        <v>4.9020032793542813E-2</v>
      </c>
      <c r="AF83" s="62">
        <v>5.3062650596473165E-2</v>
      </c>
      <c r="AG83" s="72">
        <v>9.2671664309524129E-4</v>
      </c>
      <c r="AH83" s="70">
        <v>9.1563277659921973E-3</v>
      </c>
      <c r="AI83" s="70">
        <v>1.5624223301125135E-2</v>
      </c>
      <c r="AJ83" s="70">
        <v>1.9835227093542809E-2</v>
      </c>
      <c r="AK83" s="62">
        <v>2.2640297396473167E-2</v>
      </c>
    </row>
    <row r="84" spans="2:37" x14ac:dyDescent="0.35">
      <c r="B84" s="55" t="s">
        <v>71</v>
      </c>
      <c r="C84" s="65" t="s">
        <v>61</v>
      </c>
      <c r="D84" s="65" t="s">
        <v>69</v>
      </c>
      <c r="E84" s="65" t="s">
        <v>21</v>
      </c>
      <c r="F84" s="74">
        <f t="shared" si="4"/>
        <v>2.4784230296035124E-2</v>
      </c>
      <c r="G84" s="79">
        <f t="shared" si="5"/>
        <v>3.0998365824688866E-2</v>
      </c>
      <c r="H84" s="79">
        <f t="shared" si="6"/>
        <v>3.4804694470325401E-2</v>
      </c>
      <c r="I84" s="79">
        <f t="shared" si="7"/>
        <v>3.7469995169385747E-2</v>
      </c>
      <c r="J84" s="61">
        <f t="shared" si="8"/>
        <v>4.0145569716400896E-2</v>
      </c>
      <c r="K84" s="74" t="str">
        <f t="shared" si="9"/>
        <v/>
      </c>
      <c r="L84" s="79">
        <f t="shared" si="10"/>
        <v>3.4120197246888741E-3</v>
      </c>
      <c r="M84" s="79">
        <f t="shared" si="11"/>
        <v>6.7577557703254014E-3</v>
      </c>
      <c r="N84" s="79">
        <f t="shared" si="12"/>
        <v>8.6647135693857513E-3</v>
      </c>
      <c r="O84" s="61">
        <f t="shared" si="13"/>
        <v>1.0113182816400893E-2</v>
      </c>
      <c r="P84" s="55" t="s">
        <v>21</v>
      </c>
      <c r="Q84" s="65" t="s">
        <v>21</v>
      </c>
      <c r="R84" s="99" t="s">
        <v>21</v>
      </c>
      <c r="S84" s="79" t="s">
        <v>21</v>
      </c>
      <c r="T84" s="61" t="str">
        <f t="shared" si="14"/>
        <v/>
      </c>
      <c r="V84" s="117">
        <v>1.1299724800000002</v>
      </c>
      <c r="W84" s="60">
        <v>2.9372653200000003</v>
      </c>
      <c r="X84" s="60">
        <v>4.5917824099999995</v>
      </c>
      <c r="Y84" s="60">
        <v>6.0698775400000002</v>
      </c>
      <c r="Z84" s="118">
        <v>7.9996794800000011</v>
      </c>
      <c r="AB84" s="74">
        <v>2.4784230296035124E-2</v>
      </c>
      <c r="AC84" s="79">
        <v>3.0998365824688866E-2</v>
      </c>
      <c r="AD84" s="79">
        <v>3.4804694470325401E-2</v>
      </c>
      <c r="AE84" s="79">
        <v>3.7469995169385747E-2</v>
      </c>
      <c r="AF84" s="61">
        <v>4.0145569716400896E-2</v>
      </c>
      <c r="AG84" s="74" t="s">
        <v>21</v>
      </c>
      <c r="AH84" s="79">
        <v>3.4120197246888741E-3</v>
      </c>
      <c r="AI84" s="79">
        <v>6.7577557703254014E-3</v>
      </c>
      <c r="AJ84" s="79">
        <v>8.6647135693857513E-3</v>
      </c>
      <c r="AK84" s="61">
        <v>1.0113182816400893E-2</v>
      </c>
    </row>
    <row r="85" spans="2:37" x14ac:dyDescent="0.35">
      <c r="B85" s="56" t="s">
        <v>71</v>
      </c>
      <c r="C85" s="66" t="s">
        <v>63</v>
      </c>
      <c r="D85" s="66" t="s">
        <v>69</v>
      </c>
      <c r="E85" s="66" t="s">
        <v>21</v>
      </c>
      <c r="F85" s="73">
        <f t="shared" si="4"/>
        <v>2.6306073294663116E-2</v>
      </c>
      <c r="G85" s="75">
        <f t="shared" si="5"/>
        <v>3.3437657812491035E-2</v>
      </c>
      <c r="H85" s="75">
        <f t="shared" si="6"/>
        <v>3.8051939081771576E-2</v>
      </c>
      <c r="I85" s="75">
        <f t="shared" si="7"/>
        <v>4.1256394404913632E-2</v>
      </c>
      <c r="J85" s="63">
        <f t="shared" si="8"/>
        <v>4.407543884094161E-2</v>
      </c>
      <c r="K85" s="73" t="str">
        <f t="shared" si="9"/>
        <v/>
      </c>
      <c r="L85" s="75">
        <f t="shared" si="10"/>
        <v>5.7989079124910348E-3</v>
      </c>
      <c r="M85" s="75">
        <f t="shared" si="11"/>
        <v>9.9364103817715758E-3</v>
      </c>
      <c r="N85" s="75">
        <f t="shared" si="12"/>
        <v>1.2366470104913634E-2</v>
      </c>
      <c r="O85" s="63">
        <f t="shared" si="13"/>
        <v>1.3966995540941605E-2</v>
      </c>
      <c r="P85" s="56" t="s">
        <v>21</v>
      </c>
      <c r="Q85" s="66" t="s">
        <v>21</v>
      </c>
      <c r="R85" s="95" t="s">
        <v>21</v>
      </c>
      <c r="S85" s="75" t="s">
        <v>21</v>
      </c>
      <c r="T85" s="63" t="str">
        <f t="shared" si="14"/>
        <v/>
      </c>
      <c r="V85" s="115">
        <v>1.1287463</v>
      </c>
      <c r="W85" s="107">
        <v>2.9279510200000001</v>
      </c>
      <c r="X85" s="107">
        <v>4.5640891400000001</v>
      </c>
      <c r="Y85" s="107">
        <v>6.0134253900000001</v>
      </c>
      <c r="Z85" s="116">
        <v>7.8918558900000004</v>
      </c>
      <c r="AB85" s="73">
        <v>2.6306073294663116E-2</v>
      </c>
      <c r="AC85" s="75">
        <v>3.3437657812491035E-2</v>
      </c>
      <c r="AD85" s="75">
        <v>3.8051939081771576E-2</v>
      </c>
      <c r="AE85" s="75">
        <v>4.1256394404913632E-2</v>
      </c>
      <c r="AF85" s="63">
        <v>4.407543884094161E-2</v>
      </c>
      <c r="AG85" s="73" t="s">
        <v>21</v>
      </c>
      <c r="AH85" s="75">
        <v>5.7989079124910348E-3</v>
      </c>
      <c r="AI85" s="75">
        <v>9.9364103817715758E-3</v>
      </c>
      <c r="AJ85" s="75">
        <v>1.2366470104913634E-2</v>
      </c>
      <c r="AK85" s="63">
        <v>1.3966995540941605E-2</v>
      </c>
    </row>
    <row r="86" spans="2:37" x14ac:dyDescent="0.35">
      <c r="B86" s="54" t="s">
        <v>72</v>
      </c>
      <c r="C86" s="52" t="s">
        <v>65</v>
      </c>
      <c r="D86" s="52" t="s">
        <v>69</v>
      </c>
      <c r="E86" s="52" t="s">
        <v>34</v>
      </c>
      <c r="F86" s="72">
        <f t="shared" si="4"/>
        <v>2.4667446595574915E-2</v>
      </c>
      <c r="G86" s="59">
        <f t="shared" si="5"/>
        <v>3.1705266310765055E-2</v>
      </c>
      <c r="H86" s="59">
        <f t="shared" si="6"/>
        <v>3.6869217925498174E-2</v>
      </c>
      <c r="I86" s="59">
        <f t="shared" si="7"/>
        <v>4.0161677611865794E-2</v>
      </c>
      <c r="J86" s="62">
        <f t="shared" si="8"/>
        <v>4.3776919880095778E-2</v>
      </c>
      <c r="K86" s="72" t="str">
        <f t="shared" si="9"/>
        <v/>
      </c>
      <c r="L86" s="59">
        <f t="shared" si="10"/>
        <v>4.0933084107650577E-3</v>
      </c>
      <c r="M86" s="59">
        <f t="shared" si="11"/>
        <v>8.7515789254981775E-3</v>
      </c>
      <c r="N86" s="59">
        <f t="shared" si="12"/>
        <v>1.1262595411865788E-2</v>
      </c>
      <c r="O86" s="62">
        <f t="shared" si="13"/>
        <v>1.3635349380095769E-2</v>
      </c>
      <c r="P86" s="54" t="s">
        <v>21</v>
      </c>
      <c r="Q86" s="52" t="s">
        <v>21</v>
      </c>
      <c r="R86" s="93" t="s">
        <v>21</v>
      </c>
      <c r="S86" s="70" t="s">
        <v>21</v>
      </c>
      <c r="T86" s="62" t="str">
        <f t="shared" si="14"/>
        <v/>
      </c>
      <c r="V86" s="117">
        <v>1.13024239</v>
      </c>
      <c r="W86" s="60">
        <v>2.9332033699999998</v>
      </c>
      <c r="X86" s="60">
        <v>4.5643527000000006</v>
      </c>
      <c r="Y86" s="60">
        <v>5.9980768300000005</v>
      </c>
      <c r="Z86" s="118">
        <v>7.8229125499999999</v>
      </c>
      <c r="AB86" s="72">
        <v>2.4667446595574915E-2</v>
      </c>
      <c r="AC86" s="70">
        <v>3.1705266310765055E-2</v>
      </c>
      <c r="AD86" s="70">
        <v>3.6869217925498174E-2</v>
      </c>
      <c r="AE86" s="70">
        <v>4.0161677611865794E-2</v>
      </c>
      <c r="AF86" s="62">
        <v>4.3776919880095778E-2</v>
      </c>
      <c r="AG86" s="72" t="s">
        <v>21</v>
      </c>
      <c r="AH86" s="70">
        <v>4.0933084107650577E-3</v>
      </c>
      <c r="AI86" s="70">
        <v>8.7515789254981775E-3</v>
      </c>
      <c r="AJ86" s="70">
        <v>1.1262595411865788E-2</v>
      </c>
      <c r="AK86" s="62">
        <v>1.3635349380095769E-2</v>
      </c>
    </row>
    <row r="87" spans="2:37" x14ac:dyDescent="0.35">
      <c r="B87" s="56" t="s">
        <v>72</v>
      </c>
      <c r="C87" s="66" t="s">
        <v>66</v>
      </c>
      <c r="D87" s="66" t="s">
        <v>69</v>
      </c>
      <c r="E87" s="66" t="s">
        <v>36</v>
      </c>
      <c r="F87" s="73">
        <f t="shared" si="4"/>
        <v>2.5655632272879696E-2</v>
      </c>
      <c r="G87" s="75">
        <f t="shared" si="5"/>
        <v>3.4793238240670758E-2</v>
      </c>
      <c r="H87" s="75">
        <f t="shared" si="6"/>
        <v>4.1691651473419439E-2</v>
      </c>
      <c r="I87" s="75">
        <f t="shared" si="7"/>
        <v>4.6357684438541505E-2</v>
      </c>
      <c r="J87" s="63">
        <f t="shared" si="8"/>
        <v>5.0268753342891291E-2</v>
      </c>
      <c r="K87" s="73" t="str">
        <f t="shared" si="9"/>
        <v/>
      </c>
      <c r="L87" s="75">
        <f t="shared" si="10"/>
        <v>7.1104911406707494E-3</v>
      </c>
      <c r="M87" s="75">
        <f t="shared" si="11"/>
        <v>1.3454634773419441E-2</v>
      </c>
      <c r="N87" s="75">
        <f t="shared" si="12"/>
        <v>1.7285258838541512E-2</v>
      </c>
      <c r="O87" s="63">
        <f t="shared" si="13"/>
        <v>1.9959585742891289E-2</v>
      </c>
      <c r="P87" s="56" t="s">
        <v>21</v>
      </c>
      <c r="Q87" s="66" t="s">
        <v>21</v>
      </c>
      <c r="R87" s="95" t="s">
        <v>21</v>
      </c>
      <c r="S87" s="75" t="s">
        <v>21</v>
      </c>
      <c r="T87" s="63" t="str">
        <f t="shared" si="14"/>
        <v/>
      </c>
      <c r="V87" s="115">
        <v>1.1297317100000002</v>
      </c>
      <c r="W87" s="107">
        <v>2.9229261600000003</v>
      </c>
      <c r="X87" s="107">
        <v>4.5275512200000003</v>
      </c>
      <c r="Y87" s="107">
        <v>5.9143138900000007</v>
      </c>
      <c r="Z87" s="116">
        <v>7.6554864599999997</v>
      </c>
      <c r="AB87" s="73">
        <v>2.5655632272879696E-2</v>
      </c>
      <c r="AC87" s="75">
        <v>3.4793238240670758E-2</v>
      </c>
      <c r="AD87" s="75">
        <v>4.1691651473419439E-2</v>
      </c>
      <c r="AE87" s="75">
        <v>4.6357684438541505E-2</v>
      </c>
      <c r="AF87" s="63">
        <v>5.0268753342891291E-2</v>
      </c>
      <c r="AG87" s="73" t="s">
        <v>21</v>
      </c>
      <c r="AH87" s="75">
        <v>7.1104911406707494E-3</v>
      </c>
      <c r="AI87" s="75">
        <v>1.3454634773419441E-2</v>
      </c>
      <c r="AJ87" s="75">
        <v>1.7285258838541512E-2</v>
      </c>
      <c r="AK87" s="63">
        <v>1.9959585742891289E-2</v>
      </c>
    </row>
    <row r="88" spans="2:37" x14ac:dyDescent="0.35">
      <c r="B88" s="56" t="s">
        <v>74</v>
      </c>
      <c r="C88" s="66" t="s">
        <v>61</v>
      </c>
      <c r="D88" s="66" t="s">
        <v>69</v>
      </c>
      <c r="E88" s="66" t="s">
        <v>312</v>
      </c>
      <c r="F88" s="73">
        <f t="shared" si="4"/>
        <v>2.5619453048342278E-2</v>
      </c>
      <c r="G88" s="75">
        <f t="shared" si="5"/>
        <v>3.2523411574742957E-2</v>
      </c>
      <c r="H88" s="75">
        <f t="shared" si="6"/>
        <v>3.7281235553800807E-2</v>
      </c>
      <c r="I88" s="75">
        <f t="shared" si="7"/>
        <v>4.0566975455301676E-2</v>
      </c>
      <c r="J88" s="63">
        <f t="shared" si="8"/>
        <v>4.3855956342317842E-2</v>
      </c>
      <c r="K88" s="73" t="str">
        <f t="shared" si="9"/>
        <v/>
      </c>
      <c r="L88" s="75">
        <f t="shared" si="10"/>
        <v>4.8846576747429583E-3</v>
      </c>
      <c r="M88" s="75">
        <f t="shared" si="11"/>
        <v>9.1495292538008102E-3</v>
      </c>
      <c r="N88" s="75">
        <f t="shared" si="12"/>
        <v>1.165212645530167E-2</v>
      </c>
      <c r="O88" s="63">
        <f t="shared" si="13"/>
        <v>1.3710856542317844E-2</v>
      </c>
      <c r="P88" s="56" t="s">
        <v>21</v>
      </c>
      <c r="Q88" s="66" t="s">
        <v>21</v>
      </c>
      <c r="R88" s="95" t="s">
        <v>21</v>
      </c>
      <c r="S88" s="75" t="s">
        <v>21</v>
      </c>
      <c r="T88" s="63" t="str">
        <f t="shared" si="14"/>
        <v/>
      </c>
      <c r="V88" s="117">
        <v>1.1283704000000001</v>
      </c>
      <c r="W88" s="60">
        <v>2.92456307</v>
      </c>
      <c r="X88" s="60">
        <v>4.5497155500000002</v>
      </c>
      <c r="Y88" s="60">
        <v>5.9773991100000003</v>
      </c>
      <c r="Z88" s="118">
        <v>7.7995100499999994</v>
      </c>
      <c r="AB88" s="73">
        <v>2.5619453048342278E-2</v>
      </c>
      <c r="AC88" s="75">
        <v>3.2523411574742957E-2</v>
      </c>
      <c r="AD88" s="75">
        <v>3.7281235553800807E-2</v>
      </c>
      <c r="AE88" s="75">
        <v>4.0566975455301676E-2</v>
      </c>
      <c r="AF88" s="63">
        <v>4.3855956342317842E-2</v>
      </c>
      <c r="AG88" s="73" t="s">
        <v>21</v>
      </c>
      <c r="AH88" s="75">
        <v>4.8846576747429583E-3</v>
      </c>
      <c r="AI88" s="75">
        <v>9.1495292538008102E-3</v>
      </c>
      <c r="AJ88" s="75">
        <v>1.165212645530167E-2</v>
      </c>
      <c r="AK88" s="63">
        <v>1.3710856542317844E-2</v>
      </c>
    </row>
    <row r="89" spans="2:37" x14ac:dyDescent="0.35">
      <c r="B89" s="54" t="s">
        <v>76</v>
      </c>
      <c r="C89" s="52" t="s">
        <v>65</v>
      </c>
      <c r="D89" s="52" t="s">
        <v>69</v>
      </c>
      <c r="E89" s="52" t="s">
        <v>34</v>
      </c>
      <c r="F89" s="72">
        <f t="shared" si="4"/>
        <v>2.5657621363384678E-2</v>
      </c>
      <c r="G89" s="59">
        <f t="shared" si="5"/>
        <v>3.2918015768377079E-2</v>
      </c>
      <c r="H89" s="59">
        <f t="shared" si="6"/>
        <v>3.8714697736692123E-2</v>
      </c>
      <c r="I89" s="59">
        <f t="shared" si="7"/>
        <v>4.2297990034745672E-2</v>
      </c>
      <c r="J89" s="62">
        <f t="shared" si="8"/>
        <v>4.5795449358214557E-2</v>
      </c>
      <c r="K89" s="72" t="str">
        <f t="shared" si="9"/>
        <v/>
      </c>
      <c r="L89" s="59">
        <f t="shared" si="10"/>
        <v>5.265535268377081E-3</v>
      </c>
      <c r="M89" s="59">
        <f t="shared" si="11"/>
        <v>1.0529558136692117E-2</v>
      </c>
      <c r="N89" s="59">
        <f t="shared" si="12"/>
        <v>1.3315187134745676E-2</v>
      </c>
      <c r="O89" s="62">
        <f t="shared" si="13"/>
        <v>1.5582826058214556E-2</v>
      </c>
      <c r="P89" s="54" t="s">
        <v>21</v>
      </c>
      <c r="Q89" s="52" t="s">
        <v>21</v>
      </c>
      <c r="R89" s="93" t="s">
        <v>21</v>
      </c>
      <c r="S89" s="70" t="s">
        <v>21</v>
      </c>
      <c r="T89" s="62" t="str">
        <f t="shared" si="14"/>
        <v/>
      </c>
      <c r="V89" s="117">
        <v>1.1282915500000001</v>
      </c>
      <c r="W89" s="60">
        <v>2.9218841100000001</v>
      </c>
      <c r="X89" s="60">
        <v>4.5312028800000004</v>
      </c>
      <c r="Y89" s="60">
        <v>5.9305984599999997</v>
      </c>
      <c r="Z89" s="118">
        <v>7.6970713100000001</v>
      </c>
      <c r="AB89" s="72">
        <v>2.5657621363384678E-2</v>
      </c>
      <c r="AC89" s="70">
        <v>3.2918015768377079E-2</v>
      </c>
      <c r="AD89" s="70">
        <v>3.8714697736692123E-2</v>
      </c>
      <c r="AE89" s="70">
        <v>4.2297990034745672E-2</v>
      </c>
      <c r="AF89" s="62">
        <v>4.5795449358214557E-2</v>
      </c>
      <c r="AG89" s="72" t="s">
        <v>21</v>
      </c>
      <c r="AH89" s="70">
        <v>5.265535268377081E-3</v>
      </c>
      <c r="AI89" s="70">
        <v>1.0529558136692117E-2</v>
      </c>
      <c r="AJ89" s="70">
        <v>1.3315187134745676E-2</v>
      </c>
      <c r="AK89" s="62">
        <v>1.5582826058214556E-2</v>
      </c>
    </row>
    <row r="90" spans="2:37" x14ac:dyDescent="0.35">
      <c r="B90" s="56" t="s">
        <v>76</v>
      </c>
      <c r="C90" s="66" t="s">
        <v>66</v>
      </c>
      <c r="D90" s="66" t="s">
        <v>69</v>
      </c>
      <c r="E90" s="66" t="s">
        <v>21</v>
      </c>
      <c r="F90" s="73">
        <f t="shared" si="4"/>
        <v>2.6667082999834214E-2</v>
      </c>
      <c r="G90" s="75">
        <f t="shared" si="5"/>
        <v>3.6135960458118038E-2</v>
      </c>
      <c r="H90" s="75">
        <f t="shared" si="6"/>
        <v>4.4023516085293493E-2</v>
      </c>
      <c r="I90" s="75">
        <f t="shared" si="7"/>
        <v>4.890469738303229E-2</v>
      </c>
      <c r="J90" s="63">
        <f t="shared" si="8"/>
        <v>5.2680685840199144E-2</v>
      </c>
      <c r="K90" s="73" t="str">
        <f t="shared" si="9"/>
        <v/>
      </c>
      <c r="L90" s="75">
        <f t="shared" si="10"/>
        <v>8.4135769581180388E-3</v>
      </c>
      <c r="M90" s="75">
        <f t="shared" si="11"/>
        <v>1.5700933685293492E-2</v>
      </c>
      <c r="N90" s="75">
        <f t="shared" si="12"/>
        <v>1.9730346683032286E-2</v>
      </c>
      <c r="O90" s="63">
        <f t="shared" si="13"/>
        <v>2.2280113840199144E-2</v>
      </c>
      <c r="P90" s="56" t="s">
        <v>21</v>
      </c>
      <c r="Q90" s="66" t="s">
        <v>21</v>
      </c>
      <c r="R90" s="95" t="s">
        <v>21</v>
      </c>
      <c r="S90" s="75" t="s">
        <v>21</v>
      </c>
      <c r="T90" s="63" t="str">
        <f t="shared" si="14"/>
        <v/>
      </c>
      <c r="V90" s="115">
        <v>1.1282060300000001</v>
      </c>
      <c r="W90" s="107">
        <v>2.91366367</v>
      </c>
      <c r="X90" s="107">
        <v>4.4972781800000003</v>
      </c>
      <c r="Y90" s="107">
        <v>5.8528806099999997</v>
      </c>
      <c r="Z90" s="116">
        <v>7.5420668299999996</v>
      </c>
      <c r="AB90" s="73">
        <v>2.6667082999834214E-2</v>
      </c>
      <c r="AC90" s="75">
        <v>3.6135960458118038E-2</v>
      </c>
      <c r="AD90" s="75">
        <v>4.4023516085293493E-2</v>
      </c>
      <c r="AE90" s="75">
        <v>4.890469738303229E-2</v>
      </c>
      <c r="AF90" s="63">
        <v>5.2680685840199144E-2</v>
      </c>
      <c r="AG90" s="73" t="s">
        <v>21</v>
      </c>
      <c r="AH90" s="75">
        <v>8.4135769581180388E-3</v>
      </c>
      <c r="AI90" s="75">
        <v>1.5700933685293492E-2</v>
      </c>
      <c r="AJ90" s="75">
        <v>1.9730346683032286E-2</v>
      </c>
      <c r="AK90" s="63">
        <v>2.2280113840199144E-2</v>
      </c>
    </row>
    <row r="91" spans="2:37" x14ac:dyDescent="0.35">
      <c r="B91" s="54" t="s">
        <v>77</v>
      </c>
      <c r="C91" s="52" t="s">
        <v>61</v>
      </c>
      <c r="D91" s="52" t="s">
        <v>69</v>
      </c>
      <c r="E91" s="52" t="s">
        <v>21</v>
      </c>
      <c r="F91" s="72">
        <f t="shared" si="4"/>
        <v>2.4887240866830338E-2</v>
      </c>
      <c r="G91" s="59">
        <f t="shared" si="5"/>
        <v>3.127186811487323E-2</v>
      </c>
      <c r="H91" s="59">
        <f t="shared" si="6"/>
        <v>3.5220917647703527E-2</v>
      </c>
      <c r="I91" s="59">
        <f t="shared" si="7"/>
        <v>3.8121117585645709E-2</v>
      </c>
      <c r="J91" s="62">
        <f t="shared" si="8"/>
        <v>4.0803748217552178E-2</v>
      </c>
      <c r="K91" s="72" t="str">
        <f t="shared" si="9"/>
        <v/>
      </c>
      <c r="L91" s="59">
        <f t="shared" si="10"/>
        <v>3.6752150148732306E-3</v>
      </c>
      <c r="M91" s="59">
        <f t="shared" si="11"/>
        <v>7.1597234477035337E-3</v>
      </c>
      <c r="N91" s="59">
        <f t="shared" si="12"/>
        <v>9.2936821856457099E-3</v>
      </c>
      <c r="O91" s="62">
        <f t="shared" si="13"/>
        <v>1.0753703817552172E-2</v>
      </c>
      <c r="P91" s="54" t="s">
        <v>21</v>
      </c>
      <c r="Q91" s="52" t="s">
        <v>21</v>
      </c>
      <c r="R91" s="93" t="s">
        <v>21</v>
      </c>
      <c r="S91" s="70" t="s">
        <v>21</v>
      </c>
      <c r="T91" s="62" t="str">
        <f t="shared" si="14"/>
        <v/>
      </c>
      <c r="V91" s="117">
        <v>1.1297998899999999</v>
      </c>
      <c r="W91" s="60">
        <v>2.9352001300000001</v>
      </c>
      <c r="X91" s="60">
        <v>4.58473022</v>
      </c>
      <c r="Y91" s="60">
        <v>6.0523899600000002</v>
      </c>
      <c r="Z91" s="118">
        <v>7.9618747299999999</v>
      </c>
      <c r="AB91" s="72">
        <v>2.4887240866830338E-2</v>
      </c>
      <c r="AC91" s="70">
        <v>3.127186811487323E-2</v>
      </c>
      <c r="AD91" s="70">
        <v>3.5220917647703527E-2</v>
      </c>
      <c r="AE91" s="70">
        <v>3.8121117585645709E-2</v>
      </c>
      <c r="AF91" s="62">
        <v>4.0803748217552178E-2</v>
      </c>
      <c r="AG91" s="72" t="s">
        <v>21</v>
      </c>
      <c r="AH91" s="70">
        <v>3.6752150148732306E-3</v>
      </c>
      <c r="AI91" s="70">
        <v>7.1597234477035337E-3</v>
      </c>
      <c r="AJ91" s="70">
        <v>9.2936821856457099E-3</v>
      </c>
      <c r="AK91" s="62">
        <v>1.0753703817552172E-2</v>
      </c>
    </row>
    <row r="92" spans="2:37" x14ac:dyDescent="0.35">
      <c r="B92" s="56" t="s">
        <v>77</v>
      </c>
      <c r="C92" s="66" t="s">
        <v>63</v>
      </c>
      <c r="D92" s="66" t="s">
        <v>69</v>
      </c>
      <c r="E92" s="66" t="s">
        <v>21</v>
      </c>
      <c r="F92" s="73">
        <f t="shared" si="4"/>
        <v>2.6648653407861392E-2</v>
      </c>
      <c r="G92" s="75">
        <f t="shared" si="5"/>
        <v>3.3926154254314986E-2</v>
      </c>
      <c r="H92" s="75">
        <f t="shared" si="6"/>
        <v>3.8727584441627536E-2</v>
      </c>
      <c r="I92" s="75">
        <f t="shared" si="7"/>
        <v>4.1592438239296335E-2</v>
      </c>
      <c r="J92" s="63">
        <f t="shared" si="8"/>
        <v>4.4260169358975032E-2</v>
      </c>
      <c r="K92" s="73" t="str">
        <f t="shared" si="9"/>
        <v/>
      </c>
      <c r="L92" s="75">
        <f t="shared" si="10"/>
        <v>6.2719356543149947E-3</v>
      </c>
      <c r="M92" s="75">
        <f t="shared" si="11"/>
        <v>1.0590700541627538E-2</v>
      </c>
      <c r="N92" s="75">
        <f t="shared" si="12"/>
        <v>1.2691220039296333E-2</v>
      </c>
      <c r="O92" s="63">
        <f t="shared" si="13"/>
        <v>1.4145207858975042E-2</v>
      </c>
      <c r="P92" s="56" t="s">
        <v>21</v>
      </c>
      <c r="Q92" s="66" t="s">
        <v>21</v>
      </c>
      <c r="R92" s="95" t="s">
        <v>21</v>
      </c>
      <c r="S92" s="75" t="s">
        <v>21</v>
      </c>
      <c r="T92" s="63" t="str">
        <f t="shared" si="14"/>
        <v/>
      </c>
      <c r="V92" s="115">
        <v>1.1282631700000001</v>
      </c>
      <c r="W92" s="107">
        <v>2.9246702299999998</v>
      </c>
      <c r="X92" s="107">
        <v>4.5542556799999998</v>
      </c>
      <c r="Y92" s="107">
        <v>5.9987636699999998</v>
      </c>
      <c r="Z92" s="116">
        <v>7.8732176300000001</v>
      </c>
      <c r="AB92" s="73">
        <v>2.6648653407861392E-2</v>
      </c>
      <c r="AC92" s="75">
        <v>3.3926154254314986E-2</v>
      </c>
      <c r="AD92" s="75">
        <v>3.8727584441627536E-2</v>
      </c>
      <c r="AE92" s="75">
        <v>4.1592438239296335E-2</v>
      </c>
      <c r="AF92" s="63">
        <v>4.4260169358975032E-2</v>
      </c>
      <c r="AG92" s="73" t="s">
        <v>21</v>
      </c>
      <c r="AH92" s="75">
        <v>6.2719356543149947E-3</v>
      </c>
      <c r="AI92" s="75">
        <v>1.0590700541627538E-2</v>
      </c>
      <c r="AJ92" s="75">
        <v>1.2691220039296333E-2</v>
      </c>
      <c r="AK92" s="63">
        <v>1.4145207858975042E-2</v>
      </c>
    </row>
    <row r="93" spans="2:37" x14ac:dyDescent="0.35">
      <c r="B93" s="54" t="s">
        <v>78</v>
      </c>
      <c r="C93" s="52" t="s">
        <v>65</v>
      </c>
      <c r="D93" s="52" t="s">
        <v>69</v>
      </c>
      <c r="E93" s="52" t="s">
        <v>79</v>
      </c>
      <c r="F93" s="72">
        <f t="shared" si="4"/>
        <v>2.4925345828935509E-2</v>
      </c>
      <c r="G93" s="59">
        <f t="shared" si="5"/>
        <v>3.2331728234015721E-2</v>
      </c>
      <c r="H93" s="59">
        <f t="shared" si="6"/>
        <v>3.7893518784405875E-2</v>
      </c>
      <c r="I93" s="59">
        <f t="shared" si="7"/>
        <v>4.1401340858864016E-2</v>
      </c>
      <c r="J93" s="62">
        <f t="shared" si="8"/>
        <v>4.4982174440491872E-2</v>
      </c>
      <c r="K93" s="72" t="str">
        <f t="shared" si="9"/>
        <v/>
      </c>
      <c r="L93" s="59">
        <f t="shared" si="10"/>
        <v>4.7000834340157147E-3</v>
      </c>
      <c r="M93" s="59">
        <f t="shared" si="11"/>
        <v>9.739868684405871E-3</v>
      </c>
      <c r="N93" s="59">
        <f t="shared" si="12"/>
        <v>1.2455437958864009E-2</v>
      </c>
      <c r="O93" s="62">
        <f t="shared" si="13"/>
        <v>1.480003144049187E-2</v>
      </c>
      <c r="P93" s="54" t="s">
        <v>21</v>
      </c>
      <c r="Q93" s="52" t="s">
        <v>21</v>
      </c>
      <c r="R93" s="93" t="s">
        <v>21</v>
      </c>
      <c r="S93" s="70" t="s">
        <v>21</v>
      </c>
      <c r="T93" s="62" t="str">
        <f t="shared" si="14"/>
        <v/>
      </c>
      <c r="V93" s="117">
        <v>1.12970653</v>
      </c>
      <c r="W93" s="60">
        <v>2.9281853600000001</v>
      </c>
      <c r="X93" s="60">
        <v>4.5472105000000003</v>
      </c>
      <c r="Y93" s="60">
        <v>5.9608997499999994</v>
      </c>
      <c r="Z93" s="118">
        <v>7.7505013199999997</v>
      </c>
      <c r="AB93" s="72">
        <v>2.4925345828935509E-2</v>
      </c>
      <c r="AC93" s="70">
        <v>3.2331728234015721E-2</v>
      </c>
      <c r="AD93" s="70">
        <v>3.7893518784405875E-2</v>
      </c>
      <c r="AE93" s="70">
        <v>4.1401340858864016E-2</v>
      </c>
      <c r="AF93" s="62">
        <v>4.4982174440491872E-2</v>
      </c>
      <c r="AG93" s="72" t="s">
        <v>21</v>
      </c>
      <c r="AH93" s="70">
        <v>4.7000834340157147E-3</v>
      </c>
      <c r="AI93" s="70">
        <v>9.739868684405871E-3</v>
      </c>
      <c r="AJ93" s="70">
        <v>1.2455437958864009E-2</v>
      </c>
      <c r="AK93" s="62">
        <v>1.480003144049187E-2</v>
      </c>
    </row>
    <row r="94" spans="2:37" x14ac:dyDescent="0.35">
      <c r="B94" s="56" t="s">
        <v>78</v>
      </c>
      <c r="C94" s="66" t="s">
        <v>66</v>
      </c>
      <c r="D94" s="66" t="s">
        <v>69</v>
      </c>
      <c r="E94" s="66" t="s">
        <v>133</v>
      </c>
      <c r="F94" s="73">
        <f t="shared" si="4"/>
        <v>2.6150518128693089E-2</v>
      </c>
      <c r="G94" s="75">
        <f t="shared" si="5"/>
        <v>3.5844029737075955E-2</v>
      </c>
      <c r="H94" s="75">
        <f t="shared" si="6"/>
        <v>4.3742448196519804E-2</v>
      </c>
      <c r="I94" s="75">
        <f t="shared" si="7"/>
        <v>4.8621776428429173E-2</v>
      </c>
      <c r="J94" s="63">
        <f t="shared" si="8"/>
        <v>5.2752648838798571E-2</v>
      </c>
      <c r="K94" s="73" t="str">
        <f t="shared" si="9"/>
        <v/>
      </c>
      <c r="L94" s="75">
        <f t="shared" si="10"/>
        <v>8.1252442370759494E-3</v>
      </c>
      <c r="M94" s="75">
        <f t="shared" si="11"/>
        <v>1.5426541896519807E-2</v>
      </c>
      <c r="N94" s="75">
        <f t="shared" si="12"/>
        <v>1.9455996628429166E-2</v>
      </c>
      <c r="O94" s="63">
        <f t="shared" si="13"/>
        <v>2.234602083879857E-2</v>
      </c>
      <c r="P94" s="56" t="s">
        <v>21</v>
      </c>
      <c r="Q94" s="66" t="s">
        <v>21</v>
      </c>
      <c r="R94" s="95" t="s">
        <v>21</v>
      </c>
      <c r="S94" s="75" t="s">
        <v>21</v>
      </c>
      <c r="T94" s="63" t="str">
        <f t="shared" si="14"/>
        <v/>
      </c>
      <c r="V94" s="115">
        <v>1.12904988</v>
      </c>
      <c r="W94" s="107">
        <v>2.9166235499999997</v>
      </c>
      <c r="X94" s="107">
        <v>4.5030008000000006</v>
      </c>
      <c r="Y94" s="107">
        <v>5.8619847000000007</v>
      </c>
      <c r="Z94" s="116">
        <v>7.55066462</v>
      </c>
      <c r="AB94" s="73">
        <v>2.6150518128693089E-2</v>
      </c>
      <c r="AC94" s="75">
        <v>3.5844029737075955E-2</v>
      </c>
      <c r="AD94" s="75">
        <v>4.3742448196519804E-2</v>
      </c>
      <c r="AE94" s="75">
        <v>4.8621776428429173E-2</v>
      </c>
      <c r="AF94" s="63">
        <v>5.2752648838798571E-2</v>
      </c>
      <c r="AG94" s="73" t="s">
        <v>21</v>
      </c>
      <c r="AH94" s="75">
        <v>8.1252442370759494E-3</v>
      </c>
      <c r="AI94" s="75">
        <v>1.5426541896519807E-2</v>
      </c>
      <c r="AJ94" s="75">
        <v>1.9455996628429166E-2</v>
      </c>
      <c r="AK94" s="63">
        <v>2.234602083879857E-2</v>
      </c>
    </row>
    <row r="95" spans="2:37" x14ac:dyDescent="0.35">
      <c r="B95" s="54" t="s">
        <v>80</v>
      </c>
      <c r="C95" s="52" t="s">
        <v>61</v>
      </c>
      <c r="D95" s="52" t="s">
        <v>69</v>
      </c>
      <c r="E95" s="52" t="s">
        <v>21</v>
      </c>
      <c r="F95" s="72">
        <f t="shared" si="4"/>
        <v>2.4575992676925881E-2</v>
      </c>
      <c r="G95" s="59">
        <f t="shared" si="5"/>
        <v>3.1151875257169673E-2</v>
      </c>
      <c r="H95" s="70">
        <f t="shared" si="6"/>
        <v>3.5937380757633558E-2</v>
      </c>
      <c r="I95" s="70">
        <f t="shared" si="7"/>
        <v>3.8767603549732556E-2</v>
      </c>
      <c r="J95" s="62">
        <f t="shared" si="8"/>
        <v>4.1844765219875603E-2</v>
      </c>
      <c r="K95" s="72" t="str">
        <f t="shared" si="9"/>
        <v/>
      </c>
      <c r="L95" s="59">
        <f t="shared" si="10"/>
        <v>3.560615257169671E-3</v>
      </c>
      <c r="M95" s="70">
        <f t="shared" si="11"/>
        <v>7.8535650576335575E-3</v>
      </c>
      <c r="N95" s="70">
        <f t="shared" si="12"/>
        <v>9.9201569497325542E-3</v>
      </c>
      <c r="O95" s="62">
        <f t="shared" si="13"/>
        <v>1.1765819219875602E-2</v>
      </c>
      <c r="P95" s="54" t="s">
        <v>21</v>
      </c>
      <c r="Q95" s="52" t="s">
        <v>21</v>
      </c>
      <c r="R95" s="93" t="s">
        <v>21</v>
      </c>
      <c r="S95" s="70" t="s">
        <v>21</v>
      </c>
      <c r="T95" s="62" t="str">
        <f t="shared" si="14"/>
        <v/>
      </c>
      <c r="V95" s="117">
        <v>1.13037415</v>
      </c>
      <c r="W95" s="60">
        <v>2.9369933800000001</v>
      </c>
      <c r="X95" s="60">
        <v>4.5791448099999998</v>
      </c>
      <c r="Y95" s="60">
        <v>6.0351149799999995</v>
      </c>
      <c r="Z95" s="118">
        <v>7.9150761099999993</v>
      </c>
      <c r="AB95" s="72">
        <v>2.4575992676925881E-2</v>
      </c>
      <c r="AC95" s="70">
        <v>3.1151875257169673E-2</v>
      </c>
      <c r="AD95" s="70">
        <v>3.5937380757633558E-2</v>
      </c>
      <c r="AE95" s="70">
        <v>3.8767603549732556E-2</v>
      </c>
      <c r="AF95" s="62">
        <v>4.1844765219875603E-2</v>
      </c>
      <c r="AG95" s="72" t="s">
        <v>21</v>
      </c>
      <c r="AH95" s="70">
        <v>3.560615257169671E-3</v>
      </c>
      <c r="AI95" s="70">
        <v>7.8535650576335575E-3</v>
      </c>
      <c r="AJ95" s="70">
        <v>9.9201569497325542E-3</v>
      </c>
      <c r="AK95" s="62">
        <v>1.1765819219875602E-2</v>
      </c>
    </row>
    <row r="96" spans="2:37" x14ac:dyDescent="0.35">
      <c r="B96" s="54" t="s">
        <v>80</v>
      </c>
      <c r="C96" s="52" t="s">
        <v>63</v>
      </c>
      <c r="D96" s="52" t="s">
        <v>69</v>
      </c>
      <c r="E96" s="52" t="s">
        <v>36</v>
      </c>
      <c r="F96" s="72">
        <f t="shared" si="4"/>
        <v>2.6409292522864294E-2</v>
      </c>
      <c r="G96" s="59">
        <f t="shared" si="5"/>
        <v>3.3826486579406137E-2</v>
      </c>
      <c r="H96" s="70">
        <f t="shared" si="6"/>
        <v>3.8735789807643195E-2</v>
      </c>
      <c r="I96" s="70">
        <f t="shared" si="7"/>
        <v>4.2288592316810043E-2</v>
      </c>
      <c r="J96" s="62">
        <f t="shared" si="8"/>
        <v>4.5644220597757967E-2</v>
      </c>
      <c r="K96" s="72" t="str">
        <f t="shared" si="9"/>
        <v/>
      </c>
      <c r="L96" s="59">
        <f t="shared" si="10"/>
        <v>6.1746436794061377E-3</v>
      </c>
      <c r="M96" s="70">
        <f t="shared" si="11"/>
        <v>1.0598158407643204E-2</v>
      </c>
      <c r="N96" s="70">
        <f t="shared" si="12"/>
        <v>1.3363882316810039E-2</v>
      </c>
      <c r="O96" s="62">
        <f t="shared" si="13"/>
        <v>1.5488632297757977E-2</v>
      </c>
      <c r="P96" s="54" t="s">
        <v>21</v>
      </c>
      <c r="Q96" s="52" t="s">
        <v>21</v>
      </c>
      <c r="R96" s="93" t="s">
        <v>21</v>
      </c>
      <c r="S96" s="70" t="s">
        <v>21</v>
      </c>
      <c r="T96" s="62" t="str">
        <f t="shared" si="14"/>
        <v/>
      </c>
      <c r="V96" s="115">
        <v>1.1286207499999998</v>
      </c>
      <c r="W96" s="107">
        <v>2.9255258299999998</v>
      </c>
      <c r="X96" s="107">
        <v>4.5559856599999993</v>
      </c>
      <c r="Y96" s="107">
        <v>5.9927548599999998</v>
      </c>
      <c r="Z96" s="116">
        <v>7.8370738800000002</v>
      </c>
      <c r="AB96" s="72">
        <v>2.6409292522864294E-2</v>
      </c>
      <c r="AC96" s="70">
        <v>3.3826486579406137E-2</v>
      </c>
      <c r="AD96" s="70">
        <v>3.8735789807643195E-2</v>
      </c>
      <c r="AE96" s="70">
        <v>4.2288592316810043E-2</v>
      </c>
      <c r="AF96" s="62">
        <v>4.5644220597757967E-2</v>
      </c>
      <c r="AG96" s="72" t="s">
        <v>21</v>
      </c>
      <c r="AH96" s="70">
        <v>6.1746436794061377E-3</v>
      </c>
      <c r="AI96" s="70">
        <v>1.0598158407643204E-2</v>
      </c>
      <c r="AJ96" s="70">
        <v>1.3363882316810039E-2</v>
      </c>
      <c r="AK96" s="62">
        <v>1.5488632297757977E-2</v>
      </c>
    </row>
    <row r="97" spans="2:37" x14ac:dyDescent="0.35">
      <c r="B97" s="55" t="s">
        <v>82</v>
      </c>
      <c r="C97" s="65" t="s">
        <v>65</v>
      </c>
      <c r="D97" s="65" t="s">
        <v>69</v>
      </c>
      <c r="E97" s="65" t="s">
        <v>34</v>
      </c>
      <c r="F97" s="74">
        <f t="shared" si="4"/>
        <v>2.5275641371721377E-2</v>
      </c>
      <c r="G97" s="79">
        <f t="shared" si="5"/>
        <v>3.2841548988905678E-2</v>
      </c>
      <c r="H97" s="79">
        <f t="shared" si="6"/>
        <v>3.8716108054284895E-2</v>
      </c>
      <c r="I97" s="79">
        <f t="shared" si="7"/>
        <v>4.2297872910826664E-2</v>
      </c>
      <c r="J97" s="61">
        <f t="shared" si="8"/>
        <v>4.5841488884296025E-2</v>
      </c>
      <c r="K97" s="74" t="str">
        <f t="shared" si="9"/>
        <v/>
      </c>
      <c r="L97" s="79">
        <f t="shared" si="10"/>
        <v>5.1911357889056825E-3</v>
      </c>
      <c r="M97" s="79">
        <f t="shared" si="11"/>
        <v>1.0530568754284902E-2</v>
      </c>
      <c r="N97" s="79">
        <f t="shared" si="12"/>
        <v>1.3315055310826666E-2</v>
      </c>
      <c r="O97" s="61">
        <f t="shared" si="13"/>
        <v>1.5627306884296022E-2</v>
      </c>
      <c r="P97" s="55" t="s">
        <v>21</v>
      </c>
      <c r="Q97" s="65" t="s">
        <v>21</v>
      </c>
      <c r="R97" s="99" t="s">
        <v>21</v>
      </c>
      <c r="S97" s="79" t="s">
        <v>21</v>
      </c>
      <c r="T97" s="61" t="str">
        <f t="shared" si="14"/>
        <v/>
      </c>
      <c r="V97" s="113">
        <v>1.1290437</v>
      </c>
      <c r="W97" s="71">
        <v>2.9237268699999999</v>
      </c>
      <c r="X97" s="71">
        <v>4.5331307399999998</v>
      </c>
      <c r="Y97" s="71">
        <v>5.9323717400000007</v>
      </c>
      <c r="Z97" s="114">
        <v>7.6975311399999997</v>
      </c>
      <c r="AB97" s="74">
        <v>2.5275641371721377E-2</v>
      </c>
      <c r="AC97" s="79">
        <v>3.2841548988905678E-2</v>
      </c>
      <c r="AD97" s="79">
        <v>3.8716108054284895E-2</v>
      </c>
      <c r="AE97" s="79">
        <v>4.2297872910826664E-2</v>
      </c>
      <c r="AF97" s="61">
        <v>4.5841488884296025E-2</v>
      </c>
      <c r="AG97" s="74" t="s">
        <v>21</v>
      </c>
      <c r="AH97" s="79">
        <v>5.1911357889056825E-3</v>
      </c>
      <c r="AI97" s="79">
        <v>1.0530568754284902E-2</v>
      </c>
      <c r="AJ97" s="79">
        <v>1.3315055310826666E-2</v>
      </c>
      <c r="AK97" s="61">
        <v>1.5627306884296022E-2</v>
      </c>
    </row>
    <row r="98" spans="2:37" x14ac:dyDescent="0.35">
      <c r="B98" s="56" t="s">
        <v>82</v>
      </c>
      <c r="C98" s="66" t="s">
        <v>66</v>
      </c>
      <c r="D98" s="66" t="s">
        <v>69</v>
      </c>
      <c r="E98" s="66" t="s">
        <v>21</v>
      </c>
      <c r="F98" s="73">
        <f t="shared" si="4"/>
        <v>2.6236543703278478E-2</v>
      </c>
      <c r="G98" s="75">
        <f t="shared" si="5"/>
        <v>3.6214115264921909E-2</v>
      </c>
      <c r="H98" s="75">
        <f t="shared" si="6"/>
        <v>4.4129956451767857E-2</v>
      </c>
      <c r="I98" s="75">
        <f t="shared" si="7"/>
        <v>4.909998657888108E-2</v>
      </c>
      <c r="J98" s="63">
        <f t="shared" si="8"/>
        <v>5.3230780244205994E-2</v>
      </c>
      <c r="K98" s="73" t="str">
        <f t="shared" si="9"/>
        <v/>
      </c>
      <c r="L98" s="75">
        <f t="shared" si="10"/>
        <v>8.4852259649219157E-3</v>
      </c>
      <c r="M98" s="75">
        <f t="shared" si="11"/>
        <v>1.5800379351767858E-2</v>
      </c>
      <c r="N98" s="75">
        <f t="shared" si="12"/>
        <v>1.9915062278881075E-2</v>
      </c>
      <c r="O98" s="63">
        <f t="shared" si="13"/>
        <v>2.2805647244206001E-2</v>
      </c>
      <c r="P98" s="56" t="s">
        <v>21</v>
      </c>
      <c r="Q98" s="66" t="s">
        <v>21</v>
      </c>
      <c r="R98" s="95" t="s">
        <v>21</v>
      </c>
      <c r="S98" s="75" t="s">
        <v>21</v>
      </c>
      <c r="T98" s="63" t="str">
        <f t="shared" si="14"/>
        <v/>
      </c>
      <c r="V98" s="113">
        <v>1.1288918400000001</v>
      </c>
      <c r="W98" s="71">
        <v>2.9145366400000001</v>
      </c>
      <c r="X98" s="71">
        <v>4.4971578999999995</v>
      </c>
      <c r="Y98" s="71">
        <v>5.8504957099999997</v>
      </c>
      <c r="Z98" s="114">
        <v>7.5290984399999994</v>
      </c>
      <c r="AB98" s="73">
        <v>2.6236543703278478E-2</v>
      </c>
      <c r="AC98" s="75">
        <v>3.6214115264921909E-2</v>
      </c>
      <c r="AD98" s="75">
        <v>4.4129956451767857E-2</v>
      </c>
      <c r="AE98" s="75">
        <v>4.909998657888108E-2</v>
      </c>
      <c r="AF98" s="63">
        <v>5.3230780244205994E-2</v>
      </c>
      <c r="AG98" s="73" t="s">
        <v>21</v>
      </c>
      <c r="AH98" s="75">
        <v>8.4852259649219157E-3</v>
      </c>
      <c r="AI98" s="75">
        <v>1.5800379351767858E-2</v>
      </c>
      <c r="AJ98" s="75">
        <v>1.9915062278881075E-2</v>
      </c>
      <c r="AK98" s="63">
        <v>2.2805647244206001E-2</v>
      </c>
    </row>
    <row r="99" spans="2:37" x14ac:dyDescent="0.35">
      <c r="B99" s="78" t="s">
        <v>458</v>
      </c>
      <c r="C99" s="77"/>
      <c r="D99" s="77"/>
      <c r="E99" s="77"/>
      <c r="F99" s="77" t="str">
        <f t="shared" si="4"/>
        <v/>
      </c>
      <c r="G99" s="77" t="str">
        <f t="shared" si="5"/>
        <v/>
      </c>
      <c r="H99" s="77" t="str">
        <f t="shared" si="6"/>
        <v/>
      </c>
      <c r="I99" s="77" t="str">
        <f t="shared" si="7"/>
        <v/>
      </c>
      <c r="J99" s="77" t="str">
        <f t="shared" si="8"/>
        <v/>
      </c>
      <c r="K99" s="77" t="str">
        <f t="shared" si="9"/>
        <v/>
      </c>
      <c r="L99" s="77" t="str">
        <f t="shared" si="10"/>
        <v/>
      </c>
      <c r="M99" s="77" t="str">
        <f t="shared" si="11"/>
        <v/>
      </c>
      <c r="N99" s="77" t="str">
        <f t="shared" si="12"/>
        <v/>
      </c>
      <c r="O99" s="76" t="str">
        <f t="shared" si="13"/>
        <v/>
      </c>
      <c r="P99" s="78"/>
      <c r="Q99" s="77"/>
      <c r="R99" s="94"/>
      <c r="S99" s="77"/>
      <c r="T99" s="76" t="str">
        <f t="shared" si="14"/>
        <v/>
      </c>
      <c r="V99" s="111"/>
      <c r="W99" s="106"/>
      <c r="X99" s="106"/>
      <c r="Y99" s="106"/>
      <c r="Z99" s="112"/>
      <c r="AB99" s="77"/>
      <c r="AC99" s="77"/>
      <c r="AD99" s="77"/>
      <c r="AE99" s="77"/>
      <c r="AF99" s="77"/>
      <c r="AG99" s="77"/>
      <c r="AH99" s="77"/>
      <c r="AI99" s="77"/>
      <c r="AJ99" s="77"/>
      <c r="AK99" s="76"/>
    </row>
    <row r="100" spans="2:37" x14ac:dyDescent="0.35">
      <c r="B100" s="54" t="s">
        <v>84</v>
      </c>
      <c r="C100" s="52" t="s">
        <v>85</v>
      </c>
      <c r="D100" s="52" t="s">
        <v>20</v>
      </c>
      <c r="E100" s="52" t="s">
        <v>459</v>
      </c>
      <c r="F100" s="72">
        <f t="shared" si="4"/>
        <v>2.6081195119925342E-2</v>
      </c>
      <c r="G100" s="59">
        <f t="shared" si="5"/>
        <v>3.2708826384578206E-2</v>
      </c>
      <c r="H100" s="70">
        <f t="shared" si="6"/>
        <v>3.7187786715147067E-2</v>
      </c>
      <c r="I100" s="70">
        <f t="shared" si="7"/>
        <v>4.0197491803512182E-2</v>
      </c>
      <c r="J100" s="62">
        <f t="shared" si="8"/>
        <v>4.3141342290805629E-2</v>
      </c>
      <c r="K100" s="72" t="str">
        <f t="shared" si="9"/>
        <v/>
      </c>
      <c r="L100" s="59">
        <f t="shared" si="10"/>
        <v>5.0445059845782118E-3</v>
      </c>
      <c r="M100" s="70">
        <f t="shared" si="11"/>
        <v>9.0401026151470682E-3</v>
      </c>
      <c r="N100" s="70">
        <f t="shared" si="12"/>
        <v>1.127657320351219E-2</v>
      </c>
      <c r="O100" s="62">
        <f t="shared" si="13"/>
        <v>1.3001959190805634E-2</v>
      </c>
      <c r="P100" s="54" t="s">
        <v>21</v>
      </c>
      <c r="Q100" s="52" t="s">
        <v>21</v>
      </c>
      <c r="R100" s="93" t="s">
        <v>21</v>
      </c>
      <c r="S100" s="70" t="s">
        <v>21</v>
      </c>
      <c r="T100" s="62" t="str">
        <f t="shared" si="14"/>
        <v/>
      </c>
      <c r="V100" s="113">
        <v>1.12658171</v>
      </c>
      <c r="W100" s="71">
        <v>2.9168992399999998</v>
      </c>
      <c r="X100" s="71">
        <v>4.53718792</v>
      </c>
      <c r="Y100" s="71">
        <v>5.96181524</v>
      </c>
      <c r="Z100" s="114">
        <v>7.7891278999999995</v>
      </c>
      <c r="AB100" s="72">
        <v>2.6081195119925342E-2</v>
      </c>
      <c r="AC100" s="70">
        <v>3.2708826384578206E-2</v>
      </c>
      <c r="AD100" s="70">
        <v>3.7187786715147067E-2</v>
      </c>
      <c r="AE100" s="70">
        <v>4.0197491803512182E-2</v>
      </c>
      <c r="AF100" s="62">
        <v>4.3141342290805629E-2</v>
      </c>
      <c r="AG100" s="72" t="s">
        <v>21</v>
      </c>
      <c r="AH100" s="70">
        <v>5.0445059845782118E-3</v>
      </c>
      <c r="AI100" s="70">
        <v>9.0401026151470682E-3</v>
      </c>
      <c r="AJ100" s="70">
        <v>1.127657320351219E-2</v>
      </c>
      <c r="AK100" s="62">
        <v>1.3001959190805634E-2</v>
      </c>
    </row>
    <row r="101" spans="2:37" x14ac:dyDescent="0.35">
      <c r="B101" s="54" t="s">
        <v>86</v>
      </c>
      <c r="C101" s="52" t="s">
        <v>85</v>
      </c>
      <c r="D101" s="52" t="s">
        <v>20</v>
      </c>
      <c r="E101" s="52" t="s">
        <v>459</v>
      </c>
      <c r="F101" s="72">
        <f t="shared" si="4"/>
        <v>2.6130941327769882E-2</v>
      </c>
      <c r="G101" s="59">
        <f t="shared" si="5"/>
        <v>3.2869065819708207E-2</v>
      </c>
      <c r="H101" s="70">
        <f t="shared" si="6"/>
        <v>3.7295799978498266E-2</v>
      </c>
      <c r="I101" s="70">
        <f t="shared" si="7"/>
        <v>4.0311451964092741E-2</v>
      </c>
      <c r="J101" s="62">
        <f t="shared" si="8"/>
        <v>4.334229055815627E-2</v>
      </c>
      <c r="K101" s="72" t="str">
        <f t="shared" si="9"/>
        <v/>
      </c>
      <c r="L101" s="59">
        <f t="shared" si="10"/>
        <v>5.1990678197082031E-3</v>
      </c>
      <c r="M101" s="70">
        <f t="shared" si="11"/>
        <v>9.1442569784982667E-3</v>
      </c>
      <c r="N101" s="70">
        <f t="shared" si="12"/>
        <v>1.1386497164092735E-2</v>
      </c>
      <c r="O101" s="62">
        <f t="shared" si="13"/>
        <v>1.3195905258156268E-2</v>
      </c>
      <c r="P101" s="54" t="s">
        <v>21</v>
      </c>
      <c r="Q101" s="52" t="s">
        <v>21</v>
      </c>
      <c r="R101" s="93" t="s">
        <v>21</v>
      </c>
      <c r="S101" s="70" t="s">
        <v>21</v>
      </c>
      <c r="T101" s="62" t="str">
        <f t="shared" si="14"/>
        <v/>
      </c>
      <c r="V101" s="113">
        <v>1.1264565200000001</v>
      </c>
      <c r="W101" s="71">
        <v>2.91646165</v>
      </c>
      <c r="X101" s="71">
        <v>4.5354070399999999</v>
      </c>
      <c r="Y101" s="71">
        <v>5.9573998399999999</v>
      </c>
      <c r="Z101" s="114">
        <v>7.7795764899999993</v>
      </c>
      <c r="AB101" s="72">
        <v>2.6130941327769882E-2</v>
      </c>
      <c r="AC101" s="70">
        <v>3.2869065819708207E-2</v>
      </c>
      <c r="AD101" s="70">
        <v>3.7295799978498266E-2</v>
      </c>
      <c r="AE101" s="70">
        <v>4.0311451964092741E-2</v>
      </c>
      <c r="AF101" s="62">
        <v>4.334229055815627E-2</v>
      </c>
      <c r="AG101" s="72" t="s">
        <v>21</v>
      </c>
      <c r="AH101" s="70">
        <v>5.1990678197082031E-3</v>
      </c>
      <c r="AI101" s="70">
        <v>9.1442569784982667E-3</v>
      </c>
      <c r="AJ101" s="70">
        <v>1.1386497164092735E-2</v>
      </c>
      <c r="AK101" s="62">
        <v>1.3195905258156268E-2</v>
      </c>
    </row>
    <row r="102" spans="2:37" x14ac:dyDescent="0.35">
      <c r="B102" s="54" t="s">
        <v>87</v>
      </c>
      <c r="C102" s="52" t="s">
        <v>85</v>
      </c>
      <c r="D102" s="52" t="s">
        <v>20</v>
      </c>
      <c r="E102" s="52" t="s">
        <v>88</v>
      </c>
      <c r="F102" s="72">
        <f t="shared" si="4"/>
        <v>2.6013075241105202E-2</v>
      </c>
      <c r="G102" s="59">
        <f t="shared" si="5"/>
        <v>3.271978158839435E-2</v>
      </c>
      <c r="H102" s="70">
        <f t="shared" si="6"/>
        <v>3.745052468069044E-2</v>
      </c>
      <c r="I102" s="70">
        <f t="shared" si="7"/>
        <v>4.0196882105749801E-2</v>
      </c>
      <c r="J102" s="62">
        <f t="shared" si="8"/>
        <v>4.3190747281945691E-2</v>
      </c>
      <c r="K102" s="72" t="str">
        <f t="shared" si="9"/>
        <v/>
      </c>
      <c r="L102" s="59">
        <f t="shared" si="10"/>
        <v>5.0556171883943514E-3</v>
      </c>
      <c r="M102" s="70">
        <f t="shared" si="11"/>
        <v>9.2934078806904442E-3</v>
      </c>
      <c r="N102" s="70">
        <f t="shared" si="12"/>
        <v>1.1276011305749799E-2</v>
      </c>
      <c r="O102" s="62">
        <f t="shared" si="13"/>
        <v>1.3049031181945687E-2</v>
      </c>
      <c r="P102" s="54" t="s">
        <v>21</v>
      </c>
      <c r="Q102" s="52" t="s">
        <v>21</v>
      </c>
      <c r="R102" s="93" t="s">
        <v>21</v>
      </c>
      <c r="S102" s="70" t="s">
        <v>21</v>
      </c>
      <c r="T102" s="62" t="str">
        <f t="shared" si="14"/>
        <v/>
      </c>
      <c r="V102" s="113">
        <v>1.1266928900000002</v>
      </c>
      <c r="W102" s="71">
        <v>2.91682511</v>
      </c>
      <c r="X102" s="71">
        <v>4.5348847800000005</v>
      </c>
      <c r="Y102" s="71">
        <v>5.9613342200000004</v>
      </c>
      <c r="Z102" s="114">
        <v>7.7884904099999996</v>
      </c>
      <c r="AB102" s="72">
        <v>2.6013075241105202E-2</v>
      </c>
      <c r="AC102" s="70">
        <v>3.271978158839435E-2</v>
      </c>
      <c r="AD102" s="70">
        <v>3.745052468069044E-2</v>
      </c>
      <c r="AE102" s="70">
        <v>4.0196882105749801E-2</v>
      </c>
      <c r="AF102" s="62">
        <v>4.3190747281945691E-2</v>
      </c>
      <c r="AG102" s="72" t="s">
        <v>21</v>
      </c>
      <c r="AH102" s="70">
        <v>5.0556171883943514E-3</v>
      </c>
      <c r="AI102" s="70">
        <v>9.2934078806904442E-3</v>
      </c>
      <c r="AJ102" s="70">
        <v>1.1276011305749799E-2</v>
      </c>
      <c r="AK102" s="62">
        <v>1.3049031181945687E-2</v>
      </c>
    </row>
    <row r="103" spans="2:37" x14ac:dyDescent="0.35">
      <c r="B103" s="54" t="s">
        <v>89</v>
      </c>
      <c r="C103" s="52" t="s">
        <v>85</v>
      </c>
      <c r="D103" s="52" t="s">
        <v>20</v>
      </c>
      <c r="E103" s="52" t="s">
        <v>312</v>
      </c>
      <c r="F103" s="72">
        <f t="shared" si="4"/>
        <v>2.4755321744542924E-2</v>
      </c>
      <c r="G103" s="59">
        <f t="shared" si="5"/>
        <v>3.1243134218983712E-2</v>
      </c>
      <c r="H103" s="70">
        <f t="shared" si="6"/>
        <v>3.5314284572892853E-2</v>
      </c>
      <c r="I103" s="70">
        <f t="shared" si="7"/>
        <v>3.8227486266624054E-2</v>
      </c>
      <c r="J103" s="62">
        <f t="shared" si="8"/>
        <v>4.1147696448226315E-2</v>
      </c>
      <c r="K103" s="72" t="str">
        <f t="shared" si="9"/>
        <v/>
      </c>
      <c r="L103" s="59">
        <f t="shared" si="10"/>
        <v>3.6304012189837106E-3</v>
      </c>
      <c r="M103" s="70">
        <f t="shared" si="11"/>
        <v>7.23312727289286E-3</v>
      </c>
      <c r="N103" s="70">
        <f t="shared" si="12"/>
        <v>9.3792869666240522E-3</v>
      </c>
      <c r="O103" s="62">
        <f t="shared" si="13"/>
        <v>1.1072167748226308E-2</v>
      </c>
      <c r="P103" s="54" t="s">
        <v>21</v>
      </c>
      <c r="Q103" s="52" t="s">
        <v>21</v>
      </c>
      <c r="R103" s="93" t="s">
        <v>21</v>
      </c>
      <c r="S103" s="70" t="s">
        <v>21</v>
      </c>
      <c r="T103" s="62" t="str">
        <f t="shared" si="14"/>
        <v/>
      </c>
      <c r="V103" s="113">
        <v>1.1290882199999999</v>
      </c>
      <c r="W103" s="71">
        <v>2.9306587400000002</v>
      </c>
      <c r="X103" s="71">
        <v>4.5735838900000001</v>
      </c>
      <c r="Y103" s="71">
        <v>6.0307807000000002</v>
      </c>
      <c r="Z103" s="114">
        <v>7.916966490000001</v>
      </c>
      <c r="AB103" s="72">
        <v>2.4755321744542924E-2</v>
      </c>
      <c r="AC103" s="70">
        <v>3.1243134218983712E-2</v>
      </c>
      <c r="AD103" s="70">
        <v>3.5314284572892853E-2</v>
      </c>
      <c r="AE103" s="70">
        <v>3.8227486266624054E-2</v>
      </c>
      <c r="AF103" s="62">
        <v>4.1147696448226315E-2</v>
      </c>
      <c r="AG103" s="72" t="s">
        <v>21</v>
      </c>
      <c r="AH103" s="70">
        <v>3.6304012189837106E-3</v>
      </c>
      <c r="AI103" s="70">
        <v>7.23312727289286E-3</v>
      </c>
      <c r="AJ103" s="70">
        <v>9.3792869666240522E-3</v>
      </c>
      <c r="AK103" s="62">
        <v>1.1072167748226308E-2</v>
      </c>
    </row>
    <row r="104" spans="2:37" s="52" customFormat="1" x14ac:dyDescent="0.35">
      <c r="B104" s="54" t="s">
        <v>90</v>
      </c>
      <c r="C104" s="52" t="s">
        <v>85</v>
      </c>
      <c r="D104" s="52" t="s">
        <v>20</v>
      </c>
      <c r="E104" s="52" t="s">
        <v>75</v>
      </c>
      <c r="F104" s="72">
        <f t="shared" ref="F104:F108" si="56">IF(ISNUMBER(AB104),AB104-((C$4-C$3)/V104),"")</f>
        <v>2.604788521164712E-2</v>
      </c>
      <c r="G104" s="59">
        <f t="shared" ref="G104:G108" si="57">IF(ISNUMBER(AC104),AC104-((D$4-D$3)/W104),"")</f>
        <v>3.3023223846037592E-2</v>
      </c>
      <c r="H104" s="70">
        <f t="shared" ref="H104:H108" si="58">IF(ISNUMBER(AD104),AD104-((E$4-E$3)/X104),"")</f>
        <v>3.7647840846314458E-2</v>
      </c>
      <c r="I104" s="70">
        <f t="shared" ref="I104:I108" si="59">IF(ISNUMBER(AE104),AE104-((F$4-F$3)/Y104),"")</f>
        <v>4.0752409948625307E-2</v>
      </c>
      <c r="J104" s="62">
        <f t="shared" ref="J104:J108" si="60">IF(ISNUMBER(AF104),AF104-((G$4-G$3)/Z104),"")</f>
        <v>4.3602328720110689E-2</v>
      </c>
      <c r="K104" s="72" t="str">
        <f t="shared" ref="K104:K108" si="61">IF(ISNUMBER(AG104),IF(AG104-((C$4-C$3)/V104)&lt;0,"",AG104-((C$4-C$3)/V104)),"")</f>
        <v/>
      </c>
      <c r="L104" s="59">
        <f t="shared" ref="L104:L108" si="62">IF(ISNUMBER(AH104),IF(AH104-((D$4-D$3)/W104)&lt;0,"",AH104-((D$4-D$3)/W104)),"")</f>
        <v>5.3456500460375908E-3</v>
      </c>
      <c r="M104" s="70">
        <f t="shared" ref="M104:M108" si="63">IF(ISNUMBER(AI104),IF(AI104-((E$4-E$3)/X104)&lt;0,"",AI104-((E$4-E$3)/X104)),"")</f>
        <v>9.4818334463144596E-3</v>
      </c>
      <c r="N104" s="70">
        <f t="shared" ref="N104:N108" si="64">IF(ISNUMBER(AJ104),IF(AJ104-((F$4-F$3)/Y104)&lt;0,"",AJ104-((F$4-F$3)/Y104)),"")</f>
        <v>1.1808982448625294E-2</v>
      </c>
      <c r="O104" s="62">
        <f t="shared" ref="O104:O108" si="65">IF(ISNUMBER(AK104),IF(AK104-((G$4-G$3)/Z104)&lt;0,"",AK104-((G$4-G$3)/Z104)),"")</f>
        <v>1.3447095320110684E-2</v>
      </c>
      <c r="P104" s="54" t="s">
        <v>21</v>
      </c>
      <c r="Q104" s="52" t="s">
        <v>21</v>
      </c>
      <c r="R104" s="93" t="s">
        <v>21</v>
      </c>
      <c r="S104" s="70" t="s">
        <v>21</v>
      </c>
      <c r="T104" s="62" t="str">
        <f t="shared" ref="T104:T108" si="66">IF(S104="","",H104-S104)</f>
        <v/>
      </c>
      <c r="V104" s="113">
        <v>1.1266313300000002</v>
      </c>
      <c r="W104" s="71">
        <v>2.91539664</v>
      </c>
      <c r="X104" s="71">
        <v>4.5299647800000002</v>
      </c>
      <c r="Y104" s="71">
        <v>5.9456710599999996</v>
      </c>
      <c r="Z104" s="114">
        <v>7.7592708999999997</v>
      </c>
      <c r="AB104" s="72">
        <v>2.604788521164712E-2</v>
      </c>
      <c r="AC104" s="70">
        <v>3.3023223846037592E-2</v>
      </c>
      <c r="AD104" s="70">
        <v>3.7647840846314458E-2</v>
      </c>
      <c r="AE104" s="70">
        <v>4.0752409948625307E-2</v>
      </c>
      <c r="AF104" s="62">
        <v>4.3602328720110689E-2</v>
      </c>
      <c r="AG104" s="72" t="s">
        <v>21</v>
      </c>
      <c r="AH104" s="70">
        <v>5.3456500460375908E-3</v>
      </c>
      <c r="AI104" s="70">
        <v>9.4818334463144596E-3</v>
      </c>
      <c r="AJ104" s="70">
        <v>1.1808982448625294E-2</v>
      </c>
      <c r="AK104" s="62">
        <v>1.3447095320110684E-2</v>
      </c>
    </row>
    <row r="105" spans="2:37" s="52" customFormat="1" x14ac:dyDescent="0.35">
      <c r="B105" s="54" t="s">
        <v>91</v>
      </c>
      <c r="C105" s="52" t="s">
        <v>85</v>
      </c>
      <c r="D105" s="52" t="s">
        <v>20</v>
      </c>
      <c r="E105" s="52" t="s">
        <v>92</v>
      </c>
      <c r="F105" s="72">
        <f t="shared" si="56"/>
        <v>2.5410941750306119E-2</v>
      </c>
      <c r="G105" s="59">
        <f t="shared" si="57"/>
        <v>3.1999487087470094E-2</v>
      </c>
      <c r="H105" s="70">
        <f t="shared" si="58"/>
        <v>3.6661917268158518E-2</v>
      </c>
      <c r="I105" s="70">
        <f t="shared" si="59"/>
        <v>3.9553842914500079E-2</v>
      </c>
      <c r="J105" s="62">
        <f t="shared" si="60"/>
        <v>4.2515703756406453E-2</v>
      </c>
      <c r="K105" s="72" t="str">
        <f t="shared" si="61"/>
        <v/>
      </c>
      <c r="L105" s="59">
        <f t="shared" si="62"/>
        <v>4.3593497874700998E-3</v>
      </c>
      <c r="M105" s="70">
        <f t="shared" si="63"/>
        <v>8.5328543681585257E-3</v>
      </c>
      <c r="N105" s="70">
        <f t="shared" si="64"/>
        <v>1.0657838314500078E-2</v>
      </c>
      <c r="O105" s="62">
        <f t="shared" si="65"/>
        <v>1.2397986256406465E-2</v>
      </c>
      <c r="P105" s="54" t="s">
        <v>21</v>
      </c>
      <c r="Q105" s="52" t="s">
        <v>21</v>
      </c>
      <c r="R105" s="93" t="s">
        <v>21</v>
      </c>
      <c r="S105" s="70" t="s">
        <v>21</v>
      </c>
      <c r="T105" s="62" t="str">
        <f t="shared" si="66"/>
        <v/>
      </c>
      <c r="V105" s="113">
        <v>1.1278541499999999</v>
      </c>
      <c r="W105" s="71">
        <v>2.9239736600000001</v>
      </c>
      <c r="X105" s="71">
        <v>4.5510828800000001</v>
      </c>
      <c r="Y105" s="71">
        <v>5.9846914900000003</v>
      </c>
      <c r="Z105" s="114">
        <v>7.8292778499999995</v>
      </c>
      <c r="AB105" s="72">
        <v>2.5410941750306119E-2</v>
      </c>
      <c r="AC105" s="70">
        <v>3.1999487087470094E-2</v>
      </c>
      <c r="AD105" s="70">
        <v>3.6661917268158518E-2</v>
      </c>
      <c r="AE105" s="70">
        <v>3.9553842914500079E-2</v>
      </c>
      <c r="AF105" s="62">
        <v>4.2515703756406453E-2</v>
      </c>
      <c r="AG105" s="72" t="s">
        <v>21</v>
      </c>
      <c r="AH105" s="70">
        <v>4.3593497874700998E-3</v>
      </c>
      <c r="AI105" s="70">
        <v>8.5328543681585257E-3</v>
      </c>
      <c r="AJ105" s="70">
        <v>1.0657838314500078E-2</v>
      </c>
      <c r="AK105" s="62">
        <v>1.2397986256406465E-2</v>
      </c>
    </row>
    <row r="106" spans="2:37" s="52" customFormat="1" x14ac:dyDescent="0.35">
      <c r="B106" s="54" t="s">
        <v>307</v>
      </c>
      <c r="C106" s="52" t="s">
        <v>85</v>
      </c>
      <c r="D106" s="52" t="s">
        <v>20</v>
      </c>
      <c r="E106" s="52" t="s">
        <v>313</v>
      </c>
      <c r="F106" s="72">
        <f t="shared" si="56"/>
        <v>2.378830056054285E-2</v>
      </c>
      <c r="G106" s="59">
        <f t="shared" si="57"/>
        <v>3.0743414660153803E-2</v>
      </c>
      <c r="H106" s="70">
        <f t="shared" si="58"/>
        <v>3.5285206623212287E-2</v>
      </c>
      <c r="I106" s="70">
        <f t="shared" si="59"/>
        <v>3.8186494577249146E-2</v>
      </c>
      <c r="J106" s="62">
        <f t="shared" si="60"/>
        <v>4.1149508166701959E-2</v>
      </c>
      <c r="K106" s="72" t="str">
        <f t="shared" si="61"/>
        <v/>
      </c>
      <c r="L106" s="59">
        <f t="shared" si="62"/>
        <v>3.1458774601538023E-3</v>
      </c>
      <c r="M106" s="70">
        <f t="shared" si="63"/>
        <v>7.2042762232122845E-3</v>
      </c>
      <c r="N106" s="70">
        <f t="shared" si="64"/>
        <v>9.340346377249148E-3</v>
      </c>
      <c r="O106" s="62">
        <f t="shared" si="65"/>
        <v>1.1077243766701958E-2</v>
      </c>
      <c r="P106" s="54" t="s">
        <v>21</v>
      </c>
      <c r="Q106" s="52" t="s">
        <v>21</v>
      </c>
      <c r="R106" s="93" t="s">
        <v>21</v>
      </c>
      <c r="S106" s="70" t="s">
        <v>21</v>
      </c>
      <c r="T106" s="62" t="str">
        <f t="shared" si="66"/>
        <v/>
      </c>
      <c r="V106" s="113">
        <v>1.13100146</v>
      </c>
      <c r="W106" s="71">
        <v>2.9377129100000001</v>
      </c>
      <c r="X106" s="71">
        <v>4.5820298099999999</v>
      </c>
      <c r="Y106" s="71">
        <v>6.0387936699999996</v>
      </c>
      <c r="Z106" s="114">
        <v>7.9205995599999994</v>
      </c>
      <c r="AB106" s="72">
        <v>2.378830056054285E-2</v>
      </c>
      <c r="AC106" s="70">
        <v>3.0743414660153803E-2</v>
      </c>
      <c r="AD106" s="70">
        <v>3.5285206623212287E-2</v>
      </c>
      <c r="AE106" s="70">
        <v>3.8186494577249146E-2</v>
      </c>
      <c r="AF106" s="62">
        <v>4.1149508166701959E-2</v>
      </c>
      <c r="AG106" s="72" t="s">
        <v>21</v>
      </c>
      <c r="AH106" s="70">
        <v>3.1458774601538023E-3</v>
      </c>
      <c r="AI106" s="70">
        <v>7.2042762232122845E-3</v>
      </c>
      <c r="AJ106" s="70">
        <v>9.340346377249148E-3</v>
      </c>
      <c r="AK106" s="62">
        <v>1.1077243766701958E-2</v>
      </c>
    </row>
    <row r="107" spans="2:37" s="52" customFormat="1" x14ac:dyDescent="0.35">
      <c r="B107" s="54" t="s">
        <v>308</v>
      </c>
      <c r="C107" s="52" t="s">
        <v>85</v>
      </c>
      <c r="D107" s="52" t="s">
        <v>20</v>
      </c>
      <c r="E107" s="52" t="s">
        <v>73</v>
      </c>
      <c r="F107" s="72">
        <f t="shared" si="56"/>
        <v>2.5774474514412712E-2</v>
      </c>
      <c r="G107" s="59">
        <f t="shared" si="57"/>
        <v>3.3767502555533395E-2</v>
      </c>
      <c r="H107" s="70">
        <f t="shared" si="58"/>
        <v>4.0032027842046271E-2</v>
      </c>
      <c r="I107" s="70">
        <f t="shared" si="59"/>
        <v>4.3507875332725432E-2</v>
      </c>
      <c r="J107" s="62">
        <f t="shared" si="60"/>
        <v>4.7317218259850205E-2</v>
      </c>
      <c r="K107" s="72" t="str">
        <f t="shared" si="61"/>
        <v/>
      </c>
      <c r="L107" s="59">
        <f t="shared" si="62"/>
        <v>6.0622329555333962E-3</v>
      </c>
      <c r="M107" s="70">
        <f t="shared" si="63"/>
        <v>1.177150134204628E-2</v>
      </c>
      <c r="N107" s="70">
        <f t="shared" si="64"/>
        <v>1.445069443272543E-2</v>
      </c>
      <c r="O107" s="62">
        <f t="shared" si="65"/>
        <v>1.7025231959850208E-2</v>
      </c>
      <c r="P107" s="54" t="s">
        <v>21</v>
      </c>
      <c r="Q107" s="52" t="s">
        <v>21</v>
      </c>
      <c r="R107" s="93" t="s">
        <v>21</v>
      </c>
      <c r="S107" s="70" t="s">
        <v>21</v>
      </c>
      <c r="T107" s="62" t="str">
        <f t="shared" si="66"/>
        <v/>
      </c>
      <c r="V107" s="113">
        <v>1.12715685</v>
      </c>
      <c r="W107" s="71">
        <v>2.9116477700000001</v>
      </c>
      <c r="X107" s="71">
        <v>4.4999370800000005</v>
      </c>
      <c r="Y107" s="71">
        <v>5.86963305</v>
      </c>
      <c r="Z107" s="114">
        <v>7.5750081499999995</v>
      </c>
      <c r="AB107" s="72">
        <v>2.5774474514412712E-2</v>
      </c>
      <c r="AC107" s="70">
        <v>3.3767502555533395E-2</v>
      </c>
      <c r="AD107" s="70">
        <v>4.0032027842046271E-2</v>
      </c>
      <c r="AE107" s="70">
        <v>4.3507875332725432E-2</v>
      </c>
      <c r="AF107" s="62">
        <v>4.7317218259850205E-2</v>
      </c>
      <c r="AG107" s="72" t="s">
        <v>21</v>
      </c>
      <c r="AH107" s="70">
        <v>6.0622329555333962E-3</v>
      </c>
      <c r="AI107" s="70">
        <v>1.177150134204628E-2</v>
      </c>
      <c r="AJ107" s="70">
        <v>1.445069443272543E-2</v>
      </c>
      <c r="AK107" s="62">
        <v>1.7025231959850208E-2</v>
      </c>
    </row>
    <row r="108" spans="2:37" s="52" customFormat="1" x14ac:dyDescent="0.35">
      <c r="B108" s="54" t="s">
        <v>309</v>
      </c>
      <c r="C108" s="52" t="s">
        <v>85</v>
      </c>
      <c r="D108" s="52" t="s">
        <v>20</v>
      </c>
      <c r="E108" s="52" t="s">
        <v>48</v>
      </c>
      <c r="F108" s="72">
        <f t="shared" si="56"/>
        <v>2.775648844300356E-2</v>
      </c>
      <c r="G108" s="59">
        <f t="shared" si="57"/>
        <v>3.9400462340530386E-2</v>
      </c>
      <c r="H108" s="70">
        <f t="shared" si="58"/>
        <v>4.8160634097594739E-2</v>
      </c>
      <c r="I108" s="70">
        <f t="shared" si="59"/>
        <v>5.409950467285795E-2</v>
      </c>
      <c r="J108" s="62">
        <f t="shared" si="60"/>
        <v>5.8131855087517725E-2</v>
      </c>
      <c r="K108" s="72">
        <f t="shared" si="61"/>
        <v>5.5191944300356666E-4</v>
      </c>
      <c r="L108" s="59">
        <f t="shared" si="62"/>
        <v>1.1453377340530386E-2</v>
      </c>
      <c r="M108" s="70">
        <f t="shared" si="63"/>
        <v>1.9498091097594733E-2</v>
      </c>
      <c r="N108" s="70">
        <f t="shared" si="64"/>
        <v>2.4481950072857951E-2</v>
      </c>
      <c r="O108" s="62">
        <f t="shared" si="65"/>
        <v>2.7295636687517718E-2</v>
      </c>
      <c r="P108" s="54" t="s">
        <v>21</v>
      </c>
      <c r="Q108" s="52" t="s">
        <v>21</v>
      </c>
      <c r="R108" s="93" t="s">
        <v>21</v>
      </c>
      <c r="S108" s="70" t="s">
        <v>21</v>
      </c>
      <c r="T108" s="62" t="str">
        <f t="shared" si="66"/>
        <v/>
      </c>
      <c r="V108" s="113">
        <v>1.1225531800000002</v>
      </c>
      <c r="W108" s="71">
        <v>2.86657662</v>
      </c>
      <c r="X108" s="71">
        <v>4.3613297400000004</v>
      </c>
      <c r="Y108" s="71">
        <v>5.5746988499999999</v>
      </c>
      <c r="Z108" s="114">
        <v>7.0180447600000004</v>
      </c>
      <c r="AB108" s="72">
        <v>2.775648844300356E-2</v>
      </c>
      <c r="AC108" s="70">
        <v>3.9400462340530386E-2</v>
      </c>
      <c r="AD108" s="70">
        <v>4.8160634097594739E-2</v>
      </c>
      <c r="AE108" s="70">
        <v>5.409950467285795E-2</v>
      </c>
      <c r="AF108" s="62">
        <v>5.8131855087517725E-2</v>
      </c>
      <c r="AG108" s="72">
        <v>5.5191944300356666E-4</v>
      </c>
      <c r="AH108" s="70">
        <v>1.1453377340530386E-2</v>
      </c>
      <c r="AI108" s="70">
        <v>1.9498091097594733E-2</v>
      </c>
      <c r="AJ108" s="70">
        <v>2.4481950072857951E-2</v>
      </c>
      <c r="AK108" s="62">
        <v>2.7295636687517718E-2</v>
      </c>
    </row>
    <row r="109" spans="2:37" x14ac:dyDescent="0.35">
      <c r="B109" s="54" t="s">
        <v>310</v>
      </c>
      <c r="C109" s="52" t="s">
        <v>85</v>
      </c>
      <c r="D109" s="52" t="s">
        <v>20</v>
      </c>
      <c r="E109" s="52" t="s">
        <v>159</v>
      </c>
      <c r="F109" s="72">
        <f t="shared" si="4"/>
        <v>2.388731522720753E-2</v>
      </c>
      <c r="G109" s="59">
        <f t="shared" si="5"/>
        <v>3.1108690833055577E-2</v>
      </c>
      <c r="H109" s="70">
        <f t="shared" si="6"/>
        <v>3.577178773051954E-2</v>
      </c>
      <c r="I109" s="70">
        <f t="shared" si="7"/>
        <v>3.9747621043339891E-2</v>
      </c>
      <c r="J109" s="62">
        <f t="shared" si="8"/>
        <v>4.2336569716875445E-2</v>
      </c>
      <c r="K109" s="72" t="str">
        <f t="shared" si="9"/>
        <v/>
      </c>
      <c r="L109" s="59">
        <f t="shared" si="10"/>
        <v>3.5002721330555731E-3</v>
      </c>
      <c r="M109" s="70">
        <f t="shared" si="11"/>
        <v>7.6753249305195354E-3</v>
      </c>
      <c r="N109" s="70">
        <f t="shared" si="12"/>
        <v>1.0845381243339882E-2</v>
      </c>
      <c r="O109" s="62">
        <f t="shared" si="13"/>
        <v>1.2231805716875448E-2</v>
      </c>
      <c r="P109" s="54" t="s">
        <v>314</v>
      </c>
      <c r="Q109" s="52" t="s">
        <v>315</v>
      </c>
      <c r="R109" s="93">
        <v>47788</v>
      </c>
      <c r="S109" s="70">
        <v>3.4230820000000002E-2</v>
      </c>
      <c r="T109" s="62">
        <f t="shared" si="14"/>
        <v>1.5409677305195379E-3</v>
      </c>
      <c r="V109" s="113">
        <v>1.1307848599999999</v>
      </c>
      <c r="W109" s="71">
        <v>2.9347029199999999</v>
      </c>
      <c r="X109" s="71">
        <v>4.5721681099999998</v>
      </c>
      <c r="Y109" s="71">
        <v>6.0045086300000001</v>
      </c>
      <c r="Z109" s="114">
        <v>7.8488775400000002</v>
      </c>
      <c r="AB109" s="72">
        <v>2.388731522720753E-2</v>
      </c>
      <c r="AC109" s="70">
        <v>3.1108690833055577E-2</v>
      </c>
      <c r="AD109" s="70">
        <v>3.577178773051954E-2</v>
      </c>
      <c r="AE109" s="70">
        <v>3.9747621043339891E-2</v>
      </c>
      <c r="AF109" s="62">
        <v>4.2336569716875445E-2</v>
      </c>
      <c r="AG109" s="72" t="s">
        <v>21</v>
      </c>
      <c r="AH109" s="70">
        <v>3.5002721330555731E-3</v>
      </c>
      <c r="AI109" s="70">
        <v>7.6753249305195354E-3</v>
      </c>
      <c r="AJ109" s="70">
        <v>1.0845381243339882E-2</v>
      </c>
      <c r="AK109" s="62">
        <v>1.2231805716875448E-2</v>
      </c>
    </row>
    <row r="110" spans="2:37" x14ac:dyDescent="0.35">
      <c r="B110" s="56" t="s">
        <v>311</v>
      </c>
      <c r="C110" s="52" t="s">
        <v>85</v>
      </c>
      <c r="D110" s="66" t="s">
        <v>20</v>
      </c>
      <c r="E110" s="66" t="s">
        <v>274</v>
      </c>
      <c r="F110" s="73">
        <f t="shared" si="4"/>
        <v>2.48681270468528E-2</v>
      </c>
      <c r="G110" s="75">
        <f t="shared" si="5"/>
        <v>3.2684316709525506E-2</v>
      </c>
      <c r="H110" s="75">
        <f t="shared" si="6"/>
        <v>3.9011410851681826E-2</v>
      </c>
      <c r="I110" s="75">
        <f t="shared" si="7"/>
        <v>4.3416461417063297E-2</v>
      </c>
      <c r="J110" s="63">
        <f t="shared" si="8"/>
        <v>4.7328731629139573E-2</v>
      </c>
      <c r="K110" s="73" t="str">
        <f t="shared" si="9"/>
        <v/>
      </c>
      <c r="L110" s="75">
        <f t="shared" si="10"/>
        <v>5.021286709525505E-3</v>
      </c>
      <c r="M110" s="75">
        <f t="shared" si="11"/>
        <v>1.0794432251681823E-2</v>
      </c>
      <c r="N110" s="75">
        <f t="shared" si="12"/>
        <v>1.4364878317063299E-2</v>
      </c>
      <c r="O110" s="63">
        <f t="shared" si="13"/>
        <v>1.7039969629139583E-2</v>
      </c>
      <c r="P110" s="56" t="s">
        <v>21</v>
      </c>
      <c r="Q110" s="66" t="s">
        <v>21</v>
      </c>
      <c r="R110" s="95" t="s">
        <v>21</v>
      </c>
      <c r="S110" s="75" t="s">
        <v>21</v>
      </c>
      <c r="T110" s="63" t="str">
        <f t="shared" si="14"/>
        <v/>
      </c>
      <c r="V110" s="115">
        <v>1.1288726600000001</v>
      </c>
      <c r="W110" s="107">
        <v>2.92123249</v>
      </c>
      <c r="X110" s="107">
        <v>4.52172412</v>
      </c>
      <c r="Y110" s="107">
        <v>5.8944291</v>
      </c>
      <c r="Z110" s="116">
        <v>7.6004939399999998</v>
      </c>
      <c r="AB110" s="73">
        <v>2.48681270468528E-2</v>
      </c>
      <c r="AC110" s="75">
        <v>3.2684316709525506E-2</v>
      </c>
      <c r="AD110" s="75">
        <v>3.9011410851681826E-2</v>
      </c>
      <c r="AE110" s="75">
        <v>4.3416461417063297E-2</v>
      </c>
      <c r="AF110" s="63">
        <v>4.7328731629139573E-2</v>
      </c>
      <c r="AG110" s="73" t="s">
        <v>21</v>
      </c>
      <c r="AH110" s="75">
        <v>5.021286709525505E-3</v>
      </c>
      <c r="AI110" s="75">
        <v>1.0794432251681823E-2</v>
      </c>
      <c r="AJ110" s="75">
        <v>1.4364878317063299E-2</v>
      </c>
      <c r="AK110" s="63">
        <v>1.7039969629139583E-2</v>
      </c>
    </row>
    <row r="111" spans="2:37" x14ac:dyDescent="0.35">
      <c r="B111" s="52" t="s">
        <v>21</v>
      </c>
      <c r="C111" s="52" t="s">
        <v>21</v>
      </c>
      <c r="D111" s="52"/>
      <c r="E111" s="52" t="s">
        <v>21</v>
      </c>
      <c r="F111" s="22" t="s">
        <v>21</v>
      </c>
      <c r="G111" s="22"/>
      <c r="H111" s="22" t="s">
        <v>21</v>
      </c>
      <c r="I111" s="22"/>
      <c r="J111" s="22" t="s">
        <v>21</v>
      </c>
      <c r="K111" s="22" t="s">
        <v>21</v>
      </c>
      <c r="L111" s="22"/>
      <c r="M111" s="22" t="s">
        <v>21</v>
      </c>
      <c r="N111" s="22"/>
      <c r="O111" s="22" t="s">
        <v>21</v>
      </c>
      <c r="P111" s="52"/>
      <c r="Q111" s="52"/>
      <c r="R111" s="93"/>
      <c r="S111" s="52"/>
      <c r="T111" s="52"/>
      <c r="V111" s="71"/>
      <c r="W111" s="71"/>
      <c r="X111" s="71"/>
      <c r="Y111" s="71"/>
      <c r="Z111" s="71"/>
      <c r="AB111" s="70" t="s">
        <v>21</v>
      </c>
      <c r="AC111" s="70"/>
      <c r="AD111" s="70" t="s">
        <v>21</v>
      </c>
      <c r="AE111" s="70"/>
      <c r="AF111" s="70" t="s">
        <v>21</v>
      </c>
      <c r="AG111" s="70" t="s">
        <v>21</v>
      </c>
      <c r="AH111" s="70"/>
      <c r="AI111" s="70" t="s">
        <v>21</v>
      </c>
      <c r="AJ111" s="70"/>
      <c r="AK111" s="70" t="s">
        <v>21</v>
      </c>
    </row>
    <row r="112" spans="2:37" ht="15.5" x14ac:dyDescent="0.35">
      <c r="B112" s="121" t="s">
        <v>93</v>
      </c>
      <c r="C112" s="52" t="s">
        <v>21</v>
      </c>
      <c r="D112" s="52"/>
      <c r="E112" s="52" t="s">
        <v>21</v>
      </c>
      <c r="F112" s="22" t="s">
        <v>21</v>
      </c>
      <c r="G112" s="22"/>
      <c r="H112" s="22" t="s">
        <v>21</v>
      </c>
      <c r="I112" s="22"/>
      <c r="J112" s="22" t="s">
        <v>21</v>
      </c>
      <c r="K112" s="22" t="s">
        <v>21</v>
      </c>
      <c r="L112" s="22"/>
      <c r="M112" s="22" t="s">
        <v>21</v>
      </c>
      <c r="N112" s="22"/>
      <c r="O112" s="22" t="s">
        <v>21</v>
      </c>
      <c r="P112" s="52"/>
      <c r="Q112" s="52"/>
      <c r="R112" s="93"/>
      <c r="S112" s="52"/>
      <c r="T112" s="52"/>
      <c r="V112" s="71"/>
      <c r="W112" s="71"/>
      <c r="X112" s="71"/>
      <c r="Y112" s="71"/>
      <c r="Z112" s="71"/>
      <c r="AB112" s="70" t="s">
        <v>21</v>
      </c>
      <c r="AC112" s="70"/>
      <c r="AD112" s="70" t="s">
        <v>21</v>
      </c>
      <c r="AE112" s="70"/>
      <c r="AF112" s="70" t="s">
        <v>21</v>
      </c>
      <c r="AG112" s="70" t="s">
        <v>21</v>
      </c>
      <c r="AH112" s="70"/>
      <c r="AI112" s="70" t="s">
        <v>21</v>
      </c>
      <c r="AJ112" s="70"/>
      <c r="AK112" s="70" t="s">
        <v>21</v>
      </c>
    </row>
    <row r="113" spans="2:37" x14ac:dyDescent="0.35">
      <c r="B113" s="84" t="s">
        <v>5</v>
      </c>
      <c r="C113" s="83" t="s">
        <v>6</v>
      </c>
      <c r="D113" s="83" t="s">
        <v>7</v>
      </c>
      <c r="E113" s="83" t="s">
        <v>8</v>
      </c>
      <c r="F113" s="6" t="s">
        <v>9</v>
      </c>
      <c r="G113" s="7" t="s">
        <v>10</v>
      </c>
      <c r="H113" s="7" t="s">
        <v>11</v>
      </c>
      <c r="I113" s="7" t="s">
        <v>12</v>
      </c>
      <c r="J113" s="8" t="s">
        <v>13</v>
      </c>
      <c r="K113" s="6" t="s">
        <v>9</v>
      </c>
      <c r="L113" s="7" t="s">
        <v>10</v>
      </c>
      <c r="M113" s="7" t="s">
        <v>11</v>
      </c>
      <c r="N113" s="7" t="s">
        <v>12</v>
      </c>
      <c r="O113" s="8" t="s">
        <v>13</v>
      </c>
      <c r="P113" s="69" t="s">
        <v>14</v>
      </c>
      <c r="Q113" s="57" t="s">
        <v>15</v>
      </c>
      <c r="R113" s="57" t="s">
        <v>16</v>
      </c>
      <c r="S113" s="57" t="s">
        <v>17</v>
      </c>
      <c r="T113" s="57" t="s">
        <v>18</v>
      </c>
      <c r="V113" s="109" t="s">
        <v>9</v>
      </c>
      <c r="W113" s="105" t="s">
        <v>10</v>
      </c>
      <c r="X113" s="105" t="s">
        <v>11</v>
      </c>
      <c r="Y113" s="105" t="s">
        <v>12</v>
      </c>
      <c r="Z113" s="110" t="s">
        <v>13</v>
      </c>
      <c r="AB113" s="82" t="s">
        <v>9</v>
      </c>
      <c r="AC113" s="81" t="s">
        <v>10</v>
      </c>
      <c r="AD113" s="81" t="s">
        <v>11</v>
      </c>
      <c r="AE113" s="81" t="s">
        <v>12</v>
      </c>
      <c r="AF113" s="80" t="s">
        <v>13</v>
      </c>
      <c r="AG113" s="82" t="s">
        <v>9</v>
      </c>
      <c r="AH113" s="81" t="s">
        <v>10</v>
      </c>
      <c r="AI113" s="81" t="s">
        <v>11</v>
      </c>
      <c r="AJ113" s="81" t="s">
        <v>12</v>
      </c>
      <c r="AK113" s="80" t="s">
        <v>13</v>
      </c>
    </row>
    <row r="114" spans="2:37" x14ac:dyDescent="0.35">
      <c r="B114" s="78" t="s">
        <v>94</v>
      </c>
      <c r="C114" s="77"/>
      <c r="D114" s="77"/>
      <c r="E114" s="77"/>
      <c r="F114" s="41"/>
      <c r="G114" s="42"/>
      <c r="H114" s="42"/>
      <c r="I114" s="42"/>
      <c r="J114" s="42"/>
      <c r="K114" s="42"/>
      <c r="L114" s="42"/>
      <c r="M114" s="42"/>
      <c r="N114" s="42"/>
      <c r="O114" s="43"/>
      <c r="P114" s="78"/>
      <c r="Q114" s="77"/>
      <c r="R114" s="94"/>
      <c r="S114" s="77"/>
      <c r="T114" s="76"/>
      <c r="V114" s="111"/>
      <c r="W114" s="106"/>
      <c r="X114" s="106"/>
      <c r="Y114" s="106"/>
      <c r="Z114" s="112"/>
      <c r="AB114" s="77"/>
      <c r="AC114" s="77"/>
      <c r="AD114" s="77"/>
      <c r="AE114" s="77"/>
      <c r="AF114" s="77"/>
      <c r="AG114" s="77"/>
      <c r="AH114" s="77"/>
      <c r="AI114" s="77"/>
      <c r="AJ114" s="77"/>
      <c r="AK114" s="76"/>
    </row>
    <row r="115" spans="2:37" x14ac:dyDescent="0.35">
      <c r="B115" s="55" t="s">
        <v>95</v>
      </c>
      <c r="C115" s="65" t="s">
        <v>85</v>
      </c>
      <c r="D115" s="65" t="s">
        <v>43</v>
      </c>
      <c r="E115" s="65" t="s">
        <v>230</v>
      </c>
      <c r="F115" s="74">
        <f t="shared" ref="F115" si="67">IF(ISNUMBER(AB115),AB115-((C$4-C$3)/V115),"")</f>
        <v>2.4233304750680591E-2</v>
      </c>
      <c r="G115" s="79">
        <f t="shared" ref="G115" si="68">IF(ISNUMBER(AC115),AC115-((D$4-D$3)/W115),"")</f>
        <v>3.1315481304359613E-2</v>
      </c>
      <c r="H115" s="79">
        <f t="shared" ref="H115" si="69">IF(ISNUMBER(AD115),AD115-((E$4-E$3)/X115),"")</f>
        <v>3.6199222818257715E-2</v>
      </c>
      <c r="I115" s="79">
        <f t="shared" ref="I115" si="70">IF(ISNUMBER(AE115),AE115-((F$4-F$3)/Y115),"")</f>
        <v>3.9070094203608866E-2</v>
      </c>
      <c r="J115" s="61">
        <f t="shared" ref="J115" si="71">IF(ISNUMBER(AF115),AF115-((G$4-G$3)/Z115),"")</f>
        <v>4.1908744899232027E-2</v>
      </c>
      <c r="K115" s="74" t="str">
        <f t="shared" ref="K115" si="72">IF(ISNUMBER(AG115),IF(AG115-((C$4-C$3)/V115)&lt;0,"",AG115-((C$4-C$3)/V115)),"")</f>
        <v/>
      </c>
      <c r="L115" s="79">
        <f t="shared" ref="L115" si="73">IF(ISNUMBER(AH115),IF(AH115-((D$4-D$3)/W115)&lt;0,"",AH115-((D$4-D$3)/W115)),"")</f>
        <v>3.7177616043596144E-3</v>
      </c>
      <c r="M115" s="79">
        <f t="shared" ref="M115" si="74">IF(ISNUMBER(AI115),IF(AI115-((E$4-E$3)/X115)&lt;0,"",AI115-((E$4-E$3)/X115)),"")</f>
        <v>8.1058851182577198E-3</v>
      </c>
      <c r="N115" s="79">
        <f t="shared" ref="N115" si="75">IF(ISNUMBER(AJ115),IF(AJ115-((F$4-F$3)/Y115)&lt;0,"",AJ115-((F$4-F$3)/Y115)),"")</f>
        <v>1.0211756803608869E-2</v>
      </c>
      <c r="O115" s="61">
        <f t="shared" ref="O115" si="76">IF(ISNUMBER(AK115),IF(AK115-((G$4-G$3)/Z115)&lt;0,"",AK115-((G$4-G$3)/Z115)),"")</f>
        <v>1.1828725199232022E-2</v>
      </c>
      <c r="P115" s="55" t="s">
        <v>21</v>
      </c>
      <c r="Q115" s="65" t="s">
        <v>21</v>
      </c>
      <c r="R115" s="99" t="s">
        <v>21</v>
      </c>
      <c r="S115" s="79" t="s">
        <v>21</v>
      </c>
      <c r="T115" s="62" t="str">
        <f t="shared" ref="T115:T138" si="77">IF(S115="","",H115-S115)</f>
        <v/>
      </c>
      <c r="V115" s="117">
        <v>1.13106102</v>
      </c>
      <c r="W115" s="60">
        <v>2.9371801900000003</v>
      </c>
      <c r="X115" s="60">
        <v>4.5761547199999999</v>
      </c>
      <c r="Y115" s="60">
        <v>6.0270798700000006</v>
      </c>
      <c r="Z115" s="118">
        <v>7.9037590299999998</v>
      </c>
      <c r="AB115" s="74">
        <v>2.4233304750680591E-2</v>
      </c>
      <c r="AC115" s="79">
        <v>3.1315481304359613E-2</v>
      </c>
      <c r="AD115" s="79">
        <v>3.6199222818257715E-2</v>
      </c>
      <c r="AE115" s="79">
        <v>3.9070094203608866E-2</v>
      </c>
      <c r="AF115" s="61">
        <v>4.1908744899232027E-2</v>
      </c>
      <c r="AG115" s="74" t="s">
        <v>21</v>
      </c>
      <c r="AH115" s="79">
        <v>3.7177616043596144E-3</v>
      </c>
      <c r="AI115" s="79">
        <v>8.1058851182577198E-3</v>
      </c>
      <c r="AJ115" s="79">
        <v>1.0211756803608869E-2</v>
      </c>
      <c r="AK115" s="61">
        <v>1.1828725199232022E-2</v>
      </c>
    </row>
    <row r="116" spans="2:37" x14ac:dyDescent="0.35">
      <c r="B116" s="56" t="s">
        <v>95</v>
      </c>
      <c r="C116" s="66" t="s">
        <v>35</v>
      </c>
      <c r="D116" s="66" t="s">
        <v>43</v>
      </c>
      <c r="E116" s="66" t="s">
        <v>231</v>
      </c>
      <c r="F116" s="73">
        <f t="shared" ref="F116:F138" si="78">IF(ISNUMBER(AB116),AB116-((C$4-C$3)/V116),"")</f>
        <v>2.5516434258066621E-2</v>
      </c>
      <c r="G116" s="75">
        <f t="shared" ref="G116:G138" si="79">IF(ISNUMBER(AC116),AC116-((D$4-D$3)/W116),"")</f>
        <v>3.4502755073436114E-2</v>
      </c>
      <c r="H116" s="75">
        <f t="shared" ref="H116:H138" si="80">IF(ISNUMBER(AD116),AD116-((E$4-E$3)/X116),"")</f>
        <v>4.1399270138545344E-2</v>
      </c>
      <c r="I116" s="75">
        <f t="shared" ref="I116:I138" si="81">IF(ISNUMBER(AE116),AE116-((F$4-F$3)/Y116),"")</f>
        <v>4.5267837094283427E-2</v>
      </c>
      <c r="J116" s="63">
        <f t="shared" ref="J116:J138" si="82">IF(ISNUMBER(AF116),AF116-((G$4-G$3)/Z116),"")</f>
        <v>4.8953985531480407E-2</v>
      </c>
      <c r="K116" s="73" t="str">
        <f t="shared" ref="K116:K138" si="83">IF(ISNUMBER(AG116),IF(AG116-((C$4-C$3)/V116)&lt;0,"",AG116-((C$4-C$3)/V116)),"")</f>
        <v/>
      </c>
      <c r="L116" s="75">
        <f t="shared" ref="L116:L138" si="84">IF(ISNUMBER(AH116),IF(AH116-((D$4-D$3)/W116)&lt;0,"",AH116-((D$4-D$3)/W116)),"")</f>
        <v>6.8281776734361189E-3</v>
      </c>
      <c r="M116" s="75">
        <f t="shared" ref="M116:M138" si="85">IF(ISNUMBER(AI116),IF(AI116-((E$4-E$3)/X116)&lt;0,"",AI116-((E$4-E$3)/X116)),"")</f>
        <v>1.3172171038545342E-2</v>
      </c>
      <c r="N116" s="75">
        <f t="shared" ref="N116:N138" si="86">IF(ISNUMBER(AJ116),IF(AJ116-((F$4-F$3)/Y116)&lt;0,"",AJ116-((F$4-F$3)/Y116)),"")</f>
        <v>1.6237274894283425E-2</v>
      </c>
      <c r="O116" s="63">
        <f t="shared" ref="O116:O138" si="87">IF(ISNUMBER(AK116),IF(AK116-((G$4-G$3)/Z116)&lt;0,"",AK116-((G$4-G$3)/Z116)),"")</f>
        <v>1.8690891131480401E-2</v>
      </c>
      <c r="P116" s="56" t="s">
        <v>21</v>
      </c>
      <c r="Q116" s="66" t="s">
        <v>21</v>
      </c>
      <c r="R116" s="95" t="s">
        <v>21</v>
      </c>
      <c r="S116" s="75" t="s">
        <v>21</v>
      </c>
      <c r="T116" s="63" t="str">
        <f t="shared" si="77"/>
        <v/>
      </c>
      <c r="V116" s="115">
        <v>1.12994901</v>
      </c>
      <c r="W116" s="107">
        <v>2.9247336399999999</v>
      </c>
      <c r="X116" s="107">
        <v>4.5322252399999998</v>
      </c>
      <c r="Y116" s="107">
        <v>5.9311428300000006</v>
      </c>
      <c r="Z116" s="116">
        <v>7.7016381100000002</v>
      </c>
      <c r="AB116" s="73">
        <v>2.5516434258066621E-2</v>
      </c>
      <c r="AC116" s="75">
        <v>3.4502755073436114E-2</v>
      </c>
      <c r="AD116" s="75">
        <v>4.1399270138545344E-2</v>
      </c>
      <c r="AE116" s="75">
        <v>4.5267837094283427E-2</v>
      </c>
      <c r="AF116" s="63">
        <v>4.8953985531480407E-2</v>
      </c>
      <c r="AG116" s="73" t="s">
        <v>21</v>
      </c>
      <c r="AH116" s="75">
        <v>6.8281776734361189E-3</v>
      </c>
      <c r="AI116" s="75">
        <v>1.3172171038545342E-2</v>
      </c>
      <c r="AJ116" s="75">
        <v>1.6237274894283425E-2</v>
      </c>
      <c r="AK116" s="63">
        <v>1.8690891131480401E-2</v>
      </c>
    </row>
    <row r="117" spans="2:37" x14ac:dyDescent="0.35">
      <c r="B117" s="54" t="s">
        <v>96</v>
      </c>
      <c r="C117" s="52" t="s">
        <v>85</v>
      </c>
      <c r="D117" s="52" t="s">
        <v>97</v>
      </c>
      <c r="E117" s="52" t="s">
        <v>21</v>
      </c>
      <c r="F117" s="72">
        <f t="shared" si="78"/>
        <v>2.4771232391300222E-2</v>
      </c>
      <c r="G117" s="59">
        <f t="shared" si="79"/>
        <v>3.1956721819226437E-2</v>
      </c>
      <c r="H117" s="59">
        <f t="shared" si="80"/>
        <v>3.6971244267966427E-2</v>
      </c>
      <c r="I117" s="59">
        <f t="shared" si="81"/>
        <v>4.0213360401768601E-2</v>
      </c>
      <c r="J117" s="62">
        <f t="shared" si="82"/>
        <v>4.3306385651161211E-2</v>
      </c>
      <c r="K117" s="72" t="str">
        <f t="shared" si="83"/>
        <v/>
      </c>
      <c r="L117" s="59">
        <f t="shared" si="84"/>
        <v>4.3373009192264403E-3</v>
      </c>
      <c r="M117" s="59">
        <f t="shared" si="85"/>
        <v>8.8506173679664298E-3</v>
      </c>
      <c r="N117" s="59">
        <f t="shared" si="86"/>
        <v>1.1312715301768602E-2</v>
      </c>
      <c r="O117" s="62">
        <f t="shared" si="87"/>
        <v>1.3181945051161215E-2</v>
      </c>
      <c r="P117" s="54" t="s">
        <v>21</v>
      </c>
      <c r="Q117" s="52" t="s">
        <v>21</v>
      </c>
      <c r="R117" s="93" t="s">
        <v>21</v>
      </c>
      <c r="S117" s="70" t="s">
        <v>21</v>
      </c>
      <c r="T117" s="62" t="str">
        <f t="shared" si="77"/>
        <v/>
      </c>
      <c r="V117" s="113">
        <v>1.13001949</v>
      </c>
      <c r="W117" s="71">
        <v>2.9309969200000001</v>
      </c>
      <c r="X117" s="71">
        <v>4.56114877</v>
      </c>
      <c r="Y117" s="71">
        <v>5.9940265200000002</v>
      </c>
      <c r="Z117" s="114">
        <v>7.8303484300000008</v>
      </c>
      <c r="AB117" s="72">
        <v>2.4771232391300222E-2</v>
      </c>
      <c r="AC117" s="70">
        <v>3.1956721819226437E-2</v>
      </c>
      <c r="AD117" s="70">
        <v>3.6971244267966427E-2</v>
      </c>
      <c r="AE117" s="70">
        <v>4.0213360401768601E-2</v>
      </c>
      <c r="AF117" s="62">
        <v>4.3306385651161211E-2</v>
      </c>
      <c r="AG117" s="72" t="s">
        <v>21</v>
      </c>
      <c r="AH117" s="70">
        <v>4.3373009192264403E-3</v>
      </c>
      <c r="AI117" s="70">
        <v>8.8506173679664298E-3</v>
      </c>
      <c r="AJ117" s="70">
        <v>1.1312715301768602E-2</v>
      </c>
      <c r="AK117" s="62">
        <v>1.3181945051161215E-2</v>
      </c>
    </row>
    <row r="118" spans="2:37" x14ac:dyDescent="0.35">
      <c r="B118" s="56" t="s">
        <v>96</v>
      </c>
      <c r="C118" s="66" t="s">
        <v>35</v>
      </c>
      <c r="D118" s="66" t="s">
        <v>97</v>
      </c>
      <c r="E118" s="66" t="s">
        <v>44</v>
      </c>
      <c r="F118" s="73">
        <f t="shared" si="78"/>
        <v>2.70625411388997E-2</v>
      </c>
      <c r="G118" s="75">
        <f t="shared" si="79"/>
        <v>3.5446178218403457E-2</v>
      </c>
      <c r="H118" s="75">
        <f t="shared" si="80"/>
        <v>4.2180167646096625E-2</v>
      </c>
      <c r="I118" s="75">
        <f t="shared" si="81"/>
        <v>4.670611301985525E-2</v>
      </c>
      <c r="J118" s="63">
        <f t="shared" si="82"/>
        <v>5.0301753265234853E-2</v>
      </c>
      <c r="K118" s="73" t="str">
        <f t="shared" si="83"/>
        <v/>
      </c>
      <c r="L118" s="75">
        <f t="shared" si="84"/>
        <v>7.7433463184034615E-3</v>
      </c>
      <c r="M118" s="75">
        <f t="shared" si="85"/>
        <v>1.3925352246096626E-2</v>
      </c>
      <c r="N118" s="75">
        <f t="shared" si="86"/>
        <v>1.7619341019855243E-2</v>
      </c>
      <c r="O118" s="63">
        <f t="shared" si="87"/>
        <v>1.9990073765234852E-2</v>
      </c>
      <c r="P118" s="56" t="s">
        <v>21</v>
      </c>
      <c r="Q118" s="66" t="s">
        <v>21</v>
      </c>
      <c r="R118" s="95" t="s">
        <v>21</v>
      </c>
      <c r="S118" s="75" t="s">
        <v>21</v>
      </c>
      <c r="T118" s="63" t="str">
        <f t="shared" si="77"/>
        <v/>
      </c>
      <c r="V118" s="115">
        <v>1.12761863</v>
      </c>
      <c r="W118" s="107">
        <v>2.9156945300000001</v>
      </c>
      <c r="X118" s="107">
        <v>4.5157188799999997</v>
      </c>
      <c r="Y118" s="107">
        <v>5.8983451899999997</v>
      </c>
      <c r="Z118" s="116">
        <v>7.6387110100000006</v>
      </c>
      <c r="AB118" s="73">
        <v>2.70625411388997E-2</v>
      </c>
      <c r="AC118" s="75">
        <v>3.5446178218403457E-2</v>
      </c>
      <c r="AD118" s="75">
        <v>4.2180167646096625E-2</v>
      </c>
      <c r="AE118" s="75">
        <v>4.670611301985525E-2</v>
      </c>
      <c r="AF118" s="63">
        <v>5.0301753265234853E-2</v>
      </c>
      <c r="AG118" s="73" t="s">
        <v>21</v>
      </c>
      <c r="AH118" s="75">
        <v>7.7433463184034615E-3</v>
      </c>
      <c r="AI118" s="75">
        <v>1.3925352246096626E-2</v>
      </c>
      <c r="AJ118" s="75">
        <v>1.7619341019855243E-2</v>
      </c>
      <c r="AK118" s="63">
        <v>1.9990073765234852E-2</v>
      </c>
    </row>
    <row r="119" spans="2:37" x14ac:dyDescent="0.35">
      <c r="B119" s="54" t="s">
        <v>98</v>
      </c>
      <c r="C119" s="52" t="s">
        <v>85</v>
      </c>
      <c r="D119" s="52" t="s">
        <v>47</v>
      </c>
      <c r="E119" s="52" t="s">
        <v>21</v>
      </c>
      <c r="F119" s="72">
        <f t="shared" si="78"/>
        <v>2.4787015313461419E-2</v>
      </c>
      <c r="G119" s="59">
        <f t="shared" si="79"/>
        <v>3.2084330927237455E-2</v>
      </c>
      <c r="H119" s="59">
        <f t="shared" si="80"/>
        <v>3.748257988212729E-2</v>
      </c>
      <c r="I119" s="59">
        <f t="shared" si="81"/>
        <v>4.0759341292349302E-2</v>
      </c>
      <c r="J119" s="62">
        <f t="shared" si="82"/>
        <v>4.4002010342684146E-2</v>
      </c>
      <c r="K119" s="72" t="str">
        <f t="shared" si="83"/>
        <v/>
      </c>
      <c r="L119" s="59">
        <f t="shared" si="84"/>
        <v>4.461296227237458E-3</v>
      </c>
      <c r="M119" s="59">
        <f t="shared" si="85"/>
        <v>9.3441527821272879E-3</v>
      </c>
      <c r="N119" s="59">
        <f t="shared" si="86"/>
        <v>1.1838728592349305E-2</v>
      </c>
      <c r="O119" s="62">
        <f t="shared" si="87"/>
        <v>1.3854706142684147E-2</v>
      </c>
      <c r="P119" s="54" t="s">
        <v>21</v>
      </c>
      <c r="Q119" s="52" t="s">
        <v>21</v>
      </c>
      <c r="R119" s="93" t="s">
        <v>21</v>
      </c>
      <c r="S119" s="70" t="s">
        <v>21</v>
      </c>
      <c r="T119" s="62" t="str">
        <f t="shared" si="77"/>
        <v/>
      </c>
      <c r="V119" s="113">
        <v>1.12997367</v>
      </c>
      <c r="W119" s="71">
        <v>2.9302576600000001</v>
      </c>
      <c r="X119" s="71">
        <v>4.5541061200000001</v>
      </c>
      <c r="Y119" s="71">
        <v>5.97786098</v>
      </c>
      <c r="Z119" s="114">
        <v>7.7945595800000005</v>
      </c>
      <c r="AB119" s="72">
        <v>2.4787015313461419E-2</v>
      </c>
      <c r="AC119" s="70">
        <v>3.2084330927237455E-2</v>
      </c>
      <c r="AD119" s="70">
        <v>3.748257988212729E-2</v>
      </c>
      <c r="AE119" s="70">
        <v>4.0759341292349302E-2</v>
      </c>
      <c r="AF119" s="62">
        <v>4.4002010342684146E-2</v>
      </c>
      <c r="AG119" s="72" t="s">
        <v>21</v>
      </c>
      <c r="AH119" s="70">
        <v>4.461296227237458E-3</v>
      </c>
      <c r="AI119" s="70">
        <v>9.3441527821272879E-3</v>
      </c>
      <c r="AJ119" s="70">
        <v>1.1838728592349305E-2</v>
      </c>
      <c r="AK119" s="62">
        <v>1.3854706142684147E-2</v>
      </c>
    </row>
    <row r="120" spans="2:37" x14ac:dyDescent="0.35">
      <c r="B120" s="56" t="s">
        <v>98</v>
      </c>
      <c r="C120" s="66" t="s">
        <v>35</v>
      </c>
      <c r="D120" s="66" t="s">
        <v>47</v>
      </c>
      <c r="E120" s="66" t="s">
        <v>460</v>
      </c>
      <c r="F120" s="73">
        <f t="shared" si="78"/>
        <v>2.620638099946819E-2</v>
      </c>
      <c r="G120" s="75">
        <f t="shared" si="79"/>
        <v>3.5162203938635145E-2</v>
      </c>
      <c r="H120" s="75">
        <f t="shared" si="80"/>
        <v>4.2466324988418548E-2</v>
      </c>
      <c r="I120" s="75">
        <f t="shared" si="81"/>
        <v>4.7360648112888877E-2</v>
      </c>
      <c r="J120" s="63">
        <f t="shared" si="82"/>
        <v>5.1406191755010829E-2</v>
      </c>
      <c r="K120" s="73" t="str">
        <f t="shared" si="83"/>
        <v/>
      </c>
      <c r="L120" s="75">
        <f t="shared" si="84"/>
        <v>7.4697686386351533E-3</v>
      </c>
      <c r="M120" s="75">
        <f t="shared" si="85"/>
        <v>1.4202191288418547E-2</v>
      </c>
      <c r="N120" s="75">
        <f t="shared" si="86"/>
        <v>1.8249335012888883E-2</v>
      </c>
      <c r="O120" s="63">
        <f t="shared" si="87"/>
        <v>2.1054970555010835E-2</v>
      </c>
      <c r="P120" s="56" t="s">
        <v>461</v>
      </c>
      <c r="Q120" s="66" t="s">
        <v>462</v>
      </c>
      <c r="R120" s="95" t="s">
        <v>32</v>
      </c>
      <c r="S120" s="75">
        <v>3.6282519999999999E-2</v>
      </c>
      <c r="T120" s="63">
        <f t="shared" si="77"/>
        <v>6.1838049884185495E-3</v>
      </c>
      <c r="V120" s="115">
        <v>1.1288999799999999</v>
      </c>
      <c r="W120" s="107">
        <v>2.91963141</v>
      </c>
      <c r="X120" s="107">
        <v>4.5174002599999996</v>
      </c>
      <c r="Y120" s="107">
        <v>5.89204332</v>
      </c>
      <c r="Z120" s="116">
        <v>7.6088455699999997</v>
      </c>
      <c r="AB120" s="73">
        <v>2.620638099946819E-2</v>
      </c>
      <c r="AC120" s="75">
        <v>3.5162203938635145E-2</v>
      </c>
      <c r="AD120" s="75">
        <v>4.2466324988418548E-2</v>
      </c>
      <c r="AE120" s="75">
        <v>4.7360648112888877E-2</v>
      </c>
      <c r="AF120" s="63">
        <v>5.1406191755010829E-2</v>
      </c>
      <c r="AG120" s="73" t="s">
        <v>21</v>
      </c>
      <c r="AH120" s="75">
        <v>7.4697686386351533E-3</v>
      </c>
      <c r="AI120" s="75">
        <v>1.4202191288418547E-2</v>
      </c>
      <c r="AJ120" s="75">
        <v>1.8249335012888883E-2</v>
      </c>
      <c r="AK120" s="63">
        <v>2.1054970555010835E-2</v>
      </c>
    </row>
    <row r="121" spans="2:37" x14ac:dyDescent="0.35">
      <c r="B121" s="54" t="s">
        <v>99</v>
      </c>
      <c r="C121" s="52" t="s">
        <v>85</v>
      </c>
      <c r="D121" s="52" t="s">
        <v>69</v>
      </c>
      <c r="E121" s="52" t="s">
        <v>100</v>
      </c>
      <c r="F121" s="72">
        <f t="shared" si="78"/>
        <v>2.4565282993303288E-2</v>
      </c>
      <c r="G121" s="59">
        <f t="shared" si="79"/>
        <v>3.2581072799789536E-2</v>
      </c>
      <c r="H121" s="59">
        <f t="shared" si="80"/>
        <v>3.8303735828807223E-2</v>
      </c>
      <c r="I121" s="59">
        <f t="shared" si="81"/>
        <v>4.1799581474813455E-2</v>
      </c>
      <c r="J121" s="62">
        <f t="shared" si="82"/>
        <v>4.538441184577769E-2</v>
      </c>
      <c r="K121" s="72" t="str">
        <f t="shared" si="83"/>
        <v/>
      </c>
      <c r="L121" s="59">
        <f t="shared" si="84"/>
        <v>4.9417946997895364E-3</v>
      </c>
      <c r="M121" s="59">
        <f t="shared" si="85"/>
        <v>1.0135576928807221E-2</v>
      </c>
      <c r="N121" s="59">
        <f t="shared" si="86"/>
        <v>1.2838725674813454E-2</v>
      </c>
      <c r="O121" s="62">
        <f t="shared" si="87"/>
        <v>1.5188534945777687E-2</v>
      </c>
      <c r="P121" s="54" t="s">
        <v>21</v>
      </c>
      <c r="Q121" s="52" t="s">
        <v>21</v>
      </c>
      <c r="R121" s="93" t="s">
        <v>21</v>
      </c>
      <c r="S121" s="70" t="s">
        <v>21</v>
      </c>
      <c r="T121" s="62" t="str">
        <f t="shared" si="77"/>
        <v/>
      </c>
      <c r="V121" s="113">
        <v>1.1303836899999999</v>
      </c>
      <c r="W121" s="71">
        <v>2.9277817000000002</v>
      </c>
      <c r="X121" s="71">
        <v>4.5418717600000003</v>
      </c>
      <c r="Y121" s="71">
        <v>5.9488831900000001</v>
      </c>
      <c r="Z121" s="114">
        <v>7.7270294599999998</v>
      </c>
      <c r="AB121" s="72">
        <v>2.4565282993303288E-2</v>
      </c>
      <c r="AC121" s="70">
        <v>3.2581072799789536E-2</v>
      </c>
      <c r="AD121" s="70">
        <v>3.8303735828807223E-2</v>
      </c>
      <c r="AE121" s="70">
        <v>4.1799581474813455E-2</v>
      </c>
      <c r="AF121" s="62">
        <v>4.538441184577769E-2</v>
      </c>
      <c r="AG121" s="72" t="s">
        <v>21</v>
      </c>
      <c r="AH121" s="70">
        <v>4.9417946997895364E-3</v>
      </c>
      <c r="AI121" s="70">
        <v>1.0135576928807221E-2</v>
      </c>
      <c r="AJ121" s="70">
        <v>1.2838725674813454E-2</v>
      </c>
      <c r="AK121" s="62">
        <v>1.5188534945777687E-2</v>
      </c>
    </row>
    <row r="122" spans="2:37" x14ac:dyDescent="0.35">
      <c r="B122" s="56" t="s">
        <v>99</v>
      </c>
      <c r="C122" s="66" t="s">
        <v>35</v>
      </c>
      <c r="D122" s="66" t="s">
        <v>69</v>
      </c>
      <c r="E122" s="66" t="s">
        <v>224</v>
      </c>
      <c r="F122" s="73">
        <f t="shared" si="78"/>
        <v>2.5213237357077017E-2</v>
      </c>
      <c r="G122" s="75">
        <f t="shared" si="79"/>
        <v>3.5162192108920777E-2</v>
      </c>
      <c r="H122" s="75">
        <f t="shared" si="80"/>
        <v>4.2569726987908112E-2</v>
      </c>
      <c r="I122" s="75">
        <f t="shared" si="81"/>
        <v>4.7552358461884173E-2</v>
      </c>
      <c r="J122" s="63">
        <f t="shared" si="82"/>
        <v>5.1281493870243972E-2</v>
      </c>
      <c r="K122" s="73" t="str">
        <f t="shared" si="83"/>
        <v/>
      </c>
      <c r="L122" s="75">
        <f t="shared" si="84"/>
        <v>7.4676996089207814E-3</v>
      </c>
      <c r="M122" s="75">
        <f t="shared" si="85"/>
        <v>1.4300482087908104E-2</v>
      </c>
      <c r="N122" s="75">
        <f t="shared" si="86"/>
        <v>1.8432557361884174E-2</v>
      </c>
      <c r="O122" s="63">
        <f t="shared" si="87"/>
        <v>2.0935912370243972E-2</v>
      </c>
      <c r="P122" s="56" t="s">
        <v>463</v>
      </c>
      <c r="Q122" s="66" t="s">
        <v>464</v>
      </c>
      <c r="R122" s="95" t="s">
        <v>32</v>
      </c>
      <c r="S122" s="75">
        <v>4.0432810000000007E-2</v>
      </c>
      <c r="T122" s="63">
        <f t="shared" si="77"/>
        <v>2.1369169879081051E-3</v>
      </c>
      <c r="V122" s="115">
        <v>1.1303754699999999</v>
      </c>
      <c r="W122" s="107">
        <v>2.9222888299999998</v>
      </c>
      <c r="X122" s="107">
        <v>4.5191047300000005</v>
      </c>
      <c r="Y122" s="107">
        <v>5.8913340600000002</v>
      </c>
      <c r="Z122" s="116">
        <v>7.6092157800000004</v>
      </c>
      <c r="AB122" s="73">
        <v>2.5213237357077017E-2</v>
      </c>
      <c r="AC122" s="75">
        <v>3.5162192108920777E-2</v>
      </c>
      <c r="AD122" s="75">
        <v>4.2569726987908112E-2</v>
      </c>
      <c r="AE122" s="75">
        <v>4.7552358461884173E-2</v>
      </c>
      <c r="AF122" s="63">
        <v>5.1281493870243972E-2</v>
      </c>
      <c r="AG122" s="73" t="s">
        <v>21</v>
      </c>
      <c r="AH122" s="75">
        <v>7.4676996089207814E-3</v>
      </c>
      <c r="AI122" s="75">
        <v>1.4300482087908104E-2</v>
      </c>
      <c r="AJ122" s="75">
        <v>1.8432557361884174E-2</v>
      </c>
      <c r="AK122" s="63">
        <v>2.0935912370243972E-2</v>
      </c>
    </row>
    <row r="123" spans="2:37" x14ac:dyDescent="0.35">
      <c r="B123" s="54" t="s">
        <v>101</v>
      </c>
      <c r="C123" s="52" t="s">
        <v>85</v>
      </c>
      <c r="D123" s="52" t="s">
        <v>31</v>
      </c>
      <c r="E123" s="52" t="s">
        <v>21</v>
      </c>
      <c r="F123" s="72">
        <f t="shared" si="78"/>
        <v>2.4237418868133808E-2</v>
      </c>
      <c r="G123" s="59">
        <f t="shared" si="79"/>
        <v>3.1908588713290692E-2</v>
      </c>
      <c r="H123" s="59">
        <f t="shared" si="80"/>
        <v>3.7179004651616408E-2</v>
      </c>
      <c r="I123" s="59">
        <f t="shared" si="81"/>
        <v>4.0607607088163564E-2</v>
      </c>
      <c r="J123" s="62">
        <f t="shared" si="82"/>
        <v>4.3989485645585871E-2</v>
      </c>
      <c r="K123" s="72" t="str">
        <f t="shared" si="83"/>
        <v/>
      </c>
      <c r="L123" s="59">
        <f t="shared" si="84"/>
        <v>4.2902810132906853E-3</v>
      </c>
      <c r="M123" s="59">
        <f t="shared" si="85"/>
        <v>9.0508374516164065E-3</v>
      </c>
      <c r="N123" s="59">
        <f t="shared" si="86"/>
        <v>1.1692244788163556E-2</v>
      </c>
      <c r="O123" s="62">
        <f t="shared" si="87"/>
        <v>1.3842611845585879E-2</v>
      </c>
      <c r="P123" s="54" t="s">
        <v>21</v>
      </c>
      <c r="Q123" s="52" t="s">
        <v>21</v>
      </c>
      <c r="R123" s="93" t="s">
        <v>21</v>
      </c>
      <c r="S123" s="70" t="s">
        <v>21</v>
      </c>
      <c r="T123" s="62" t="str">
        <f t="shared" si="77"/>
        <v/>
      </c>
      <c r="V123" s="113">
        <v>1.1310661099999999</v>
      </c>
      <c r="W123" s="71">
        <v>2.9333629299999999</v>
      </c>
      <c r="X123" s="71">
        <v>4.5607048900000002</v>
      </c>
      <c r="Y123" s="71">
        <v>5.9872292700000003</v>
      </c>
      <c r="Z123" s="114">
        <v>7.8043099399999996</v>
      </c>
      <c r="AB123" s="72">
        <v>2.4237418868133808E-2</v>
      </c>
      <c r="AC123" s="70">
        <v>3.1908588713290692E-2</v>
      </c>
      <c r="AD123" s="70">
        <v>3.7179004651616408E-2</v>
      </c>
      <c r="AE123" s="70">
        <v>4.0607607088163564E-2</v>
      </c>
      <c r="AF123" s="62">
        <v>4.3989485645585871E-2</v>
      </c>
      <c r="AG123" s="72" t="s">
        <v>21</v>
      </c>
      <c r="AH123" s="70">
        <v>4.2902810132906853E-3</v>
      </c>
      <c r="AI123" s="70">
        <v>9.0508374516164065E-3</v>
      </c>
      <c r="AJ123" s="70">
        <v>1.1692244788163556E-2</v>
      </c>
      <c r="AK123" s="62">
        <v>1.3842611845585879E-2</v>
      </c>
    </row>
    <row r="124" spans="2:37" x14ac:dyDescent="0.35">
      <c r="B124" s="56" t="s">
        <v>101</v>
      </c>
      <c r="C124" s="66" t="s">
        <v>35</v>
      </c>
      <c r="D124" s="66" t="s">
        <v>31</v>
      </c>
      <c r="E124" s="66" t="s">
        <v>21</v>
      </c>
      <c r="F124" s="73">
        <f t="shared" si="78"/>
        <v>2.5516571318081924E-2</v>
      </c>
      <c r="G124" s="75">
        <f t="shared" si="79"/>
        <v>3.4502807564912086E-2</v>
      </c>
      <c r="H124" s="75">
        <f t="shared" si="80"/>
        <v>4.139930398041565E-2</v>
      </c>
      <c r="I124" s="75">
        <f t="shared" si="81"/>
        <v>4.5550366644563273E-2</v>
      </c>
      <c r="J124" s="63">
        <f t="shared" si="82"/>
        <v>4.914487593593838E-2</v>
      </c>
      <c r="K124" s="73" t="str">
        <f t="shared" si="83"/>
        <v/>
      </c>
      <c r="L124" s="75">
        <f t="shared" si="84"/>
        <v>6.8282129649120818E-3</v>
      </c>
      <c r="M124" s="75">
        <f t="shared" si="85"/>
        <v>1.3172192280415645E-2</v>
      </c>
      <c r="N124" s="75">
        <f t="shared" si="86"/>
        <v>1.6508950344563279E-2</v>
      </c>
      <c r="O124" s="63">
        <f t="shared" si="87"/>
        <v>1.8875899535938375E-2</v>
      </c>
      <c r="P124" s="56" t="s">
        <v>21</v>
      </c>
      <c r="Q124" s="66" t="s">
        <v>21</v>
      </c>
      <c r="R124" s="95" t="s">
        <v>21</v>
      </c>
      <c r="S124" s="75" t="s">
        <v>21</v>
      </c>
      <c r="T124" s="63" t="str">
        <f t="shared" si="77"/>
        <v/>
      </c>
      <c r="V124" s="115">
        <v>1.1299490599999999</v>
      </c>
      <c r="W124" s="107">
        <v>2.9247335900000002</v>
      </c>
      <c r="X124" s="107">
        <v>4.5322250999999998</v>
      </c>
      <c r="Y124" s="107">
        <v>5.9281044400000003</v>
      </c>
      <c r="Z124" s="116">
        <v>7.6934745299999996</v>
      </c>
      <c r="AB124" s="73">
        <v>2.5516571318081924E-2</v>
      </c>
      <c r="AC124" s="75">
        <v>3.4502807564912086E-2</v>
      </c>
      <c r="AD124" s="75">
        <v>4.139930398041565E-2</v>
      </c>
      <c r="AE124" s="75">
        <v>4.5550366644563273E-2</v>
      </c>
      <c r="AF124" s="63">
        <v>4.914487593593838E-2</v>
      </c>
      <c r="AG124" s="73" t="s">
        <v>21</v>
      </c>
      <c r="AH124" s="75">
        <v>6.8282129649120818E-3</v>
      </c>
      <c r="AI124" s="75">
        <v>1.3172192280415645E-2</v>
      </c>
      <c r="AJ124" s="75">
        <v>1.6508950344563279E-2</v>
      </c>
      <c r="AK124" s="63">
        <v>1.8875899535938375E-2</v>
      </c>
    </row>
    <row r="125" spans="2:37" x14ac:dyDescent="0.35">
      <c r="B125" s="54" t="s">
        <v>102</v>
      </c>
      <c r="C125" s="52" t="s">
        <v>85</v>
      </c>
      <c r="D125" s="52" t="s">
        <v>69</v>
      </c>
      <c r="E125" s="52" t="s">
        <v>465</v>
      </c>
      <c r="F125" s="72">
        <f t="shared" si="78"/>
        <v>2.5092824776006994E-2</v>
      </c>
      <c r="G125" s="59">
        <f t="shared" si="79"/>
        <v>3.2611591614215889E-2</v>
      </c>
      <c r="H125" s="59">
        <f t="shared" si="80"/>
        <v>3.8356560632921317E-2</v>
      </c>
      <c r="I125" s="59">
        <f t="shared" si="81"/>
        <v>4.1899835710868555E-2</v>
      </c>
      <c r="J125" s="62">
        <f t="shared" si="82"/>
        <v>4.529785976685017E-2</v>
      </c>
      <c r="K125" s="72" t="str">
        <f t="shared" si="83"/>
        <v/>
      </c>
      <c r="L125" s="59">
        <f t="shared" si="84"/>
        <v>4.9695723142158844E-3</v>
      </c>
      <c r="M125" s="59">
        <f t="shared" si="85"/>
        <v>1.0185033732921319E-2</v>
      </c>
      <c r="N125" s="59">
        <f t="shared" si="86"/>
        <v>1.2933556210868566E-2</v>
      </c>
      <c r="O125" s="62">
        <f t="shared" si="87"/>
        <v>1.5104517766850168E-2</v>
      </c>
      <c r="P125" s="54" t="s">
        <v>21</v>
      </c>
      <c r="Q125" s="52" t="s">
        <v>21</v>
      </c>
      <c r="R125" s="93" t="s">
        <v>21</v>
      </c>
      <c r="S125" s="70" t="s">
        <v>21</v>
      </c>
      <c r="T125" s="62" t="str">
        <f t="shared" si="77"/>
        <v/>
      </c>
      <c r="V125" s="113">
        <v>1.1293931500000001</v>
      </c>
      <c r="W125" s="71">
        <v>2.9258283899999999</v>
      </c>
      <c r="X125" s="71">
        <v>4.53944334</v>
      </c>
      <c r="Y125" s="71">
        <v>5.9450603099999997</v>
      </c>
      <c r="Z125" s="114">
        <v>7.7248962599999995</v>
      </c>
      <c r="AB125" s="72">
        <v>2.5092824776006994E-2</v>
      </c>
      <c r="AC125" s="70">
        <v>3.2611591614215889E-2</v>
      </c>
      <c r="AD125" s="70">
        <v>3.8356560632921317E-2</v>
      </c>
      <c r="AE125" s="70">
        <v>4.1899835710868555E-2</v>
      </c>
      <c r="AF125" s="62">
        <v>4.529785976685017E-2</v>
      </c>
      <c r="AG125" s="72" t="s">
        <v>21</v>
      </c>
      <c r="AH125" s="70">
        <v>4.9695723142158844E-3</v>
      </c>
      <c r="AI125" s="70">
        <v>1.0185033732921319E-2</v>
      </c>
      <c r="AJ125" s="70">
        <v>1.2933556210868566E-2</v>
      </c>
      <c r="AK125" s="62">
        <v>1.5104517766850168E-2</v>
      </c>
    </row>
    <row r="126" spans="2:37" x14ac:dyDescent="0.35">
      <c r="B126" s="56" t="s">
        <v>102</v>
      </c>
      <c r="C126" s="66" t="s">
        <v>35</v>
      </c>
      <c r="D126" s="66" t="s">
        <v>69</v>
      </c>
      <c r="E126" s="66" t="s">
        <v>159</v>
      </c>
      <c r="F126" s="73">
        <f t="shared" si="78"/>
        <v>2.5817995225187344E-2</v>
      </c>
      <c r="G126" s="75">
        <f t="shared" si="79"/>
        <v>3.5155581454323993E-2</v>
      </c>
      <c r="H126" s="75">
        <f t="shared" si="80"/>
        <v>4.2567750947096694E-2</v>
      </c>
      <c r="I126" s="75">
        <f t="shared" si="81"/>
        <v>4.7178829162787622E-2</v>
      </c>
      <c r="J126" s="63">
        <f t="shared" si="82"/>
        <v>5.1223638342964187E-2</v>
      </c>
      <c r="K126" s="73" t="str">
        <f t="shared" si="83"/>
        <v/>
      </c>
      <c r="L126" s="75">
        <f t="shared" si="84"/>
        <v>7.4615431543239921E-3</v>
      </c>
      <c r="M126" s="75">
        <f t="shared" si="85"/>
        <v>1.4298608147096693E-2</v>
      </c>
      <c r="N126" s="75">
        <f t="shared" si="86"/>
        <v>1.8074137862787623E-2</v>
      </c>
      <c r="O126" s="63">
        <f t="shared" si="87"/>
        <v>2.087828184296419E-2</v>
      </c>
      <c r="P126" s="56" t="s">
        <v>21</v>
      </c>
      <c r="Q126" s="66" t="s">
        <v>21</v>
      </c>
      <c r="R126" s="95" t="s">
        <v>21</v>
      </c>
      <c r="S126" s="75" t="s">
        <v>21</v>
      </c>
      <c r="T126" s="63" t="str">
        <f t="shared" si="77"/>
        <v/>
      </c>
      <c r="V126" s="113">
        <v>1.12949286</v>
      </c>
      <c r="W126" s="71">
        <v>2.9207377299999999</v>
      </c>
      <c r="X126" s="71">
        <v>4.5176680200000003</v>
      </c>
      <c r="Y126" s="71">
        <v>5.8939856900000001</v>
      </c>
      <c r="Z126" s="114">
        <v>7.6151909700000004</v>
      </c>
      <c r="AB126" s="73">
        <v>2.5817995225187344E-2</v>
      </c>
      <c r="AC126" s="75">
        <v>3.5155581454323993E-2</v>
      </c>
      <c r="AD126" s="75">
        <v>4.2567750947096694E-2</v>
      </c>
      <c r="AE126" s="75">
        <v>4.7178829162787622E-2</v>
      </c>
      <c r="AF126" s="63">
        <v>5.1223638342964187E-2</v>
      </c>
      <c r="AG126" s="73" t="s">
        <v>21</v>
      </c>
      <c r="AH126" s="75">
        <v>7.4615431543239921E-3</v>
      </c>
      <c r="AI126" s="75">
        <v>1.4298608147096693E-2</v>
      </c>
      <c r="AJ126" s="75">
        <v>1.8074137862787623E-2</v>
      </c>
      <c r="AK126" s="63">
        <v>2.087828184296419E-2</v>
      </c>
    </row>
    <row r="127" spans="2:37" x14ac:dyDescent="0.35">
      <c r="B127" s="55" t="s">
        <v>104</v>
      </c>
      <c r="C127" s="65" t="s">
        <v>85</v>
      </c>
      <c r="D127" s="65" t="s">
        <v>43</v>
      </c>
      <c r="E127" s="64" t="s">
        <v>423</v>
      </c>
      <c r="F127" s="79">
        <f t="shared" si="78"/>
        <v>2.4258970795089697E-2</v>
      </c>
      <c r="G127" s="79">
        <f t="shared" si="79"/>
        <v>3.1199489560155856E-2</v>
      </c>
      <c r="H127" s="79">
        <f t="shared" si="80"/>
        <v>3.6199412394744175E-2</v>
      </c>
      <c r="I127" s="79">
        <f t="shared" si="81"/>
        <v>3.906959215088629E-2</v>
      </c>
      <c r="J127" s="61">
        <f t="shared" si="82"/>
        <v>4.1956114224935406E-2</v>
      </c>
      <c r="K127" s="79" t="str">
        <f t="shared" si="83"/>
        <v/>
      </c>
      <c r="L127" s="79">
        <f t="shared" si="84"/>
        <v>3.6046712601558546E-3</v>
      </c>
      <c r="M127" s="79">
        <f t="shared" si="85"/>
        <v>8.1054748947441795E-3</v>
      </c>
      <c r="N127" s="79">
        <f t="shared" si="86"/>
        <v>1.0210964950886286E-2</v>
      </c>
      <c r="O127" s="61">
        <f t="shared" si="87"/>
        <v>1.187448762493541E-2</v>
      </c>
      <c r="P127" s="55" t="s">
        <v>21</v>
      </c>
      <c r="Q127" s="65" t="s">
        <v>21</v>
      </c>
      <c r="R127" s="99" t="s">
        <v>21</v>
      </c>
      <c r="S127" s="79" t="s">
        <v>21</v>
      </c>
      <c r="T127" s="61" t="str">
        <f t="shared" si="77"/>
        <v/>
      </c>
      <c r="V127" s="117">
        <v>1.1310298000000001</v>
      </c>
      <c r="W127" s="60">
        <v>2.9383632400000002</v>
      </c>
      <c r="X127" s="60">
        <v>4.5773933299999996</v>
      </c>
      <c r="Y127" s="60">
        <v>6.0282156499999999</v>
      </c>
      <c r="Z127" s="118">
        <v>7.90358348</v>
      </c>
      <c r="AB127" s="79">
        <v>2.4258970795089697E-2</v>
      </c>
      <c r="AC127" s="79">
        <v>3.1199489560155856E-2</v>
      </c>
      <c r="AD127" s="79">
        <v>3.6199412394744175E-2</v>
      </c>
      <c r="AE127" s="79">
        <v>3.906959215088629E-2</v>
      </c>
      <c r="AF127" s="61">
        <v>4.1956114224935406E-2</v>
      </c>
      <c r="AG127" s="79" t="s">
        <v>21</v>
      </c>
      <c r="AH127" s="79">
        <v>3.6046712601558546E-3</v>
      </c>
      <c r="AI127" s="79">
        <v>8.1054748947441795E-3</v>
      </c>
      <c r="AJ127" s="79">
        <v>1.0210964950886286E-2</v>
      </c>
      <c r="AK127" s="61">
        <v>1.187448762493541E-2</v>
      </c>
    </row>
    <row r="128" spans="2:37" x14ac:dyDescent="0.35">
      <c r="B128" s="56" t="s">
        <v>104</v>
      </c>
      <c r="C128" s="66" t="s">
        <v>35</v>
      </c>
      <c r="D128" s="66" t="s">
        <v>43</v>
      </c>
      <c r="E128" s="53" t="s">
        <v>423</v>
      </c>
      <c r="F128" s="75">
        <f t="shared" si="78"/>
        <v>2.5757459262655935E-2</v>
      </c>
      <c r="G128" s="75">
        <f t="shared" si="79"/>
        <v>3.5056534081170029E-2</v>
      </c>
      <c r="H128" s="75">
        <f t="shared" si="80"/>
        <v>4.2280286736985397E-2</v>
      </c>
      <c r="I128" s="75">
        <f t="shared" si="81"/>
        <v>4.6424633537462213E-2</v>
      </c>
      <c r="J128" s="63">
        <f t="shared" si="82"/>
        <v>4.9927468261778837E-2</v>
      </c>
      <c r="K128" s="75" t="str">
        <f t="shared" si="83"/>
        <v/>
      </c>
      <c r="L128" s="75">
        <f t="shared" si="84"/>
        <v>7.3636522811700335E-3</v>
      </c>
      <c r="M128" s="75">
        <f t="shared" si="85"/>
        <v>1.4020376936985404E-2</v>
      </c>
      <c r="N128" s="75">
        <f t="shared" si="86"/>
        <v>1.7348828837462221E-2</v>
      </c>
      <c r="O128" s="63">
        <f t="shared" si="87"/>
        <v>1.9629708361778839E-2</v>
      </c>
      <c r="P128" s="66" t="s">
        <v>21</v>
      </c>
      <c r="Q128" s="66" t="s">
        <v>21</v>
      </c>
      <c r="R128" s="95" t="s">
        <v>21</v>
      </c>
      <c r="S128" s="75" t="s">
        <v>21</v>
      </c>
      <c r="T128" s="63" t="str">
        <f t="shared" si="77"/>
        <v/>
      </c>
      <c r="V128" s="115">
        <v>1.1296131199999999</v>
      </c>
      <c r="W128" s="107">
        <v>2.9214468600000001</v>
      </c>
      <c r="X128" s="107">
        <v>4.5208957700000001</v>
      </c>
      <c r="Y128" s="107">
        <v>5.9058588099999998</v>
      </c>
      <c r="Z128" s="116">
        <v>7.6540783799999996</v>
      </c>
      <c r="AB128" s="75">
        <v>2.5757459262655935E-2</v>
      </c>
      <c r="AC128" s="75">
        <v>3.5056534081170029E-2</v>
      </c>
      <c r="AD128" s="75">
        <v>4.2280286736985397E-2</v>
      </c>
      <c r="AE128" s="75">
        <v>4.6424633537462213E-2</v>
      </c>
      <c r="AF128" s="63">
        <v>4.9927468261778837E-2</v>
      </c>
      <c r="AG128" s="75" t="s">
        <v>21</v>
      </c>
      <c r="AH128" s="75">
        <v>7.3636522811700335E-3</v>
      </c>
      <c r="AI128" s="75">
        <v>1.4020376936985404E-2</v>
      </c>
      <c r="AJ128" s="75">
        <v>1.7348828837462221E-2</v>
      </c>
      <c r="AK128" s="63">
        <v>1.9629708361778839E-2</v>
      </c>
    </row>
    <row r="129" spans="2:37" x14ac:dyDescent="0.35">
      <c r="B129" s="54" t="s">
        <v>105</v>
      </c>
      <c r="C129" s="52" t="s">
        <v>85</v>
      </c>
      <c r="D129" s="52" t="s">
        <v>43</v>
      </c>
      <c r="E129" s="52" t="s">
        <v>423</v>
      </c>
      <c r="F129" s="72">
        <f t="shared" si="78"/>
        <v>2.4213348565743739E-2</v>
      </c>
      <c r="G129" s="59">
        <f t="shared" si="79"/>
        <v>3.1254118479462939E-2</v>
      </c>
      <c r="H129" s="59">
        <f t="shared" si="80"/>
        <v>3.6096621169067415E-2</v>
      </c>
      <c r="I129" s="59">
        <f t="shared" si="81"/>
        <v>3.8970051980622214E-2</v>
      </c>
      <c r="J129" s="62">
        <f t="shared" si="82"/>
        <v>4.1759098067417504E-2</v>
      </c>
      <c r="K129" s="72" t="str">
        <f t="shared" si="83"/>
        <v/>
      </c>
      <c r="L129" s="59">
        <f t="shared" si="84"/>
        <v>3.6582483794629413E-3</v>
      </c>
      <c r="M129" s="59">
        <f t="shared" si="85"/>
        <v>8.006661669067416E-3</v>
      </c>
      <c r="N129" s="59">
        <f t="shared" si="86"/>
        <v>1.011510898062222E-2</v>
      </c>
      <c r="O129" s="62">
        <f t="shared" si="87"/>
        <v>1.1683633767417495E-2</v>
      </c>
      <c r="P129" s="54" t="s">
        <v>21</v>
      </c>
      <c r="Q129" s="52" t="s">
        <v>21</v>
      </c>
      <c r="R129" s="93" t="s">
        <v>21</v>
      </c>
      <c r="S129" s="70" t="s">
        <v>21</v>
      </c>
      <c r="T129" s="62" t="str">
        <f t="shared" si="77"/>
        <v/>
      </c>
      <c r="V129" s="113">
        <v>1.13110347</v>
      </c>
      <c r="W129" s="71">
        <v>2.9376552399999998</v>
      </c>
      <c r="X129" s="71">
        <v>4.5778514800000005</v>
      </c>
      <c r="Y129" s="71">
        <v>6.0304664799999994</v>
      </c>
      <c r="Z129" s="114">
        <v>7.9112992500000008</v>
      </c>
      <c r="AB129" s="72">
        <v>2.4213348565743739E-2</v>
      </c>
      <c r="AC129" s="70">
        <v>3.1254118479462939E-2</v>
      </c>
      <c r="AD129" s="70">
        <v>3.6096621169067415E-2</v>
      </c>
      <c r="AE129" s="70">
        <v>3.8970051980622214E-2</v>
      </c>
      <c r="AF129" s="62">
        <v>4.1759098067417504E-2</v>
      </c>
      <c r="AG129" s="72" t="s">
        <v>21</v>
      </c>
      <c r="AH129" s="70">
        <v>3.6582483794629413E-3</v>
      </c>
      <c r="AI129" s="70">
        <v>8.006661669067416E-3</v>
      </c>
      <c r="AJ129" s="70">
        <v>1.011510898062222E-2</v>
      </c>
      <c r="AK129" s="62">
        <v>1.1683633767417495E-2</v>
      </c>
    </row>
    <row r="130" spans="2:37" x14ac:dyDescent="0.35">
      <c r="B130" s="56" t="s">
        <v>105</v>
      </c>
      <c r="C130" s="66" t="s">
        <v>35</v>
      </c>
      <c r="D130" s="66" t="s">
        <v>43</v>
      </c>
      <c r="E130" s="66" t="s">
        <v>21</v>
      </c>
      <c r="F130" s="73">
        <f t="shared" si="78"/>
        <v>2.5695711556582904E-2</v>
      </c>
      <c r="G130" s="75">
        <f t="shared" si="79"/>
        <v>3.4930335112413717E-2</v>
      </c>
      <c r="H130" s="75">
        <f t="shared" si="80"/>
        <v>4.2082556024295469E-2</v>
      </c>
      <c r="I130" s="75">
        <f t="shared" si="81"/>
        <v>4.6134935856406573E-2</v>
      </c>
      <c r="J130" s="63">
        <f t="shared" si="82"/>
        <v>4.9729097477394797E-2</v>
      </c>
      <c r="K130" s="73" t="str">
        <f t="shared" si="83"/>
        <v/>
      </c>
      <c r="L130" s="75">
        <f t="shared" si="84"/>
        <v>7.2425973124137198E-3</v>
      </c>
      <c r="M130" s="75">
        <f t="shared" si="85"/>
        <v>1.3830793524295464E-2</v>
      </c>
      <c r="N130" s="75">
        <f t="shared" si="86"/>
        <v>1.7071202056406571E-2</v>
      </c>
      <c r="O130" s="63">
        <f t="shared" si="87"/>
        <v>1.9438787177394799E-2</v>
      </c>
      <c r="P130" s="56" t="s">
        <v>21</v>
      </c>
      <c r="Q130" s="66" t="s">
        <v>21</v>
      </c>
      <c r="R130" s="95" t="s">
        <v>21</v>
      </c>
      <c r="S130" s="75" t="s">
        <v>21</v>
      </c>
      <c r="T130" s="63" t="str">
        <f t="shared" si="77"/>
        <v/>
      </c>
      <c r="V130" s="113">
        <v>1.12968432</v>
      </c>
      <c r="W130" s="71">
        <v>2.9221797300000003</v>
      </c>
      <c r="X130" s="71">
        <v>4.5234175199999997</v>
      </c>
      <c r="Y130" s="71">
        <v>5.9118099700000002</v>
      </c>
      <c r="Z130" s="114">
        <v>7.6648015999999997</v>
      </c>
      <c r="AB130" s="73">
        <v>2.5695711556582904E-2</v>
      </c>
      <c r="AC130" s="75">
        <v>3.4930335112413717E-2</v>
      </c>
      <c r="AD130" s="75">
        <v>4.2082556024295469E-2</v>
      </c>
      <c r="AE130" s="75">
        <v>4.6134935856406573E-2</v>
      </c>
      <c r="AF130" s="63">
        <v>4.9729097477394797E-2</v>
      </c>
      <c r="AG130" s="73" t="s">
        <v>21</v>
      </c>
      <c r="AH130" s="75">
        <v>7.2425973124137198E-3</v>
      </c>
      <c r="AI130" s="75">
        <v>1.3830793524295464E-2</v>
      </c>
      <c r="AJ130" s="75">
        <v>1.7071202056406571E-2</v>
      </c>
      <c r="AK130" s="63">
        <v>1.9438787177394799E-2</v>
      </c>
    </row>
    <row r="131" spans="2:37" x14ac:dyDescent="0.35">
      <c r="B131" s="55" t="s">
        <v>106</v>
      </c>
      <c r="C131" s="65" t="s">
        <v>85</v>
      </c>
      <c r="D131" s="65" t="s">
        <v>62</v>
      </c>
      <c r="E131" s="65" t="s">
        <v>466</v>
      </c>
      <c r="F131" s="74">
        <f t="shared" si="78"/>
        <v>2.4581964162436527E-2</v>
      </c>
      <c r="G131" s="79">
        <f t="shared" si="79"/>
        <v>3.2027295067138299E-2</v>
      </c>
      <c r="H131" s="79">
        <f t="shared" si="80"/>
        <v>3.7382301956757041E-2</v>
      </c>
      <c r="I131" s="79">
        <f t="shared" si="81"/>
        <v>4.0612337148852484E-2</v>
      </c>
      <c r="J131" s="61">
        <f t="shared" si="82"/>
        <v>4.3709976470495994E-2</v>
      </c>
      <c r="K131" s="74" t="str">
        <f t="shared" si="83"/>
        <v/>
      </c>
      <c r="L131" s="79">
        <f t="shared" si="84"/>
        <v>4.4053928671382962E-3</v>
      </c>
      <c r="M131" s="79">
        <f t="shared" si="85"/>
        <v>9.2470059567570442E-3</v>
      </c>
      <c r="N131" s="79">
        <f t="shared" si="86"/>
        <v>1.1697034948852492E-2</v>
      </c>
      <c r="O131" s="61">
        <f t="shared" si="87"/>
        <v>1.3572698470495997E-2</v>
      </c>
      <c r="P131" s="55" t="s">
        <v>467</v>
      </c>
      <c r="Q131" s="65" t="s">
        <v>468</v>
      </c>
      <c r="R131" s="99" t="s">
        <v>32</v>
      </c>
      <c r="S131" s="79">
        <v>3.8604930000000003E-2</v>
      </c>
      <c r="T131" s="61">
        <f t="shared" si="77"/>
        <v>-1.2226280432429612E-3</v>
      </c>
      <c r="V131" s="117">
        <v>1.13038785</v>
      </c>
      <c r="W131" s="60">
        <v>2.9313760700000002</v>
      </c>
      <c r="X131" s="60">
        <v>4.5563787399999995</v>
      </c>
      <c r="Y131" s="60">
        <v>5.9824389999999994</v>
      </c>
      <c r="Z131" s="118">
        <v>7.8069529400000004</v>
      </c>
      <c r="AB131" s="74">
        <v>2.4581964162436527E-2</v>
      </c>
      <c r="AC131" s="79">
        <v>3.2027295067138299E-2</v>
      </c>
      <c r="AD131" s="79">
        <v>3.7382301956757041E-2</v>
      </c>
      <c r="AE131" s="79">
        <v>4.0612337148852484E-2</v>
      </c>
      <c r="AF131" s="61">
        <v>4.3709976470495994E-2</v>
      </c>
      <c r="AG131" s="74" t="s">
        <v>21</v>
      </c>
      <c r="AH131" s="79">
        <v>4.4053928671382962E-3</v>
      </c>
      <c r="AI131" s="79">
        <v>9.2470059567570442E-3</v>
      </c>
      <c r="AJ131" s="79">
        <v>1.1697034948852492E-2</v>
      </c>
      <c r="AK131" s="61">
        <v>1.3572698470495997E-2</v>
      </c>
    </row>
    <row r="132" spans="2:37" x14ac:dyDescent="0.35">
      <c r="B132" s="56" t="s">
        <v>106</v>
      </c>
      <c r="C132" s="66" t="s">
        <v>35</v>
      </c>
      <c r="D132" s="66" t="s">
        <v>62</v>
      </c>
      <c r="E132" s="66" t="s">
        <v>469</v>
      </c>
      <c r="F132" s="73">
        <f t="shared" si="78"/>
        <v>2.5727941518033544E-2</v>
      </c>
      <c r="G132" s="75">
        <f t="shared" si="79"/>
        <v>3.5235577398782289E-2</v>
      </c>
      <c r="H132" s="75">
        <f t="shared" si="80"/>
        <v>4.2569839872975322E-2</v>
      </c>
      <c r="I132" s="75">
        <f t="shared" si="81"/>
        <v>4.6619028546812033E-2</v>
      </c>
      <c r="J132" s="63">
        <f t="shared" si="82"/>
        <v>5.0484457492241612E-2</v>
      </c>
      <c r="K132" s="75" t="str">
        <f t="shared" si="83"/>
        <v/>
      </c>
      <c r="L132" s="75">
        <f t="shared" si="84"/>
        <v>7.53862939878229E-3</v>
      </c>
      <c r="M132" s="75">
        <f t="shared" si="85"/>
        <v>1.4300368372975323E-2</v>
      </c>
      <c r="N132" s="75">
        <f t="shared" si="86"/>
        <v>1.7536654646812044E-2</v>
      </c>
      <c r="O132" s="75">
        <f t="shared" si="87"/>
        <v>2.0165846992241609E-2</v>
      </c>
      <c r="P132" s="66" t="s">
        <v>21</v>
      </c>
      <c r="Q132" s="66" t="s">
        <v>21</v>
      </c>
      <c r="R132" s="95" t="s">
        <v>21</v>
      </c>
      <c r="S132" s="75" t="s">
        <v>21</v>
      </c>
      <c r="T132" s="75" t="str">
        <f t="shared" si="77"/>
        <v/>
      </c>
      <c r="V132" s="115">
        <v>1.12962933</v>
      </c>
      <c r="W132" s="107">
        <v>2.9205964199999999</v>
      </c>
      <c r="X132" s="107">
        <v>4.5173665999999999</v>
      </c>
      <c r="Y132" s="107">
        <v>5.8997050299999998</v>
      </c>
      <c r="Z132" s="116">
        <v>7.6374333700000001</v>
      </c>
      <c r="AB132" s="73">
        <v>2.5727941518033544E-2</v>
      </c>
      <c r="AC132" s="75">
        <v>3.5235577398782289E-2</v>
      </c>
      <c r="AD132" s="75">
        <v>4.2569839872975322E-2</v>
      </c>
      <c r="AE132" s="75">
        <v>4.6619028546812033E-2</v>
      </c>
      <c r="AF132" s="63">
        <v>5.0484457492241612E-2</v>
      </c>
      <c r="AG132" s="75" t="s">
        <v>21</v>
      </c>
      <c r="AH132" s="75">
        <v>7.53862939878229E-3</v>
      </c>
      <c r="AI132" s="75">
        <v>1.4300368372975323E-2</v>
      </c>
      <c r="AJ132" s="75">
        <v>1.7536654646812044E-2</v>
      </c>
      <c r="AK132" s="75">
        <v>2.0165846992241609E-2</v>
      </c>
    </row>
    <row r="133" spans="2:37" x14ac:dyDescent="0.35">
      <c r="B133" s="54" t="s">
        <v>107</v>
      </c>
      <c r="C133" s="52" t="s">
        <v>85</v>
      </c>
      <c r="D133" s="52" t="s">
        <v>62</v>
      </c>
      <c r="E133" s="52" t="s">
        <v>264</v>
      </c>
      <c r="F133" s="72">
        <f t="shared" si="78"/>
        <v>2.478345418786268E-2</v>
      </c>
      <c r="G133" s="59">
        <f t="shared" si="79"/>
        <v>3.2025086553225869E-2</v>
      </c>
      <c r="H133" s="59">
        <f t="shared" si="80"/>
        <v>3.7381555175833199E-2</v>
      </c>
      <c r="I133" s="59">
        <f t="shared" si="81"/>
        <v>4.0757700436780113E-2</v>
      </c>
      <c r="J133" s="62">
        <f t="shared" si="82"/>
        <v>4.3809880732533453E-2</v>
      </c>
      <c r="K133" s="72" t="str">
        <f t="shared" si="83"/>
        <v/>
      </c>
      <c r="L133" s="59">
        <f t="shared" si="84"/>
        <v>4.4031997532258688E-3</v>
      </c>
      <c r="M133" s="59">
        <f t="shared" si="85"/>
        <v>9.2461784758332017E-3</v>
      </c>
      <c r="N133" s="59">
        <f t="shared" si="86"/>
        <v>1.1836537636780116E-2</v>
      </c>
      <c r="O133" s="62">
        <f t="shared" si="87"/>
        <v>1.3669607332533454E-2</v>
      </c>
      <c r="P133" s="54" t="s">
        <v>21</v>
      </c>
      <c r="Q133" s="52" t="s">
        <v>21</v>
      </c>
      <c r="R133" s="93" t="s">
        <v>21</v>
      </c>
      <c r="S133" s="70" t="s">
        <v>21</v>
      </c>
      <c r="T133" s="62" t="str">
        <f t="shared" si="77"/>
        <v/>
      </c>
      <c r="V133" s="113">
        <v>1.12999816</v>
      </c>
      <c r="W133" s="71">
        <v>2.9306922499999999</v>
      </c>
      <c r="X133" s="71">
        <v>4.5557494099999998</v>
      </c>
      <c r="Y133" s="71">
        <v>5.97977165</v>
      </c>
      <c r="Z133" s="114">
        <v>7.8008130900000001</v>
      </c>
      <c r="AB133" s="72">
        <v>2.478345418786268E-2</v>
      </c>
      <c r="AC133" s="70">
        <v>3.2025086553225869E-2</v>
      </c>
      <c r="AD133" s="70">
        <v>3.7381555175833199E-2</v>
      </c>
      <c r="AE133" s="70">
        <v>4.0757700436780113E-2</v>
      </c>
      <c r="AF133" s="62">
        <v>4.3809880732533453E-2</v>
      </c>
      <c r="AG133" s="72" t="s">
        <v>21</v>
      </c>
      <c r="AH133" s="70">
        <v>4.4031997532258688E-3</v>
      </c>
      <c r="AI133" s="70">
        <v>9.2461784758332017E-3</v>
      </c>
      <c r="AJ133" s="70">
        <v>1.1836537636780116E-2</v>
      </c>
      <c r="AK133" s="62">
        <v>1.3669607332533454E-2</v>
      </c>
    </row>
    <row r="134" spans="2:37" x14ac:dyDescent="0.35">
      <c r="B134" s="54" t="s">
        <v>107</v>
      </c>
      <c r="C134" s="52" t="s">
        <v>35</v>
      </c>
      <c r="D134" s="52" t="s">
        <v>62</v>
      </c>
      <c r="E134" s="52" t="s">
        <v>289</v>
      </c>
      <c r="F134" s="72">
        <f t="shared" si="78"/>
        <v>2.5659110633743813E-2</v>
      </c>
      <c r="G134" s="59">
        <f t="shared" si="79"/>
        <v>3.4621810639928849E-2</v>
      </c>
      <c r="H134" s="59">
        <f t="shared" si="80"/>
        <v>4.1592887640743807E-2</v>
      </c>
      <c r="I134" s="59">
        <f t="shared" si="81"/>
        <v>4.5366584367486459E-2</v>
      </c>
      <c r="J134" s="62">
        <f t="shared" si="82"/>
        <v>4.9235117404092477E-2</v>
      </c>
      <c r="K134" s="72" t="str">
        <f t="shared" si="83"/>
        <v/>
      </c>
      <c r="L134" s="59">
        <f t="shared" si="84"/>
        <v>6.9442308399288426E-3</v>
      </c>
      <c r="M134" s="59">
        <f t="shared" si="85"/>
        <v>1.3359306140743807E-2</v>
      </c>
      <c r="N134" s="59">
        <f t="shared" si="86"/>
        <v>1.6332709667486449E-2</v>
      </c>
      <c r="O134" s="62">
        <f t="shared" si="87"/>
        <v>1.896161570409248E-2</v>
      </c>
      <c r="P134" s="54" t="s">
        <v>21</v>
      </c>
      <c r="Q134" s="52" t="s">
        <v>21</v>
      </c>
      <c r="R134" s="93" t="s">
        <v>21</v>
      </c>
      <c r="S134" s="70" t="s">
        <v>21</v>
      </c>
      <c r="T134" s="62" t="str">
        <f t="shared" si="77"/>
        <v/>
      </c>
      <c r="V134" s="113">
        <v>1.1297300800000001</v>
      </c>
      <c r="W134" s="71">
        <v>2.92375746</v>
      </c>
      <c r="X134" s="71">
        <v>4.5294813199999995</v>
      </c>
      <c r="Y134" s="71">
        <v>5.92699394</v>
      </c>
      <c r="Z134" s="114">
        <v>7.6922817199999995</v>
      </c>
      <c r="AB134" s="72">
        <v>2.5659110633743813E-2</v>
      </c>
      <c r="AC134" s="70">
        <v>3.4621810639928849E-2</v>
      </c>
      <c r="AD134" s="70">
        <v>4.1592887640743807E-2</v>
      </c>
      <c r="AE134" s="70">
        <v>4.5366584367486459E-2</v>
      </c>
      <c r="AF134" s="62">
        <v>4.9235117404092477E-2</v>
      </c>
      <c r="AG134" s="72" t="s">
        <v>21</v>
      </c>
      <c r="AH134" s="70">
        <v>6.9442308399288426E-3</v>
      </c>
      <c r="AI134" s="70">
        <v>1.3359306140743807E-2</v>
      </c>
      <c r="AJ134" s="70">
        <v>1.6332709667486449E-2</v>
      </c>
      <c r="AK134" s="62">
        <v>1.896161570409248E-2</v>
      </c>
    </row>
    <row r="135" spans="2:37" x14ac:dyDescent="0.35">
      <c r="B135" s="96" t="s">
        <v>83</v>
      </c>
      <c r="C135" s="97"/>
      <c r="D135" s="97"/>
      <c r="E135" s="97"/>
      <c r="F135" s="97" t="str">
        <f t="shared" si="78"/>
        <v/>
      </c>
      <c r="G135" s="97" t="str">
        <f t="shared" si="79"/>
        <v/>
      </c>
      <c r="H135" s="97" t="str">
        <f t="shared" si="80"/>
        <v/>
      </c>
      <c r="I135" s="97" t="str">
        <f t="shared" si="81"/>
        <v/>
      </c>
      <c r="J135" s="97" t="str">
        <f t="shared" si="82"/>
        <v/>
      </c>
      <c r="K135" s="97" t="str">
        <f t="shared" si="83"/>
        <v/>
      </c>
      <c r="L135" s="97" t="str">
        <f t="shared" si="84"/>
        <v/>
      </c>
      <c r="M135" s="97" t="str">
        <f t="shared" si="85"/>
        <v/>
      </c>
      <c r="N135" s="97" t="str">
        <f t="shared" si="86"/>
        <v/>
      </c>
      <c r="O135" s="76" t="str">
        <f t="shared" si="87"/>
        <v/>
      </c>
      <c r="P135" s="96"/>
      <c r="Q135" s="97"/>
      <c r="R135" s="100"/>
      <c r="S135" s="97"/>
      <c r="T135" s="98" t="str">
        <f t="shared" si="77"/>
        <v/>
      </c>
      <c r="V135" s="119"/>
      <c r="W135" s="108"/>
      <c r="X135" s="108"/>
      <c r="Y135" s="108"/>
      <c r="Z135" s="120"/>
      <c r="AB135" s="97"/>
      <c r="AC135" s="97"/>
      <c r="AD135" s="97"/>
      <c r="AE135" s="97"/>
      <c r="AF135" s="97"/>
      <c r="AG135" s="97"/>
      <c r="AH135" s="97"/>
      <c r="AI135" s="97"/>
      <c r="AJ135" s="97"/>
      <c r="AK135" s="76"/>
    </row>
    <row r="136" spans="2:37" x14ac:dyDescent="0.35">
      <c r="B136" s="55" t="s">
        <v>108</v>
      </c>
      <c r="C136" s="65" t="s">
        <v>85</v>
      </c>
      <c r="D136" s="65" t="s">
        <v>20</v>
      </c>
      <c r="E136" s="64" t="s">
        <v>58</v>
      </c>
      <c r="F136" s="79">
        <f t="shared" si="78"/>
        <v>2.4361347358557814E-2</v>
      </c>
      <c r="G136" s="79">
        <f t="shared" si="79"/>
        <v>3.1591722259350197E-2</v>
      </c>
      <c r="H136" s="79">
        <f t="shared" si="80"/>
        <v>3.6641771532362977E-2</v>
      </c>
      <c r="I136" s="79">
        <f t="shared" si="81"/>
        <v>4.0787701586882545E-2</v>
      </c>
      <c r="J136" s="61">
        <f t="shared" si="82"/>
        <v>4.4189705390759879E-2</v>
      </c>
      <c r="K136" s="79" t="str">
        <f t="shared" si="83"/>
        <v/>
      </c>
      <c r="L136" s="79">
        <f t="shared" si="84"/>
        <v>3.9679324593502058E-3</v>
      </c>
      <c r="M136" s="79">
        <f t="shared" si="85"/>
        <v>8.5152365323629738E-3</v>
      </c>
      <c r="N136" s="79">
        <f t="shared" si="86"/>
        <v>1.1845939486882539E-2</v>
      </c>
      <c r="O136" s="61">
        <f t="shared" si="87"/>
        <v>1.4020959590759876E-2</v>
      </c>
      <c r="P136" s="55" t="s">
        <v>470</v>
      </c>
      <c r="Q136" s="65" t="s">
        <v>471</v>
      </c>
      <c r="R136" s="99">
        <v>47580</v>
      </c>
      <c r="S136" s="79">
        <v>3.4393099999999996E-2</v>
      </c>
      <c r="T136" s="61">
        <f t="shared" si="77"/>
        <v>2.2486715323629808E-3</v>
      </c>
      <c r="V136" s="117">
        <v>1.1298240399999999</v>
      </c>
      <c r="W136" s="60">
        <v>2.9302582300000002</v>
      </c>
      <c r="X136" s="60">
        <v>4.5587060800000003</v>
      </c>
      <c r="Y136" s="60">
        <v>5.9743751400000003</v>
      </c>
      <c r="Z136" s="118">
        <v>7.7689760699999999</v>
      </c>
      <c r="AB136" s="79">
        <v>2.4361347358557814E-2</v>
      </c>
      <c r="AC136" s="79">
        <v>3.1591722259350197E-2</v>
      </c>
      <c r="AD136" s="79">
        <v>3.6641771532362977E-2</v>
      </c>
      <c r="AE136" s="79">
        <v>4.0787701586882545E-2</v>
      </c>
      <c r="AF136" s="61">
        <v>4.4189705390759879E-2</v>
      </c>
      <c r="AG136" s="79" t="s">
        <v>21</v>
      </c>
      <c r="AH136" s="79">
        <v>3.9679324593502058E-3</v>
      </c>
      <c r="AI136" s="79">
        <v>8.5152365323629738E-3</v>
      </c>
      <c r="AJ136" s="79">
        <v>1.1845939486882539E-2</v>
      </c>
      <c r="AK136" s="61">
        <v>1.4020959590759876E-2</v>
      </c>
    </row>
    <row r="137" spans="2:37" x14ac:dyDescent="0.35">
      <c r="B137" s="54" t="s">
        <v>109</v>
      </c>
      <c r="C137" s="52" t="s">
        <v>85</v>
      </c>
      <c r="D137" s="52" t="s">
        <v>20</v>
      </c>
      <c r="E137" s="58" t="s">
        <v>54</v>
      </c>
      <c r="F137" s="59">
        <f t="shared" si="78"/>
        <v>2.7154072630632888E-2</v>
      </c>
      <c r="G137" s="59">
        <f t="shared" si="79"/>
        <v>3.7620213325381562E-2</v>
      </c>
      <c r="H137" s="59">
        <f t="shared" si="80"/>
        <v>4.6705554210388682E-2</v>
      </c>
      <c r="I137" s="59">
        <f t="shared" si="81"/>
        <v>5.2953936715198054E-2</v>
      </c>
      <c r="J137" s="62">
        <f t="shared" si="82"/>
        <v>5.4900696837175779E-2</v>
      </c>
      <c r="K137" s="59" t="str">
        <f t="shared" si="83"/>
        <v/>
      </c>
      <c r="L137" s="59">
        <f t="shared" si="84"/>
        <v>9.7651941253815641E-3</v>
      </c>
      <c r="M137" s="59">
        <f t="shared" si="85"/>
        <v>1.8128341810388682E-2</v>
      </c>
      <c r="N137" s="59">
        <f t="shared" si="86"/>
        <v>2.3408817715198049E-2</v>
      </c>
      <c r="O137" s="62">
        <f t="shared" si="87"/>
        <v>2.4254978137175771E-2</v>
      </c>
      <c r="P137" s="54" t="s">
        <v>472</v>
      </c>
      <c r="Q137" s="52" t="s">
        <v>473</v>
      </c>
      <c r="R137" s="93" t="s">
        <v>32</v>
      </c>
      <c r="S137" s="70">
        <v>3.8513730000000003E-2</v>
      </c>
      <c r="T137" s="62">
        <f t="shared" si="77"/>
        <v>8.191824210388679E-3</v>
      </c>
      <c r="V137" s="113">
        <v>1.12393659</v>
      </c>
      <c r="W137" s="71">
        <v>2.8827100200000002</v>
      </c>
      <c r="X137" s="71">
        <v>4.3931680399999999</v>
      </c>
      <c r="Y137" s="71">
        <v>5.6227407100000004</v>
      </c>
      <c r="Z137" s="114">
        <v>7.1404282200000004</v>
      </c>
      <c r="AB137" s="70">
        <v>2.7154072630632888E-2</v>
      </c>
      <c r="AC137" s="70">
        <v>3.7620213325381562E-2</v>
      </c>
      <c r="AD137" s="70">
        <v>4.6705554210388682E-2</v>
      </c>
      <c r="AE137" s="70">
        <v>5.2953936715198054E-2</v>
      </c>
      <c r="AF137" s="62">
        <v>5.4900696837175779E-2</v>
      </c>
      <c r="AG137" s="70" t="s">
        <v>21</v>
      </c>
      <c r="AH137" s="70">
        <v>9.7651941253815641E-3</v>
      </c>
      <c r="AI137" s="70">
        <v>1.8128341810388682E-2</v>
      </c>
      <c r="AJ137" s="70">
        <v>2.3408817715198049E-2</v>
      </c>
      <c r="AK137" s="62">
        <v>2.4254978137175771E-2</v>
      </c>
    </row>
    <row r="138" spans="2:37" x14ac:dyDescent="0.35">
      <c r="B138" s="56" t="s">
        <v>111</v>
      </c>
      <c r="C138" s="66" t="s">
        <v>85</v>
      </c>
      <c r="D138" s="66" t="s">
        <v>20</v>
      </c>
      <c r="E138" s="53" t="s">
        <v>112</v>
      </c>
      <c r="F138" s="75">
        <f t="shared" si="78"/>
        <v>2.53310204255007E-2</v>
      </c>
      <c r="G138" s="75">
        <f t="shared" si="79"/>
        <v>3.3638180524980993E-2</v>
      </c>
      <c r="H138" s="75">
        <f t="shared" si="80"/>
        <v>3.9446825464073354E-2</v>
      </c>
      <c r="I138" s="75">
        <f t="shared" si="81"/>
        <v>4.3020052840778047E-2</v>
      </c>
      <c r="J138" s="63">
        <f t="shared" si="82"/>
        <v>4.6414170729114822E-2</v>
      </c>
      <c r="K138" s="75" t="str">
        <f t="shared" si="83"/>
        <v/>
      </c>
      <c r="L138" s="75">
        <f t="shared" si="84"/>
        <v>5.9384270249809874E-3</v>
      </c>
      <c r="M138" s="75">
        <f t="shared" si="85"/>
        <v>1.1210895364073355E-2</v>
      </c>
      <c r="N138" s="75">
        <f t="shared" si="86"/>
        <v>1.3984170840778049E-2</v>
      </c>
      <c r="O138" s="63">
        <f t="shared" si="87"/>
        <v>1.6159762729114829E-2</v>
      </c>
      <c r="P138" s="56" t="s">
        <v>21</v>
      </c>
      <c r="Q138" s="66" t="s">
        <v>21</v>
      </c>
      <c r="R138" s="95" t="s">
        <v>21</v>
      </c>
      <c r="S138" s="75" t="s">
        <v>21</v>
      </c>
      <c r="T138" s="63" t="str">
        <f t="shared" si="77"/>
        <v/>
      </c>
      <c r="V138" s="115">
        <v>1.1280184500000001</v>
      </c>
      <c r="W138" s="107">
        <v>2.91400156</v>
      </c>
      <c r="X138" s="107">
        <v>4.5092714800000007</v>
      </c>
      <c r="Y138" s="107">
        <v>5.8883130699999997</v>
      </c>
      <c r="Z138" s="116">
        <v>7.6178230099999995</v>
      </c>
      <c r="AB138" s="75">
        <v>2.53310204255007E-2</v>
      </c>
      <c r="AC138" s="75">
        <v>3.3638180524980993E-2</v>
      </c>
      <c r="AD138" s="75">
        <v>3.9446825464073354E-2</v>
      </c>
      <c r="AE138" s="75">
        <v>4.3020052840778047E-2</v>
      </c>
      <c r="AF138" s="63">
        <v>4.6414170729114822E-2</v>
      </c>
      <c r="AG138" s="75" t="s">
        <v>21</v>
      </c>
      <c r="AH138" s="75">
        <v>5.9384270249809874E-3</v>
      </c>
      <c r="AI138" s="75">
        <v>1.1210895364073355E-2</v>
      </c>
      <c r="AJ138" s="75">
        <v>1.3984170840778049E-2</v>
      </c>
      <c r="AK138" s="63">
        <v>1.6159762729114829E-2</v>
      </c>
    </row>
    <row r="139" spans="2:37" x14ac:dyDescent="0.35">
      <c r="B139" s="52"/>
      <c r="C139" s="52"/>
      <c r="D139" s="52"/>
      <c r="E139" s="52"/>
      <c r="P139" s="127"/>
      <c r="Q139" s="127"/>
      <c r="R139" s="44"/>
      <c r="S139" s="127"/>
      <c r="T139" s="127"/>
      <c r="V139" s="71"/>
      <c r="W139" s="71"/>
      <c r="X139" s="71"/>
      <c r="Y139" s="71"/>
      <c r="Z139" s="71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</row>
    <row r="140" spans="2:37" ht="15.5" x14ac:dyDescent="0.35">
      <c r="B140" s="121" t="s">
        <v>113</v>
      </c>
      <c r="C140" s="52"/>
      <c r="D140" s="52"/>
      <c r="E140" s="52"/>
      <c r="P140" s="52"/>
      <c r="Q140" s="52"/>
      <c r="R140" s="93"/>
      <c r="S140" s="70"/>
      <c r="T140" s="70"/>
      <c r="V140" s="71"/>
      <c r="W140" s="71"/>
      <c r="X140" s="71"/>
      <c r="Y140" s="71"/>
      <c r="Z140" s="71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</row>
    <row r="141" spans="2:37" x14ac:dyDescent="0.35">
      <c r="B141" s="84" t="s">
        <v>5</v>
      </c>
      <c r="C141" s="83" t="s">
        <v>6</v>
      </c>
      <c r="D141" s="83" t="s">
        <v>7</v>
      </c>
      <c r="E141" s="83" t="s">
        <v>8</v>
      </c>
      <c r="F141" s="6" t="s">
        <v>9</v>
      </c>
      <c r="G141" s="7" t="s">
        <v>10</v>
      </c>
      <c r="H141" s="7" t="s">
        <v>11</v>
      </c>
      <c r="I141" s="7" t="s">
        <v>12</v>
      </c>
      <c r="J141" s="8" t="s">
        <v>13</v>
      </c>
      <c r="K141" s="6" t="s">
        <v>9</v>
      </c>
      <c r="L141" s="7" t="s">
        <v>10</v>
      </c>
      <c r="M141" s="7" t="s">
        <v>11</v>
      </c>
      <c r="N141" s="7" t="s">
        <v>12</v>
      </c>
      <c r="O141" s="8" t="s">
        <v>13</v>
      </c>
      <c r="P141" s="69" t="s">
        <v>14</v>
      </c>
      <c r="Q141" s="57" t="s">
        <v>15</v>
      </c>
      <c r="R141" s="57" t="s">
        <v>16</v>
      </c>
      <c r="S141" s="57" t="s">
        <v>17</v>
      </c>
      <c r="T141" s="57" t="s">
        <v>18</v>
      </c>
      <c r="V141" s="109" t="s">
        <v>9</v>
      </c>
      <c r="W141" s="105" t="s">
        <v>10</v>
      </c>
      <c r="X141" s="105" t="s">
        <v>11</v>
      </c>
      <c r="Y141" s="105" t="s">
        <v>12</v>
      </c>
      <c r="Z141" s="110" t="s">
        <v>13</v>
      </c>
      <c r="AB141" s="82" t="s">
        <v>9</v>
      </c>
      <c r="AC141" s="81" t="s">
        <v>10</v>
      </c>
      <c r="AD141" s="81" t="s">
        <v>11</v>
      </c>
      <c r="AE141" s="81" t="s">
        <v>12</v>
      </c>
      <c r="AF141" s="80" t="s">
        <v>13</v>
      </c>
      <c r="AG141" s="82" t="s">
        <v>9</v>
      </c>
      <c r="AH141" s="81" t="s">
        <v>10</v>
      </c>
      <c r="AI141" s="81" t="s">
        <v>11</v>
      </c>
      <c r="AJ141" s="81" t="s">
        <v>12</v>
      </c>
      <c r="AK141" s="80" t="s">
        <v>13</v>
      </c>
    </row>
    <row r="142" spans="2:37" x14ac:dyDescent="0.35">
      <c r="B142" s="78" t="s">
        <v>114</v>
      </c>
      <c r="C142" s="9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6"/>
      <c r="P142" s="78"/>
      <c r="Q142" s="77"/>
      <c r="R142" s="94"/>
      <c r="S142" s="77"/>
      <c r="T142" s="76"/>
      <c r="V142" s="111"/>
      <c r="W142" s="106"/>
      <c r="X142" s="106"/>
      <c r="Y142" s="106"/>
      <c r="Z142" s="112"/>
      <c r="AB142" s="77"/>
      <c r="AC142" s="77"/>
      <c r="AD142" s="77"/>
      <c r="AE142" s="77"/>
      <c r="AF142" s="77"/>
      <c r="AG142" s="77"/>
      <c r="AH142" s="77"/>
      <c r="AI142" s="77"/>
      <c r="AJ142" s="77"/>
      <c r="AK142" s="76"/>
    </row>
    <row r="143" spans="2:37" x14ac:dyDescent="0.35">
      <c r="B143" s="55" t="s">
        <v>317</v>
      </c>
      <c r="C143" s="65" t="s">
        <v>232</v>
      </c>
      <c r="D143" s="65" t="s">
        <v>20</v>
      </c>
      <c r="E143" s="65" t="s">
        <v>21</v>
      </c>
      <c r="F143" s="74">
        <f t="shared" ref="F143:F173" si="88">IF(ISNUMBER(AB143),AB143-((C$4-C$3)/V143),"")</f>
        <v>2.667684413974199E-2</v>
      </c>
      <c r="G143" s="79">
        <f t="shared" ref="G143:G173" si="89">IF(ISNUMBER(AC143),AC143-((D$4-D$3)/W143),"")</f>
        <v>3.9232528038636985E-2</v>
      </c>
      <c r="H143" s="79">
        <f t="shared" ref="H143:H173" si="90">IF(ISNUMBER(AD143),AD143-((E$4-E$3)/X143),"")</f>
        <v>5.2998471883574545E-2</v>
      </c>
      <c r="I143" s="79">
        <f t="shared" ref="I143:I173" si="91">IF(ISNUMBER(AE143),AE143-((F$4-F$3)/Y143),"")</f>
        <v>5.9484865544295301E-2</v>
      </c>
      <c r="J143" s="61">
        <f t="shared" ref="J143:J173" si="92">IF(ISNUMBER(AF143),AF143-((G$4-G$3)/Z143),"")</f>
        <v>6.4381827874193415E-2</v>
      </c>
      <c r="K143" s="79" t="str">
        <f t="shared" ref="K143:K173" si="93">IF(ISNUMBER(AG143),IF(AG143-((C$4-C$3)/V143)&lt;0,"",AG143-((C$4-C$3)/V143)),"")</f>
        <v/>
      </c>
      <c r="L143" s="79">
        <f t="shared" ref="L143:L173" si="94">IF(ISNUMBER(AH143),IF(AH143-((D$4-D$3)/W143)&lt;0,"",AH143-((D$4-D$3)/W143)),"")</f>
        <v>1.1293867038636982E-2</v>
      </c>
      <c r="M143" s="79">
        <f t="shared" ref="M143:M173" si="95">IF(ISNUMBER(AI143),IF(AI143-((E$4-E$3)/X143)&lt;0,"",AI143-((E$4-E$3)/X143)),"")</f>
        <v>2.4053024283574545E-2</v>
      </c>
      <c r="N143" s="79">
        <f t="shared" ref="N143:N173" si="96">IF(ISNUMBER(AJ143),IF(AJ143-((F$4-F$3)/Y143)&lt;0,"",AJ143-((F$4-F$3)/Y143)),"")</f>
        <v>2.9527121444295305E-2</v>
      </c>
      <c r="O143" s="61">
        <f t="shared" ref="O143:O173" si="97">IF(ISNUMBER(AK143),IF(AK143-((G$4-G$3)/Z143)&lt;0,"",AK143-((G$4-G$3)/Z143)),"")</f>
        <v>3.3168872374193435E-2</v>
      </c>
      <c r="P143" s="55" t="s">
        <v>21</v>
      </c>
      <c r="Q143" s="65" t="s">
        <v>21</v>
      </c>
      <c r="R143" s="99" t="s">
        <v>21</v>
      </c>
      <c r="S143" s="79" t="s">
        <v>21</v>
      </c>
      <c r="T143" s="61" t="str">
        <f t="shared" ref="T143:T276" si="98">IF(S143="","",H143-S143)</f>
        <v/>
      </c>
      <c r="V143" s="113">
        <v>1.1253549999999999</v>
      </c>
      <c r="W143" s="71">
        <v>2.8745471399999998</v>
      </c>
      <c r="X143" s="71">
        <v>4.3198218800000001</v>
      </c>
      <c r="Y143" s="71">
        <v>5.45203506</v>
      </c>
      <c r="Z143" s="114">
        <v>6.7398504600000004</v>
      </c>
      <c r="AB143" s="74">
        <v>2.667684413974199E-2</v>
      </c>
      <c r="AC143" s="79">
        <v>3.9232528038636985E-2</v>
      </c>
      <c r="AD143" s="79">
        <v>5.2998471883574545E-2</v>
      </c>
      <c r="AE143" s="79">
        <v>5.9484865544295301E-2</v>
      </c>
      <c r="AF143" s="61">
        <v>6.4381827874193415E-2</v>
      </c>
      <c r="AG143" s="79" t="s">
        <v>21</v>
      </c>
      <c r="AH143" s="79">
        <v>1.1293867038636982E-2</v>
      </c>
      <c r="AI143" s="79">
        <v>2.4053024283574545E-2</v>
      </c>
      <c r="AJ143" s="79">
        <v>2.9527121444295305E-2</v>
      </c>
      <c r="AK143" s="61">
        <v>3.3168872374193435E-2</v>
      </c>
    </row>
    <row r="144" spans="2:37" x14ac:dyDescent="0.35">
      <c r="B144" s="54" t="s">
        <v>175</v>
      </c>
      <c r="C144" s="52" t="s">
        <v>232</v>
      </c>
      <c r="D144" s="52" t="s">
        <v>43</v>
      </c>
      <c r="E144" s="52" t="s">
        <v>21</v>
      </c>
      <c r="F144" s="72">
        <f t="shared" si="88"/>
        <v>2.6853016165246803E-2</v>
      </c>
      <c r="G144" s="59">
        <f t="shared" si="89"/>
        <v>4.0164529931884109E-2</v>
      </c>
      <c r="H144" s="59">
        <f t="shared" si="90"/>
        <v>5.2052806019091173E-2</v>
      </c>
      <c r="I144" s="59">
        <f t="shared" si="91"/>
        <v>6.050356792747133E-2</v>
      </c>
      <c r="J144" s="62">
        <f t="shared" si="92"/>
        <v>6.4608007718221047E-2</v>
      </c>
      <c r="K144" s="59" t="str">
        <f t="shared" si="93"/>
        <v/>
      </c>
      <c r="L144" s="59">
        <f t="shared" si="94"/>
        <v>1.2207344531884113E-2</v>
      </c>
      <c r="M144" s="59">
        <f t="shared" si="95"/>
        <v>2.3196750719091178E-2</v>
      </c>
      <c r="N144" s="59">
        <f t="shared" si="96"/>
        <v>3.0507612527471327E-2</v>
      </c>
      <c r="O144" s="62">
        <f t="shared" si="97"/>
        <v>3.3416643618221047E-2</v>
      </c>
      <c r="P144" s="54" t="s">
        <v>21</v>
      </c>
      <c r="Q144" s="52" t="s">
        <v>21</v>
      </c>
      <c r="R144" s="93" t="s">
        <v>21</v>
      </c>
      <c r="S144" s="70" t="s">
        <v>21</v>
      </c>
      <c r="T144" s="62" t="str">
        <f t="shared" si="98"/>
        <v/>
      </c>
      <c r="V144" s="113">
        <v>1.1260284</v>
      </c>
      <c r="W144" s="71">
        <v>2.8705945699999997</v>
      </c>
      <c r="X144" s="71">
        <v>4.3285633800000003</v>
      </c>
      <c r="Y144" s="71">
        <v>5.4614408299999999</v>
      </c>
      <c r="Z144" s="114">
        <v>6.7524673599999998</v>
      </c>
      <c r="AB144" s="72">
        <v>2.6853016165246803E-2</v>
      </c>
      <c r="AC144" s="70">
        <v>4.0164529931884109E-2</v>
      </c>
      <c r="AD144" s="70">
        <v>5.2052806019091173E-2</v>
      </c>
      <c r="AE144" s="70">
        <v>6.050356792747133E-2</v>
      </c>
      <c r="AF144" s="62">
        <v>6.4608007718221047E-2</v>
      </c>
      <c r="AG144" s="70" t="s">
        <v>21</v>
      </c>
      <c r="AH144" s="70">
        <v>1.2207344531884113E-2</v>
      </c>
      <c r="AI144" s="70">
        <v>2.3196750719091178E-2</v>
      </c>
      <c r="AJ144" s="70">
        <v>3.0507612527471327E-2</v>
      </c>
      <c r="AK144" s="62">
        <v>3.3416643618221047E-2</v>
      </c>
    </row>
    <row r="145" spans="2:37" x14ac:dyDescent="0.35">
      <c r="B145" s="54" t="s">
        <v>122</v>
      </c>
      <c r="C145" s="52" t="s">
        <v>232</v>
      </c>
      <c r="D145" s="52" t="s">
        <v>97</v>
      </c>
      <c r="E145" s="52" t="s">
        <v>267</v>
      </c>
      <c r="F145" s="72">
        <f t="shared" si="88"/>
        <v>2.6109584781576316E-2</v>
      </c>
      <c r="G145" s="59">
        <f t="shared" si="89"/>
        <v>3.9194084327520397E-2</v>
      </c>
      <c r="H145" s="59">
        <f t="shared" si="90"/>
        <v>4.9978957969489729E-2</v>
      </c>
      <c r="I145" s="59">
        <f t="shared" si="91"/>
        <v>5.8268452187639853E-2</v>
      </c>
      <c r="J145" s="62">
        <f t="shared" si="92"/>
        <v>6.4679959579320073E-2</v>
      </c>
      <c r="K145" s="59" t="str">
        <f t="shared" si="93"/>
        <v/>
      </c>
      <c r="L145" s="59">
        <f t="shared" si="94"/>
        <v>1.1286830727520403E-2</v>
      </c>
      <c r="M145" s="59">
        <f t="shared" si="95"/>
        <v>2.1248070469489719E-2</v>
      </c>
      <c r="N145" s="59">
        <f t="shared" si="96"/>
        <v>2.8426065887639858E-2</v>
      </c>
      <c r="O145" s="62">
        <f t="shared" si="97"/>
        <v>3.3482592879320081E-2</v>
      </c>
      <c r="P145" s="54" t="s">
        <v>21</v>
      </c>
      <c r="Q145" s="52" t="s">
        <v>21</v>
      </c>
      <c r="R145" s="93" t="s">
        <v>21</v>
      </c>
      <c r="S145" s="70" t="s">
        <v>21</v>
      </c>
      <c r="T145" s="62" t="str">
        <f t="shared" si="98"/>
        <v/>
      </c>
      <c r="V145" s="113">
        <v>1.12741486</v>
      </c>
      <c r="W145" s="71">
        <v>2.88047846</v>
      </c>
      <c r="X145" s="71">
        <v>4.3608742200000004</v>
      </c>
      <c r="Y145" s="71">
        <v>5.5249435800000004</v>
      </c>
      <c r="Z145" s="114">
        <v>6.8179511000000002</v>
      </c>
      <c r="AB145" s="72">
        <v>2.6109584781576316E-2</v>
      </c>
      <c r="AC145" s="70">
        <v>3.9194084327520397E-2</v>
      </c>
      <c r="AD145" s="70">
        <v>4.9978957969489729E-2</v>
      </c>
      <c r="AE145" s="70">
        <v>5.8268452187639853E-2</v>
      </c>
      <c r="AF145" s="62">
        <v>6.4679959579320073E-2</v>
      </c>
      <c r="AG145" s="70" t="s">
        <v>21</v>
      </c>
      <c r="AH145" s="70">
        <v>1.1286830727520403E-2</v>
      </c>
      <c r="AI145" s="70">
        <v>2.1248070469489719E-2</v>
      </c>
      <c r="AJ145" s="70">
        <v>2.8426065887639858E-2</v>
      </c>
      <c r="AK145" s="62">
        <v>3.3482592879320081E-2</v>
      </c>
    </row>
    <row r="146" spans="2:37" s="52" customFormat="1" x14ac:dyDescent="0.35">
      <c r="B146" s="54" t="s">
        <v>168</v>
      </c>
      <c r="C146" s="52" t="s">
        <v>232</v>
      </c>
      <c r="D146" s="52" t="s">
        <v>20</v>
      </c>
      <c r="E146" s="52" t="s">
        <v>21</v>
      </c>
      <c r="F146" s="72">
        <f t="shared" ref="F146:F147" si="99">IF(ISNUMBER(AB146),AB146-((C$4-C$3)/V146),"")</f>
        <v>2.8913639607778489E-2</v>
      </c>
      <c r="G146" s="59">
        <f t="shared" ref="G146:G147" si="100">IF(ISNUMBER(AC146),AC146-((D$4-D$3)/W146),"")</f>
        <v>4.0088505500370776E-2</v>
      </c>
      <c r="H146" s="59">
        <f t="shared" ref="H146:H147" si="101">IF(ISNUMBER(AD146),AD146-((E$4-E$3)/X146),"")</f>
        <v>4.9910760150470725E-2</v>
      </c>
      <c r="I146" s="59">
        <f t="shared" ref="I146:I147" si="102">IF(ISNUMBER(AE146),AE146-((F$4-F$3)/Y146),"")</f>
        <v>5.4991392342562957E-2</v>
      </c>
      <c r="J146" s="62">
        <f t="shared" ref="J146:J147" si="103">IF(ISNUMBER(AF146),AF146-((G$4-G$3)/Z146),"")</f>
        <v>5.9822989393284509E-2</v>
      </c>
      <c r="K146" s="59">
        <f t="shared" ref="K146:K147" si="104">IF(ISNUMBER(AG146),IF(AG146-((C$4-C$3)/V146)&lt;0,"",AG146-((C$4-C$3)/V146)),"")</f>
        <v>1.6652562077784806E-3</v>
      </c>
      <c r="L146" s="59">
        <f t="shared" ref="L146:L147" si="105">IF(ISNUMBER(AH146),IF(AH146-((D$4-D$3)/W146)&lt;0,"",AH146-((D$4-D$3)/W146)),"")</f>
        <v>1.211297360037078E-2</v>
      </c>
      <c r="M146" s="59">
        <f t="shared" ref="M146:M147" si="106">IF(ISNUMBER(AI146),IF(AI146-((E$4-E$3)/X146)&lt;0,"",AI146-((E$4-E$3)/X146)),"")</f>
        <v>2.1152390750470724E-2</v>
      </c>
      <c r="N146" s="59">
        <f t="shared" ref="N146:N147" si="107">IF(ISNUMBER(AJ146),IF(AJ146-((F$4-F$3)/Y146)&lt;0,"",AJ146-((F$4-F$3)/Y146)),"")</f>
        <v>2.5325231342562954E-2</v>
      </c>
      <c r="O146" s="62">
        <f t="shared" ref="O146:O147" si="108">IF(ISNUMBER(AK146),IF(AK146-((G$4-G$3)/Z146)&lt;0,"",AK146-((G$4-G$3)/Z146)),"")</f>
        <v>2.8889380193284509E-2</v>
      </c>
      <c r="P146" s="54" t="s">
        <v>474</v>
      </c>
      <c r="Q146" s="52" t="s">
        <v>475</v>
      </c>
      <c r="R146" s="93">
        <v>47505</v>
      </c>
      <c r="S146" s="70">
        <v>4.5329649999999999E-2</v>
      </c>
      <c r="T146" s="62">
        <f t="shared" ref="T146:T147" si="109">IF(S146="","",H146-S146)</f>
        <v>4.5811101504707255E-3</v>
      </c>
      <c r="V146" s="113">
        <v>1.11953923</v>
      </c>
      <c r="W146" s="71">
        <v>2.8574448700000001</v>
      </c>
      <c r="X146" s="71">
        <v>4.3362656499999996</v>
      </c>
      <c r="Y146" s="71">
        <v>5.5267409500000007</v>
      </c>
      <c r="Z146" s="114">
        <v>6.9267912099999993</v>
      </c>
      <c r="AB146" s="72">
        <v>2.8913639607778489E-2</v>
      </c>
      <c r="AC146" s="70">
        <v>4.0088505500370776E-2</v>
      </c>
      <c r="AD146" s="70">
        <v>4.9910760150470725E-2</v>
      </c>
      <c r="AE146" s="70">
        <v>5.4991392342562957E-2</v>
      </c>
      <c r="AF146" s="62">
        <v>5.9822989393284509E-2</v>
      </c>
      <c r="AG146" s="70">
        <v>1.6652562077784806E-3</v>
      </c>
      <c r="AH146" s="70">
        <v>1.211297360037078E-2</v>
      </c>
      <c r="AI146" s="70">
        <v>2.1152390750470724E-2</v>
      </c>
      <c r="AJ146" s="70">
        <v>2.5325231342562954E-2</v>
      </c>
      <c r="AK146" s="62">
        <v>2.8889380193284509E-2</v>
      </c>
    </row>
    <row r="147" spans="2:37" s="52" customFormat="1" x14ac:dyDescent="0.35">
      <c r="B147" s="54" t="s">
        <v>152</v>
      </c>
      <c r="C147" s="52" t="s">
        <v>232</v>
      </c>
      <c r="D147" s="52" t="s">
        <v>20</v>
      </c>
      <c r="E147" s="52" t="s">
        <v>123</v>
      </c>
      <c r="F147" s="72">
        <f t="shared" si="99"/>
        <v>2.8063358451298988E-2</v>
      </c>
      <c r="G147" s="59">
        <f t="shared" si="100"/>
        <v>4.1330052779693975E-2</v>
      </c>
      <c r="H147" s="59">
        <f t="shared" si="101"/>
        <v>4.8603242369079924E-2</v>
      </c>
      <c r="I147" s="59">
        <f t="shared" si="102"/>
        <v>5.3682082477450474E-2</v>
      </c>
      <c r="J147" s="62">
        <f t="shared" si="103"/>
        <v>5.7117096869335394E-2</v>
      </c>
      <c r="K147" s="59">
        <f t="shared" si="104"/>
        <v>8.519525512989852E-4</v>
      </c>
      <c r="L147" s="59">
        <f t="shared" si="105"/>
        <v>1.3289102979693972E-2</v>
      </c>
      <c r="M147" s="59">
        <f t="shared" si="106"/>
        <v>1.9915617069079929E-2</v>
      </c>
      <c r="N147" s="59">
        <f t="shared" si="107"/>
        <v>2.4085951577450471E-2</v>
      </c>
      <c r="O147" s="62">
        <f t="shared" si="108"/>
        <v>2.633371256933539E-2</v>
      </c>
      <c r="P147" s="54" t="s">
        <v>476</v>
      </c>
      <c r="Q147" s="52" t="s">
        <v>477</v>
      </c>
      <c r="R147" s="93">
        <v>47484</v>
      </c>
      <c r="S147" s="70">
        <v>4.1304619999999993E-2</v>
      </c>
      <c r="T147" s="62">
        <f t="shared" si="109"/>
        <v>7.2986223690799309E-3</v>
      </c>
      <c r="V147" s="113">
        <v>1.12170189</v>
      </c>
      <c r="W147" s="71">
        <v>2.85362136</v>
      </c>
      <c r="X147" s="71">
        <v>4.3399966900000004</v>
      </c>
      <c r="Y147" s="71">
        <v>5.5578208099999999</v>
      </c>
      <c r="Z147" s="114">
        <v>7.0219000300000003</v>
      </c>
      <c r="AB147" s="72">
        <v>2.8063358451298988E-2</v>
      </c>
      <c r="AC147" s="70">
        <v>4.1330052779693975E-2</v>
      </c>
      <c r="AD147" s="70">
        <v>4.8603242369079924E-2</v>
      </c>
      <c r="AE147" s="70">
        <v>5.3682082477450474E-2</v>
      </c>
      <c r="AF147" s="62">
        <v>5.7117096869335394E-2</v>
      </c>
      <c r="AG147" s="70">
        <v>8.519525512989852E-4</v>
      </c>
      <c r="AH147" s="70">
        <v>1.3289102979693972E-2</v>
      </c>
      <c r="AI147" s="70">
        <v>1.9915617069079929E-2</v>
      </c>
      <c r="AJ147" s="70">
        <v>2.4085951577450471E-2</v>
      </c>
      <c r="AK147" s="62">
        <v>2.633371256933539E-2</v>
      </c>
    </row>
    <row r="148" spans="2:37" x14ac:dyDescent="0.35">
      <c r="B148" s="54" t="s">
        <v>174</v>
      </c>
      <c r="C148" s="52" t="s">
        <v>232</v>
      </c>
      <c r="D148" s="52" t="s">
        <v>47</v>
      </c>
      <c r="E148" s="52" t="s">
        <v>21</v>
      </c>
      <c r="F148" s="72">
        <f t="shared" si="88"/>
        <v>2.9494287891825705E-2</v>
      </c>
      <c r="G148" s="59">
        <f t="shared" si="89"/>
        <v>3.935218390438678E-2</v>
      </c>
      <c r="H148" s="59">
        <f t="shared" si="90"/>
        <v>4.7724868394768756E-2</v>
      </c>
      <c r="I148" s="59">
        <f t="shared" si="91"/>
        <v>5.1176453536115857E-2</v>
      </c>
      <c r="J148" s="62">
        <f t="shared" si="92"/>
        <v>5.4503336205184306E-2</v>
      </c>
      <c r="K148" s="59">
        <f t="shared" si="93"/>
        <v>2.2312953918256998E-3</v>
      </c>
      <c r="L148" s="59">
        <f t="shared" si="94"/>
        <v>1.1430735904386787E-2</v>
      </c>
      <c r="M148" s="59">
        <f t="shared" si="95"/>
        <v>1.9111113394768744E-2</v>
      </c>
      <c r="N148" s="59">
        <f t="shared" si="96"/>
        <v>2.175417653611586E-2</v>
      </c>
      <c r="O148" s="62">
        <f t="shared" si="97"/>
        <v>2.3886886905184306E-2</v>
      </c>
      <c r="P148" s="54" t="s">
        <v>21</v>
      </c>
      <c r="Q148" s="52" t="s">
        <v>21</v>
      </c>
      <c r="R148" s="93" t="s">
        <v>21</v>
      </c>
      <c r="S148" s="70" t="s">
        <v>21</v>
      </c>
      <c r="T148" s="62" t="str">
        <f t="shared" si="98"/>
        <v/>
      </c>
      <c r="V148" s="113">
        <v>1.1194463800000001</v>
      </c>
      <c r="W148" s="71">
        <v>2.8670977</v>
      </c>
      <c r="X148" s="71">
        <v>4.3704426300000003</v>
      </c>
      <c r="Y148" s="71">
        <v>5.6325744200000001</v>
      </c>
      <c r="Z148" s="114">
        <v>7.1739266199999996</v>
      </c>
      <c r="AB148" s="72">
        <v>2.9494287891825705E-2</v>
      </c>
      <c r="AC148" s="70">
        <v>3.935218390438678E-2</v>
      </c>
      <c r="AD148" s="70">
        <v>4.7724868394768756E-2</v>
      </c>
      <c r="AE148" s="70">
        <v>5.1176453536115857E-2</v>
      </c>
      <c r="AF148" s="62">
        <v>5.4503336205184306E-2</v>
      </c>
      <c r="AG148" s="70">
        <v>2.2312953918256998E-3</v>
      </c>
      <c r="AH148" s="70">
        <v>1.1430735904386787E-2</v>
      </c>
      <c r="AI148" s="70">
        <v>1.9111113394768744E-2</v>
      </c>
      <c r="AJ148" s="70">
        <v>2.175417653611586E-2</v>
      </c>
      <c r="AK148" s="62">
        <v>2.3886886905184306E-2</v>
      </c>
    </row>
    <row r="149" spans="2:37" x14ac:dyDescent="0.35">
      <c r="B149" s="54" t="s">
        <v>323</v>
      </c>
      <c r="C149" s="52" t="s">
        <v>232</v>
      </c>
      <c r="D149" s="52" t="s">
        <v>69</v>
      </c>
      <c r="E149" s="52" t="s">
        <v>116</v>
      </c>
      <c r="F149" s="72">
        <f t="shared" si="88"/>
        <v>2.6899526451966783E-2</v>
      </c>
      <c r="G149" s="59">
        <f t="shared" si="89"/>
        <v>3.7103377971048006E-2</v>
      </c>
      <c r="H149" s="59">
        <f t="shared" si="90"/>
        <v>4.7161854583862663E-2</v>
      </c>
      <c r="I149" s="59">
        <f t="shared" si="91"/>
        <v>5.2914812463818864E-2</v>
      </c>
      <c r="J149" s="62">
        <f t="shared" si="92"/>
        <v>5.7630558972204288E-2</v>
      </c>
      <c r="K149" s="59" t="str">
        <f t="shared" si="93"/>
        <v/>
      </c>
      <c r="L149" s="59">
        <f t="shared" si="94"/>
        <v>9.2862266710480069E-3</v>
      </c>
      <c r="M149" s="59">
        <f t="shared" si="95"/>
        <v>1.8582676183862661E-2</v>
      </c>
      <c r="N149" s="59">
        <f t="shared" si="96"/>
        <v>2.3398602163818859E-2</v>
      </c>
      <c r="O149" s="62">
        <f t="shared" si="97"/>
        <v>2.6857720572204292E-2</v>
      </c>
      <c r="P149" s="54" t="s">
        <v>377</v>
      </c>
      <c r="Q149" s="52" t="s">
        <v>378</v>
      </c>
      <c r="R149" s="93" t="s">
        <v>32</v>
      </c>
      <c r="S149" s="70">
        <v>3.9136169999999998E-2</v>
      </c>
      <c r="T149" s="62">
        <f t="shared" si="98"/>
        <v>8.0256845838626648E-3</v>
      </c>
      <c r="V149" s="113">
        <v>1.1259174699999999</v>
      </c>
      <c r="W149" s="71">
        <v>2.8910048700000002</v>
      </c>
      <c r="X149" s="71">
        <v>4.4037447799999994</v>
      </c>
      <c r="Y149" s="71">
        <v>5.6404149700000001</v>
      </c>
      <c r="Z149" s="114">
        <v>7.0966573500000001</v>
      </c>
      <c r="AB149" s="72">
        <v>2.6899526451966783E-2</v>
      </c>
      <c r="AC149" s="70">
        <v>3.7103377971048006E-2</v>
      </c>
      <c r="AD149" s="70">
        <v>4.7161854583862663E-2</v>
      </c>
      <c r="AE149" s="70">
        <v>5.2914812463818864E-2</v>
      </c>
      <c r="AF149" s="62">
        <v>5.7630558972204288E-2</v>
      </c>
      <c r="AG149" s="70" t="s">
        <v>21</v>
      </c>
      <c r="AH149" s="70">
        <v>9.2862266710480069E-3</v>
      </c>
      <c r="AI149" s="70">
        <v>1.8582676183862661E-2</v>
      </c>
      <c r="AJ149" s="70">
        <v>2.3398602163818859E-2</v>
      </c>
      <c r="AK149" s="62">
        <v>2.6857720572204292E-2</v>
      </c>
    </row>
    <row r="150" spans="2:37" x14ac:dyDescent="0.35">
      <c r="B150" s="54" t="s">
        <v>130</v>
      </c>
      <c r="C150" s="52" t="s">
        <v>232</v>
      </c>
      <c r="D150" s="52" t="s">
        <v>131</v>
      </c>
      <c r="E150" s="52" t="s">
        <v>288</v>
      </c>
      <c r="F150" s="72">
        <f t="shared" si="88"/>
        <v>2.6442215129295704E-2</v>
      </c>
      <c r="G150" s="59">
        <f t="shared" si="89"/>
        <v>3.6629699207036903E-2</v>
      </c>
      <c r="H150" s="59">
        <f t="shared" si="90"/>
        <v>4.5751735993547003E-2</v>
      </c>
      <c r="I150" s="59">
        <f t="shared" si="91"/>
        <v>5.1965207204610293E-2</v>
      </c>
      <c r="J150" s="62">
        <f t="shared" si="92"/>
        <v>5.6411551091174642E-2</v>
      </c>
      <c r="K150" s="59" t="str">
        <f t="shared" si="93"/>
        <v/>
      </c>
      <c r="L150" s="59">
        <f t="shared" si="94"/>
        <v>8.8320596070368997E-3</v>
      </c>
      <c r="M150" s="59">
        <f t="shared" si="95"/>
        <v>1.7246417893547014E-2</v>
      </c>
      <c r="N150" s="59">
        <f t="shared" si="96"/>
        <v>2.2503099904610292E-2</v>
      </c>
      <c r="O150" s="62">
        <f t="shared" si="97"/>
        <v>2.5709051291174654E-2</v>
      </c>
      <c r="P150" s="54" t="s">
        <v>478</v>
      </c>
      <c r="Q150" s="52" t="s">
        <v>479</v>
      </c>
      <c r="R150" s="93">
        <v>47532</v>
      </c>
      <c r="S150" s="70">
        <v>3.8594959999999998E-2</v>
      </c>
      <c r="T150" s="62">
        <f t="shared" si="98"/>
        <v>7.1567759935470057E-3</v>
      </c>
      <c r="V150" s="113">
        <v>1.12680555</v>
      </c>
      <c r="W150" s="71">
        <v>2.8955767899999998</v>
      </c>
      <c r="X150" s="71">
        <v>4.4237631299999993</v>
      </c>
      <c r="Y150" s="71">
        <v>5.6757277799999999</v>
      </c>
      <c r="Z150" s="114">
        <v>7.1592318899999992</v>
      </c>
      <c r="AB150" s="72">
        <v>2.6442215129295704E-2</v>
      </c>
      <c r="AC150" s="70">
        <v>3.6629699207036903E-2</v>
      </c>
      <c r="AD150" s="70">
        <v>4.5751735993547003E-2</v>
      </c>
      <c r="AE150" s="70">
        <v>5.1965207204610293E-2</v>
      </c>
      <c r="AF150" s="62">
        <v>5.6411551091174642E-2</v>
      </c>
      <c r="AG150" s="70" t="s">
        <v>21</v>
      </c>
      <c r="AH150" s="70">
        <v>8.8320596070368997E-3</v>
      </c>
      <c r="AI150" s="70">
        <v>1.7246417893547014E-2</v>
      </c>
      <c r="AJ150" s="70">
        <v>2.2503099904610292E-2</v>
      </c>
      <c r="AK150" s="62">
        <v>2.5709051291174654E-2</v>
      </c>
    </row>
    <row r="151" spans="2:37" x14ac:dyDescent="0.35">
      <c r="B151" s="54" t="s">
        <v>171</v>
      </c>
      <c r="C151" s="52" t="s">
        <v>232</v>
      </c>
      <c r="D151" s="52" t="s">
        <v>20</v>
      </c>
      <c r="E151" s="52" t="s">
        <v>21</v>
      </c>
      <c r="F151" s="72">
        <f t="shared" si="88"/>
        <v>2.7172521517298424E-2</v>
      </c>
      <c r="G151" s="59">
        <f t="shared" si="89"/>
        <v>3.6616985026696136E-2</v>
      </c>
      <c r="H151" s="59">
        <f t="shared" si="90"/>
        <v>4.4477617341468864E-2</v>
      </c>
      <c r="I151" s="59">
        <f t="shared" si="91"/>
        <v>4.9123686455584945E-2</v>
      </c>
      <c r="J151" s="62">
        <f t="shared" si="92"/>
        <v>5.3607036738646814E-2</v>
      </c>
      <c r="K151" s="59" t="str">
        <f t="shared" si="93"/>
        <v/>
      </c>
      <c r="L151" s="59">
        <f t="shared" si="94"/>
        <v>8.7982907266961462E-3</v>
      </c>
      <c r="M151" s="59">
        <f t="shared" si="95"/>
        <v>1.6012582641468858E-2</v>
      </c>
      <c r="N151" s="59">
        <f t="shared" si="96"/>
        <v>1.979400925558494E-2</v>
      </c>
      <c r="O151" s="62">
        <f t="shared" si="97"/>
        <v>2.3024112138646816E-2</v>
      </c>
      <c r="P151" s="54" t="s">
        <v>480</v>
      </c>
      <c r="Q151" s="52" t="s">
        <v>481</v>
      </c>
      <c r="R151" s="93">
        <v>47644</v>
      </c>
      <c r="S151" s="70">
        <v>3.8409770000000003E-2</v>
      </c>
      <c r="T151" s="62">
        <f t="shared" si="98"/>
        <v>6.0678473414688613E-3</v>
      </c>
      <c r="V151" s="113">
        <v>1.1239660599999999</v>
      </c>
      <c r="W151" s="71">
        <v>2.8897085100000002</v>
      </c>
      <c r="X151" s="71">
        <v>4.4256841099999997</v>
      </c>
      <c r="Y151" s="71">
        <v>5.7087983600000003</v>
      </c>
      <c r="Z151" s="114">
        <v>7.2553541900000003</v>
      </c>
      <c r="AB151" s="72">
        <v>2.7172521517298424E-2</v>
      </c>
      <c r="AC151" s="70">
        <v>3.6616985026696136E-2</v>
      </c>
      <c r="AD151" s="70">
        <v>4.4477617341468864E-2</v>
      </c>
      <c r="AE151" s="70">
        <v>4.9123686455584945E-2</v>
      </c>
      <c r="AF151" s="62">
        <v>5.3607036738646814E-2</v>
      </c>
      <c r="AG151" s="70" t="s">
        <v>21</v>
      </c>
      <c r="AH151" s="70">
        <v>8.7982907266961462E-3</v>
      </c>
      <c r="AI151" s="70">
        <v>1.6012582641468858E-2</v>
      </c>
      <c r="AJ151" s="70">
        <v>1.979400925558494E-2</v>
      </c>
      <c r="AK151" s="62">
        <v>2.3024112138646816E-2</v>
      </c>
    </row>
    <row r="152" spans="2:37" x14ac:dyDescent="0.35">
      <c r="B152" s="54" t="s">
        <v>332</v>
      </c>
      <c r="C152" s="52" t="s">
        <v>232</v>
      </c>
      <c r="D152" s="52" t="s">
        <v>20</v>
      </c>
      <c r="E152" s="52" t="s">
        <v>21</v>
      </c>
      <c r="F152" s="72">
        <f t="shared" si="88"/>
        <v>2.5440718250999583E-2</v>
      </c>
      <c r="G152" s="59">
        <f t="shared" si="89"/>
        <v>3.4450769588869751E-2</v>
      </c>
      <c r="H152" s="59">
        <f t="shared" si="90"/>
        <v>4.3044604706723007E-2</v>
      </c>
      <c r="I152" s="59">
        <f t="shared" si="91"/>
        <v>4.7392674268630058E-2</v>
      </c>
      <c r="J152" s="62">
        <f t="shared" si="92"/>
        <v>5.1674355035582903E-2</v>
      </c>
      <c r="K152" s="59" t="str">
        <f t="shared" si="93"/>
        <v/>
      </c>
      <c r="L152" s="59">
        <f t="shared" si="94"/>
        <v>6.7188877888697592E-3</v>
      </c>
      <c r="M152" s="59">
        <f t="shared" si="95"/>
        <v>1.4647925106723001E-2</v>
      </c>
      <c r="N152" s="59">
        <f t="shared" si="96"/>
        <v>1.8152841068630056E-2</v>
      </c>
      <c r="O152" s="62">
        <f t="shared" si="97"/>
        <v>2.1188410235582898E-2</v>
      </c>
      <c r="P152" s="54" t="s">
        <v>21</v>
      </c>
      <c r="Q152" s="52" t="s">
        <v>21</v>
      </c>
      <c r="R152" s="93" t="s">
        <v>21</v>
      </c>
      <c r="S152" s="70" t="s">
        <v>21</v>
      </c>
      <c r="T152" s="62" t="str">
        <f t="shared" si="98"/>
        <v/>
      </c>
      <c r="V152" s="113">
        <v>1.12786319</v>
      </c>
      <c r="W152" s="71">
        <v>2.90693168</v>
      </c>
      <c r="X152" s="71">
        <v>4.4623117499999996</v>
      </c>
      <c r="Y152" s="71">
        <v>5.7679754499999998</v>
      </c>
      <c r="Z152" s="114">
        <v>7.3616752699999992</v>
      </c>
      <c r="AB152" s="72">
        <v>2.5440718250999583E-2</v>
      </c>
      <c r="AC152" s="70">
        <v>3.4450769588869751E-2</v>
      </c>
      <c r="AD152" s="70">
        <v>4.3044604706723007E-2</v>
      </c>
      <c r="AE152" s="70">
        <v>4.7392674268630058E-2</v>
      </c>
      <c r="AF152" s="62">
        <v>5.1674355035582903E-2</v>
      </c>
      <c r="AG152" s="70" t="s">
        <v>21</v>
      </c>
      <c r="AH152" s="70">
        <v>6.7188877888697592E-3</v>
      </c>
      <c r="AI152" s="70">
        <v>1.4647925106723001E-2</v>
      </c>
      <c r="AJ152" s="70">
        <v>1.8152841068630056E-2</v>
      </c>
      <c r="AK152" s="62">
        <v>2.1188410235582898E-2</v>
      </c>
    </row>
    <row r="153" spans="2:37" x14ac:dyDescent="0.35">
      <c r="B153" s="54" t="s">
        <v>118</v>
      </c>
      <c r="C153" s="52" t="s">
        <v>232</v>
      </c>
      <c r="D153" s="52" t="s">
        <v>20</v>
      </c>
      <c r="E153" s="52" t="s">
        <v>123</v>
      </c>
      <c r="F153" s="72">
        <f t="shared" si="88"/>
        <v>2.5802544997406123E-2</v>
      </c>
      <c r="G153" s="59">
        <f t="shared" si="89"/>
        <v>3.5124232796571238E-2</v>
      </c>
      <c r="H153" s="59">
        <f t="shared" si="90"/>
        <v>4.2954610019318204E-2</v>
      </c>
      <c r="I153" s="59">
        <f t="shared" si="91"/>
        <v>4.8364146232742045E-2</v>
      </c>
      <c r="J153" s="62">
        <f t="shared" si="92"/>
        <v>5.214150515389316E-2</v>
      </c>
      <c r="K153" s="59" t="str">
        <f t="shared" si="93"/>
        <v/>
      </c>
      <c r="L153" s="59">
        <f t="shared" si="94"/>
        <v>7.3675522965712436E-3</v>
      </c>
      <c r="M153" s="59">
        <f t="shared" si="95"/>
        <v>1.4565065419318204E-2</v>
      </c>
      <c r="N153" s="59">
        <f t="shared" si="96"/>
        <v>1.907444293274204E-2</v>
      </c>
      <c r="O153" s="62">
        <f t="shared" si="97"/>
        <v>2.1637997753893148E-2</v>
      </c>
      <c r="P153" s="54" t="s">
        <v>482</v>
      </c>
      <c r="Q153" s="52" t="s">
        <v>483</v>
      </c>
      <c r="R153" s="93">
        <v>47557</v>
      </c>
      <c r="S153" s="70">
        <v>3.7273670000000002E-2</v>
      </c>
      <c r="T153" s="62">
        <f t="shared" si="98"/>
        <v>5.6809400193182022E-3</v>
      </c>
      <c r="V153" s="113">
        <v>1.12707654</v>
      </c>
      <c r="W153" s="71">
        <v>2.9025078500000001</v>
      </c>
      <c r="X153" s="71">
        <v>4.4565687700000005</v>
      </c>
      <c r="Y153" s="71">
        <v>5.7587887499999999</v>
      </c>
      <c r="Z153" s="114">
        <v>7.3391782899999995</v>
      </c>
      <c r="AB153" s="72">
        <v>2.5802544997406123E-2</v>
      </c>
      <c r="AC153" s="70">
        <v>3.5124232796571238E-2</v>
      </c>
      <c r="AD153" s="70">
        <v>4.2954610019318204E-2</v>
      </c>
      <c r="AE153" s="70">
        <v>4.8364146232742045E-2</v>
      </c>
      <c r="AF153" s="62">
        <v>5.214150515389316E-2</v>
      </c>
      <c r="AG153" s="70" t="s">
        <v>21</v>
      </c>
      <c r="AH153" s="70">
        <v>7.3675522965712436E-3</v>
      </c>
      <c r="AI153" s="70">
        <v>1.4565065419318204E-2</v>
      </c>
      <c r="AJ153" s="70">
        <v>1.907444293274204E-2</v>
      </c>
      <c r="AK153" s="62">
        <v>2.1637997753893148E-2</v>
      </c>
    </row>
    <row r="154" spans="2:37" x14ac:dyDescent="0.35">
      <c r="B154" s="54" t="s">
        <v>318</v>
      </c>
      <c r="C154" s="52" t="s">
        <v>232</v>
      </c>
      <c r="D154" s="52" t="s">
        <v>20</v>
      </c>
      <c r="E154" s="52" t="s">
        <v>316</v>
      </c>
      <c r="F154" s="72">
        <f t="shared" si="88"/>
        <v>2.5933289361124195E-2</v>
      </c>
      <c r="G154" s="59">
        <f t="shared" si="89"/>
        <v>3.5669117902019383E-2</v>
      </c>
      <c r="H154" s="59">
        <f t="shared" si="90"/>
        <v>4.2762353204412469E-2</v>
      </c>
      <c r="I154" s="59">
        <f t="shared" si="91"/>
        <v>4.6976659112869648E-2</v>
      </c>
      <c r="J154" s="62">
        <f t="shared" si="92"/>
        <v>5.054774086373872E-2</v>
      </c>
      <c r="K154" s="59" t="str">
        <f t="shared" si="93"/>
        <v/>
      </c>
      <c r="L154" s="59">
        <f t="shared" si="94"/>
        <v>7.8906656020193821E-3</v>
      </c>
      <c r="M154" s="59">
        <f t="shared" si="95"/>
        <v>1.4380230104412462E-2</v>
      </c>
      <c r="N154" s="59">
        <f t="shared" si="96"/>
        <v>1.7755668512869652E-2</v>
      </c>
      <c r="O154" s="62">
        <f t="shared" si="97"/>
        <v>2.0113502363738725E-2</v>
      </c>
      <c r="P154" s="54" t="s">
        <v>21</v>
      </c>
      <c r="Q154" s="52" t="s">
        <v>21</v>
      </c>
      <c r="R154" s="93" t="s">
        <v>21</v>
      </c>
      <c r="S154" s="70" t="s">
        <v>21</v>
      </c>
      <c r="T154" s="62" t="str">
        <f t="shared" si="98"/>
        <v/>
      </c>
      <c r="V154" s="113">
        <v>1.12681688</v>
      </c>
      <c r="W154" s="71">
        <v>2.8973316599999999</v>
      </c>
      <c r="X154" s="71">
        <v>4.4528762299999993</v>
      </c>
      <c r="Y154" s="71">
        <v>5.7698215999999993</v>
      </c>
      <c r="Z154" s="114">
        <v>7.3920921700000006</v>
      </c>
      <c r="AB154" s="72">
        <v>2.5933289361124195E-2</v>
      </c>
      <c r="AC154" s="70">
        <v>3.5669117902019383E-2</v>
      </c>
      <c r="AD154" s="70">
        <v>4.2762353204412469E-2</v>
      </c>
      <c r="AE154" s="70">
        <v>4.6976659112869648E-2</v>
      </c>
      <c r="AF154" s="62">
        <v>5.054774086373872E-2</v>
      </c>
      <c r="AG154" s="70" t="s">
        <v>21</v>
      </c>
      <c r="AH154" s="70">
        <v>7.8906656020193821E-3</v>
      </c>
      <c r="AI154" s="70">
        <v>1.4380230104412462E-2</v>
      </c>
      <c r="AJ154" s="70">
        <v>1.7755668512869652E-2</v>
      </c>
      <c r="AK154" s="62">
        <v>2.0113502363738725E-2</v>
      </c>
    </row>
    <row r="155" spans="2:37" x14ac:dyDescent="0.35">
      <c r="B155" s="54" t="s">
        <v>119</v>
      </c>
      <c r="C155" s="52" t="s">
        <v>232</v>
      </c>
      <c r="D155" s="52" t="s">
        <v>120</v>
      </c>
      <c r="E155" s="52" t="s">
        <v>21</v>
      </c>
      <c r="F155" s="72">
        <f t="shared" si="88"/>
        <v>2.508666618334545E-2</v>
      </c>
      <c r="G155" s="59">
        <f t="shared" si="89"/>
        <v>3.4870664914022645E-2</v>
      </c>
      <c r="H155" s="59">
        <f t="shared" si="90"/>
        <v>4.2578699025374693E-2</v>
      </c>
      <c r="I155" s="59">
        <f t="shared" si="91"/>
        <v>4.8334715245889434E-2</v>
      </c>
      <c r="J155" s="62">
        <f t="shared" si="92"/>
        <v>5.433976711476507E-2</v>
      </c>
      <c r="K155" s="59" t="str">
        <f t="shared" si="93"/>
        <v/>
      </c>
      <c r="L155" s="59">
        <f t="shared" si="94"/>
        <v>7.1447812140226427E-3</v>
      </c>
      <c r="M155" s="59">
        <f t="shared" si="95"/>
        <v>1.4231428325374695E-2</v>
      </c>
      <c r="N155" s="59">
        <f t="shared" si="96"/>
        <v>1.9074691345889433E-2</v>
      </c>
      <c r="O155" s="62">
        <f t="shared" si="97"/>
        <v>2.3749939814765069E-2</v>
      </c>
      <c r="P155" s="54" t="s">
        <v>21</v>
      </c>
      <c r="Q155" s="52" t="s">
        <v>21</v>
      </c>
      <c r="R155" s="93" t="s">
        <v>21</v>
      </c>
      <c r="S155" s="70" t="s">
        <v>21</v>
      </c>
      <c r="T155" s="62" t="str">
        <f t="shared" si="98"/>
        <v/>
      </c>
      <c r="V155" s="113">
        <v>1.1294132700000001</v>
      </c>
      <c r="W155" s="71">
        <v>2.9126868999999997</v>
      </c>
      <c r="X155" s="71">
        <v>4.4777151699999997</v>
      </c>
      <c r="Y155" s="71">
        <v>5.7854897200000002</v>
      </c>
      <c r="Z155" s="114">
        <v>7.3282641699999997</v>
      </c>
      <c r="AB155" s="72">
        <v>2.508666618334545E-2</v>
      </c>
      <c r="AC155" s="70">
        <v>3.4870664914022645E-2</v>
      </c>
      <c r="AD155" s="70">
        <v>4.2578699025374693E-2</v>
      </c>
      <c r="AE155" s="70">
        <v>4.8334715245889434E-2</v>
      </c>
      <c r="AF155" s="62">
        <v>5.433976711476507E-2</v>
      </c>
      <c r="AG155" s="70" t="s">
        <v>21</v>
      </c>
      <c r="AH155" s="70">
        <v>7.1447812140226427E-3</v>
      </c>
      <c r="AI155" s="70">
        <v>1.4231428325374695E-2</v>
      </c>
      <c r="AJ155" s="70">
        <v>1.9074691345889433E-2</v>
      </c>
      <c r="AK155" s="62">
        <v>2.3749939814765069E-2</v>
      </c>
    </row>
    <row r="156" spans="2:37" x14ac:dyDescent="0.35">
      <c r="B156" s="54" t="s">
        <v>115</v>
      </c>
      <c r="C156" s="52" t="s">
        <v>232</v>
      </c>
      <c r="D156" s="52" t="s">
        <v>31</v>
      </c>
      <c r="E156" s="52" t="s">
        <v>21</v>
      </c>
      <c r="F156" s="72">
        <f t="shared" si="88"/>
        <v>2.56040699397308E-2</v>
      </c>
      <c r="G156" s="59">
        <f t="shared" si="89"/>
        <v>3.4148021756918827E-2</v>
      </c>
      <c r="H156" s="59">
        <f t="shared" si="90"/>
        <v>4.2240916536907057E-2</v>
      </c>
      <c r="I156" s="59">
        <f t="shared" si="91"/>
        <v>4.7548619989248628E-2</v>
      </c>
      <c r="J156" s="62">
        <f t="shared" si="92"/>
        <v>5.2735528668969363E-2</v>
      </c>
      <c r="K156" s="59" t="str">
        <f t="shared" si="93"/>
        <v/>
      </c>
      <c r="L156" s="59">
        <f t="shared" si="94"/>
        <v>6.4504929569188345E-3</v>
      </c>
      <c r="M156" s="59">
        <f t="shared" si="95"/>
        <v>1.3908031236907046E-2</v>
      </c>
      <c r="N156" s="59">
        <f t="shared" si="96"/>
        <v>1.8326059789248637E-2</v>
      </c>
      <c r="O156" s="62">
        <f t="shared" si="97"/>
        <v>2.2223793468969355E-2</v>
      </c>
      <c r="P156" s="54" t="s">
        <v>484</v>
      </c>
      <c r="Q156" s="52" t="s">
        <v>485</v>
      </c>
      <c r="R156" s="93">
        <v>47492</v>
      </c>
      <c r="S156" s="70">
        <v>3.543433E-2</v>
      </c>
      <c r="T156" s="62">
        <f t="shared" si="98"/>
        <v>6.8065865369070569E-3</v>
      </c>
      <c r="V156" s="113">
        <v>1.1283929099999999</v>
      </c>
      <c r="W156" s="71">
        <v>2.9143451099999997</v>
      </c>
      <c r="X156" s="71">
        <v>4.4841528899999998</v>
      </c>
      <c r="Y156" s="71">
        <v>5.8019222399999997</v>
      </c>
      <c r="Z156" s="114">
        <v>7.3812137299999998</v>
      </c>
      <c r="AB156" s="72">
        <v>2.56040699397308E-2</v>
      </c>
      <c r="AC156" s="70">
        <v>3.4148021756918827E-2</v>
      </c>
      <c r="AD156" s="70">
        <v>4.2240916536907057E-2</v>
      </c>
      <c r="AE156" s="70">
        <v>4.7548619989248628E-2</v>
      </c>
      <c r="AF156" s="62">
        <v>5.2735528668969363E-2</v>
      </c>
      <c r="AG156" s="70" t="s">
        <v>21</v>
      </c>
      <c r="AH156" s="70">
        <v>6.4504929569188345E-3</v>
      </c>
      <c r="AI156" s="70">
        <v>1.3908031236907046E-2</v>
      </c>
      <c r="AJ156" s="70">
        <v>1.8326059789248637E-2</v>
      </c>
      <c r="AK156" s="62">
        <v>2.2223793468969355E-2</v>
      </c>
    </row>
    <row r="157" spans="2:37" x14ac:dyDescent="0.35">
      <c r="B157" s="54" t="s">
        <v>319</v>
      </c>
      <c r="C157" s="52" t="s">
        <v>232</v>
      </c>
      <c r="D157" s="52" t="s">
        <v>97</v>
      </c>
      <c r="E157" s="52" t="s">
        <v>36</v>
      </c>
      <c r="F157" s="72">
        <f t="shared" si="88"/>
        <v>2.5518089396676054E-2</v>
      </c>
      <c r="G157" s="59">
        <f t="shared" si="89"/>
        <v>3.4509698218486262E-2</v>
      </c>
      <c r="H157" s="59">
        <f t="shared" si="90"/>
        <v>4.2143301777893688E-2</v>
      </c>
      <c r="I157" s="59">
        <f t="shared" si="91"/>
        <v>4.7473175925227672E-2</v>
      </c>
      <c r="J157" s="62">
        <f t="shared" si="92"/>
        <v>5.3397067475042144E-2</v>
      </c>
      <c r="K157" s="59" t="str">
        <f t="shared" si="93"/>
        <v/>
      </c>
      <c r="L157" s="59">
        <f t="shared" si="94"/>
        <v>6.7980350184862655E-3</v>
      </c>
      <c r="M157" s="59">
        <f t="shared" si="95"/>
        <v>1.3815940677893684E-2</v>
      </c>
      <c r="N157" s="59">
        <f t="shared" si="96"/>
        <v>1.8256468825227672E-2</v>
      </c>
      <c r="O157" s="62">
        <f t="shared" si="97"/>
        <v>2.2853428575042131E-2</v>
      </c>
      <c r="P157" s="54" t="s">
        <v>21</v>
      </c>
      <c r="Q157" s="52" t="s">
        <v>21</v>
      </c>
      <c r="R157" s="93" t="s">
        <v>21</v>
      </c>
      <c r="S157" s="70" t="s">
        <v>21</v>
      </c>
      <c r="T157" s="62" t="str">
        <f t="shared" si="98"/>
        <v/>
      </c>
      <c r="V157" s="113">
        <v>1.1285704400000001</v>
      </c>
      <c r="W157" s="71">
        <v>2.9122789999999998</v>
      </c>
      <c r="X157" s="71">
        <v>4.4828450399999999</v>
      </c>
      <c r="Y157" s="71">
        <v>5.8033846599999999</v>
      </c>
      <c r="Z157" s="114">
        <v>7.3714161900000006</v>
      </c>
      <c r="AB157" s="72">
        <v>2.5518089396676054E-2</v>
      </c>
      <c r="AC157" s="70">
        <v>3.4509698218486262E-2</v>
      </c>
      <c r="AD157" s="70">
        <v>4.2143301777893688E-2</v>
      </c>
      <c r="AE157" s="70">
        <v>4.7473175925227672E-2</v>
      </c>
      <c r="AF157" s="62">
        <v>5.3397067475042144E-2</v>
      </c>
      <c r="AG157" s="70" t="s">
        <v>21</v>
      </c>
      <c r="AH157" s="70">
        <v>6.7980350184862655E-3</v>
      </c>
      <c r="AI157" s="70">
        <v>1.3815940677893684E-2</v>
      </c>
      <c r="AJ157" s="70">
        <v>1.8256468825227672E-2</v>
      </c>
      <c r="AK157" s="62">
        <v>2.2853428575042131E-2</v>
      </c>
    </row>
    <row r="158" spans="2:37" x14ac:dyDescent="0.35">
      <c r="B158" s="54" t="s">
        <v>134</v>
      </c>
      <c r="C158" s="52" t="s">
        <v>232</v>
      </c>
      <c r="D158" s="52" t="s">
        <v>43</v>
      </c>
      <c r="E158" s="52" t="s">
        <v>486</v>
      </c>
      <c r="F158" s="72">
        <f t="shared" si="88"/>
        <v>2.5456093185848756E-2</v>
      </c>
      <c r="G158" s="59">
        <f t="shared" si="89"/>
        <v>3.4132784984159184E-2</v>
      </c>
      <c r="H158" s="59">
        <f t="shared" si="90"/>
        <v>4.1698051595917517E-2</v>
      </c>
      <c r="I158" s="59">
        <f t="shared" si="91"/>
        <v>4.6822373575409734E-2</v>
      </c>
      <c r="J158" s="62">
        <f t="shared" si="92"/>
        <v>5.2360255472113863E-2</v>
      </c>
      <c r="K158" s="59" t="str">
        <f t="shared" si="93"/>
        <v/>
      </c>
      <c r="L158" s="59">
        <f t="shared" si="94"/>
        <v>6.4382752841591834E-3</v>
      </c>
      <c r="M158" s="59">
        <f t="shared" si="95"/>
        <v>1.3391616595917524E-2</v>
      </c>
      <c r="N158" s="59">
        <f t="shared" si="96"/>
        <v>1.7637177075409741E-2</v>
      </c>
      <c r="O158" s="62">
        <f t="shared" si="97"/>
        <v>2.1866195772113857E-2</v>
      </c>
      <c r="P158" s="54" t="s">
        <v>487</v>
      </c>
      <c r="Q158" s="52" t="s">
        <v>488</v>
      </c>
      <c r="R158" s="93" t="s">
        <v>32</v>
      </c>
      <c r="S158" s="70">
        <v>3.7437190000000002E-2</v>
      </c>
      <c r="T158" s="62">
        <f t="shared" si="98"/>
        <v>4.2608615959175145E-3</v>
      </c>
      <c r="V158" s="113">
        <v>1.1286335999999999</v>
      </c>
      <c r="W158" s="71">
        <v>2.91537873</v>
      </c>
      <c r="X158" s="71">
        <v>4.4908340500000001</v>
      </c>
      <c r="Y158" s="71">
        <v>5.8199115699999995</v>
      </c>
      <c r="Z158" s="114">
        <v>7.4108404899999991</v>
      </c>
      <c r="AB158" s="72">
        <v>2.5456093185848756E-2</v>
      </c>
      <c r="AC158" s="70">
        <v>3.4132784984159184E-2</v>
      </c>
      <c r="AD158" s="70">
        <v>4.1698051595917517E-2</v>
      </c>
      <c r="AE158" s="70">
        <v>4.6822373575409734E-2</v>
      </c>
      <c r="AF158" s="62">
        <v>5.2360255472113863E-2</v>
      </c>
      <c r="AG158" s="70" t="s">
        <v>21</v>
      </c>
      <c r="AH158" s="70">
        <v>6.4382752841591834E-3</v>
      </c>
      <c r="AI158" s="70">
        <v>1.3391616595917524E-2</v>
      </c>
      <c r="AJ158" s="70">
        <v>1.7637177075409741E-2</v>
      </c>
      <c r="AK158" s="62">
        <v>2.1866195772113857E-2</v>
      </c>
    </row>
    <row r="159" spans="2:37" x14ac:dyDescent="0.35">
      <c r="B159" s="54" t="s">
        <v>326</v>
      </c>
      <c r="C159" s="52" t="s">
        <v>232</v>
      </c>
      <c r="D159" s="52" t="s">
        <v>255</v>
      </c>
      <c r="E159" s="52" t="s">
        <v>21</v>
      </c>
      <c r="F159" s="72">
        <f t="shared" si="88"/>
        <v>2.6423810084821711E-2</v>
      </c>
      <c r="G159" s="59">
        <f t="shared" si="89"/>
        <v>3.4699467122496372E-2</v>
      </c>
      <c r="H159" s="59">
        <f t="shared" si="90"/>
        <v>4.1668644647266183E-2</v>
      </c>
      <c r="I159" s="59">
        <f t="shared" si="91"/>
        <v>4.5475104776840455E-2</v>
      </c>
      <c r="J159" s="62">
        <f t="shared" si="92"/>
        <v>4.9379541470107938E-2</v>
      </c>
      <c r="K159" s="59" t="str">
        <f t="shared" si="93"/>
        <v/>
      </c>
      <c r="L159" s="59">
        <f t="shared" si="94"/>
        <v>6.9795774224963719E-3</v>
      </c>
      <c r="M159" s="59">
        <f t="shared" si="95"/>
        <v>1.3360250147266181E-2</v>
      </c>
      <c r="N159" s="59">
        <f t="shared" si="96"/>
        <v>1.6351311676840456E-2</v>
      </c>
      <c r="O159" s="62">
        <f t="shared" si="97"/>
        <v>1.9018881370107946E-2</v>
      </c>
      <c r="P159" s="54" t="s">
        <v>21</v>
      </c>
      <c r="Q159" s="52" t="s">
        <v>21</v>
      </c>
      <c r="R159" s="93" t="s">
        <v>21</v>
      </c>
      <c r="S159" s="70" t="s">
        <v>21</v>
      </c>
      <c r="T159" s="62" t="str">
        <f t="shared" si="98"/>
        <v/>
      </c>
      <c r="V159" s="113">
        <v>1.1268329800000001</v>
      </c>
      <c r="W159" s="71">
        <v>2.90789367</v>
      </c>
      <c r="X159" s="71">
        <v>4.48285205</v>
      </c>
      <c r="Y159" s="71">
        <v>5.8317275000000004</v>
      </c>
      <c r="Z159" s="114">
        <v>7.5015127000000001</v>
      </c>
      <c r="AB159" s="72">
        <v>2.6423810084821711E-2</v>
      </c>
      <c r="AC159" s="70">
        <v>3.4699467122496372E-2</v>
      </c>
      <c r="AD159" s="70">
        <v>4.1668644647266183E-2</v>
      </c>
      <c r="AE159" s="70">
        <v>4.5475104776840455E-2</v>
      </c>
      <c r="AF159" s="62">
        <v>4.9379541470107938E-2</v>
      </c>
      <c r="AG159" s="70" t="s">
        <v>21</v>
      </c>
      <c r="AH159" s="70">
        <v>6.9795774224963719E-3</v>
      </c>
      <c r="AI159" s="70">
        <v>1.3360250147266181E-2</v>
      </c>
      <c r="AJ159" s="70">
        <v>1.6351311676840456E-2</v>
      </c>
      <c r="AK159" s="62">
        <v>1.9018881370107946E-2</v>
      </c>
    </row>
    <row r="160" spans="2:37" x14ac:dyDescent="0.35">
      <c r="B160" s="54" t="s">
        <v>333</v>
      </c>
      <c r="C160" s="52" t="s">
        <v>232</v>
      </c>
      <c r="D160" s="52" t="s">
        <v>20</v>
      </c>
      <c r="E160" s="52" t="s">
        <v>21</v>
      </c>
      <c r="F160" s="72">
        <f t="shared" si="88"/>
        <v>2.5396983244148269E-2</v>
      </c>
      <c r="G160" s="59">
        <f t="shared" si="89"/>
        <v>3.4241702686497739E-2</v>
      </c>
      <c r="H160" s="59">
        <f t="shared" si="90"/>
        <v>4.1663333042285193E-2</v>
      </c>
      <c r="I160" s="59">
        <f t="shared" si="91"/>
        <v>4.5338102376188946E-2</v>
      </c>
      <c r="J160" s="62">
        <f t="shared" si="92"/>
        <v>4.8930094400505296E-2</v>
      </c>
      <c r="K160" s="59" t="str">
        <f t="shared" si="93"/>
        <v/>
      </c>
      <c r="L160" s="59">
        <f t="shared" si="94"/>
        <v>6.5225866864977349E-3</v>
      </c>
      <c r="M160" s="59">
        <f t="shared" si="95"/>
        <v>1.3334773942285197E-2</v>
      </c>
      <c r="N160" s="59">
        <f t="shared" si="96"/>
        <v>1.620083397618894E-2</v>
      </c>
      <c r="O160" s="62">
        <f t="shared" si="97"/>
        <v>1.8572599700505302E-2</v>
      </c>
      <c r="P160" s="54" t="s">
        <v>21</v>
      </c>
      <c r="Q160" s="52" t="s">
        <v>21</v>
      </c>
      <c r="R160" s="93" t="s">
        <v>21</v>
      </c>
      <c r="S160" s="70" t="s">
        <v>21</v>
      </c>
      <c r="T160" s="62" t="str">
        <f t="shared" si="98"/>
        <v/>
      </c>
      <c r="V160" s="113">
        <v>1.1278198499999998</v>
      </c>
      <c r="W160" s="71">
        <v>2.9105519400000004</v>
      </c>
      <c r="X160" s="71">
        <v>4.4809327699999999</v>
      </c>
      <c r="Y160" s="71">
        <v>5.82121362</v>
      </c>
      <c r="Z160" s="114">
        <v>7.4858439799999994</v>
      </c>
      <c r="AB160" s="72">
        <v>2.5396983244148269E-2</v>
      </c>
      <c r="AC160" s="70">
        <v>3.4241702686497739E-2</v>
      </c>
      <c r="AD160" s="70">
        <v>4.1663333042285193E-2</v>
      </c>
      <c r="AE160" s="70">
        <v>4.5338102376188946E-2</v>
      </c>
      <c r="AF160" s="62">
        <v>4.8930094400505296E-2</v>
      </c>
      <c r="AG160" s="70" t="s">
        <v>21</v>
      </c>
      <c r="AH160" s="70">
        <v>6.5225866864977349E-3</v>
      </c>
      <c r="AI160" s="70">
        <v>1.3334773942285197E-2</v>
      </c>
      <c r="AJ160" s="70">
        <v>1.620083397618894E-2</v>
      </c>
      <c r="AK160" s="62">
        <v>1.8572599700505302E-2</v>
      </c>
    </row>
    <row r="161" spans="2:37" x14ac:dyDescent="0.35">
      <c r="B161" s="54" t="s">
        <v>126</v>
      </c>
      <c r="C161" s="52" t="s">
        <v>232</v>
      </c>
      <c r="D161" s="52" t="s">
        <v>69</v>
      </c>
      <c r="E161" s="52" t="s">
        <v>133</v>
      </c>
      <c r="F161" s="72">
        <f t="shared" si="88"/>
        <v>2.4673345875382169E-2</v>
      </c>
      <c r="G161" s="59">
        <f t="shared" si="89"/>
        <v>3.4038113911766324E-2</v>
      </c>
      <c r="H161" s="59">
        <f t="shared" si="90"/>
        <v>4.1271350506260643E-2</v>
      </c>
      <c r="I161" s="59">
        <f t="shared" si="91"/>
        <v>4.639237751872146E-2</v>
      </c>
      <c r="J161" s="62">
        <f t="shared" si="92"/>
        <v>5.2101115768079374E-2</v>
      </c>
      <c r="K161" s="59" t="str">
        <f t="shared" si="93"/>
        <v/>
      </c>
      <c r="L161" s="59">
        <f t="shared" si="94"/>
        <v>6.3451339117663293E-3</v>
      </c>
      <c r="M161" s="59">
        <f t="shared" si="95"/>
        <v>1.2983642806260649E-2</v>
      </c>
      <c r="N161" s="59">
        <f t="shared" si="96"/>
        <v>1.7230110018721469E-2</v>
      </c>
      <c r="O161" s="62">
        <f t="shared" si="97"/>
        <v>2.1623088868079367E-2</v>
      </c>
      <c r="P161" s="54" t="s">
        <v>489</v>
      </c>
      <c r="Q161" s="52" t="s">
        <v>490</v>
      </c>
      <c r="R161" s="93">
        <v>47484</v>
      </c>
      <c r="S161" s="70">
        <v>3.5942500000000002E-2</v>
      </c>
      <c r="T161" s="62">
        <f t="shared" si="98"/>
        <v>5.3288505062606406E-3</v>
      </c>
      <c r="V161" s="113">
        <v>1.1301933499999999</v>
      </c>
      <c r="W161" s="71">
        <v>2.9207378999999998</v>
      </c>
      <c r="X161" s="71">
        <v>4.5009484799999999</v>
      </c>
      <c r="Y161" s="71">
        <v>5.8376401699999994</v>
      </c>
      <c r="Z161" s="114">
        <v>7.4383129000000006</v>
      </c>
      <c r="AB161" s="72">
        <v>2.4673345875382169E-2</v>
      </c>
      <c r="AC161" s="70">
        <v>3.4038113911766324E-2</v>
      </c>
      <c r="AD161" s="70">
        <v>4.1271350506260643E-2</v>
      </c>
      <c r="AE161" s="70">
        <v>4.639237751872146E-2</v>
      </c>
      <c r="AF161" s="62">
        <v>5.2101115768079374E-2</v>
      </c>
      <c r="AG161" s="70" t="s">
        <v>21</v>
      </c>
      <c r="AH161" s="70">
        <v>6.3451339117663293E-3</v>
      </c>
      <c r="AI161" s="70">
        <v>1.2983642806260649E-2</v>
      </c>
      <c r="AJ161" s="70">
        <v>1.7230110018721469E-2</v>
      </c>
      <c r="AK161" s="62">
        <v>2.1623088868079367E-2</v>
      </c>
    </row>
    <row r="162" spans="2:37" x14ac:dyDescent="0.35">
      <c r="B162" s="54" t="s">
        <v>132</v>
      </c>
      <c r="C162" s="52" t="s">
        <v>232</v>
      </c>
      <c r="D162" s="52" t="s">
        <v>20</v>
      </c>
      <c r="E162" s="52" t="s">
        <v>135</v>
      </c>
      <c r="F162" s="72">
        <f t="shared" si="88"/>
        <v>2.495601477302678E-2</v>
      </c>
      <c r="G162" s="59">
        <f t="shared" si="89"/>
        <v>3.4236409327436185E-2</v>
      </c>
      <c r="H162" s="59">
        <f t="shared" si="90"/>
        <v>4.1165372837211119E-2</v>
      </c>
      <c r="I162" s="59">
        <f t="shared" si="91"/>
        <v>4.4493915026533486E-2</v>
      </c>
      <c r="J162" s="62">
        <f t="shared" si="92"/>
        <v>4.8479167986819865E-2</v>
      </c>
      <c r="K162" s="59" t="str">
        <f t="shared" si="93"/>
        <v/>
      </c>
      <c r="L162" s="59">
        <f t="shared" si="94"/>
        <v>6.5139405274361913E-3</v>
      </c>
      <c r="M162" s="59">
        <f t="shared" si="95"/>
        <v>1.2856868637211125E-2</v>
      </c>
      <c r="N162" s="59">
        <f t="shared" si="96"/>
        <v>1.5395000026533483E-2</v>
      </c>
      <c r="O162" s="62">
        <f t="shared" si="97"/>
        <v>1.8136846986819867E-2</v>
      </c>
      <c r="P162" s="54" t="s">
        <v>491</v>
      </c>
      <c r="Q162" s="52" t="s">
        <v>492</v>
      </c>
      <c r="R162" s="93">
        <v>47567</v>
      </c>
      <c r="S162" s="70">
        <v>3.6871189999999998E-2</v>
      </c>
      <c r="T162" s="62">
        <f t="shared" si="98"/>
        <v>4.2941828372111204E-3</v>
      </c>
      <c r="V162" s="113">
        <v>1.12876197</v>
      </c>
      <c r="W162" s="71">
        <v>2.9116895899999999</v>
      </c>
      <c r="X162" s="71">
        <v>4.4861896900000007</v>
      </c>
      <c r="Y162" s="71">
        <v>5.8356374600000001</v>
      </c>
      <c r="Z162" s="114">
        <v>7.5156134400000001</v>
      </c>
      <c r="AB162" s="72">
        <v>2.495601477302678E-2</v>
      </c>
      <c r="AC162" s="70">
        <v>3.4236409327436185E-2</v>
      </c>
      <c r="AD162" s="70">
        <v>4.1165372837211119E-2</v>
      </c>
      <c r="AE162" s="70">
        <v>4.4493915026533486E-2</v>
      </c>
      <c r="AF162" s="62">
        <v>4.8479167986819865E-2</v>
      </c>
      <c r="AG162" s="70" t="s">
        <v>21</v>
      </c>
      <c r="AH162" s="70">
        <v>6.5139405274361913E-3</v>
      </c>
      <c r="AI162" s="70">
        <v>1.2856868637211125E-2</v>
      </c>
      <c r="AJ162" s="70">
        <v>1.5395000026533483E-2</v>
      </c>
      <c r="AK162" s="62">
        <v>1.8136846986819867E-2</v>
      </c>
    </row>
    <row r="163" spans="2:37" x14ac:dyDescent="0.35">
      <c r="B163" s="54" t="s">
        <v>127</v>
      </c>
      <c r="C163" s="52" t="s">
        <v>232</v>
      </c>
      <c r="D163" s="52" t="s">
        <v>62</v>
      </c>
      <c r="E163" s="52" t="s">
        <v>493</v>
      </c>
      <c r="F163" s="72">
        <f t="shared" si="88"/>
        <v>2.5389335672638246E-2</v>
      </c>
      <c r="G163" s="59">
        <f t="shared" si="89"/>
        <v>3.3874240282005592E-2</v>
      </c>
      <c r="H163" s="59">
        <f t="shared" si="90"/>
        <v>4.102730001244434E-2</v>
      </c>
      <c r="I163" s="59">
        <f t="shared" si="91"/>
        <v>4.583670030796605E-2</v>
      </c>
      <c r="J163" s="62">
        <f t="shared" si="92"/>
        <v>5.0898256496657385E-2</v>
      </c>
      <c r="K163" s="59" t="str">
        <f t="shared" si="93"/>
        <v/>
      </c>
      <c r="L163" s="59">
        <f t="shared" si="94"/>
        <v>6.1884405820055912E-3</v>
      </c>
      <c r="M163" s="59">
        <f t="shared" si="95"/>
        <v>1.2750440812444343E-2</v>
      </c>
      <c r="N163" s="59">
        <f t="shared" si="96"/>
        <v>1.6700923607966059E-2</v>
      </c>
      <c r="O163" s="62">
        <f t="shared" si="97"/>
        <v>2.047670549665739E-2</v>
      </c>
      <c r="P163" s="54" t="s">
        <v>494</v>
      </c>
      <c r="Q163" s="52" t="s">
        <v>495</v>
      </c>
      <c r="R163" s="93">
        <v>47635</v>
      </c>
      <c r="S163" s="70">
        <v>3.6519219999999998E-2</v>
      </c>
      <c r="T163" s="62">
        <f t="shared" si="98"/>
        <v>4.5080800124443418E-3</v>
      </c>
      <c r="V163" s="113">
        <v>1.1287840099999999</v>
      </c>
      <c r="W163" s="71">
        <v>2.9184372399999998</v>
      </c>
      <c r="X163" s="71">
        <v>4.5017134500000004</v>
      </c>
      <c r="Y163" s="71">
        <v>5.8467880399999999</v>
      </c>
      <c r="Z163" s="114">
        <v>7.4779874999999993</v>
      </c>
      <c r="AB163" s="72">
        <v>2.5389335672638246E-2</v>
      </c>
      <c r="AC163" s="70">
        <v>3.3874240282005592E-2</v>
      </c>
      <c r="AD163" s="70">
        <v>4.102730001244434E-2</v>
      </c>
      <c r="AE163" s="70">
        <v>4.583670030796605E-2</v>
      </c>
      <c r="AF163" s="62">
        <v>5.0898256496657385E-2</v>
      </c>
      <c r="AG163" s="70" t="s">
        <v>21</v>
      </c>
      <c r="AH163" s="70">
        <v>6.1884405820055912E-3</v>
      </c>
      <c r="AI163" s="70">
        <v>1.2750440812444343E-2</v>
      </c>
      <c r="AJ163" s="70">
        <v>1.6700923607966059E-2</v>
      </c>
      <c r="AK163" s="62">
        <v>2.047670549665739E-2</v>
      </c>
    </row>
    <row r="164" spans="2:37" x14ac:dyDescent="0.35">
      <c r="B164" s="54" t="s">
        <v>330</v>
      </c>
      <c r="C164" s="52" t="s">
        <v>232</v>
      </c>
      <c r="D164" s="52" t="s">
        <v>97</v>
      </c>
      <c r="E164" s="52" t="s">
        <v>21</v>
      </c>
      <c r="F164" s="72">
        <f t="shared" si="88"/>
        <v>2.6128291438292116E-2</v>
      </c>
      <c r="G164" s="59">
        <f t="shared" si="89"/>
        <v>3.4006915664746548E-2</v>
      </c>
      <c r="H164" s="59">
        <f t="shared" si="90"/>
        <v>4.096345192865003E-2</v>
      </c>
      <c r="I164" s="59">
        <f t="shared" si="91"/>
        <v>4.4865920288693024E-2</v>
      </c>
      <c r="J164" s="62">
        <f t="shared" si="92"/>
        <v>4.8118918869191452E-2</v>
      </c>
      <c r="K164" s="59" t="str">
        <f t="shared" si="93"/>
        <v/>
      </c>
      <c r="L164" s="59">
        <f t="shared" si="94"/>
        <v>6.313510764746553E-3</v>
      </c>
      <c r="M164" s="59">
        <f t="shared" si="95"/>
        <v>1.2686448928650028E-2</v>
      </c>
      <c r="N164" s="59">
        <f t="shared" si="96"/>
        <v>1.5771021188693026E-2</v>
      </c>
      <c r="O164" s="62">
        <f t="shared" si="97"/>
        <v>1.7816084469191449E-2</v>
      </c>
      <c r="P164" s="54" t="s">
        <v>381</v>
      </c>
      <c r="Q164" s="52" t="s">
        <v>382</v>
      </c>
      <c r="R164" s="93">
        <v>47497</v>
      </c>
      <c r="S164" s="70">
        <v>3.663288E-2</v>
      </c>
      <c r="T164" s="62">
        <f t="shared" si="98"/>
        <v>4.3305719286500302E-3</v>
      </c>
      <c r="V164" s="113">
        <v>1.1274009600000001</v>
      </c>
      <c r="W164" s="71">
        <v>2.91440213</v>
      </c>
      <c r="X164" s="71">
        <v>4.4980782599999998</v>
      </c>
      <c r="Y164" s="71">
        <v>5.8564074499999998</v>
      </c>
      <c r="Z164" s="114">
        <v>7.5565844699999998</v>
      </c>
      <c r="AB164" s="72">
        <v>2.6128291438292116E-2</v>
      </c>
      <c r="AC164" s="70">
        <v>3.4006915664746548E-2</v>
      </c>
      <c r="AD164" s="70">
        <v>4.096345192865003E-2</v>
      </c>
      <c r="AE164" s="70">
        <v>4.4865920288693024E-2</v>
      </c>
      <c r="AF164" s="62">
        <v>4.8118918869191452E-2</v>
      </c>
      <c r="AG164" s="70" t="s">
        <v>21</v>
      </c>
      <c r="AH164" s="70">
        <v>6.313510764746553E-3</v>
      </c>
      <c r="AI164" s="70">
        <v>1.2686448928650028E-2</v>
      </c>
      <c r="AJ164" s="70">
        <v>1.5771021188693026E-2</v>
      </c>
      <c r="AK164" s="62">
        <v>1.7816084469191449E-2</v>
      </c>
    </row>
    <row r="165" spans="2:37" x14ac:dyDescent="0.35">
      <c r="B165" s="54" t="s">
        <v>121</v>
      </c>
      <c r="C165" s="52" t="s">
        <v>232</v>
      </c>
      <c r="D165" s="52" t="s">
        <v>69</v>
      </c>
      <c r="E165" s="52" t="s">
        <v>21</v>
      </c>
      <c r="F165" s="72">
        <f t="shared" si="88"/>
        <v>2.4940085818411208E-2</v>
      </c>
      <c r="G165" s="59">
        <f t="shared" si="89"/>
        <v>3.3409602847148556E-2</v>
      </c>
      <c r="H165" s="59">
        <f t="shared" si="90"/>
        <v>4.0785823576235287E-2</v>
      </c>
      <c r="I165" s="59">
        <f t="shared" si="91"/>
        <v>4.6707423382551162E-2</v>
      </c>
      <c r="J165" s="62">
        <f t="shared" si="92"/>
        <v>5.125820649201953E-2</v>
      </c>
      <c r="K165" s="59" t="str">
        <f t="shared" si="93"/>
        <v/>
      </c>
      <c r="L165" s="59">
        <f t="shared" si="94"/>
        <v>5.7380430471485559E-3</v>
      </c>
      <c r="M165" s="59">
        <f t="shared" si="95"/>
        <v>1.2517069276235283E-2</v>
      </c>
      <c r="N165" s="59">
        <f t="shared" si="96"/>
        <v>1.7528313682551172E-2</v>
      </c>
      <c r="O165" s="62">
        <f t="shared" si="97"/>
        <v>2.0824375392019537E-2</v>
      </c>
      <c r="P165" s="54" t="s">
        <v>21</v>
      </c>
      <c r="Q165" s="52" t="s">
        <v>21</v>
      </c>
      <c r="R165" s="93" t="s">
        <v>21</v>
      </c>
      <c r="S165" s="70" t="s">
        <v>21</v>
      </c>
      <c r="T165" s="62" t="str">
        <f t="shared" si="98"/>
        <v/>
      </c>
      <c r="V165" s="113">
        <v>1.1297093500000002</v>
      </c>
      <c r="W165" s="71">
        <v>2.9213530299999997</v>
      </c>
      <c r="X165" s="71">
        <v>4.50824655</v>
      </c>
      <c r="Y165" s="71">
        <v>5.84157525</v>
      </c>
      <c r="Z165" s="114">
        <v>7.4576201300000005</v>
      </c>
      <c r="AB165" s="72">
        <v>2.4940085818411208E-2</v>
      </c>
      <c r="AC165" s="70">
        <v>3.3409602847148556E-2</v>
      </c>
      <c r="AD165" s="70">
        <v>4.0785823576235287E-2</v>
      </c>
      <c r="AE165" s="70">
        <v>4.6707423382551162E-2</v>
      </c>
      <c r="AF165" s="62">
        <v>5.125820649201953E-2</v>
      </c>
      <c r="AG165" s="70" t="s">
        <v>21</v>
      </c>
      <c r="AH165" s="70">
        <v>5.7380430471485559E-3</v>
      </c>
      <c r="AI165" s="70">
        <v>1.2517069276235283E-2</v>
      </c>
      <c r="AJ165" s="70">
        <v>1.7528313682551172E-2</v>
      </c>
      <c r="AK165" s="62">
        <v>2.0824375392019537E-2</v>
      </c>
    </row>
    <row r="166" spans="2:37" x14ac:dyDescent="0.35">
      <c r="B166" s="54" t="s">
        <v>328</v>
      </c>
      <c r="C166" s="52" t="s">
        <v>232</v>
      </c>
      <c r="D166" s="52" t="s">
        <v>31</v>
      </c>
      <c r="E166" s="52" t="s">
        <v>133</v>
      </c>
      <c r="F166" s="72">
        <f t="shared" si="88"/>
        <v>2.534391279078986E-2</v>
      </c>
      <c r="G166" s="59">
        <f t="shared" si="89"/>
        <v>3.4115398922163663E-2</v>
      </c>
      <c r="H166" s="59">
        <f t="shared" si="90"/>
        <v>4.0666904999187285E-2</v>
      </c>
      <c r="I166" s="59">
        <f t="shared" si="91"/>
        <v>4.4956424048716373E-2</v>
      </c>
      <c r="J166" s="62">
        <f t="shared" si="92"/>
        <v>4.9312445299478792E-2</v>
      </c>
      <c r="K166" s="59" t="str">
        <f t="shared" si="93"/>
        <v/>
      </c>
      <c r="L166" s="59">
        <f t="shared" si="94"/>
        <v>6.4175166221636668E-3</v>
      </c>
      <c r="M166" s="59">
        <f t="shared" si="95"/>
        <v>1.2402219299187287E-2</v>
      </c>
      <c r="N166" s="59">
        <f t="shared" si="96"/>
        <v>1.5856754448716367E-2</v>
      </c>
      <c r="O166" s="62">
        <f t="shared" si="97"/>
        <v>1.8956073899478797E-2</v>
      </c>
      <c r="P166" s="54" t="s">
        <v>21</v>
      </c>
      <c r="Q166" s="52" t="s">
        <v>21</v>
      </c>
      <c r="R166" s="93" t="s">
        <v>21</v>
      </c>
      <c r="S166" s="70" t="s">
        <v>21</v>
      </c>
      <c r="T166" s="62" t="str">
        <f t="shared" si="98"/>
        <v/>
      </c>
      <c r="V166" s="113">
        <v>1.12892624</v>
      </c>
      <c r="W166" s="71">
        <v>2.9153548800000002</v>
      </c>
      <c r="X166" s="71">
        <v>4.5018035100000002</v>
      </c>
      <c r="Y166" s="71">
        <v>5.8596732200000003</v>
      </c>
      <c r="Z166" s="114">
        <v>7.5308144400000003</v>
      </c>
      <c r="AB166" s="72">
        <v>2.534391279078986E-2</v>
      </c>
      <c r="AC166" s="70">
        <v>3.4115398922163663E-2</v>
      </c>
      <c r="AD166" s="70">
        <v>4.0666904999187285E-2</v>
      </c>
      <c r="AE166" s="70">
        <v>4.4956424048716373E-2</v>
      </c>
      <c r="AF166" s="62">
        <v>4.9312445299478792E-2</v>
      </c>
      <c r="AG166" s="70" t="s">
        <v>21</v>
      </c>
      <c r="AH166" s="70">
        <v>6.4175166221636668E-3</v>
      </c>
      <c r="AI166" s="70">
        <v>1.2402219299187287E-2</v>
      </c>
      <c r="AJ166" s="70">
        <v>1.5856754448716367E-2</v>
      </c>
      <c r="AK166" s="62">
        <v>1.8956073899478797E-2</v>
      </c>
    </row>
    <row r="167" spans="2:37" x14ac:dyDescent="0.35">
      <c r="B167" s="54" t="s">
        <v>331</v>
      </c>
      <c r="C167" s="52" t="s">
        <v>232</v>
      </c>
      <c r="D167" s="52" t="s">
        <v>20</v>
      </c>
      <c r="E167" s="52" t="s">
        <v>236</v>
      </c>
      <c r="F167" s="72">
        <f t="shared" si="88"/>
        <v>2.4726815157328736E-2</v>
      </c>
      <c r="G167" s="59">
        <f t="shared" si="89"/>
        <v>3.3421261451107187E-2</v>
      </c>
      <c r="H167" s="59">
        <f t="shared" si="90"/>
        <v>4.0504446916038432E-2</v>
      </c>
      <c r="I167" s="59">
        <f t="shared" si="91"/>
        <v>4.4755037959740965E-2</v>
      </c>
      <c r="J167" s="62">
        <f t="shared" si="92"/>
        <v>4.8306915018485594E-2</v>
      </c>
      <c r="K167" s="59" t="str">
        <f t="shared" si="93"/>
        <v/>
      </c>
      <c r="L167" s="59">
        <f t="shared" si="94"/>
        <v>5.7302765511071871E-3</v>
      </c>
      <c r="M167" s="59">
        <f t="shared" si="95"/>
        <v>1.2225485716038428E-2</v>
      </c>
      <c r="N167" s="59">
        <f t="shared" si="96"/>
        <v>1.5643126759740965E-2</v>
      </c>
      <c r="O167" s="62">
        <f t="shared" si="97"/>
        <v>1.7977706818485588E-2</v>
      </c>
      <c r="P167" s="54" t="s">
        <v>21</v>
      </c>
      <c r="Q167" s="52" t="s">
        <v>21</v>
      </c>
      <c r="R167" s="93" t="s">
        <v>21</v>
      </c>
      <c r="S167" s="70" t="s">
        <v>21</v>
      </c>
      <c r="T167" s="62" t="str">
        <f t="shared" si="98"/>
        <v/>
      </c>
      <c r="V167" s="113">
        <v>1.1291620499999999</v>
      </c>
      <c r="W167" s="71">
        <v>2.9176440000000001</v>
      </c>
      <c r="X167" s="71">
        <v>4.5009605800000001</v>
      </c>
      <c r="Y167" s="71">
        <v>5.8516232699999993</v>
      </c>
      <c r="Z167" s="114">
        <v>7.5306058300000007</v>
      </c>
      <c r="AB167" s="72">
        <v>2.4726815157328736E-2</v>
      </c>
      <c r="AC167" s="70">
        <v>3.3421261451107187E-2</v>
      </c>
      <c r="AD167" s="70">
        <v>4.0504446916038432E-2</v>
      </c>
      <c r="AE167" s="70">
        <v>4.4755037959740965E-2</v>
      </c>
      <c r="AF167" s="62">
        <v>4.8306915018485594E-2</v>
      </c>
      <c r="AG167" s="70" t="s">
        <v>21</v>
      </c>
      <c r="AH167" s="70">
        <v>5.7302765511071871E-3</v>
      </c>
      <c r="AI167" s="70">
        <v>1.2225485716038428E-2</v>
      </c>
      <c r="AJ167" s="70">
        <v>1.5643126759740965E-2</v>
      </c>
      <c r="AK167" s="62">
        <v>1.7977706818485588E-2</v>
      </c>
    </row>
    <row r="168" spans="2:37" x14ac:dyDescent="0.35">
      <c r="B168" s="54" t="s">
        <v>331</v>
      </c>
      <c r="C168" s="52" t="s">
        <v>232</v>
      </c>
      <c r="D168" s="52" t="s">
        <v>20</v>
      </c>
      <c r="E168" s="52" t="s">
        <v>21</v>
      </c>
      <c r="F168" s="72">
        <f t="shared" si="88"/>
        <v>2.4726815157328736E-2</v>
      </c>
      <c r="G168" s="59">
        <f t="shared" si="89"/>
        <v>3.3421261451107187E-2</v>
      </c>
      <c r="H168" s="59">
        <f t="shared" si="90"/>
        <v>4.0504446916038432E-2</v>
      </c>
      <c r="I168" s="59">
        <f t="shared" si="91"/>
        <v>4.4755037959740965E-2</v>
      </c>
      <c r="J168" s="62">
        <f t="shared" si="92"/>
        <v>4.8306915018485594E-2</v>
      </c>
      <c r="K168" s="59" t="str">
        <f t="shared" si="93"/>
        <v/>
      </c>
      <c r="L168" s="59">
        <f t="shared" si="94"/>
        <v>5.7302765511071871E-3</v>
      </c>
      <c r="M168" s="59">
        <f t="shared" si="95"/>
        <v>1.2225485716038428E-2</v>
      </c>
      <c r="N168" s="59">
        <f t="shared" si="96"/>
        <v>1.5643126759740965E-2</v>
      </c>
      <c r="O168" s="62">
        <f t="shared" si="97"/>
        <v>1.7977706818485588E-2</v>
      </c>
      <c r="P168" s="54" t="s">
        <v>21</v>
      </c>
      <c r="Q168" s="52" t="s">
        <v>21</v>
      </c>
      <c r="R168" s="93" t="s">
        <v>21</v>
      </c>
      <c r="S168" s="70" t="s">
        <v>21</v>
      </c>
      <c r="T168" s="62" t="str">
        <f t="shared" si="98"/>
        <v/>
      </c>
      <c r="V168" s="113">
        <v>1.1291620499999999</v>
      </c>
      <c r="W168" s="71">
        <v>2.9176440000000001</v>
      </c>
      <c r="X168" s="71">
        <v>4.5009605800000001</v>
      </c>
      <c r="Y168" s="71">
        <v>5.8516232699999993</v>
      </c>
      <c r="Z168" s="114">
        <v>7.5306058300000007</v>
      </c>
      <c r="AB168" s="72">
        <v>2.4726815157328736E-2</v>
      </c>
      <c r="AC168" s="70">
        <v>3.3421261451107187E-2</v>
      </c>
      <c r="AD168" s="70">
        <v>4.0504446916038432E-2</v>
      </c>
      <c r="AE168" s="70">
        <v>4.4755037959740965E-2</v>
      </c>
      <c r="AF168" s="62">
        <v>4.8306915018485594E-2</v>
      </c>
      <c r="AG168" s="70" t="s">
        <v>21</v>
      </c>
      <c r="AH168" s="70">
        <v>5.7302765511071871E-3</v>
      </c>
      <c r="AI168" s="70">
        <v>1.2225485716038428E-2</v>
      </c>
      <c r="AJ168" s="70">
        <v>1.5643126759740965E-2</v>
      </c>
      <c r="AK168" s="62">
        <v>1.7977706818485588E-2</v>
      </c>
    </row>
    <row r="169" spans="2:37" x14ac:dyDescent="0.35">
      <c r="B169" s="54" t="s">
        <v>327</v>
      </c>
      <c r="C169" s="52" t="s">
        <v>232</v>
      </c>
      <c r="D169" s="52" t="s">
        <v>43</v>
      </c>
      <c r="E169" s="52" t="s">
        <v>21</v>
      </c>
      <c r="F169" s="72">
        <f t="shared" si="88"/>
        <v>2.5198209209926069E-2</v>
      </c>
      <c r="G169" s="59">
        <f t="shared" si="89"/>
        <v>3.3648869616027421E-2</v>
      </c>
      <c r="H169" s="59">
        <f t="shared" si="90"/>
        <v>4.0090867055949581E-2</v>
      </c>
      <c r="I169" s="59">
        <f t="shared" si="91"/>
        <v>4.4730837978570061E-2</v>
      </c>
      <c r="J169" s="62">
        <f t="shared" si="92"/>
        <v>4.924664078586849E-2</v>
      </c>
      <c r="K169" s="59" t="str">
        <f t="shared" si="93"/>
        <v/>
      </c>
      <c r="L169" s="59">
        <f t="shared" si="94"/>
        <v>5.968519316027418E-3</v>
      </c>
      <c r="M169" s="59">
        <f t="shared" si="95"/>
        <v>1.1850637655949584E-2</v>
      </c>
      <c r="N169" s="59">
        <f t="shared" si="96"/>
        <v>1.5643586478570056E-2</v>
      </c>
      <c r="O169" s="62">
        <f t="shared" si="97"/>
        <v>1.8896903185868476E-2</v>
      </c>
      <c r="P169" s="54" t="s">
        <v>21</v>
      </c>
      <c r="Q169" s="52" t="s">
        <v>21</v>
      </c>
      <c r="R169" s="93" t="s">
        <v>21</v>
      </c>
      <c r="S169" s="70" t="s">
        <v>21</v>
      </c>
      <c r="T169" s="62" t="str">
        <f t="shared" si="98"/>
        <v/>
      </c>
      <c r="V169" s="113">
        <v>1.12920899</v>
      </c>
      <c r="W169" s="71">
        <v>2.9189253500000003</v>
      </c>
      <c r="X169" s="71">
        <v>4.5125183</v>
      </c>
      <c r="Y169" s="71">
        <v>5.8753455199999998</v>
      </c>
      <c r="Z169" s="114">
        <v>7.5496000800000003</v>
      </c>
      <c r="AB169" s="72">
        <v>2.5198209209926069E-2</v>
      </c>
      <c r="AC169" s="70">
        <v>3.3648869616027421E-2</v>
      </c>
      <c r="AD169" s="70">
        <v>4.0090867055949581E-2</v>
      </c>
      <c r="AE169" s="70">
        <v>4.4730837978570061E-2</v>
      </c>
      <c r="AF169" s="62">
        <v>4.924664078586849E-2</v>
      </c>
      <c r="AG169" s="70" t="s">
        <v>21</v>
      </c>
      <c r="AH169" s="70">
        <v>5.968519316027418E-3</v>
      </c>
      <c r="AI169" s="70">
        <v>1.1850637655949584E-2</v>
      </c>
      <c r="AJ169" s="70">
        <v>1.5643586478570056E-2</v>
      </c>
      <c r="AK169" s="62">
        <v>1.8896903185868476E-2</v>
      </c>
    </row>
    <row r="170" spans="2:37" x14ac:dyDescent="0.35">
      <c r="B170" s="54" t="s">
        <v>235</v>
      </c>
      <c r="C170" s="52" t="s">
        <v>232</v>
      </c>
      <c r="D170" s="52" t="s">
        <v>31</v>
      </c>
      <c r="E170" s="52" t="s">
        <v>142</v>
      </c>
      <c r="F170" s="72">
        <f t="shared" si="88"/>
        <v>2.4902525505250704E-2</v>
      </c>
      <c r="G170" s="59">
        <f t="shared" si="89"/>
        <v>3.3606832962421715E-2</v>
      </c>
      <c r="H170" s="59">
        <f t="shared" si="90"/>
        <v>3.9952715705393667E-2</v>
      </c>
      <c r="I170" s="59">
        <f t="shared" si="91"/>
        <v>4.4831077097712724E-2</v>
      </c>
      <c r="J170" s="62">
        <f t="shared" si="92"/>
        <v>4.9911136239291436E-2</v>
      </c>
      <c r="K170" s="59" t="str">
        <f t="shared" si="93"/>
        <v/>
      </c>
      <c r="L170" s="59">
        <f t="shared" si="94"/>
        <v>5.9259889624217145E-3</v>
      </c>
      <c r="M170" s="59">
        <f t="shared" si="95"/>
        <v>1.1716325505393661E-2</v>
      </c>
      <c r="N170" s="59">
        <f t="shared" si="96"/>
        <v>1.5735977397712722E-2</v>
      </c>
      <c r="O170" s="62">
        <f t="shared" si="97"/>
        <v>1.9528012639291437E-2</v>
      </c>
      <c r="P170" s="54" t="s">
        <v>21</v>
      </c>
      <c r="Q170" s="52" t="s">
        <v>21</v>
      </c>
      <c r="R170" s="93" t="s">
        <v>21</v>
      </c>
      <c r="S170" s="70" t="s">
        <v>21</v>
      </c>
      <c r="T170" s="62" t="str">
        <f t="shared" si="98"/>
        <v/>
      </c>
      <c r="V170" s="113">
        <v>1.12981796</v>
      </c>
      <c r="W170" s="71">
        <v>2.92062198</v>
      </c>
      <c r="X170" s="71">
        <v>4.51544291</v>
      </c>
      <c r="Y170" s="71">
        <v>5.8762787900000006</v>
      </c>
      <c r="Z170" s="114">
        <v>7.5316490799999993</v>
      </c>
      <c r="AB170" s="72">
        <v>2.4902525505250704E-2</v>
      </c>
      <c r="AC170" s="70">
        <v>3.3606832962421715E-2</v>
      </c>
      <c r="AD170" s="70">
        <v>3.9952715705393667E-2</v>
      </c>
      <c r="AE170" s="70">
        <v>4.4831077097712724E-2</v>
      </c>
      <c r="AF170" s="62">
        <v>4.9911136239291436E-2</v>
      </c>
      <c r="AG170" s="70" t="s">
        <v>21</v>
      </c>
      <c r="AH170" s="70">
        <v>5.9259889624217145E-3</v>
      </c>
      <c r="AI170" s="70">
        <v>1.1716325505393661E-2</v>
      </c>
      <c r="AJ170" s="70">
        <v>1.5735977397712722E-2</v>
      </c>
      <c r="AK170" s="62">
        <v>1.9528012639291437E-2</v>
      </c>
    </row>
    <row r="171" spans="2:37" x14ac:dyDescent="0.35">
      <c r="B171" s="54" t="s">
        <v>240</v>
      </c>
      <c r="C171" s="52" t="s">
        <v>232</v>
      </c>
      <c r="D171" s="52" t="s">
        <v>20</v>
      </c>
      <c r="E171" s="52" t="s">
        <v>21</v>
      </c>
      <c r="F171" s="72">
        <f t="shared" si="88"/>
        <v>2.411612653210779E-2</v>
      </c>
      <c r="G171" s="59">
        <f t="shared" si="89"/>
        <v>3.2460290573193974E-2</v>
      </c>
      <c r="H171" s="59">
        <f t="shared" si="90"/>
        <v>3.9780816872604992E-2</v>
      </c>
      <c r="I171" s="59">
        <f t="shared" si="91"/>
        <v>4.3518124115188128E-2</v>
      </c>
      <c r="J171" s="62">
        <f t="shared" si="92"/>
        <v>4.7469049699960478E-2</v>
      </c>
      <c r="K171" s="59" t="str">
        <f t="shared" si="93"/>
        <v/>
      </c>
      <c r="L171" s="59">
        <f t="shared" si="94"/>
        <v>4.8054477731939681E-3</v>
      </c>
      <c r="M171" s="59">
        <f t="shared" si="95"/>
        <v>1.1532990972604995E-2</v>
      </c>
      <c r="N171" s="59">
        <f t="shared" si="96"/>
        <v>1.4464267015188118E-2</v>
      </c>
      <c r="O171" s="62">
        <f t="shared" si="97"/>
        <v>1.7175520399960474E-2</v>
      </c>
      <c r="P171" s="54" t="s">
        <v>21</v>
      </c>
      <c r="Q171" s="52" t="s">
        <v>21</v>
      </c>
      <c r="R171" s="93" t="s">
        <v>21</v>
      </c>
      <c r="S171" s="70" t="s">
        <v>21</v>
      </c>
      <c r="T171" s="62" t="str">
        <f t="shared" si="98"/>
        <v/>
      </c>
      <c r="V171" s="113">
        <v>1.1303244000000001</v>
      </c>
      <c r="W171" s="71">
        <v>2.9258320699999998</v>
      </c>
      <c r="X171" s="71">
        <v>4.5196684000000005</v>
      </c>
      <c r="Y171" s="71">
        <v>5.8886570999999996</v>
      </c>
      <c r="Z171" s="114">
        <v>7.5915625999999996</v>
      </c>
      <c r="AB171" s="72">
        <v>2.411612653210779E-2</v>
      </c>
      <c r="AC171" s="70">
        <v>3.2460290573193974E-2</v>
      </c>
      <c r="AD171" s="70">
        <v>3.9780816872604992E-2</v>
      </c>
      <c r="AE171" s="70">
        <v>4.3518124115188128E-2</v>
      </c>
      <c r="AF171" s="62">
        <v>4.7469049699960478E-2</v>
      </c>
      <c r="AG171" s="70" t="s">
        <v>21</v>
      </c>
      <c r="AH171" s="70">
        <v>4.8054477731939681E-3</v>
      </c>
      <c r="AI171" s="70">
        <v>1.1532990972604995E-2</v>
      </c>
      <c r="AJ171" s="70">
        <v>1.4464267015188118E-2</v>
      </c>
      <c r="AK171" s="62">
        <v>1.7175520399960474E-2</v>
      </c>
    </row>
    <row r="172" spans="2:37" x14ac:dyDescent="0.35">
      <c r="B172" s="54" t="s">
        <v>237</v>
      </c>
      <c r="C172" s="52" t="s">
        <v>232</v>
      </c>
      <c r="D172" s="52" t="s">
        <v>43</v>
      </c>
      <c r="E172" s="52" t="s">
        <v>110</v>
      </c>
      <c r="F172" s="72">
        <f t="shared" si="88"/>
        <v>2.4793799619408245E-2</v>
      </c>
      <c r="G172" s="59">
        <f t="shared" si="89"/>
        <v>3.3273806465370231E-2</v>
      </c>
      <c r="H172" s="59">
        <f t="shared" si="90"/>
        <v>3.9742043733934168E-2</v>
      </c>
      <c r="I172" s="59">
        <f t="shared" si="91"/>
        <v>4.4247540716450873E-2</v>
      </c>
      <c r="J172" s="62">
        <f t="shared" si="92"/>
        <v>4.8413960867058695E-2</v>
      </c>
      <c r="K172" s="59" t="str">
        <f t="shared" si="93"/>
        <v/>
      </c>
      <c r="L172" s="59">
        <f t="shared" si="94"/>
        <v>5.60681796537023E-3</v>
      </c>
      <c r="M172" s="59">
        <f t="shared" si="95"/>
        <v>1.1515419833934172E-2</v>
      </c>
      <c r="N172" s="59">
        <f t="shared" si="96"/>
        <v>1.5180338316450877E-2</v>
      </c>
      <c r="O172" s="62">
        <f t="shared" si="97"/>
        <v>1.809877666705869E-2</v>
      </c>
      <c r="P172" s="54" t="s">
        <v>21</v>
      </c>
      <c r="Q172" s="52" t="s">
        <v>21</v>
      </c>
      <c r="R172" s="93" t="s">
        <v>21</v>
      </c>
      <c r="S172" s="70" t="s">
        <v>21</v>
      </c>
      <c r="T172" s="62" t="str">
        <f t="shared" si="98"/>
        <v/>
      </c>
      <c r="V172" s="113">
        <v>1.12999735</v>
      </c>
      <c r="W172" s="71">
        <v>2.92266417</v>
      </c>
      <c r="X172" s="71">
        <v>4.5203745500000005</v>
      </c>
      <c r="Y172" s="71">
        <v>5.889621</v>
      </c>
      <c r="Z172" s="114">
        <v>7.5829374300000003</v>
      </c>
      <c r="AB172" s="72">
        <v>2.4793799619408245E-2</v>
      </c>
      <c r="AC172" s="70">
        <v>3.3273806465370231E-2</v>
      </c>
      <c r="AD172" s="70">
        <v>3.9742043733934168E-2</v>
      </c>
      <c r="AE172" s="70">
        <v>4.4247540716450873E-2</v>
      </c>
      <c r="AF172" s="62">
        <v>4.8413960867058695E-2</v>
      </c>
      <c r="AG172" s="70" t="s">
        <v>21</v>
      </c>
      <c r="AH172" s="70">
        <v>5.60681796537023E-3</v>
      </c>
      <c r="AI172" s="70">
        <v>1.1515419833934172E-2</v>
      </c>
      <c r="AJ172" s="70">
        <v>1.5180338316450877E-2</v>
      </c>
      <c r="AK172" s="62">
        <v>1.809877666705869E-2</v>
      </c>
    </row>
    <row r="173" spans="2:37" x14ac:dyDescent="0.35">
      <c r="B173" s="54" t="s">
        <v>329</v>
      </c>
      <c r="C173" s="52" t="s">
        <v>232</v>
      </c>
      <c r="D173" s="52" t="s">
        <v>62</v>
      </c>
      <c r="E173" s="52" t="s">
        <v>21</v>
      </c>
      <c r="F173" s="72">
        <f t="shared" si="88"/>
        <v>2.5098095877691025E-2</v>
      </c>
      <c r="G173" s="59">
        <f t="shared" si="89"/>
        <v>3.318925418053157E-2</v>
      </c>
      <c r="H173" s="59">
        <f t="shared" si="90"/>
        <v>3.9588095995692289E-2</v>
      </c>
      <c r="I173" s="59">
        <f t="shared" si="91"/>
        <v>4.3718193703690844E-2</v>
      </c>
      <c r="J173" s="62">
        <f t="shared" si="92"/>
        <v>4.8386884699290852E-2</v>
      </c>
      <c r="K173" s="59" t="str">
        <f t="shared" si="93"/>
        <v/>
      </c>
      <c r="L173" s="59">
        <f t="shared" si="94"/>
        <v>5.5251297805315718E-3</v>
      </c>
      <c r="M173" s="59">
        <f t="shared" si="95"/>
        <v>1.1367416295692299E-2</v>
      </c>
      <c r="N173" s="59">
        <f t="shared" si="96"/>
        <v>1.467431030369085E-2</v>
      </c>
      <c r="O173" s="62">
        <f t="shared" si="97"/>
        <v>1.8080974499290851E-2</v>
      </c>
      <c r="P173" s="54" t="s">
        <v>21</v>
      </c>
      <c r="Q173" s="52" t="s">
        <v>21</v>
      </c>
      <c r="R173" s="93" t="s">
        <v>21</v>
      </c>
      <c r="S173" s="70" t="s">
        <v>21</v>
      </c>
      <c r="T173" s="62" t="str">
        <f t="shared" si="98"/>
        <v/>
      </c>
      <c r="V173" s="113">
        <v>1.12941117</v>
      </c>
      <c r="W173" s="71">
        <v>2.9221618</v>
      </c>
      <c r="X173" s="71">
        <v>4.5217242600000001</v>
      </c>
      <c r="Y173" s="71">
        <v>5.8988332100000003</v>
      </c>
      <c r="Z173" s="114">
        <v>7.5721046200000002</v>
      </c>
      <c r="AB173" s="72">
        <v>2.5098095877691025E-2</v>
      </c>
      <c r="AC173" s="70">
        <v>3.318925418053157E-2</v>
      </c>
      <c r="AD173" s="70">
        <v>3.9588095995692289E-2</v>
      </c>
      <c r="AE173" s="70">
        <v>4.3718193703690844E-2</v>
      </c>
      <c r="AF173" s="62">
        <v>4.8386884699290852E-2</v>
      </c>
      <c r="AG173" s="70" t="s">
        <v>21</v>
      </c>
      <c r="AH173" s="70">
        <v>5.5251297805315718E-3</v>
      </c>
      <c r="AI173" s="70">
        <v>1.1367416295692299E-2</v>
      </c>
      <c r="AJ173" s="70">
        <v>1.467431030369085E-2</v>
      </c>
      <c r="AK173" s="62">
        <v>1.8080974499290851E-2</v>
      </c>
    </row>
    <row r="174" spans="2:37" x14ac:dyDescent="0.35">
      <c r="B174" s="54" t="s">
        <v>374</v>
      </c>
      <c r="C174" s="52" t="s">
        <v>232</v>
      </c>
      <c r="D174" s="52" t="s">
        <v>20</v>
      </c>
      <c r="E174" s="52" t="s">
        <v>21</v>
      </c>
      <c r="F174" s="72">
        <f t="shared" ref="F174:F276" si="110">IF(ISNUMBER(AB174),AB174-((C$4-C$3)/V174),"")</f>
        <v>2.3114625776630371E-2</v>
      </c>
      <c r="G174" s="59">
        <f t="shared" ref="G174:G276" si="111">IF(ISNUMBER(AC174),AC174-((D$4-D$3)/W174),"")</f>
        <v>2.9131374386372078E-2</v>
      </c>
      <c r="H174" s="59">
        <f t="shared" ref="H174:H276" si="112">IF(ISNUMBER(AD174),AD174-((E$4-E$3)/X174),"")</f>
        <v>3.2671586891348151E-2</v>
      </c>
      <c r="I174" s="59">
        <f t="shared" ref="I174:I276" si="113">IF(ISNUMBER(AE174),AE174-((F$4-F$3)/Y174),"")</f>
        <v>3.5107277118601829E-2</v>
      </c>
      <c r="J174" s="62">
        <f t="shared" ref="J174:J276" si="114">IF(ISNUMBER(AF174),AF174-((G$4-G$3)/Z174),"")</f>
        <v>3.7651925929544527E-2</v>
      </c>
      <c r="K174" s="59" t="str">
        <f t="shared" ref="K174:K276" si="115">IF(ISNUMBER(AG174),IF(AG174-((C$4-C$3)/V174)&lt;0,"",AG174-((C$4-C$3)/V174)),"")</f>
        <v/>
      </c>
      <c r="L174" s="59">
        <f t="shared" ref="L174:L276" si="116">IF(ISNUMBER(AH174),IF(AH174-((D$4-D$3)/W174)&lt;0,"",AH174-((D$4-D$3)/W174)),"")</f>
        <v>1.5863312863720856E-3</v>
      </c>
      <c r="M174" s="59">
        <f t="shared" ref="M174:M276" si="117">IF(ISNUMBER(AI174),IF(AI174-((E$4-E$3)/X174)&lt;0,"",AI174-((E$4-E$3)/X174)),"")</f>
        <v>4.6728555913481511E-3</v>
      </c>
      <c r="N174" s="59">
        <f t="shared" ref="N174:N276" si="118">IF(ISNUMBER(AJ174),IF(AJ174-((F$4-F$3)/Y174)&lt;0,"",AJ174-((F$4-F$3)/Y174)),"")</f>
        <v>6.3578330186018208E-3</v>
      </c>
      <c r="O174" s="62">
        <f t="shared" ref="O174:O276" si="119">IF(ISNUMBER(AK174),IF(AK174-((G$4-G$3)/Z174)&lt;0,"",AK174-((G$4-G$3)/Z174)),"")</f>
        <v>7.6688668295445302E-3</v>
      </c>
      <c r="P174" s="54" t="s">
        <v>21</v>
      </c>
      <c r="Q174" s="52" t="s">
        <v>21</v>
      </c>
      <c r="R174" s="93" t="s">
        <v>21</v>
      </c>
      <c r="S174" s="70" t="s">
        <v>21</v>
      </c>
      <c r="T174" s="62" t="str">
        <f t="shared" si="98"/>
        <v/>
      </c>
      <c r="V174" s="113">
        <v>1.13227704</v>
      </c>
      <c r="W174" s="71">
        <v>2.9502352100000002</v>
      </c>
      <c r="X174" s="71">
        <v>4.6251820399999994</v>
      </c>
      <c r="Y174" s="71">
        <v>6.1344165200000003</v>
      </c>
      <c r="Z174" s="114">
        <v>8.12282145</v>
      </c>
      <c r="AB174" s="72">
        <v>2.3114625776630371E-2</v>
      </c>
      <c r="AC174" s="70">
        <v>2.9131374386372078E-2</v>
      </c>
      <c r="AD174" s="70">
        <v>3.2671586891348151E-2</v>
      </c>
      <c r="AE174" s="70">
        <v>3.5107277118601829E-2</v>
      </c>
      <c r="AF174" s="62">
        <v>3.7651925929544527E-2</v>
      </c>
      <c r="AG174" s="70" t="s">
        <v>21</v>
      </c>
      <c r="AH174" s="70">
        <v>1.5863312863720856E-3</v>
      </c>
      <c r="AI174" s="70">
        <v>4.6728555913481511E-3</v>
      </c>
      <c r="AJ174" s="70">
        <v>6.3578330186018208E-3</v>
      </c>
      <c r="AK174" s="62">
        <v>7.6688668295445302E-3</v>
      </c>
    </row>
    <row r="175" spans="2:37" x14ac:dyDescent="0.35">
      <c r="B175" s="54" t="s">
        <v>337</v>
      </c>
      <c r="C175" s="52" t="s">
        <v>232</v>
      </c>
      <c r="D175" s="52" t="s">
        <v>31</v>
      </c>
      <c r="E175" s="52" t="s">
        <v>81</v>
      </c>
      <c r="F175" s="72">
        <f t="shared" si="110"/>
        <v>2.4866244956796707E-2</v>
      </c>
      <c r="G175" s="59">
        <f t="shared" si="111"/>
        <v>3.2675888357899814E-2</v>
      </c>
      <c r="H175" s="59">
        <f t="shared" si="112"/>
        <v>3.8510590445690662E-2</v>
      </c>
      <c r="I175" s="59">
        <f t="shared" si="113"/>
        <v>4.2865402409971526E-2</v>
      </c>
      <c r="J175" s="62">
        <f t="shared" si="114"/>
        <v>4.7389037921746584E-2</v>
      </c>
      <c r="K175" s="59" t="str">
        <f t="shared" si="115"/>
        <v/>
      </c>
      <c r="L175" s="59">
        <f t="shared" si="116"/>
        <v>5.0318025578998098E-3</v>
      </c>
      <c r="M175" s="59">
        <f t="shared" si="117"/>
        <v>1.0333409945690656E-2</v>
      </c>
      <c r="N175" s="59">
        <f t="shared" si="118"/>
        <v>1.385886640997153E-2</v>
      </c>
      <c r="O175" s="62">
        <f t="shared" si="119"/>
        <v>1.7114837721746587E-2</v>
      </c>
      <c r="P175" s="54" t="s">
        <v>385</v>
      </c>
      <c r="Q175" s="52" t="s">
        <v>386</v>
      </c>
      <c r="R175" s="93">
        <v>47519</v>
      </c>
      <c r="S175" s="70">
        <v>3.369465E-2</v>
      </c>
      <c r="T175" s="62">
        <f t="shared" si="98"/>
        <v>4.8159404456906627E-3</v>
      </c>
      <c r="V175" s="113">
        <v>1.12982841</v>
      </c>
      <c r="W175" s="71">
        <v>2.9261917500000001</v>
      </c>
      <c r="X175" s="71">
        <v>4.53800648</v>
      </c>
      <c r="Y175" s="71">
        <v>5.9294829499999997</v>
      </c>
      <c r="Z175" s="114">
        <v>7.6529272199999996</v>
      </c>
      <c r="AB175" s="72">
        <v>2.4866244956796707E-2</v>
      </c>
      <c r="AC175" s="70">
        <v>3.2675888357899814E-2</v>
      </c>
      <c r="AD175" s="70">
        <v>3.8510590445690662E-2</v>
      </c>
      <c r="AE175" s="70">
        <v>4.2865402409971526E-2</v>
      </c>
      <c r="AF175" s="62">
        <v>4.7389037921746584E-2</v>
      </c>
      <c r="AG175" s="70" t="s">
        <v>21</v>
      </c>
      <c r="AH175" s="70">
        <v>5.0318025578998098E-3</v>
      </c>
      <c r="AI175" s="70">
        <v>1.0333409945690656E-2</v>
      </c>
      <c r="AJ175" s="70">
        <v>1.385886640997153E-2</v>
      </c>
      <c r="AK175" s="62">
        <v>1.7114837721746587E-2</v>
      </c>
    </row>
    <row r="176" spans="2:37" x14ac:dyDescent="0.35">
      <c r="B176" s="54" t="s">
        <v>327</v>
      </c>
      <c r="C176" s="52" t="s">
        <v>232</v>
      </c>
      <c r="D176" s="52" t="s">
        <v>43</v>
      </c>
      <c r="E176" s="52" t="s">
        <v>21</v>
      </c>
      <c r="F176" s="72">
        <f t="shared" si="110"/>
        <v>2.5198209209926069E-2</v>
      </c>
      <c r="G176" s="59">
        <f t="shared" si="111"/>
        <v>3.3648869616027421E-2</v>
      </c>
      <c r="H176" s="59">
        <f t="shared" si="112"/>
        <v>4.0090867055949581E-2</v>
      </c>
      <c r="I176" s="59">
        <f t="shared" si="113"/>
        <v>4.4730837978570061E-2</v>
      </c>
      <c r="J176" s="62">
        <f t="shared" si="114"/>
        <v>4.924664078586849E-2</v>
      </c>
      <c r="K176" s="59" t="str">
        <f t="shared" si="115"/>
        <v/>
      </c>
      <c r="L176" s="59">
        <f t="shared" si="116"/>
        <v>5.968519316027418E-3</v>
      </c>
      <c r="M176" s="59">
        <f t="shared" si="117"/>
        <v>1.1850637655949584E-2</v>
      </c>
      <c r="N176" s="59">
        <f t="shared" si="118"/>
        <v>1.5643586478570056E-2</v>
      </c>
      <c r="O176" s="62">
        <f t="shared" si="119"/>
        <v>1.8896903185868476E-2</v>
      </c>
      <c r="P176" s="54" t="s">
        <v>21</v>
      </c>
      <c r="Q176" s="52" t="s">
        <v>21</v>
      </c>
      <c r="R176" s="93" t="s">
        <v>21</v>
      </c>
      <c r="S176" s="70" t="s">
        <v>21</v>
      </c>
      <c r="T176" s="62" t="str">
        <f t="shared" si="98"/>
        <v/>
      </c>
      <c r="V176" s="113">
        <v>1.12920899</v>
      </c>
      <c r="W176" s="71">
        <v>2.9189253500000003</v>
      </c>
      <c r="X176" s="71">
        <v>4.5125183</v>
      </c>
      <c r="Y176" s="71">
        <v>5.8753455199999998</v>
      </c>
      <c r="Z176" s="114">
        <v>7.5496000800000003</v>
      </c>
      <c r="AB176" s="72">
        <v>2.5198209209926069E-2</v>
      </c>
      <c r="AC176" s="70">
        <v>3.3648869616027421E-2</v>
      </c>
      <c r="AD176" s="70">
        <v>4.0090867055949581E-2</v>
      </c>
      <c r="AE176" s="70">
        <v>4.4730837978570061E-2</v>
      </c>
      <c r="AF176" s="62">
        <v>4.924664078586849E-2</v>
      </c>
      <c r="AG176" s="70" t="s">
        <v>21</v>
      </c>
      <c r="AH176" s="70">
        <v>5.968519316027418E-3</v>
      </c>
      <c r="AI176" s="70">
        <v>1.1850637655949584E-2</v>
      </c>
      <c r="AJ176" s="70">
        <v>1.5643586478570056E-2</v>
      </c>
      <c r="AK176" s="62">
        <v>1.8896903185868476E-2</v>
      </c>
    </row>
    <row r="177" spans="2:37" x14ac:dyDescent="0.35">
      <c r="B177" s="54" t="s">
        <v>341</v>
      </c>
      <c r="C177" s="52" t="s">
        <v>232</v>
      </c>
      <c r="D177" s="52" t="s">
        <v>69</v>
      </c>
      <c r="E177" s="52" t="s">
        <v>21</v>
      </c>
      <c r="F177" s="72">
        <f t="shared" si="110"/>
        <v>2.4584339254752528E-2</v>
      </c>
      <c r="G177" s="59">
        <f t="shared" si="111"/>
        <v>3.2492174754932442E-2</v>
      </c>
      <c r="H177" s="59">
        <f t="shared" si="112"/>
        <v>3.8158915660034577E-2</v>
      </c>
      <c r="I177" s="59">
        <f t="shared" si="113"/>
        <v>4.1656761712446193E-2</v>
      </c>
      <c r="J177" s="62">
        <f t="shared" si="114"/>
        <v>4.5987325516174613E-2</v>
      </c>
      <c r="K177" s="59" t="str">
        <f t="shared" si="115"/>
        <v/>
      </c>
      <c r="L177" s="59">
        <f t="shared" si="116"/>
        <v>4.8514108549324378E-3</v>
      </c>
      <c r="M177" s="59">
        <f t="shared" si="117"/>
        <v>9.9929330600345787E-3</v>
      </c>
      <c r="N177" s="59">
        <f t="shared" si="118"/>
        <v>1.2698921112446191E-2</v>
      </c>
      <c r="O177" s="62">
        <f t="shared" si="119"/>
        <v>1.5764423516174617E-2</v>
      </c>
      <c r="P177" s="54" t="s">
        <v>496</v>
      </c>
      <c r="Q177" s="52" t="s">
        <v>497</v>
      </c>
      <c r="R177" s="93" t="s">
        <v>32</v>
      </c>
      <c r="S177" s="70">
        <v>3.6248300000000004E-2</v>
      </c>
      <c r="T177" s="62">
        <f t="shared" si="98"/>
        <v>1.9106156600345731E-3</v>
      </c>
      <c r="V177" s="113">
        <v>1.1304369200000002</v>
      </c>
      <c r="W177" s="71">
        <v>2.92849409</v>
      </c>
      <c r="X177" s="71">
        <v>4.5443899000000005</v>
      </c>
      <c r="Y177" s="71">
        <v>5.9538346899999999</v>
      </c>
      <c r="Z177" s="114">
        <v>7.7183077200000003</v>
      </c>
      <c r="AB177" s="72">
        <v>2.4584339254752528E-2</v>
      </c>
      <c r="AC177" s="70">
        <v>3.2492174754932442E-2</v>
      </c>
      <c r="AD177" s="70">
        <v>3.8158915660034577E-2</v>
      </c>
      <c r="AE177" s="70">
        <v>4.1656761712446193E-2</v>
      </c>
      <c r="AF177" s="62">
        <v>4.5987325516174613E-2</v>
      </c>
      <c r="AG177" s="70" t="s">
        <v>21</v>
      </c>
      <c r="AH177" s="70">
        <v>4.8514108549324378E-3</v>
      </c>
      <c r="AI177" s="70">
        <v>9.9929330600345787E-3</v>
      </c>
      <c r="AJ177" s="70">
        <v>1.2698921112446191E-2</v>
      </c>
      <c r="AK177" s="62">
        <v>1.5764423516174617E-2</v>
      </c>
    </row>
    <row r="178" spans="2:37" x14ac:dyDescent="0.35">
      <c r="B178" s="54" t="s">
        <v>141</v>
      </c>
      <c r="C178" s="52" t="s">
        <v>232</v>
      </c>
      <c r="D178" s="52" t="s">
        <v>53</v>
      </c>
      <c r="E178" s="52" t="s">
        <v>123</v>
      </c>
      <c r="F178" s="72">
        <f t="shared" si="110"/>
        <v>2.4584602761123116E-2</v>
      </c>
      <c r="G178" s="59">
        <f t="shared" si="111"/>
        <v>3.2534651202105698E-2</v>
      </c>
      <c r="H178" s="59">
        <f t="shared" si="112"/>
        <v>3.8154048595792203E-2</v>
      </c>
      <c r="I178" s="59">
        <f t="shared" si="113"/>
        <v>4.2231678737664931E-2</v>
      </c>
      <c r="J178" s="62">
        <f t="shared" si="114"/>
        <v>4.702862027867355E-2</v>
      </c>
      <c r="K178" s="59" t="str">
        <f t="shared" si="115"/>
        <v/>
      </c>
      <c r="L178" s="59">
        <f t="shared" si="116"/>
        <v>4.8955264021057054E-3</v>
      </c>
      <c r="M178" s="59">
        <f t="shared" si="117"/>
        <v>9.9904336957922033E-3</v>
      </c>
      <c r="N178" s="59">
        <f t="shared" si="118"/>
        <v>1.3251701637664938E-2</v>
      </c>
      <c r="O178" s="62">
        <f t="shared" si="119"/>
        <v>1.6767056578673552E-2</v>
      </c>
      <c r="P178" s="54" t="s">
        <v>498</v>
      </c>
      <c r="Q178" s="52" t="s">
        <v>499</v>
      </c>
      <c r="R178" s="93" t="s">
        <v>32</v>
      </c>
      <c r="S178" s="70">
        <v>3.8424480000000004E-2</v>
      </c>
      <c r="T178" s="62">
        <f t="shared" si="98"/>
        <v>-2.7043140420780071E-4</v>
      </c>
      <c r="V178" s="113">
        <v>1.13037532</v>
      </c>
      <c r="W178" s="71">
        <v>2.9275782699999997</v>
      </c>
      <c r="X178" s="71">
        <v>4.5434181999999996</v>
      </c>
      <c r="Y178" s="71">
        <v>5.9447241800000006</v>
      </c>
      <c r="Z178" s="114">
        <v>7.6802286600000009</v>
      </c>
      <c r="AB178" s="72">
        <v>2.4584602761123116E-2</v>
      </c>
      <c r="AC178" s="70">
        <v>3.2534651202105698E-2</v>
      </c>
      <c r="AD178" s="70">
        <v>3.8154048595792203E-2</v>
      </c>
      <c r="AE178" s="70">
        <v>4.2231678737664931E-2</v>
      </c>
      <c r="AF178" s="62">
        <v>4.702862027867355E-2</v>
      </c>
      <c r="AG178" s="70" t="s">
        <v>21</v>
      </c>
      <c r="AH178" s="70">
        <v>4.8955264021057054E-3</v>
      </c>
      <c r="AI178" s="70">
        <v>9.9904336957922033E-3</v>
      </c>
      <c r="AJ178" s="70">
        <v>1.3251701637664938E-2</v>
      </c>
      <c r="AK178" s="62">
        <v>1.6767056578673552E-2</v>
      </c>
    </row>
    <row r="179" spans="2:37" s="52" customFormat="1" x14ac:dyDescent="0.35">
      <c r="B179" s="54" t="s">
        <v>137</v>
      </c>
      <c r="C179" s="52" t="s">
        <v>232</v>
      </c>
      <c r="D179" s="52" t="s">
        <v>20</v>
      </c>
      <c r="E179" s="52" t="s">
        <v>21</v>
      </c>
      <c r="F179" s="72">
        <f t="shared" ref="F179:F194" si="120">IF(ISNUMBER(AB179),AB179-((C$4-C$3)/V179),"")</f>
        <v>2.5436522474619964E-2</v>
      </c>
      <c r="G179" s="59">
        <f t="shared" ref="G179:G194" si="121">IF(ISNUMBER(AC179),AC179-((D$4-D$3)/W179),"")</f>
        <v>3.2975783233010272E-2</v>
      </c>
      <c r="H179" s="59">
        <f t="shared" ref="H179:H194" si="122">IF(ISNUMBER(AD179),AD179-((E$4-E$3)/X179),"")</f>
        <v>3.8017253318395748E-2</v>
      </c>
      <c r="I179" s="59">
        <f t="shared" ref="I179:I194" si="123">IF(ISNUMBER(AE179),AE179-((F$4-F$3)/Y179),"")</f>
        <v>4.1005920933280052E-2</v>
      </c>
      <c r="J179" s="62">
        <f t="shared" ref="J179:J194" si="124">IF(ISNUMBER(AF179),AF179-((G$4-G$3)/Z179),"")</f>
        <v>4.4264515447514183E-2</v>
      </c>
      <c r="K179" s="59" t="str">
        <f t="shared" ref="K179:K194" si="125">IF(ISNUMBER(AG179),IF(AG179-((C$4-C$3)/V179)&lt;0,"",AG179-((C$4-C$3)/V179)),"")</f>
        <v/>
      </c>
      <c r="L179" s="59">
        <f t="shared" ref="L179:L194" si="126">IF(ISNUMBER(AH179),IF(AH179-((D$4-D$3)/W179)&lt;0,"",AH179-((D$4-D$3)/W179)),"")</f>
        <v>5.3016535330102721E-3</v>
      </c>
      <c r="M179" s="59">
        <f t="shared" ref="M179:M194" si="127">IF(ISNUMBER(AI179),IF(AI179-((E$4-E$3)/X179)&lt;0,"",AI179-((E$4-E$3)/X179)),"")</f>
        <v>9.8384233183957531E-3</v>
      </c>
      <c r="N179" s="59">
        <f t="shared" ref="N179:N194" si="128">IF(ISNUMBER(AJ179),IF(AJ179-((F$4-F$3)/Y179)&lt;0,"",AJ179-((F$4-F$3)/Y179)),"")</f>
        <v>1.2055087033280057E-2</v>
      </c>
      <c r="O179" s="62">
        <f t="shared" ref="O179:O194" si="129">IF(ISNUMBER(AK179),IF(AK179-((G$4-G$3)/Z179)&lt;0,"",AK179-((G$4-G$3)/Z179)),"")</f>
        <v>1.4094557647514182E-2</v>
      </c>
      <c r="P179" s="54" t="s">
        <v>500</v>
      </c>
      <c r="Q179" s="52" t="s">
        <v>501</v>
      </c>
      <c r="R179" s="93">
        <v>47423</v>
      </c>
      <c r="S179" s="70">
        <v>3.4618589999999998E-2</v>
      </c>
      <c r="T179" s="62">
        <f t="shared" ref="T179:T194" si="130">IF(S179="","",H179-S179)</f>
        <v>3.3986633183957504E-3</v>
      </c>
      <c r="V179" s="113">
        <v>1.1277968899999999</v>
      </c>
      <c r="W179" s="71">
        <v>2.9175542299999999</v>
      </c>
      <c r="X179" s="71">
        <v>4.5294199200000005</v>
      </c>
      <c r="Y179" s="71">
        <v>5.9377767800000001</v>
      </c>
      <c r="Z179" s="114">
        <v>7.7177071099999992</v>
      </c>
      <c r="AB179" s="72">
        <v>2.5436522474619964E-2</v>
      </c>
      <c r="AC179" s="70">
        <v>3.2975783233010272E-2</v>
      </c>
      <c r="AD179" s="70">
        <v>3.8017253318395748E-2</v>
      </c>
      <c r="AE179" s="70">
        <v>4.1005920933280052E-2</v>
      </c>
      <c r="AF179" s="62">
        <v>4.4264515447514183E-2</v>
      </c>
      <c r="AG179" s="70" t="s">
        <v>21</v>
      </c>
      <c r="AH179" s="70">
        <v>5.3016535330102721E-3</v>
      </c>
      <c r="AI179" s="70">
        <v>9.8384233183957531E-3</v>
      </c>
      <c r="AJ179" s="70">
        <v>1.2055087033280057E-2</v>
      </c>
      <c r="AK179" s="62">
        <v>1.4094557647514182E-2</v>
      </c>
    </row>
    <row r="180" spans="2:37" s="52" customFormat="1" x14ac:dyDescent="0.35">
      <c r="B180" s="54" t="s">
        <v>158</v>
      </c>
      <c r="C180" s="52" t="s">
        <v>232</v>
      </c>
      <c r="D180" s="52" t="s">
        <v>20</v>
      </c>
      <c r="E180" s="52" t="s">
        <v>338</v>
      </c>
      <c r="F180" s="72">
        <f t="shared" si="120"/>
        <v>2.476643229047347E-2</v>
      </c>
      <c r="G180" s="59">
        <f t="shared" si="121"/>
        <v>3.2510842313557844E-2</v>
      </c>
      <c r="H180" s="59">
        <f t="shared" si="122"/>
        <v>3.7914380116143682E-2</v>
      </c>
      <c r="I180" s="59">
        <f t="shared" si="123"/>
        <v>4.0927202234564149E-2</v>
      </c>
      <c r="J180" s="62">
        <f t="shared" si="124"/>
        <v>4.4246308069380624E-2</v>
      </c>
      <c r="K180" s="59" t="str">
        <f t="shared" si="125"/>
        <v/>
      </c>
      <c r="L180" s="59">
        <f t="shared" si="126"/>
        <v>4.8532886135578459E-3</v>
      </c>
      <c r="M180" s="59">
        <f t="shared" si="127"/>
        <v>9.7396094161436852E-3</v>
      </c>
      <c r="N180" s="59">
        <f t="shared" si="128"/>
        <v>1.1980935734564147E-2</v>
      </c>
      <c r="O180" s="62">
        <f t="shared" si="129"/>
        <v>1.4071659269380633E-2</v>
      </c>
      <c r="P180" s="54" t="s">
        <v>502</v>
      </c>
      <c r="Q180" s="52" t="s">
        <v>503</v>
      </c>
      <c r="R180" s="93">
        <v>47543</v>
      </c>
      <c r="S180" s="70">
        <v>3.5589179999999998E-2</v>
      </c>
      <c r="T180" s="62">
        <f t="shared" si="130"/>
        <v>2.3252001161436844E-3</v>
      </c>
      <c r="V180" s="113">
        <v>1.1290925000000001</v>
      </c>
      <c r="W180" s="71">
        <v>2.9233888100000001</v>
      </c>
      <c r="X180" s="71">
        <v>4.5366704599999998</v>
      </c>
      <c r="Y180" s="71">
        <v>5.9439924199999998</v>
      </c>
      <c r="Z180" s="114">
        <v>7.7395092500000002</v>
      </c>
      <c r="AB180" s="72">
        <v>2.476643229047347E-2</v>
      </c>
      <c r="AC180" s="70">
        <v>3.2510842313557844E-2</v>
      </c>
      <c r="AD180" s="70">
        <v>3.7914380116143682E-2</v>
      </c>
      <c r="AE180" s="70">
        <v>4.0927202234564149E-2</v>
      </c>
      <c r="AF180" s="62">
        <v>4.4246308069380624E-2</v>
      </c>
      <c r="AG180" s="70" t="s">
        <v>21</v>
      </c>
      <c r="AH180" s="70">
        <v>4.8532886135578459E-3</v>
      </c>
      <c r="AI180" s="70">
        <v>9.7396094161436852E-3</v>
      </c>
      <c r="AJ180" s="70">
        <v>1.1980935734564147E-2</v>
      </c>
      <c r="AK180" s="62">
        <v>1.4071659269380633E-2</v>
      </c>
    </row>
    <row r="181" spans="2:37" s="52" customFormat="1" x14ac:dyDescent="0.35">
      <c r="B181" s="54" t="s">
        <v>149</v>
      </c>
      <c r="C181" s="52" t="s">
        <v>232</v>
      </c>
      <c r="D181" s="52" t="s">
        <v>53</v>
      </c>
      <c r="E181" s="52" t="s">
        <v>21</v>
      </c>
      <c r="F181" s="72">
        <f t="shared" si="120"/>
        <v>2.4947387873242407E-2</v>
      </c>
      <c r="G181" s="59">
        <f t="shared" si="121"/>
        <v>3.2429399272847451E-2</v>
      </c>
      <c r="H181" s="59">
        <f t="shared" si="122"/>
        <v>3.7897214341002926E-2</v>
      </c>
      <c r="I181" s="59">
        <f t="shared" si="123"/>
        <v>4.1694402041503362E-2</v>
      </c>
      <c r="J181" s="62">
        <f t="shared" si="124"/>
        <v>4.6026177962396185E-2</v>
      </c>
      <c r="K181" s="59" t="str">
        <f t="shared" si="125"/>
        <v/>
      </c>
      <c r="L181" s="59">
        <f t="shared" si="126"/>
        <v>4.7931437728474437E-3</v>
      </c>
      <c r="M181" s="59">
        <f t="shared" si="127"/>
        <v>9.7425610410029322E-3</v>
      </c>
      <c r="N181" s="59">
        <f t="shared" si="128"/>
        <v>1.2735737141503348E-2</v>
      </c>
      <c r="O181" s="62">
        <f t="shared" si="129"/>
        <v>1.5803211462396181E-2</v>
      </c>
      <c r="P181" s="54" t="s">
        <v>504</v>
      </c>
      <c r="Q181" s="52" t="s">
        <v>505</v>
      </c>
      <c r="R181" s="93">
        <v>47498</v>
      </c>
      <c r="S181" s="70">
        <v>3.2713739999999998E-2</v>
      </c>
      <c r="T181" s="62">
        <f t="shared" si="130"/>
        <v>5.1834743410029277E-3</v>
      </c>
      <c r="V181" s="113">
        <v>1.1296874400000001</v>
      </c>
      <c r="W181" s="71">
        <v>2.9275339300000001</v>
      </c>
      <c r="X181" s="71">
        <v>4.5463325399999999</v>
      </c>
      <c r="Y181" s="71">
        <v>5.9559485699999994</v>
      </c>
      <c r="Z181" s="114">
        <v>7.7185805800000011</v>
      </c>
      <c r="AB181" s="72">
        <v>2.4947387873242407E-2</v>
      </c>
      <c r="AC181" s="70">
        <v>3.2429399272847451E-2</v>
      </c>
      <c r="AD181" s="70">
        <v>3.7897214341002926E-2</v>
      </c>
      <c r="AE181" s="70">
        <v>4.1694402041503362E-2</v>
      </c>
      <c r="AF181" s="62">
        <v>4.6026177962396185E-2</v>
      </c>
      <c r="AG181" s="70" t="s">
        <v>21</v>
      </c>
      <c r="AH181" s="70">
        <v>4.7931437728474437E-3</v>
      </c>
      <c r="AI181" s="70">
        <v>9.7425610410029322E-3</v>
      </c>
      <c r="AJ181" s="70">
        <v>1.2735737141503348E-2</v>
      </c>
      <c r="AK181" s="62">
        <v>1.5803211462396181E-2</v>
      </c>
    </row>
    <row r="182" spans="2:37" s="52" customFormat="1" x14ac:dyDescent="0.35">
      <c r="B182" s="54" t="s">
        <v>150</v>
      </c>
      <c r="C182" s="52" t="s">
        <v>232</v>
      </c>
      <c r="D182" s="52" t="s">
        <v>43</v>
      </c>
      <c r="E182" s="52" t="s">
        <v>21</v>
      </c>
      <c r="F182" s="72">
        <f t="shared" si="120"/>
        <v>2.5012335371493132E-2</v>
      </c>
      <c r="G182" s="59">
        <f t="shared" si="121"/>
        <v>3.2279023887737769E-2</v>
      </c>
      <c r="H182" s="59">
        <f t="shared" si="122"/>
        <v>3.7848127549787523E-2</v>
      </c>
      <c r="I182" s="59">
        <f t="shared" si="123"/>
        <v>4.1838439837309116E-2</v>
      </c>
      <c r="J182" s="62">
        <f t="shared" si="124"/>
        <v>4.68184989758446E-2</v>
      </c>
      <c r="K182" s="59" t="str">
        <f t="shared" si="125"/>
        <v/>
      </c>
      <c r="L182" s="59">
        <f t="shared" si="126"/>
        <v>4.6459338877377684E-3</v>
      </c>
      <c r="M182" s="59">
        <f t="shared" si="127"/>
        <v>9.6938050497875246E-3</v>
      </c>
      <c r="N182" s="59">
        <f t="shared" si="128"/>
        <v>1.2872700537309106E-2</v>
      </c>
      <c r="O182" s="62">
        <f t="shared" si="129"/>
        <v>1.6562836675844603E-2</v>
      </c>
      <c r="P182" s="54" t="s">
        <v>21</v>
      </c>
      <c r="Q182" s="52" t="s">
        <v>21</v>
      </c>
      <c r="R182" s="93" t="s">
        <v>21</v>
      </c>
      <c r="S182" s="70" t="s">
        <v>21</v>
      </c>
      <c r="T182" s="62" t="str">
        <f t="shared" si="130"/>
        <v/>
      </c>
      <c r="V182" s="113">
        <v>1.1296024199999999</v>
      </c>
      <c r="W182" s="71">
        <v>2.9283702300000001</v>
      </c>
      <c r="X182" s="71">
        <v>4.5480715700000003</v>
      </c>
      <c r="Y182" s="71">
        <v>5.9556734799999997</v>
      </c>
      <c r="Z182" s="114">
        <v>7.69809184</v>
      </c>
      <c r="AB182" s="72">
        <v>2.5012335371493132E-2</v>
      </c>
      <c r="AC182" s="70">
        <v>3.2279023887737769E-2</v>
      </c>
      <c r="AD182" s="70">
        <v>3.7848127549787523E-2</v>
      </c>
      <c r="AE182" s="70">
        <v>4.1838439837309116E-2</v>
      </c>
      <c r="AF182" s="62">
        <v>4.68184989758446E-2</v>
      </c>
      <c r="AG182" s="70" t="s">
        <v>21</v>
      </c>
      <c r="AH182" s="70">
        <v>4.6459338877377684E-3</v>
      </c>
      <c r="AI182" s="70">
        <v>9.6938050497875246E-3</v>
      </c>
      <c r="AJ182" s="70">
        <v>1.2872700537309106E-2</v>
      </c>
      <c r="AK182" s="62">
        <v>1.6562836675844603E-2</v>
      </c>
    </row>
    <row r="183" spans="2:37" s="52" customFormat="1" x14ac:dyDescent="0.35">
      <c r="B183" s="54" t="s">
        <v>339</v>
      </c>
      <c r="C183" s="52" t="s">
        <v>232</v>
      </c>
      <c r="D183" s="52" t="s">
        <v>69</v>
      </c>
      <c r="E183" s="52" t="s">
        <v>288</v>
      </c>
      <c r="F183" s="72">
        <f t="shared" si="120"/>
        <v>2.4725167580990959E-2</v>
      </c>
      <c r="G183" s="59">
        <f t="shared" si="121"/>
        <v>3.2016163818219243E-2</v>
      </c>
      <c r="H183" s="59">
        <f t="shared" si="122"/>
        <v>3.7638042772078419E-2</v>
      </c>
      <c r="I183" s="59">
        <f t="shared" si="123"/>
        <v>4.1344780730666407E-2</v>
      </c>
      <c r="J183" s="62">
        <f t="shared" si="124"/>
        <v>4.5673995767744981E-2</v>
      </c>
      <c r="K183" s="59" t="str">
        <f t="shared" si="125"/>
        <v/>
      </c>
      <c r="L183" s="59">
        <f t="shared" si="126"/>
        <v>4.3939764182192448E-3</v>
      </c>
      <c r="M183" s="59">
        <f t="shared" si="127"/>
        <v>9.4928837720784261E-3</v>
      </c>
      <c r="N183" s="59">
        <f t="shared" si="128"/>
        <v>1.2400413830666404E-2</v>
      </c>
      <c r="O183" s="62">
        <f t="shared" si="129"/>
        <v>1.5464789467744986E-2</v>
      </c>
      <c r="P183" s="54" t="s">
        <v>21</v>
      </c>
      <c r="Q183" s="52" t="s">
        <v>21</v>
      </c>
      <c r="R183" s="93" t="s">
        <v>21</v>
      </c>
      <c r="S183" s="70" t="s">
        <v>21</v>
      </c>
      <c r="T183" s="62" t="str">
        <f t="shared" si="130"/>
        <v/>
      </c>
      <c r="V183" s="113">
        <v>1.13012325</v>
      </c>
      <c r="W183" s="71">
        <v>2.9309800300000002</v>
      </c>
      <c r="X183" s="71">
        <v>4.5533699199999997</v>
      </c>
      <c r="Y183" s="71">
        <v>5.9682572199999999</v>
      </c>
      <c r="Z183" s="114">
        <v>7.7406538799999991</v>
      </c>
      <c r="AB183" s="72">
        <v>2.4725167580990959E-2</v>
      </c>
      <c r="AC183" s="70">
        <v>3.2016163818219243E-2</v>
      </c>
      <c r="AD183" s="70">
        <v>3.7638042772078419E-2</v>
      </c>
      <c r="AE183" s="70">
        <v>4.1344780730666407E-2</v>
      </c>
      <c r="AF183" s="62">
        <v>4.5673995767744981E-2</v>
      </c>
      <c r="AG183" s="70" t="s">
        <v>21</v>
      </c>
      <c r="AH183" s="70">
        <v>4.3939764182192448E-3</v>
      </c>
      <c r="AI183" s="70">
        <v>9.4928837720784261E-3</v>
      </c>
      <c r="AJ183" s="70">
        <v>1.2400413830666404E-2</v>
      </c>
      <c r="AK183" s="62">
        <v>1.5464789467744986E-2</v>
      </c>
    </row>
    <row r="184" spans="2:37" s="52" customFormat="1" x14ac:dyDescent="0.35">
      <c r="B184" s="54" t="s">
        <v>367</v>
      </c>
      <c r="C184" s="52" t="s">
        <v>232</v>
      </c>
      <c r="D184" s="52" t="s">
        <v>20</v>
      </c>
      <c r="E184" s="52" t="s">
        <v>21</v>
      </c>
      <c r="F184" s="72">
        <f t="shared" si="120"/>
        <v>2.3927964601343683E-2</v>
      </c>
      <c r="G184" s="59">
        <f t="shared" si="121"/>
        <v>3.0322393544205923E-2</v>
      </c>
      <c r="H184" s="59">
        <f t="shared" si="122"/>
        <v>3.4271307601471797E-2</v>
      </c>
      <c r="I184" s="59">
        <f t="shared" si="123"/>
        <v>3.6859072673781856E-2</v>
      </c>
      <c r="J184" s="62">
        <f t="shared" si="124"/>
        <v>3.9444353639302293E-2</v>
      </c>
      <c r="K184" s="59" t="str">
        <f t="shared" si="125"/>
        <v/>
      </c>
      <c r="L184" s="59">
        <f t="shared" si="126"/>
        <v>2.7399376442059286E-3</v>
      </c>
      <c r="M184" s="59">
        <f t="shared" si="127"/>
        <v>6.224284801471797E-3</v>
      </c>
      <c r="N184" s="59">
        <f t="shared" si="128"/>
        <v>8.0572262737818572E-3</v>
      </c>
      <c r="O184" s="62">
        <f t="shared" si="129"/>
        <v>9.4182715393022892E-3</v>
      </c>
      <c r="P184" s="54" t="s">
        <v>399</v>
      </c>
      <c r="Q184" s="52" t="s">
        <v>400</v>
      </c>
      <c r="R184" s="93">
        <v>47270</v>
      </c>
      <c r="S184" s="70">
        <v>3.0585859999999999E-2</v>
      </c>
      <c r="T184" s="62">
        <f t="shared" si="130"/>
        <v>3.6854476014717974E-3</v>
      </c>
      <c r="V184" s="113">
        <v>1.1306968100000001</v>
      </c>
      <c r="W184" s="71">
        <v>2.9400864599999998</v>
      </c>
      <c r="X184" s="71">
        <v>4.5956719799999997</v>
      </c>
      <c r="Y184" s="71">
        <v>6.0744788400000003</v>
      </c>
      <c r="Z184" s="114">
        <v>8.0083489499999985</v>
      </c>
      <c r="AB184" s="72">
        <v>2.3927964601343683E-2</v>
      </c>
      <c r="AC184" s="70">
        <v>3.0322393544205923E-2</v>
      </c>
      <c r="AD184" s="70">
        <v>3.4271307601471797E-2</v>
      </c>
      <c r="AE184" s="70">
        <v>3.6859072673781856E-2</v>
      </c>
      <c r="AF184" s="62">
        <v>3.9444353639302293E-2</v>
      </c>
      <c r="AG184" s="70" t="s">
        <v>21</v>
      </c>
      <c r="AH184" s="70">
        <v>2.7399376442059286E-3</v>
      </c>
      <c r="AI184" s="70">
        <v>6.224284801471797E-3</v>
      </c>
      <c r="AJ184" s="70">
        <v>8.0572262737818572E-3</v>
      </c>
      <c r="AK184" s="62">
        <v>9.4182715393022892E-3</v>
      </c>
    </row>
    <row r="185" spans="2:37" s="52" customFormat="1" x14ac:dyDescent="0.35">
      <c r="B185" s="54" t="s">
        <v>359</v>
      </c>
      <c r="C185" s="52" t="s">
        <v>232</v>
      </c>
      <c r="D185" s="52" t="s">
        <v>20</v>
      </c>
      <c r="E185" s="52" t="s">
        <v>128</v>
      </c>
      <c r="F185" s="72">
        <f t="shared" si="120"/>
        <v>2.4379067248319161E-2</v>
      </c>
      <c r="G185" s="59">
        <f t="shared" si="121"/>
        <v>3.1859951106949704E-2</v>
      </c>
      <c r="H185" s="59">
        <f t="shared" si="122"/>
        <v>3.745400375249143E-2</v>
      </c>
      <c r="I185" s="59">
        <f t="shared" si="123"/>
        <v>4.0352012291991542E-2</v>
      </c>
      <c r="J185" s="62">
        <f t="shared" si="124"/>
        <v>4.365297156895042E-2</v>
      </c>
      <c r="K185" s="59" t="str">
        <f t="shared" si="125"/>
        <v/>
      </c>
      <c r="L185" s="59">
        <f t="shared" si="126"/>
        <v>4.2257213069497052E-3</v>
      </c>
      <c r="M185" s="59">
        <f t="shared" si="127"/>
        <v>9.2969127524914277E-3</v>
      </c>
      <c r="N185" s="59">
        <f t="shared" si="128"/>
        <v>1.1428049391991543E-2</v>
      </c>
      <c r="O185" s="62">
        <f t="shared" si="129"/>
        <v>1.3500566068950417E-2</v>
      </c>
      <c r="P185" s="54" t="s">
        <v>21</v>
      </c>
      <c r="Q185" s="52" t="s">
        <v>21</v>
      </c>
      <c r="R185" s="93" t="s">
        <v>21</v>
      </c>
      <c r="S185" s="70" t="s">
        <v>21</v>
      </c>
      <c r="T185" s="62" t="str">
        <f t="shared" si="130"/>
        <v/>
      </c>
      <c r="V185" s="113">
        <v>1.12982882</v>
      </c>
      <c r="W185" s="71">
        <v>2.9294363400000001</v>
      </c>
      <c r="X185" s="71">
        <v>4.5495646799999996</v>
      </c>
      <c r="Y185" s="71">
        <v>5.9697358899999999</v>
      </c>
      <c r="Z185" s="114">
        <v>7.78084445</v>
      </c>
      <c r="AB185" s="72">
        <v>2.4379067248319161E-2</v>
      </c>
      <c r="AC185" s="70">
        <v>3.1859951106949704E-2</v>
      </c>
      <c r="AD185" s="70">
        <v>3.745400375249143E-2</v>
      </c>
      <c r="AE185" s="70">
        <v>4.0352012291991542E-2</v>
      </c>
      <c r="AF185" s="62">
        <v>4.365297156895042E-2</v>
      </c>
      <c r="AG185" s="70" t="s">
        <v>21</v>
      </c>
      <c r="AH185" s="70">
        <v>4.2257213069497052E-3</v>
      </c>
      <c r="AI185" s="70">
        <v>9.2969127524914277E-3</v>
      </c>
      <c r="AJ185" s="70">
        <v>1.1428049391991543E-2</v>
      </c>
      <c r="AK185" s="62">
        <v>1.3500566068950417E-2</v>
      </c>
    </row>
    <row r="186" spans="2:37" s="52" customFormat="1" x14ac:dyDescent="0.35">
      <c r="B186" s="54" t="s">
        <v>136</v>
      </c>
      <c r="C186" s="52" t="s">
        <v>232</v>
      </c>
      <c r="D186" s="52" t="s">
        <v>47</v>
      </c>
      <c r="E186" s="52" t="s">
        <v>21</v>
      </c>
      <c r="F186" s="72">
        <f t="shared" si="120"/>
        <v>2.4776962636318147E-2</v>
      </c>
      <c r="G186" s="59">
        <f t="shared" si="121"/>
        <v>3.1822657152038671E-2</v>
      </c>
      <c r="H186" s="59">
        <f t="shared" si="122"/>
        <v>3.7272981944434506E-2</v>
      </c>
      <c r="I186" s="59">
        <f t="shared" si="123"/>
        <v>4.079779884015583E-2</v>
      </c>
      <c r="J186" s="62">
        <f t="shared" si="124"/>
        <v>4.4749754716269692E-2</v>
      </c>
      <c r="K186" s="59" t="str">
        <f t="shared" si="125"/>
        <v/>
      </c>
      <c r="L186" s="59">
        <f t="shared" si="126"/>
        <v>4.2091978520386692E-3</v>
      </c>
      <c r="M186" s="59">
        <f t="shared" si="127"/>
        <v>9.1426688444345115E-3</v>
      </c>
      <c r="N186" s="59">
        <f t="shared" si="128"/>
        <v>1.1876118240155831E-2</v>
      </c>
      <c r="O186" s="62">
        <f t="shared" si="129"/>
        <v>1.4575803216269688E-2</v>
      </c>
      <c r="P186" s="54" t="s">
        <v>506</v>
      </c>
      <c r="Q186" s="52" t="s">
        <v>507</v>
      </c>
      <c r="R186" s="93">
        <v>47559</v>
      </c>
      <c r="S186" s="70">
        <v>3.4665250000000002E-2</v>
      </c>
      <c r="T186" s="62">
        <f t="shared" si="130"/>
        <v>2.6077319444345048E-3</v>
      </c>
      <c r="V186" s="113">
        <v>1.1299801999999999</v>
      </c>
      <c r="W186" s="71">
        <v>2.9324877799999998</v>
      </c>
      <c r="X186" s="71">
        <v>4.5590516299999999</v>
      </c>
      <c r="Y186" s="71">
        <v>5.9825323700000004</v>
      </c>
      <c r="Z186" s="114">
        <v>7.7800098699999998</v>
      </c>
      <c r="AB186" s="72">
        <v>2.4776962636318147E-2</v>
      </c>
      <c r="AC186" s="70">
        <v>3.1822657152038671E-2</v>
      </c>
      <c r="AD186" s="70">
        <v>3.7272981944434506E-2</v>
      </c>
      <c r="AE186" s="70">
        <v>4.079779884015583E-2</v>
      </c>
      <c r="AF186" s="62">
        <v>4.4749754716269692E-2</v>
      </c>
      <c r="AG186" s="70" t="s">
        <v>21</v>
      </c>
      <c r="AH186" s="70">
        <v>4.2091978520386692E-3</v>
      </c>
      <c r="AI186" s="70">
        <v>9.1426688444345115E-3</v>
      </c>
      <c r="AJ186" s="70">
        <v>1.1876118240155831E-2</v>
      </c>
      <c r="AK186" s="62">
        <v>1.4575803216269688E-2</v>
      </c>
    </row>
    <row r="187" spans="2:37" s="52" customFormat="1" x14ac:dyDescent="0.35">
      <c r="B187" s="54" t="s">
        <v>238</v>
      </c>
      <c r="C187" s="52" t="s">
        <v>232</v>
      </c>
      <c r="D187" s="52" t="s">
        <v>20</v>
      </c>
      <c r="E187" s="52" t="s">
        <v>21</v>
      </c>
      <c r="F187" s="72">
        <f t="shared" si="120"/>
        <v>2.4217028989235861E-2</v>
      </c>
      <c r="G187" s="59">
        <f t="shared" si="121"/>
        <v>3.1997745120943777E-2</v>
      </c>
      <c r="H187" s="59">
        <f t="shared" si="122"/>
        <v>3.7191751597262748E-2</v>
      </c>
      <c r="I187" s="59">
        <f t="shared" si="123"/>
        <v>4.1174534905117015E-2</v>
      </c>
      <c r="J187" s="62">
        <f t="shared" si="124"/>
        <v>4.4927260002782882E-2</v>
      </c>
      <c r="K187" s="59" t="str">
        <f t="shared" si="125"/>
        <v/>
      </c>
      <c r="L187" s="59">
        <f t="shared" si="126"/>
        <v>4.3564385209437775E-3</v>
      </c>
      <c r="M187" s="59">
        <f t="shared" si="127"/>
        <v>9.0431641972627576E-3</v>
      </c>
      <c r="N187" s="59">
        <f t="shared" si="128"/>
        <v>1.2216819905117016E-2</v>
      </c>
      <c r="O187" s="62">
        <f t="shared" si="129"/>
        <v>1.4731380002782898E-2</v>
      </c>
      <c r="P187" s="54" t="s">
        <v>508</v>
      </c>
      <c r="Q187" s="52" t="s">
        <v>509</v>
      </c>
      <c r="R187" s="93">
        <v>47515</v>
      </c>
      <c r="S187" s="70">
        <v>3.5846280000000001E-2</v>
      </c>
      <c r="T187" s="62">
        <f t="shared" si="130"/>
        <v>1.3454715972627471E-3</v>
      </c>
      <c r="V187" s="113">
        <v>1.1301760199999999</v>
      </c>
      <c r="W187" s="71">
        <v>2.9276709400000001</v>
      </c>
      <c r="X187" s="71">
        <v>4.5486892799999996</v>
      </c>
      <c r="Y187" s="71">
        <v>5.9579303000000001</v>
      </c>
      <c r="Z187" s="114">
        <v>7.7313151999999992</v>
      </c>
      <c r="AB187" s="72">
        <v>2.4217028989235861E-2</v>
      </c>
      <c r="AC187" s="70">
        <v>3.1997745120943777E-2</v>
      </c>
      <c r="AD187" s="70">
        <v>3.7191751597262748E-2</v>
      </c>
      <c r="AE187" s="70">
        <v>4.1174534905117015E-2</v>
      </c>
      <c r="AF187" s="62">
        <v>4.4927260002782882E-2</v>
      </c>
      <c r="AG187" s="70" t="s">
        <v>21</v>
      </c>
      <c r="AH187" s="70">
        <v>4.3564385209437775E-3</v>
      </c>
      <c r="AI187" s="70">
        <v>9.0431641972627576E-3</v>
      </c>
      <c r="AJ187" s="70">
        <v>1.2216819905117016E-2</v>
      </c>
      <c r="AK187" s="62">
        <v>1.4731380002782898E-2</v>
      </c>
    </row>
    <row r="188" spans="2:37" s="52" customFormat="1" x14ac:dyDescent="0.35">
      <c r="B188" s="54" t="s">
        <v>324</v>
      </c>
      <c r="C188" s="52" t="s">
        <v>232</v>
      </c>
      <c r="D188" s="52" t="s">
        <v>20</v>
      </c>
      <c r="E188" s="52" t="s">
        <v>429</v>
      </c>
      <c r="F188" s="72">
        <f t="shared" si="120"/>
        <v>2.3707403916057669E-2</v>
      </c>
      <c r="G188" s="59">
        <f t="shared" si="121"/>
        <v>3.1375619342762694E-2</v>
      </c>
      <c r="H188" s="59">
        <f t="shared" si="122"/>
        <v>3.7149410782789841E-2</v>
      </c>
      <c r="I188" s="59">
        <f t="shared" si="123"/>
        <v>4.093218742467352E-2</v>
      </c>
      <c r="J188" s="62">
        <f t="shared" si="124"/>
        <v>4.4465710051225037E-2</v>
      </c>
      <c r="K188" s="59" t="str">
        <f t="shared" si="125"/>
        <v/>
      </c>
      <c r="L188" s="59">
        <f t="shared" si="126"/>
        <v>3.7585971427626943E-3</v>
      </c>
      <c r="M188" s="59">
        <f t="shared" si="127"/>
        <v>9.0043739827898438E-3</v>
      </c>
      <c r="N188" s="59">
        <f t="shared" si="128"/>
        <v>1.1985915624673526E-2</v>
      </c>
      <c r="O188" s="62">
        <f t="shared" si="129"/>
        <v>1.4288185951225045E-2</v>
      </c>
      <c r="P188" s="54" t="s">
        <v>21</v>
      </c>
      <c r="Q188" s="52" t="s">
        <v>21</v>
      </c>
      <c r="R188" s="93" t="s">
        <v>21</v>
      </c>
      <c r="S188" s="70" t="s">
        <v>21</v>
      </c>
      <c r="T188" s="62" t="str">
        <f t="shared" si="130"/>
        <v/>
      </c>
      <c r="V188" s="113">
        <v>1.1311495</v>
      </c>
      <c r="W188" s="71">
        <v>2.9343481599999999</v>
      </c>
      <c r="X188" s="71">
        <v>4.5567938799999999</v>
      </c>
      <c r="Y188" s="71">
        <v>5.9685521900000005</v>
      </c>
      <c r="Z188" s="114">
        <v>7.7543034200000003</v>
      </c>
      <c r="AB188" s="72">
        <v>2.3707403916057669E-2</v>
      </c>
      <c r="AC188" s="70">
        <v>3.1375619342762694E-2</v>
      </c>
      <c r="AD188" s="70">
        <v>3.7149410782789841E-2</v>
      </c>
      <c r="AE188" s="70">
        <v>4.093218742467352E-2</v>
      </c>
      <c r="AF188" s="62">
        <v>4.4465710051225037E-2</v>
      </c>
      <c r="AG188" s="70" t="s">
        <v>21</v>
      </c>
      <c r="AH188" s="70">
        <v>3.7585971427626943E-3</v>
      </c>
      <c r="AI188" s="70">
        <v>9.0043739827898438E-3</v>
      </c>
      <c r="AJ188" s="70">
        <v>1.1985915624673526E-2</v>
      </c>
      <c r="AK188" s="62">
        <v>1.4288185951225045E-2</v>
      </c>
    </row>
    <row r="189" spans="2:37" s="52" customFormat="1" x14ac:dyDescent="0.35">
      <c r="B189" s="54" t="s">
        <v>155</v>
      </c>
      <c r="C189" s="52" t="s">
        <v>232</v>
      </c>
      <c r="D189" s="52" t="s">
        <v>131</v>
      </c>
      <c r="E189" s="52" t="s">
        <v>75</v>
      </c>
      <c r="F189" s="72">
        <f t="shared" si="120"/>
        <v>2.4614871007393884E-2</v>
      </c>
      <c r="G189" s="59">
        <f t="shared" si="121"/>
        <v>3.1691602696091822E-2</v>
      </c>
      <c r="H189" s="59">
        <f t="shared" si="122"/>
        <v>3.7124189992028753E-2</v>
      </c>
      <c r="I189" s="59">
        <f t="shared" si="123"/>
        <v>4.0942303398177615E-2</v>
      </c>
      <c r="J189" s="62">
        <f t="shared" si="124"/>
        <v>4.5081377334606154E-2</v>
      </c>
      <c r="K189" s="59" t="str">
        <f t="shared" si="125"/>
        <v/>
      </c>
      <c r="L189" s="59">
        <f t="shared" si="126"/>
        <v>4.0803887960918217E-3</v>
      </c>
      <c r="M189" s="59">
        <f t="shared" si="127"/>
        <v>8.9976789920287563E-3</v>
      </c>
      <c r="N189" s="59">
        <f t="shared" si="128"/>
        <v>1.201355789817762E-2</v>
      </c>
      <c r="O189" s="62">
        <f t="shared" si="129"/>
        <v>1.4894961434606148E-2</v>
      </c>
      <c r="P189" s="54" t="s">
        <v>510</v>
      </c>
      <c r="Q189" s="52" t="s">
        <v>511</v>
      </c>
      <c r="R189" s="93">
        <v>47534</v>
      </c>
      <c r="S189" s="70">
        <v>3.4558249999999999E-2</v>
      </c>
      <c r="T189" s="62">
        <f t="shared" si="130"/>
        <v>2.565939992028754E-3</v>
      </c>
      <c r="V189" s="113">
        <v>1.13033874</v>
      </c>
      <c r="W189" s="71">
        <v>2.9334616800000002</v>
      </c>
      <c r="X189" s="71">
        <v>4.5619470500000006</v>
      </c>
      <c r="Y189" s="71">
        <v>5.9837062899999998</v>
      </c>
      <c r="Z189" s="114">
        <v>7.7716507300000002</v>
      </c>
      <c r="AB189" s="72">
        <v>2.4614871007393884E-2</v>
      </c>
      <c r="AC189" s="70">
        <v>3.1691602696091822E-2</v>
      </c>
      <c r="AD189" s="70">
        <v>3.7124189992028753E-2</v>
      </c>
      <c r="AE189" s="70">
        <v>4.0942303398177615E-2</v>
      </c>
      <c r="AF189" s="62">
        <v>4.5081377334606154E-2</v>
      </c>
      <c r="AG189" s="70" t="s">
        <v>21</v>
      </c>
      <c r="AH189" s="70">
        <v>4.0803887960918217E-3</v>
      </c>
      <c r="AI189" s="70">
        <v>8.9976789920287563E-3</v>
      </c>
      <c r="AJ189" s="70">
        <v>1.201355789817762E-2</v>
      </c>
      <c r="AK189" s="62">
        <v>1.4894961434606148E-2</v>
      </c>
    </row>
    <row r="190" spans="2:37" s="52" customFormat="1" x14ac:dyDescent="0.35">
      <c r="B190" s="54" t="s">
        <v>265</v>
      </c>
      <c r="C190" s="52" t="s">
        <v>232</v>
      </c>
      <c r="D190" s="52" t="s">
        <v>31</v>
      </c>
      <c r="E190" s="52" t="s">
        <v>21</v>
      </c>
      <c r="F190" s="72">
        <f t="shared" si="120"/>
        <v>2.446239255151083E-2</v>
      </c>
      <c r="G190" s="59">
        <f t="shared" si="121"/>
        <v>3.1959808113655806E-2</v>
      </c>
      <c r="H190" s="59">
        <f t="shared" si="122"/>
        <v>3.7078365882756287E-2</v>
      </c>
      <c r="I190" s="59">
        <f t="shared" si="123"/>
        <v>4.0316010703770243E-2</v>
      </c>
      <c r="J190" s="62">
        <f t="shared" si="124"/>
        <v>4.2930996958355658E-2</v>
      </c>
      <c r="K190" s="59" t="str">
        <f t="shared" si="125"/>
        <v/>
      </c>
      <c r="L190" s="59">
        <f t="shared" si="126"/>
        <v>4.3388360136558113E-3</v>
      </c>
      <c r="M190" s="59">
        <f t="shared" si="127"/>
        <v>8.9530928827562858E-3</v>
      </c>
      <c r="N190" s="59">
        <f t="shared" si="128"/>
        <v>1.1411011503770236E-2</v>
      </c>
      <c r="O190" s="62">
        <f t="shared" si="129"/>
        <v>1.2820040658355658E-2</v>
      </c>
      <c r="P190" s="54" t="s">
        <v>512</v>
      </c>
      <c r="Q190" s="52" t="s">
        <v>513</v>
      </c>
      <c r="R190" s="93">
        <v>47679</v>
      </c>
      <c r="S190" s="70">
        <v>3.7000430000000001E-2</v>
      </c>
      <c r="T190" s="62">
        <f t="shared" si="130"/>
        <v>7.7935882756285935E-5</v>
      </c>
      <c r="V190" s="113">
        <v>1.1306474199999998</v>
      </c>
      <c r="W190" s="71">
        <v>2.9322904899999997</v>
      </c>
      <c r="X190" s="71">
        <v>4.5606374399999998</v>
      </c>
      <c r="Y190" s="71">
        <v>5.9917473700000006</v>
      </c>
      <c r="Z190" s="114">
        <v>7.8365938399999999</v>
      </c>
      <c r="AB190" s="72">
        <v>2.446239255151083E-2</v>
      </c>
      <c r="AC190" s="70">
        <v>3.1959808113655806E-2</v>
      </c>
      <c r="AD190" s="70">
        <v>3.7078365882756287E-2</v>
      </c>
      <c r="AE190" s="70">
        <v>4.0316010703770243E-2</v>
      </c>
      <c r="AF190" s="62">
        <v>4.2930996958355658E-2</v>
      </c>
      <c r="AG190" s="70" t="s">
        <v>21</v>
      </c>
      <c r="AH190" s="70">
        <v>4.3388360136558113E-3</v>
      </c>
      <c r="AI190" s="70">
        <v>8.9530928827562858E-3</v>
      </c>
      <c r="AJ190" s="70">
        <v>1.1411011503770236E-2</v>
      </c>
      <c r="AK190" s="62">
        <v>1.2820040658355658E-2</v>
      </c>
    </row>
    <row r="191" spans="2:37" s="52" customFormat="1" x14ac:dyDescent="0.35">
      <c r="B191" s="54" t="s">
        <v>320</v>
      </c>
      <c r="C191" s="52" t="s">
        <v>232</v>
      </c>
      <c r="D191" s="52" t="s">
        <v>69</v>
      </c>
      <c r="E191" s="52" t="s">
        <v>21</v>
      </c>
      <c r="F191" s="72">
        <f t="shared" si="120"/>
        <v>2.4456068234595497E-2</v>
      </c>
      <c r="G191" s="59">
        <f t="shared" si="121"/>
        <v>3.1824456721180679E-2</v>
      </c>
      <c r="H191" s="59">
        <f t="shared" si="122"/>
        <v>3.7075559900827865E-2</v>
      </c>
      <c r="I191" s="59">
        <f t="shared" si="123"/>
        <v>4.1185105255983095E-2</v>
      </c>
      <c r="J191" s="62">
        <f t="shared" si="124"/>
        <v>4.4856166981108364E-2</v>
      </c>
      <c r="K191" s="59" t="str">
        <f t="shared" si="125"/>
        <v/>
      </c>
      <c r="L191" s="59">
        <f t="shared" si="126"/>
        <v>4.208677521180682E-3</v>
      </c>
      <c r="M191" s="59">
        <f t="shared" si="127"/>
        <v>8.9507959008278681E-3</v>
      </c>
      <c r="N191" s="59">
        <f t="shared" si="128"/>
        <v>1.224652045598309E-2</v>
      </c>
      <c r="O191" s="62">
        <f t="shared" si="129"/>
        <v>1.4679960281108365E-2</v>
      </c>
      <c r="P191" s="54" t="s">
        <v>21</v>
      </c>
      <c r="Q191" s="52" t="s">
        <v>21</v>
      </c>
      <c r="R191" s="93" t="s">
        <v>21</v>
      </c>
      <c r="S191" s="70" t="s">
        <v>21</v>
      </c>
      <c r="T191" s="62" t="str">
        <f t="shared" si="130"/>
        <v/>
      </c>
      <c r="V191" s="113">
        <v>1.1306482099999999</v>
      </c>
      <c r="W191" s="71">
        <v>2.9331598400000001</v>
      </c>
      <c r="X191" s="71">
        <v>4.5618271899999998</v>
      </c>
      <c r="Y191" s="71">
        <v>5.9803325799999998</v>
      </c>
      <c r="Z191" s="114">
        <v>7.7718537300000001</v>
      </c>
      <c r="AB191" s="72">
        <v>2.4456068234595497E-2</v>
      </c>
      <c r="AC191" s="70">
        <v>3.1824456721180679E-2</v>
      </c>
      <c r="AD191" s="70">
        <v>3.7075559900827865E-2</v>
      </c>
      <c r="AE191" s="70">
        <v>4.1185105255983095E-2</v>
      </c>
      <c r="AF191" s="62">
        <v>4.4856166981108364E-2</v>
      </c>
      <c r="AG191" s="70" t="s">
        <v>21</v>
      </c>
      <c r="AH191" s="70">
        <v>4.208677521180682E-3</v>
      </c>
      <c r="AI191" s="70">
        <v>8.9507959008278681E-3</v>
      </c>
      <c r="AJ191" s="70">
        <v>1.224652045598309E-2</v>
      </c>
      <c r="AK191" s="62">
        <v>1.4679960281108365E-2</v>
      </c>
    </row>
    <row r="192" spans="2:37" s="52" customFormat="1" x14ac:dyDescent="0.35">
      <c r="B192" s="54" t="s">
        <v>124</v>
      </c>
      <c r="C192" s="52" t="s">
        <v>232</v>
      </c>
      <c r="D192" s="52" t="s">
        <v>69</v>
      </c>
      <c r="E192" s="52" t="s">
        <v>112</v>
      </c>
      <c r="F192" s="72">
        <f t="shared" si="120"/>
        <v>2.4345597614676837E-2</v>
      </c>
      <c r="G192" s="59">
        <f t="shared" si="121"/>
        <v>3.1624202683193013E-2</v>
      </c>
      <c r="H192" s="59">
        <f t="shared" si="122"/>
        <v>3.7073047434672483E-2</v>
      </c>
      <c r="I192" s="59">
        <f t="shared" si="123"/>
        <v>4.0988531856657955E-2</v>
      </c>
      <c r="J192" s="62">
        <f t="shared" si="124"/>
        <v>4.5220904149706892E-2</v>
      </c>
      <c r="K192" s="59" t="str">
        <f t="shared" si="125"/>
        <v/>
      </c>
      <c r="L192" s="59">
        <f t="shared" si="126"/>
        <v>4.0154653831930114E-3</v>
      </c>
      <c r="M192" s="59">
        <f t="shared" si="127"/>
        <v>8.9486015346724856E-3</v>
      </c>
      <c r="N192" s="59">
        <f t="shared" si="128"/>
        <v>1.205826005665795E-2</v>
      </c>
      <c r="O192" s="62">
        <f t="shared" si="129"/>
        <v>1.5029951049706898E-2</v>
      </c>
      <c r="P192" s="54" t="s">
        <v>21</v>
      </c>
      <c r="Q192" s="52" t="s">
        <v>21</v>
      </c>
      <c r="R192" s="93" t="s">
        <v>21</v>
      </c>
      <c r="S192" s="70" t="s">
        <v>21</v>
      </c>
      <c r="T192" s="62" t="str">
        <f t="shared" si="130"/>
        <v/>
      </c>
      <c r="V192" s="113">
        <v>1.1308573</v>
      </c>
      <c r="W192" s="71">
        <v>2.9348256900000003</v>
      </c>
      <c r="X192" s="71">
        <v>4.5639420799999995</v>
      </c>
      <c r="Y192" s="71">
        <v>5.9850543399999996</v>
      </c>
      <c r="Z192" s="114">
        <v>7.7689852399999992</v>
      </c>
      <c r="AB192" s="72">
        <v>2.4345597614676837E-2</v>
      </c>
      <c r="AC192" s="70">
        <v>3.1624202683193013E-2</v>
      </c>
      <c r="AD192" s="70">
        <v>3.7073047434672483E-2</v>
      </c>
      <c r="AE192" s="70">
        <v>4.0988531856657955E-2</v>
      </c>
      <c r="AF192" s="62">
        <v>4.5220904149706892E-2</v>
      </c>
      <c r="AG192" s="70" t="s">
        <v>21</v>
      </c>
      <c r="AH192" s="70">
        <v>4.0154653831930114E-3</v>
      </c>
      <c r="AI192" s="70">
        <v>8.9486015346724856E-3</v>
      </c>
      <c r="AJ192" s="70">
        <v>1.205826005665795E-2</v>
      </c>
      <c r="AK192" s="62">
        <v>1.5029951049706898E-2</v>
      </c>
    </row>
    <row r="193" spans="2:37" s="52" customFormat="1" x14ac:dyDescent="0.35">
      <c r="B193" s="54" t="s">
        <v>241</v>
      </c>
      <c r="C193" s="52" t="s">
        <v>232</v>
      </c>
      <c r="D193" s="52" t="s">
        <v>43</v>
      </c>
      <c r="E193" s="52" t="s">
        <v>243</v>
      </c>
      <c r="F193" s="72">
        <f t="shared" si="120"/>
        <v>2.4591176222896128E-2</v>
      </c>
      <c r="G193" s="59">
        <f t="shared" si="121"/>
        <v>3.1748816704395021E-2</v>
      </c>
      <c r="H193" s="59">
        <f t="shared" si="122"/>
        <v>3.7021754787310457E-2</v>
      </c>
      <c r="I193" s="59">
        <f t="shared" si="123"/>
        <v>4.0940093273307512E-2</v>
      </c>
      <c r="J193" s="62">
        <f t="shared" si="124"/>
        <v>4.5079088433069806E-2</v>
      </c>
      <c r="K193" s="59" t="str">
        <f t="shared" si="125"/>
        <v/>
      </c>
      <c r="L193" s="59">
        <f t="shared" si="126"/>
        <v>4.1360269043950269E-3</v>
      </c>
      <c r="M193" s="59">
        <f t="shared" si="127"/>
        <v>8.899190387310461E-3</v>
      </c>
      <c r="N193" s="59">
        <f t="shared" si="128"/>
        <v>1.2011453773307515E-2</v>
      </c>
      <c r="O193" s="62">
        <f t="shared" si="129"/>
        <v>1.4893028933069812E-2</v>
      </c>
      <c r="P193" s="54" t="s">
        <v>514</v>
      </c>
      <c r="Q193" s="52" t="s">
        <v>515</v>
      </c>
      <c r="R193" s="93" t="s">
        <v>32</v>
      </c>
      <c r="S193" s="70">
        <v>3.615459E-2</v>
      </c>
      <c r="T193" s="62">
        <f t="shared" si="130"/>
        <v>8.6716478731045654E-4</v>
      </c>
      <c r="V193" s="113">
        <v>1.1303774</v>
      </c>
      <c r="W193" s="71">
        <v>2.9333857800000001</v>
      </c>
      <c r="X193" s="71">
        <v>4.5627841</v>
      </c>
      <c r="Y193" s="71">
        <v>5.9848834599999998</v>
      </c>
      <c r="Z193" s="114">
        <v>7.7726881100000007</v>
      </c>
      <c r="AB193" s="72">
        <v>2.4591176222896128E-2</v>
      </c>
      <c r="AC193" s="70">
        <v>3.1748816704395021E-2</v>
      </c>
      <c r="AD193" s="70">
        <v>3.7021754787310457E-2</v>
      </c>
      <c r="AE193" s="70">
        <v>4.0940093273307512E-2</v>
      </c>
      <c r="AF193" s="62">
        <v>4.5079088433069806E-2</v>
      </c>
      <c r="AG193" s="70" t="s">
        <v>21</v>
      </c>
      <c r="AH193" s="70">
        <v>4.1360269043950269E-3</v>
      </c>
      <c r="AI193" s="70">
        <v>8.899190387310461E-3</v>
      </c>
      <c r="AJ193" s="70">
        <v>1.2011453773307515E-2</v>
      </c>
      <c r="AK193" s="62">
        <v>1.4893028933069812E-2</v>
      </c>
    </row>
    <row r="194" spans="2:37" s="52" customFormat="1" x14ac:dyDescent="0.35">
      <c r="B194" s="54" t="s">
        <v>154</v>
      </c>
      <c r="C194" s="52" t="s">
        <v>232</v>
      </c>
      <c r="D194" s="52" t="s">
        <v>43</v>
      </c>
      <c r="E194" s="52" t="s">
        <v>81</v>
      </c>
      <c r="F194" s="72">
        <f t="shared" si="120"/>
        <v>2.4588535293731187E-2</v>
      </c>
      <c r="G194" s="59">
        <f t="shared" si="121"/>
        <v>3.1512839473045659E-2</v>
      </c>
      <c r="H194" s="59">
        <f t="shared" si="122"/>
        <v>3.7018003186299053E-2</v>
      </c>
      <c r="I194" s="59">
        <f t="shared" si="123"/>
        <v>4.0742473073972614E-2</v>
      </c>
      <c r="J194" s="62">
        <f t="shared" si="124"/>
        <v>4.4504439220976647E-2</v>
      </c>
      <c r="K194" s="59" t="str">
        <f t="shared" si="125"/>
        <v/>
      </c>
      <c r="L194" s="59">
        <f t="shared" si="126"/>
        <v>3.9085908730456557E-3</v>
      </c>
      <c r="M194" s="59">
        <f t="shared" si="127"/>
        <v>8.8959793862990605E-3</v>
      </c>
      <c r="N194" s="59">
        <f t="shared" si="128"/>
        <v>1.1822214273972613E-2</v>
      </c>
      <c r="O194" s="62">
        <f t="shared" si="129"/>
        <v>1.4340226120976639E-2</v>
      </c>
      <c r="P194" s="54" t="s">
        <v>516</v>
      </c>
      <c r="Q194" s="52" t="s">
        <v>517</v>
      </c>
      <c r="R194" s="93">
        <v>47536</v>
      </c>
      <c r="S194" s="70">
        <v>3.1460450000000001E-2</v>
      </c>
      <c r="T194" s="62">
        <f t="shared" si="130"/>
        <v>5.5575531862990524E-3</v>
      </c>
      <c r="V194" s="113">
        <v>1.1303706099999999</v>
      </c>
      <c r="W194" s="71">
        <v>2.93466396</v>
      </c>
      <c r="X194" s="71">
        <v>4.5646415600000001</v>
      </c>
      <c r="Y194" s="71">
        <v>5.98937615</v>
      </c>
      <c r="Z194" s="114">
        <v>7.7922019599999999</v>
      </c>
      <c r="AB194" s="72">
        <v>2.4588535293731187E-2</v>
      </c>
      <c r="AC194" s="70">
        <v>3.1512839473045659E-2</v>
      </c>
      <c r="AD194" s="70">
        <v>3.7018003186299053E-2</v>
      </c>
      <c r="AE194" s="70">
        <v>4.0742473073972614E-2</v>
      </c>
      <c r="AF194" s="62">
        <v>4.4504439220976647E-2</v>
      </c>
      <c r="AG194" s="70" t="s">
        <v>21</v>
      </c>
      <c r="AH194" s="70">
        <v>3.9085908730456557E-3</v>
      </c>
      <c r="AI194" s="70">
        <v>8.8959793862990605E-3</v>
      </c>
      <c r="AJ194" s="70">
        <v>1.1822214273972613E-2</v>
      </c>
      <c r="AK194" s="62">
        <v>1.4340226120976639E-2</v>
      </c>
    </row>
    <row r="195" spans="2:37" x14ac:dyDescent="0.35">
      <c r="B195" s="54" t="s">
        <v>334</v>
      </c>
      <c r="C195" s="52" t="s">
        <v>232</v>
      </c>
      <c r="D195" s="52" t="s">
        <v>20</v>
      </c>
      <c r="E195" s="52" t="s">
        <v>253</v>
      </c>
      <c r="F195" s="72">
        <f t="shared" si="110"/>
        <v>2.5489895016531278E-2</v>
      </c>
      <c r="G195" s="59">
        <f t="shared" si="111"/>
        <v>3.2123881965496558E-2</v>
      </c>
      <c r="H195" s="59">
        <f t="shared" si="112"/>
        <v>3.6995730667834736E-2</v>
      </c>
      <c r="I195" s="59">
        <f t="shared" si="113"/>
        <v>4.030030358505169E-2</v>
      </c>
      <c r="J195" s="62">
        <f t="shared" si="114"/>
        <v>4.3837008525000443E-2</v>
      </c>
      <c r="K195" s="59" t="str">
        <f t="shared" si="115"/>
        <v/>
      </c>
      <c r="L195" s="59">
        <f t="shared" si="116"/>
        <v>4.4776539654965567E-3</v>
      </c>
      <c r="M195" s="59">
        <f t="shared" si="117"/>
        <v>8.8534050678347465E-3</v>
      </c>
      <c r="N195" s="59">
        <f t="shared" si="118"/>
        <v>1.1374625085051696E-2</v>
      </c>
      <c r="O195" s="62">
        <f t="shared" si="119"/>
        <v>1.3672476825000437E-2</v>
      </c>
      <c r="P195" s="54" t="s">
        <v>21</v>
      </c>
      <c r="Q195" s="52" t="s">
        <v>21</v>
      </c>
      <c r="R195" s="93" t="s">
        <v>21</v>
      </c>
      <c r="S195" s="70" t="s">
        <v>21</v>
      </c>
      <c r="T195" s="62" t="str">
        <f t="shared" si="98"/>
        <v/>
      </c>
      <c r="V195" s="113">
        <v>1.12775961</v>
      </c>
      <c r="W195" s="71">
        <v>2.9232511799999998</v>
      </c>
      <c r="X195" s="71">
        <v>4.5462751099999998</v>
      </c>
      <c r="Y195" s="71">
        <v>5.9693518000000001</v>
      </c>
      <c r="Z195" s="114">
        <v>7.7803732299999995</v>
      </c>
      <c r="AB195" s="72">
        <v>2.5489895016531278E-2</v>
      </c>
      <c r="AC195" s="70">
        <v>3.2123881965496558E-2</v>
      </c>
      <c r="AD195" s="70">
        <v>3.6995730667834736E-2</v>
      </c>
      <c r="AE195" s="70">
        <v>4.030030358505169E-2</v>
      </c>
      <c r="AF195" s="62">
        <v>4.3837008525000443E-2</v>
      </c>
      <c r="AG195" s="70" t="s">
        <v>21</v>
      </c>
      <c r="AH195" s="70">
        <v>4.4776539654965567E-3</v>
      </c>
      <c r="AI195" s="70">
        <v>8.8534050678347465E-3</v>
      </c>
      <c r="AJ195" s="70">
        <v>1.1374625085051696E-2</v>
      </c>
      <c r="AK195" s="62">
        <v>1.3672476825000437E-2</v>
      </c>
    </row>
    <row r="196" spans="2:37" s="52" customFormat="1" x14ac:dyDescent="0.35">
      <c r="B196" s="54" t="s">
        <v>335</v>
      </c>
      <c r="C196" s="52" t="s">
        <v>232</v>
      </c>
      <c r="D196" s="52" t="s">
        <v>20</v>
      </c>
      <c r="E196" s="52" t="s">
        <v>123</v>
      </c>
      <c r="F196" s="72">
        <f t="shared" ref="F196:F202" si="131">IF(ISNUMBER(AB196),AB196-((C$4-C$3)/V196),"")</f>
        <v>2.4043302370774278E-2</v>
      </c>
      <c r="G196" s="59">
        <f t="shared" ref="G196:G202" si="132">IF(ISNUMBER(AC196),AC196-((D$4-D$3)/W196),"")</f>
        <v>3.1653560752019402E-2</v>
      </c>
      <c r="H196" s="59">
        <f t="shared" ref="H196:H202" si="133">IF(ISNUMBER(AD196),AD196-((E$4-E$3)/X196),"")</f>
        <v>3.697856990604162E-2</v>
      </c>
      <c r="I196" s="59">
        <f t="shared" ref="I196:I202" si="134">IF(ISNUMBER(AE196),AE196-((F$4-F$3)/Y196),"")</f>
        <v>4.0763799846871666E-2</v>
      </c>
      <c r="J196" s="62">
        <f t="shared" ref="J196:J202" si="135">IF(ISNUMBER(AF196),AF196-((G$4-G$3)/Z196),"")</f>
        <v>4.4143017278087449E-2</v>
      </c>
      <c r="K196" s="59" t="str">
        <f t="shared" ref="K196:K202" si="136">IF(ISNUMBER(AG196),IF(AG196-((C$4-C$3)/V196)&lt;0,"",AG196-((C$4-C$3)/V196)),"")</f>
        <v/>
      </c>
      <c r="L196" s="59">
        <f t="shared" ref="L196:L202" si="137">IF(ISNUMBER(AH196),IF(AH196-((D$4-D$3)/W196)&lt;0,"",AH196-((D$4-D$3)/W196)),"")</f>
        <v>4.0269295520193966E-3</v>
      </c>
      <c r="M196" s="59">
        <f t="shared" ref="M196:M202" si="138">IF(ISNUMBER(AI196),IF(AI196-((E$4-E$3)/X196)&lt;0,"",AI196-((E$4-E$3)/X196)),"")</f>
        <v>8.8395166060416287E-3</v>
      </c>
      <c r="N196" s="59">
        <f t="shared" ref="N196:N202" si="139">IF(ISNUMBER(AJ196),IF(AJ196-((F$4-F$3)/Y196)&lt;0,"",AJ196-((F$4-F$3)/Y196)),"")</f>
        <v>1.182320514687166E-2</v>
      </c>
      <c r="O196" s="62">
        <f t="shared" ref="O196:O202" si="140">IF(ISNUMBER(AK196),IF(AK196-((G$4-G$3)/Z196)&lt;0,"",AK196-((G$4-G$3)/Z196)),"")</f>
        <v>1.3977207178087456E-2</v>
      </c>
      <c r="P196" s="54" t="s">
        <v>383</v>
      </c>
      <c r="Q196" s="52" t="s">
        <v>384</v>
      </c>
      <c r="R196" s="93">
        <v>47624</v>
      </c>
      <c r="S196" s="70">
        <v>3.5447929999999996E-2</v>
      </c>
      <c r="T196" s="62">
        <f t="shared" ref="T196:T253" si="141">IF(S196="","",H196-S196)</f>
        <v>1.530639906041624E-3</v>
      </c>
      <c r="V196" s="113">
        <v>1.1304588799999999</v>
      </c>
      <c r="W196" s="71">
        <v>2.9313603700000002</v>
      </c>
      <c r="X196" s="71">
        <v>4.5558135699999998</v>
      </c>
      <c r="Y196" s="71">
        <v>5.9713812900000001</v>
      </c>
      <c r="Z196" s="114">
        <v>7.7638285099999997</v>
      </c>
      <c r="AB196" s="72">
        <v>2.4043302370774278E-2</v>
      </c>
      <c r="AC196" s="70">
        <v>3.1653560752019402E-2</v>
      </c>
      <c r="AD196" s="70">
        <v>3.697856990604162E-2</v>
      </c>
      <c r="AE196" s="70">
        <v>4.0763799846871666E-2</v>
      </c>
      <c r="AF196" s="62">
        <v>4.4143017278087449E-2</v>
      </c>
      <c r="AG196" s="70" t="s">
        <v>21</v>
      </c>
      <c r="AH196" s="70">
        <v>4.0269295520193966E-3</v>
      </c>
      <c r="AI196" s="70">
        <v>8.8395166060416287E-3</v>
      </c>
      <c r="AJ196" s="70">
        <v>1.182320514687166E-2</v>
      </c>
      <c r="AK196" s="62">
        <v>1.3977207178087456E-2</v>
      </c>
    </row>
    <row r="197" spans="2:37" s="52" customFormat="1" x14ac:dyDescent="0.35">
      <c r="B197" s="54" t="s">
        <v>144</v>
      </c>
      <c r="C197" s="52" t="s">
        <v>232</v>
      </c>
      <c r="D197" s="52" t="s">
        <v>20</v>
      </c>
      <c r="E197" s="52" t="s">
        <v>249</v>
      </c>
      <c r="F197" s="72">
        <f t="shared" si="131"/>
        <v>2.5509071399506721E-2</v>
      </c>
      <c r="G197" s="59">
        <f t="shared" si="132"/>
        <v>3.2314922363206246E-2</v>
      </c>
      <c r="H197" s="59">
        <f t="shared" si="133"/>
        <v>3.6926775433676361E-2</v>
      </c>
      <c r="I197" s="59">
        <f t="shared" si="134"/>
        <v>4.0246953612348604E-2</v>
      </c>
      <c r="J197" s="62">
        <f t="shared" si="135"/>
        <v>4.3637416704066068E-2</v>
      </c>
      <c r="K197" s="59" t="str">
        <f t="shared" si="136"/>
        <v/>
      </c>
      <c r="L197" s="59">
        <f t="shared" si="137"/>
        <v>4.6639443632062565E-3</v>
      </c>
      <c r="M197" s="59">
        <f t="shared" si="138"/>
        <v>8.7882783336763609E-3</v>
      </c>
      <c r="N197" s="59">
        <f t="shared" si="139"/>
        <v>1.1323876712348606E-2</v>
      </c>
      <c r="O197" s="62">
        <f t="shared" si="140"/>
        <v>1.3482532204066072E-2</v>
      </c>
      <c r="P197" s="54" t="s">
        <v>518</v>
      </c>
      <c r="Q197" s="52" t="s">
        <v>519</v>
      </c>
      <c r="R197" s="93" t="s">
        <v>32</v>
      </c>
      <c r="S197" s="70">
        <v>3.2721140000000003E-2</v>
      </c>
      <c r="T197" s="62">
        <f t="shared" si="141"/>
        <v>4.2056354336763579E-3</v>
      </c>
      <c r="V197" s="113">
        <v>1.12767488</v>
      </c>
      <c r="W197" s="71">
        <v>2.9212950000000002</v>
      </c>
      <c r="X197" s="71">
        <v>4.5450095500000005</v>
      </c>
      <c r="Y197" s="71">
        <v>5.9697875199999997</v>
      </c>
      <c r="Z197" s="114">
        <v>7.7813020100000001</v>
      </c>
      <c r="AB197" s="72">
        <v>2.5509071399506721E-2</v>
      </c>
      <c r="AC197" s="70">
        <v>3.2314922363206246E-2</v>
      </c>
      <c r="AD197" s="70">
        <v>3.6926775433676361E-2</v>
      </c>
      <c r="AE197" s="70">
        <v>4.0246953612348604E-2</v>
      </c>
      <c r="AF197" s="62">
        <v>4.3637416704066068E-2</v>
      </c>
      <c r="AG197" s="70" t="s">
        <v>21</v>
      </c>
      <c r="AH197" s="70">
        <v>4.6639443632062565E-3</v>
      </c>
      <c r="AI197" s="70">
        <v>8.7882783336763609E-3</v>
      </c>
      <c r="AJ197" s="70">
        <v>1.1323876712348606E-2</v>
      </c>
      <c r="AK197" s="62">
        <v>1.3482532204066072E-2</v>
      </c>
    </row>
    <row r="198" spans="2:37" s="52" customFormat="1" x14ac:dyDescent="0.35">
      <c r="B198" s="54" t="s">
        <v>242</v>
      </c>
      <c r="C198" s="52" t="s">
        <v>232</v>
      </c>
      <c r="D198" s="52" t="s">
        <v>43</v>
      </c>
      <c r="E198" s="52" t="s">
        <v>347</v>
      </c>
      <c r="F198" s="72">
        <f t="shared" si="131"/>
        <v>2.4517599623283912E-2</v>
      </c>
      <c r="G198" s="59">
        <f t="shared" si="132"/>
        <v>3.1689900588453092E-2</v>
      </c>
      <c r="H198" s="59">
        <f t="shared" si="133"/>
        <v>3.6918859797590096E-2</v>
      </c>
      <c r="I198" s="59">
        <f t="shared" si="134"/>
        <v>4.1035083807746266E-2</v>
      </c>
      <c r="J198" s="62">
        <f t="shared" si="135"/>
        <v>4.5080895378119344E-2</v>
      </c>
      <c r="K198" s="59" t="str">
        <f t="shared" si="136"/>
        <v/>
      </c>
      <c r="L198" s="59">
        <f t="shared" si="137"/>
        <v>4.079542588453092E-3</v>
      </c>
      <c r="M198" s="59">
        <f t="shared" si="138"/>
        <v>8.8003772975901E-3</v>
      </c>
      <c r="N198" s="59">
        <f t="shared" si="139"/>
        <v>1.2103116007746275E-2</v>
      </c>
      <c r="O198" s="62">
        <f t="shared" si="140"/>
        <v>1.4895882878119347E-2</v>
      </c>
      <c r="P198" s="54" t="s">
        <v>520</v>
      </c>
      <c r="Q198" s="52" t="s">
        <v>521</v>
      </c>
      <c r="R198" s="93">
        <v>47492</v>
      </c>
      <c r="S198" s="70">
        <v>3.6171790000000002E-2</v>
      </c>
      <c r="T198" s="62">
        <f t="shared" si="141"/>
        <v>7.4706979759009418E-4</v>
      </c>
      <c r="V198" s="113">
        <v>1.1305113099999999</v>
      </c>
      <c r="W198" s="71">
        <v>2.9340906499999999</v>
      </c>
      <c r="X198" s="71">
        <v>4.5640714399999993</v>
      </c>
      <c r="Y198" s="71">
        <v>5.98425443</v>
      </c>
      <c r="Z198" s="114">
        <v>7.7711639799999999</v>
      </c>
      <c r="AB198" s="72">
        <v>2.4517599623283912E-2</v>
      </c>
      <c r="AC198" s="70">
        <v>3.1689900588453092E-2</v>
      </c>
      <c r="AD198" s="70">
        <v>3.6918859797590096E-2</v>
      </c>
      <c r="AE198" s="70">
        <v>4.1035083807746266E-2</v>
      </c>
      <c r="AF198" s="62">
        <v>4.5080895378119344E-2</v>
      </c>
      <c r="AG198" s="70" t="s">
        <v>21</v>
      </c>
      <c r="AH198" s="70">
        <v>4.079542588453092E-3</v>
      </c>
      <c r="AI198" s="70">
        <v>8.8003772975901E-3</v>
      </c>
      <c r="AJ198" s="70">
        <v>1.2103116007746275E-2</v>
      </c>
      <c r="AK198" s="62">
        <v>1.4895882878119347E-2</v>
      </c>
    </row>
    <row r="199" spans="2:37" s="52" customFormat="1" x14ac:dyDescent="0.35">
      <c r="B199" s="54" t="s">
        <v>244</v>
      </c>
      <c r="C199" s="52" t="s">
        <v>232</v>
      </c>
      <c r="D199" s="52" t="s">
        <v>31</v>
      </c>
      <c r="E199" s="52" t="s">
        <v>21</v>
      </c>
      <c r="F199" s="72">
        <f t="shared" si="131"/>
        <v>2.4555938710922043E-2</v>
      </c>
      <c r="G199" s="59">
        <f t="shared" si="132"/>
        <v>3.1892139235645309E-2</v>
      </c>
      <c r="H199" s="59">
        <f t="shared" si="133"/>
        <v>3.6871699262390395E-2</v>
      </c>
      <c r="I199" s="59">
        <f t="shared" si="134"/>
        <v>4.0164313398862977E-2</v>
      </c>
      <c r="J199" s="62">
        <f t="shared" si="135"/>
        <v>4.3826910887306815E-2</v>
      </c>
      <c r="K199" s="59" t="str">
        <f t="shared" si="136"/>
        <v/>
      </c>
      <c r="L199" s="59">
        <f t="shared" si="137"/>
        <v>4.2739436356453043E-3</v>
      </c>
      <c r="M199" s="59">
        <f t="shared" si="138"/>
        <v>8.7540844623903956E-3</v>
      </c>
      <c r="N199" s="59">
        <f t="shared" si="139"/>
        <v>1.1265037398862979E-2</v>
      </c>
      <c r="O199" s="62">
        <f t="shared" si="140"/>
        <v>1.3683186087306806E-2</v>
      </c>
      <c r="P199" s="54" t="s">
        <v>522</v>
      </c>
      <c r="Q199" s="52" t="s">
        <v>523</v>
      </c>
      <c r="R199" s="93">
        <v>47491</v>
      </c>
      <c r="S199" s="70">
        <v>3.4710570000000003E-2</v>
      </c>
      <c r="T199" s="62">
        <f t="shared" si="141"/>
        <v>2.1611292623903919E-3</v>
      </c>
      <c r="V199" s="113">
        <v>1.1304565900000001</v>
      </c>
      <c r="W199" s="71">
        <v>2.9323803700000002</v>
      </c>
      <c r="X199" s="71">
        <v>4.5630583800000002</v>
      </c>
      <c r="Y199" s="71">
        <v>5.9968860899999994</v>
      </c>
      <c r="Z199" s="114">
        <v>7.8207092500000002</v>
      </c>
      <c r="AB199" s="72">
        <v>2.4555938710922043E-2</v>
      </c>
      <c r="AC199" s="70">
        <v>3.1892139235645309E-2</v>
      </c>
      <c r="AD199" s="70">
        <v>3.6871699262390395E-2</v>
      </c>
      <c r="AE199" s="70">
        <v>4.0164313398862977E-2</v>
      </c>
      <c r="AF199" s="62">
        <v>4.3826910887306815E-2</v>
      </c>
      <c r="AG199" s="70" t="s">
        <v>21</v>
      </c>
      <c r="AH199" s="70">
        <v>4.2739436356453043E-3</v>
      </c>
      <c r="AI199" s="70">
        <v>8.7540844623903956E-3</v>
      </c>
      <c r="AJ199" s="70">
        <v>1.1265037398862979E-2</v>
      </c>
      <c r="AK199" s="62">
        <v>1.3683186087306806E-2</v>
      </c>
    </row>
    <row r="200" spans="2:37" s="52" customFormat="1" x14ac:dyDescent="0.35">
      <c r="B200" s="54" t="s">
        <v>151</v>
      </c>
      <c r="C200" s="52" t="s">
        <v>232</v>
      </c>
      <c r="D200" s="52" t="s">
        <v>47</v>
      </c>
      <c r="E200" s="52" t="s">
        <v>140</v>
      </c>
      <c r="F200" s="72">
        <f t="shared" si="131"/>
        <v>2.4797544106724162E-2</v>
      </c>
      <c r="G200" s="59">
        <f t="shared" si="132"/>
        <v>3.1906877588739467E-2</v>
      </c>
      <c r="H200" s="59">
        <f t="shared" si="133"/>
        <v>3.6818617660953804E-2</v>
      </c>
      <c r="I200" s="59">
        <f t="shared" si="134"/>
        <v>4.0356853939158534E-2</v>
      </c>
      <c r="J200" s="62">
        <f t="shared" si="135"/>
        <v>4.4587573176308688E-2</v>
      </c>
      <c r="K200" s="59" t="str">
        <f t="shared" si="136"/>
        <v/>
      </c>
      <c r="L200" s="59">
        <f t="shared" si="137"/>
        <v>4.2886668887394674E-3</v>
      </c>
      <c r="M200" s="59">
        <f t="shared" si="138"/>
        <v>8.7031462609538021E-3</v>
      </c>
      <c r="N200" s="59">
        <f t="shared" si="139"/>
        <v>1.1450196439158533E-2</v>
      </c>
      <c r="O200" s="62">
        <f t="shared" si="140"/>
        <v>1.4416445876308677E-2</v>
      </c>
      <c r="P200" s="54" t="s">
        <v>524</v>
      </c>
      <c r="Q200" s="52" t="s">
        <v>525</v>
      </c>
      <c r="R200" s="93" t="s">
        <v>32</v>
      </c>
      <c r="S200" s="70">
        <v>3.2575369999999999E-2</v>
      </c>
      <c r="T200" s="62">
        <f t="shared" si="141"/>
        <v>4.2432476609538042E-3</v>
      </c>
      <c r="V200" s="113">
        <v>1.12997817</v>
      </c>
      <c r="W200" s="71">
        <v>2.9314223899999998</v>
      </c>
      <c r="X200" s="71">
        <v>4.5626620899999999</v>
      </c>
      <c r="Y200" s="71">
        <v>5.9939304</v>
      </c>
      <c r="Z200" s="114">
        <v>7.7978602300000004</v>
      </c>
      <c r="AB200" s="72">
        <v>2.4797544106724162E-2</v>
      </c>
      <c r="AC200" s="70">
        <v>3.1906877588739467E-2</v>
      </c>
      <c r="AD200" s="70">
        <v>3.6818617660953804E-2</v>
      </c>
      <c r="AE200" s="70">
        <v>4.0356853939158534E-2</v>
      </c>
      <c r="AF200" s="62">
        <v>4.4587573176308688E-2</v>
      </c>
      <c r="AG200" s="70" t="s">
        <v>21</v>
      </c>
      <c r="AH200" s="70">
        <v>4.2886668887394674E-3</v>
      </c>
      <c r="AI200" s="70">
        <v>8.7031462609538021E-3</v>
      </c>
      <c r="AJ200" s="70">
        <v>1.1450196439158533E-2</v>
      </c>
      <c r="AK200" s="62">
        <v>1.4416445876308677E-2</v>
      </c>
    </row>
    <row r="201" spans="2:37" s="52" customFormat="1" x14ac:dyDescent="0.35">
      <c r="B201" s="54" t="s">
        <v>145</v>
      </c>
      <c r="C201" s="52" t="s">
        <v>232</v>
      </c>
      <c r="D201" s="52" t="s">
        <v>69</v>
      </c>
      <c r="E201" s="52" t="s">
        <v>342</v>
      </c>
      <c r="F201" s="72">
        <f t="shared" si="131"/>
        <v>2.4638441465683818E-2</v>
      </c>
      <c r="G201" s="59">
        <f t="shared" si="132"/>
        <v>3.1717490034299189E-2</v>
      </c>
      <c r="H201" s="59">
        <f t="shared" si="133"/>
        <v>3.6818066885468133E-2</v>
      </c>
      <c r="I201" s="59">
        <f t="shared" si="134"/>
        <v>4.0355234857573113E-2</v>
      </c>
      <c r="J201" s="62">
        <f t="shared" si="135"/>
        <v>4.4960687695214351E-2</v>
      </c>
      <c r="K201" s="59" t="str">
        <f t="shared" si="136"/>
        <v/>
      </c>
      <c r="L201" s="59">
        <f t="shared" si="137"/>
        <v>4.1054561342991928E-3</v>
      </c>
      <c r="M201" s="59">
        <f t="shared" si="138"/>
        <v>8.7024575854681395E-3</v>
      </c>
      <c r="N201" s="59">
        <f t="shared" si="139"/>
        <v>1.144878295757311E-2</v>
      </c>
      <c r="O201" s="62">
        <f t="shared" si="140"/>
        <v>1.4775601895214357E-2</v>
      </c>
      <c r="P201" s="54" t="s">
        <v>526</v>
      </c>
      <c r="Q201" s="52" t="s">
        <v>527</v>
      </c>
      <c r="R201" s="93" t="s">
        <v>32</v>
      </c>
      <c r="S201" s="70">
        <v>3.698887E-2</v>
      </c>
      <c r="T201" s="62">
        <f t="shared" si="141"/>
        <v>-1.7080311453186725E-4</v>
      </c>
      <c r="V201" s="113">
        <v>1.1302920700000001</v>
      </c>
      <c r="W201" s="71">
        <v>2.9329224699999998</v>
      </c>
      <c r="X201" s="71">
        <v>4.5645968400000001</v>
      </c>
      <c r="Y201" s="71">
        <v>5.9957108000000003</v>
      </c>
      <c r="Z201" s="114">
        <v>7.7903832800000004</v>
      </c>
      <c r="AB201" s="72">
        <v>2.4638441465683818E-2</v>
      </c>
      <c r="AC201" s="70">
        <v>3.1717490034299189E-2</v>
      </c>
      <c r="AD201" s="70">
        <v>3.6818066885468133E-2</v>
      </c>
      <c r="AE201" s="70">
        <v>4.0355234857573113E-2</v>
      </c>
      <c r="AF201" s="62">
        <v>4.4960687695214351E-2</v>
      </c>
      <c r="AG201" s="70" t="s">
        <v>21</v>
      </c>
      <c r="AH201" s="70">
        <v>4.1054561342991928E-3</v>
      </c>
      <c r="AI201" s="70">
        <v>8.7024575854681395E-3</v>
      </c>
      <c r="AJ201" s="70">
        <v>1.144878295757311E-2</v>
      </c>
      <c r="AK201" s="62">
        <v>1.4775601895214357E-2</v>
      </c>
    </row>
    <row r="202" spans="2:37" s="52" customFormat="1" x14ac:dyDescent="0.35">
      <c r="B202" s="54" t="s">
        <v>239</v>
      </c>
      <c r="C202" s="52" t="s">
        <v>232</v>
      </c>
      <c r="D202" s="52" t="s">
        <v>69</v>
      </c>
      <c r="E202" s="52" t="s">
        <v>123</v>
      </c>
      <c r="F202" s="72">
        <f t="shared" si="131"/>
        <v>2.4308849175278192E-2</v>
      </c>
      <c r="G202" s="59">
        <f t="shared" si="132"/>
        <v>3.1445694990816238E-2</v>
      </c>
      <c r="H202" s="59">
        <f t="shared" si="133"/>
        <v>3.6813200968758675E-2</v>
      </c>
      <c r="I202" s="59">
        <f t="shared" si="134"/>
        <v>4.0591688046413103E-2</v>
      </c>
      <c r="J202" s="62">
        <f t="shared" si="135"/>
        <v>4.4304726589926173E-2</v>
      </c>
      <c r="K202" s="59" t="str">
        <f t="shared" si="136"/>
        <v/>
      </c>
      <c r="L202" s="59">
        <f t="shared" si="137"/>
        <v>3.84412569081624E-3</v>
      </c>
      <c r="M202" s="59">
        <f t="shared" si="138"/>
        <v>8.6988418687586784E-3</v>
      </c>
      <c r="N202" s="59">
        <f t="shared" si="139"/>
        <v>1.1677486746413095E-2</v>
      </c>
      <c r="O202" s="62">
        <f t="shared" si="140"/>
        <v>1.4148156889926169E-2</v>
      </c>
      <c r="P202" s="54" t="s">
        <v>528</v>
      </c>
      <c r="Q202" s="52" t="s">
        <v>529</v>
      </c>
      <c r="R202" s="93" t="s">
        <v>32</v>
      </c>
      <c r="S202" s="70">
        <v>3.8673140000000002E-2</v>
      </c>
      <c r="T202" s="62">
        <f t="shared" si="141"/>
        <v>-1.8599390312413269E-3</v>
      </c>
      <c r="V202" s="113">
        <v>1.1309046899999999</v>
      </c>
      <c r="W202" s="71">
        <v>2.9360525799999997</v>
      </c>
      <c r="X202" s="71">
        <v>4.5682708099999996</v>
      </c>
      <c r="Y202" s="71">
        <v>5.9956189899999996</v>
      </c>
      <c r="Z202" s="114">
        <v>7.8037444799999998</v>
      </c>
      <c r="AB202" s="72">
        <v>2.4308849175278192E-2</v>
      </c>
      <c r="AC202" s="70">
        <v>3.1445694990816238E-2</v>
      </c>
      <c r="AD202" s="70">
        <v>3.6813200968758675E-2</v>
      </c>
      <c r="AE202" s="70">
        <v>4.0591688046413103E-2</v>
      </c>
      <c r="AF202" s="62">
        <v>4.4304726589926173E-2</v>
      </c>
      <c r="AG202" s="70" t="s">
        <v>21</v>
      </c>
      <c r="AH202" s="70">
        <v>3.84412569081624E-3</v>
      </c>
      <c r="AI202" s="70">
        <v>8.6988418687586784E-3</v>
      </c>
      <c r="AJ202" s="70">
        <v>1.1677486746413095E-2</v>
      </c>
      <c r="AK202" s="62">
        <v>1.4148156889926169E-2</v>
      </c>
    </row>
    <row r="203" spans="2:37" s="52" customFormat="1" x14ac:dyDescent="0.35">
      <c r="B203" s="54" t="s">
        <v>340</v>
      </c>
      <c r="C203" s="52" t="s">
        <v>232</v>
      </c>
      <c r="D203" s="52" t="s">
        <v>20</v>
      </c>
      <c r="E203" s="52" t="s">
        <v>243</v>
      </c>
      <c r="F203" s="72">
        <f t="shared" ref="F203:F253" si="142">IF(ISNUMBER(AB203),AB203-((C$4-C$3)/V203),"")</f>
        <v>2.4471240871967694E-2</v>
      </c>
      <c r="G203" s="59">
        <f t="shared" ref="G203:G253" si="143">IF(ISNUMBER(AC203),AC203-((D$4-D$3)/W203),"")</f>
        <v>3.171380855043885E-2</v>
      </c>
      <c r="H203" s="59">
        <f t="shared" ref="H203:H253" si="144">IF(ISNUMBER(AD203),AD203-((E$4-E$3)/X203),"")</f>
        <v>3.6786677824923848E-2</v>
      </c>
      <c r="I203" s="59">
        <f t="shared" ref="I203:I253" si="145">IF(ISNUMBER(AE203),AE203-((F$4-F$3)/Y203),"")</f>
        <v>3.9866076249876176E-2</v>
      </c>
      <c r="J203" s="62">
        <f t="shared" ref="J203:J253" si="146">IF(ISNUMBER(AF203),AF203-((G$4-G$3)/Z203),"")</f>
        <v>4.3194079018185214E-2</v>
      </c>
      <c r="K203" s="59" t="str">
        <f t="shared" ref="K203:K253" si="147">IF(ISNUMBER(AG203),IF(AG203-((C$4-C$3)/V203)&lt;0,"",AG203-((C$4-C$3)/V203)),"")</f>
        <v/>
      </c>
      <c r="L203" s="59">
        <f t="shared" ref="L203:L253" si="148">IF(ISNUMBER(AH203),IF(AH203-((D$4-D$3)/W203)&lt;0,"",AH203-((D$4-D$3)/W203)),"")</f>
        <v>4.0812229504388481E-3</v>
      </c>
      <c r="M203" s="59">
        <f t="shared" ref="M203:M253" si="149">IF(ISNUMBER(AI203),IF(AI203-((E$4-E$3)/X203)&lt;0,"",AI203-((E$4-E$3)/X203)),"")</f>
        <v>8.6517975249238467E-3</v>
      </c>
      <c r="N203" s="59">
        <f t="shared" ref="N203:N253" si="150">IF(ISNUMBER(AJ203),IF(AJ203-((F$4-F$3)/Y203)&lt;0,"",AJ203-((F$4-F$3)/Y203)),"")</f>
        <v>1.0958345149876179E-2</v>
      </c>
      <c r="O203" s="62">
        <f t="shared" ref="O203:O253" si="151">IF(ISNUMBER(AK203),IF(AK203-((G$4-G$3)/Z203)&lt;0,"",AK203-((G$4-G$3)/Z203)),"")</f>
        <v>1.3054956618185211E-2</v>
      </c>
      <c r="P203" s="54" t="s">
        <v>21</v>
      </c>
      <c r="Q203" s="52" t="s">
        <v>21</v>
      </c>
      <c r="R203" s="93" t="s">
        <v>21</v>
      </c>
      <c r="S203" s="70" t="s">
        <v>21</v>
      </c>
      <c r="T203" s="62" t="str">
        <f t="shared" si="141"/>
        <v/>
      </c>
      <c r="V203" s="113">
        <v>1.1297349000000001</v>
      </c>
      <c r="W203" s="71">
        <v>2.9299447700000001</v>
      </c>
      <c r="X203" s="71">
        <v>4.5560621699999997</v>
      </c>
      <c r="Y203" s="71">
        <v>5.9836864500000004</v>
      </c>
      <c r="Z203" s="114">
        <v>7.808432429999999</v>
      </c>
      <c r="AB203" s="72">
        <v>2.4471240871967694E-2</v>
      </c>
      <c r="AC203" s="70">
        <v>3.171380855043885E-2</v>
      </c>
      <c r="AD203" s="70">
        <v>3.6786677824923848E-2</v>
      </c>
      <c r="AE203" s="70">
        <v>3.9866076249876176E-2</v>
      </c>
      <c r="AF203" s="62">
        <v>4.3194079018185214E-2</v>
      </c>
      <c r="AG203" s="70" t="s">
        <v>21</v>
      </c>
      <c r="AH203" s="70">
        <v>4.0812229504388481E-3</v>
      </c>
      <c r="AI203" s="70">
        <v>8.6517975249238467E-3</v>
      </c>
      <c r="AJ203" s="70">
        <v>1.0958345149876179E-2</v>
      </c>
      <c r="AK203" s="62">
        <v>1.3054956618185211E-2</v>
      </c>
    </row>
    <row r="204" spans="2:37" s="52" customFormat="1" x14ac:dyDescent="0.35">
      <c r="B204" s="54" t="s">
        <v>176</v>
      </c>
      <c r="C204" s="52" t="s">
        <v>232</v>
      </c>
      <c r="D204" s="52" t="s">
        <v>47</v>
      </c>
      <c r="E204" s="52" t="s">
        <v>21</v>
      </c>
      <c r="F204" s="72">
        <f t="shared" si="142"/>
        <v>2.4412513038525107E-2</v>
      </c>
      <c r="G204" s="59">
        <f t="shared" si="143"/>
        <v>3.1298914940371798E-2</v>
      </c>
      <c r="H204" s="59">
        <f t="shared" si="144"/>
        <v>3.6765787801529899E-2</v>
      </c>
      <c r="I204" s="59">
        <f t="shared" si="145"/>
        <v>4.064107358388501E-2</v>
      </c>
      <c r="J204" s="62">
        <f t="shared" si="146"/>
        <v>4.5090607617283361E-2</v>
      </c>
      <c r="K204" s="59" t="str">
        <f t="shared" si="147"/>
        <v/>
      </c>
      <c r="L204" s="59">
        <f t="shared" si="148"/>
        <v>3.7011427403717996E-3</v>
      </c>
      <c r="M204" s="59">
        <f t="shared" si="149"/>
        <v>8.6525954015298952E-3</v>
      </c>
      <c r="N204" s="59">
        <f t="shared" si="150"/>
        <v>1.172559848388501E-2</v>
      </c>
      <c r="O204" s="62">
        <f t="shared" si="151"/>
        <v>1.4905699617283361E-2</v>
      </c>
      <c r="P204" s="54" t="s">
        <v>21</v>
      </c>
      <c r="Q204" s="52" t="s">
        <v>21</v>
      </c>
      <c r="R204" s="93" t="s">
        <v>21</v>
      </c>
      <c r="S204" s="70" t="s">
        <v>21</v>
      </c>
      <c r="T204" s="62" t="str">
        <f t="shared" si="141"/>
        <v/>
      </c>
      <c r="V204" s="113">
        <v>1.1307265900000001</v>
      </c>
      <c r="W204" s="71">
        <v>2.9369147</v>
      </c>
      <c r="X204" s="71">
        <v>4.5701323299999999</v>
      </c>
      <c r="Y204" s="71">
        <v>5.9973687</v>
      </c>
      <c r="Z204" s="114">
        <v>7.7876560900000005</v>
      </c>
      <c r="AB204" s="72">
        <v>2.4412513038525107E-2</v>
      </c>
      <c r="AC204" s="70">
        <v>3.1298914940371798E-2</v>
      </c>
      <c r="AD204" s="70">
        <v>3.6765787801529899E-2</v>
      </c>
      <c r="AE204" s="70">
        <v>4.064107358388501E-2</v>
      </c>
      <c r="AF204" s="62">
        <v>4.5090607617283361E-2</v>
      </c>
      <c r="AG204" s="70" t="s">
        <v>21</v>
      </c>
      <c r="AH204" s="70">
        <v>3.7011427403717996E-3</v>
      </c>
      <c r="AI204" s="70">
        <v>8.6525954015298952E-3</v>
      </c>
      <c r="AJ204" s="70">
        <v>1.172559848388501E-2</v>
      </c>
      <c r="AK204" s="62">
        <v>1.4905699617283361E-2</v>
      </c>
    </row>
    <row r="205" spans="2:37" s="52" customFormat="1" x14ac:dyDescent="0.35">
      <c r="B205" s="54" t="s">
        <v>146</v>
      </c>
      <c r="C205" s="52" t="s">
        <v>232</v>
      </c>
      <c r="D205" s="52" t="s">
        <v>69</v>
      </c>
      <c r="E205" s="52" t="s">
        <v>128</v>
      </c>
      <c r="F205" s="72">
        <f t="shared" si="142"/>
        <v>2.4278288599766162E-2</v>
      </c>
      <c r="G205" s="59">
        <f t="shared" si="143"/>
        <v>3.1479946241122894E-2</v>
      </c>
      <c r="H205" s="59">
        <f t="shared" si="144"/>
        <v>3.671354123487517E-2</v>
      </c>
      <c r="I205" s="59">
        <f t="shared" si="145"/>
        <v>4.0300761372461413E-2</v>
      </c>
      <c r="J205" s="62">
        <f t="shared" si="146"/>
        <v>4.4294344198578771E-2</v>
      </c>
      <c r="K205" s="59" t="str">
        <f t="shared" si="147"/>
        <v/>
      </c>
      <c r="L205" s="59">
        <f t="shared" si="148"/>
        <v>3.8762637411228931E-3</v>
      </c>
      <c r="M205" s="59">
        <f t="shared" si="149"/>
        <v>8.6020132348751735E-3</v>
      </c>
      <c r="N205" s="59">
        <f t="shared" si="150"/>
        <v>1.1397034972461405E-2</v>
      </c>
      <c r="O205" s="62">
        <f t="shared" si="151"/>
        <v>1.4135946198578771E-2</v>
      </c>
      <c r="P205" s="54" t="s">
        <v>530</v>
      </c>
      <c r="Q205" s="52" t="s">
        <v>531</v>
      </c>
      <c r="R205" s="93" t="s">
        <v>32</v>
      </c>
      <c r="S205" s="70">
        <v>3.4758980000000002E-2</v>
      </c>
      <c r="T205" s="62">
        <f t="shared" si="141"/>
        <v>1.9545612348751684E-3</v>
      </c>
      <c r="V205" s="113">
        <v>1.1309836799999999</v>
      </c>
      <c r="W205" s="71">
        <v>2.9359827299999997</v>
      </c>
      <c r="X205" s="71">
        <v>4.5691866000000001</v>
      </c>
      <c r="Y205" s="71">
        <v>6.0010463600000001</v>
      </c>
      <c r="Z205" s="114">
        <v>7.811488129999999</v>
      </c>
      <c r="AB205" s="72">
        <v>2.4278288599766162E-2</v>
      </c>
      <c r="AC205" s="70">
        <v>3.1479946241122894E-2</v>
      </c>
      <c r="AD205" s="70">
        <v>3.671354123487517E-2</v>
      </c>
      <c r="AE205" s="70">
        <v>4.0300761372461413E-2</v>
      </c>
      <c r="AF205" s="62">
        <v>4.4294344198578771E-2</v>
      </c>
      <c r="AG205" s="70" t="s">
        <v>21</v>
      </c>
      <c r="AH205" s="70">
        <v>3.8762637411228931E-3</v>
      </c>
      <c r="AI205" s="70">
        <v>8.6020132348751735E-3</v>
      </c>
      <c r="AJ205" s="70">
        <v>1.1397034972461405E-2</v>
      </c>
      <c r="AK205" s="62">
        <v>1.4135946198578771E-2</v>
      </c>
    </row>
    <row r="206" spans="2:37" s="52" customFormat="1" x14ac:dyDescent="0.35">
      <c r="B206" s="54" t="s">
        <v>325</v>
      </c>
      <c r="C206" s="52" t="s">
        <v>232</v>
      </c>
      <c r="D206" s="52" t="s">
        <v>167</v>
      </c>
      <c r="E206" s="52" t="s">
        <v>81</v>
      </c>
      <c r="F206" s="72">
        <f t="shared" si="142"/>
        <v>2.3897399000713269E-2</v>
      </c>
      <c r="G206" s="59">
        <f t="shared" si="143"/>
        <v>3.1132222925177616E-2</v>
      </c>
      <c r="H206" s="59">
        <f t="shared" si="144"/>
        <v>3.6639803379719518E-2</v>
      </c>
      <c r="I206" s="59">
        <f t="shared" si="145"/>
        <v>4.1257929360735225E-2</v>
      </c>
      <c r="J206" s="62">
        <f t="shared" si="146"/>
        <v>4.4884756384359133E-2</v>
      </c>
      <c r="K206" s="59" t="str">
        <f t="shared" si="147"/>
        <v/>
      </c>
      <c r="L206" s="59">
        <f t="shared" si="148"/>
        <v>3.5238481251776174E-3</v>
      </c>
      <c r="M206" s="59">
        <f t="shared" si="149"/>
        <v>8.5137680797195223E-3</v>
      </c>
      <c r="N206" s="59">
        <f t="shared" si="150"/>
        <v>1.2299590760735226E-2</v>
      </c>
      <c r="O206" s="62">
        <f t="shared" si="151"/>
        <v>1.4695716084359132E-2</v>
      </c>
      <c r="P206" s="54" t="s">
        <v>379</v>
      </c>
      <c r="Q206" s="52" t="s">
        <v>380</v>
      </c>
      <c r="R206" s="93">
        <v>47588</v>
      </c>
      <c r="S206" s="70">
        <v>3.5294940000000004E-2</v>
      </c>
      <c r="T206" s="62">
        <f t="shared" si="141"/>
        <v>1.3448633797195145E-3</v>
      </c>
      <c r="V206" s="113">
        <v>1.1307654300000001</v>
      </c>
      <c r="W206" s="71">
        <v>2.9349568499999998</v>
      </c>
      <c r="X206" s="71">
        <v>4.5633320400000006</v>
      </c>
      <c r="Y206" s="71">
        <v>5.9717071500000003</v>
      </c>
      <c r="Z206" s="114">
        <v>7.7447485699999996</v>
      </c>
      <c r="AB206" s="72">
        <v>2.3897399000713269E-2</v>
      </c>
      <c r="AC206" s="70">
        <v>3.1132222925177616E-2</v>
      </c>
      <c r="AD206" s="70">
        <v>3.6639803379719518E-2</v>
      </c>
      <c r="AE206" s="70">
        <v>4.1257929360735225E-2</v>
      </c>
      <c r="AF206" s="62">
        <v>4.4884756384359133E-2</v>
      </c>
      <c r="AG206" s="70" t="s">
        <v>21</v>
      </c>
      <c r="AH206" s="70">
        <v>3.5238481251776174E-3</v>
      </c>
      <c r="AI206" s="70">
        <v>8.5137680797195223E-3</v>
      </c>
      <c r="AJ206" s="70">
        <v>1.2299590760735226E-2</v>
      </c>
      <c r="AK206" s="62">
        <v>1.4695716084359132E-2</v>
      </c>
    </row>
    <row r="207" spans="2:37" s="52" customFormat="1" x14ac:dyDescent="0.35">
      <c r="B207" s="54" t="s">
        <v>354</v>
      </c>
      <c r="C207" s="52" t="s">
        <v>232</v>
      </c>
      <c r="D207" s="52" t="s">
        <v>20</v>
      </c>
      <c r="E207" s="52" t="s">
        <v>21</v>
      </c>
      <c r="F207" s="72">
        <f t="shared" si="142"/>
        <v>2.4612259895979649E-2</v>
      </c>
      <c r="G207" s="59">
        <f t="shared" si="143"/>
        <v>3.173468483988983E-2</v>
      </c>
      <c r="H207" s="59">
        <f t="shared" si="144"/>
        <v>3.6280755034438866E-2</v>
      </c>
      <c r="I207" s="59">
        <f t="shared" si="145"/>
        <v>3.9346461634619141E-2</v>
      </c>
      <c r="J207" s="62">
        <f t="shared" si="146"/>
        <v>4.257591318351104E-2</v>
      </c>
      <c r="K207" s="59" t="str">
        <f t="shared" si="147"/>
        <v/>
      </c>
      <c r="L207" s="59">
        <f t="shared" si="148"/>
        <v>4.1003632398898381E-3</v>
      </c>
      <c r="M207" s="59">
        <f t="shared" si="149"/>
        <v>8.1632548344388687E-3</v>
      </c>
      <c r="N207" s="59">
        <f t="shared" si="150"/>
        <v>1.045663063461914E-2</v>
      </c>
      <c r="O207" s="62">
        <f t="shared" si="151"/>
        <v>1.2454638383511038E-2</v>
      </c>
      <c r="P207" s="54" t="s">
        <v>393</v>
      </c>
      <c r="Q207" s="52" t="s">
        <v>394</v>
      </c>
      <c r="R207" s="93" t="s">
        <v>32</v>
      </c>
      <c r="S207" s="70">
        <v>3.3580140000000001E-2</v>
      </c>
      <c r="T207" s="62">
        <f t="shared" si="141"/>
        <v>2.7006150344388649E-3</v>
      </c>
      <c r="V207" s="113">
        <v>1.1294393200000001</v>
      </c>
      <c r="W207" s="71">
        <v>2.9293539900000001</v>
      </c>
      <c r="X207" s="71">
        <v>4.5606326199999998</v>
      </c>
      <c r="Y207" s="71">
        <v>5.9981712600000003</v>
      </c>
      <c r="Z207" s="114">
        <v>7.8434822200000003</v>
      </c>
      <c r="AB207" s="72">
        <v>2.4612259895979649E-2</v>
      </c>
      <c r="AC207" s="70">
        <v>3.173468483988983E-2</v>
      </c>
      <c r="AD207" s="70">
        <v>3.6280755034438866E-2</v>
      </c>
      <c r="AE207" s="70">
        <v>3.9346461634619141E-2</v>
      </c>
      <c r="AF207" s="62">
        <v>4.257591318351104E-2</v>
      </c>
      <c r="AG207" s="70" t="s">
        <v>21</v>
      </c>
      <c r="AH207" s="70">
        <v>4.1003632398898381E-3</v>
      </c>
      <c r="AI207" s="70">
        <v>8.1632548344388687E-3</v>
      </c>
      <c r="AJ207" s="70">
        <v>1.045663063461914E-2</v>
      </c>
      <c r="AK207" s="62">
        <v>1.2454638383511038E-2</v>
      </c>
    </row>
    <row r="208" spans="2:37" s="52" customFormat="1" x14ac:dyDescent="0.35">
      <c r="B208" s="54" t="s">
        <v>336</v>
      </c>
      <c r="C208" s="52" t="s">
        <v>232</v>
      </c>
      <c r="D208" s="52" t="s">
        <v>69</v>
      </c>
      <c r="E208" s="52" t="s">
        <v>128</v>
      </c>
      <c r="F208" s="72">
        <f t="shared" si="142"/>
        <v>2.4349550872748916E-2</v>
      </c>
      <c r="G208" s="59">
        <f t="shared" si="143"/>
        <v>3.1543766482660975E-2</v>
      </c>
      <c r="H208" s="59">
        <f t="shared" si="144"/>
        <v>3.6152315247676849E-2</v>
      </c>
      <c r="I208" s="59">
        <f t="shared" si="145"/>
        <v>3.951351312298039E-2</v>
      </c>
      <c r="J208" s="62">
        <f t="shared" si="146"/>
        <v>4.3549932951189883E-2</v>
      </c>
      <c r="K208" s="59" t="str">
        <f t="shared" si="147"/>
        <v/>
      </c>
      <c r="L208" s="59">
        <f t="shared" si="148"/>
        <v>3.9372337826609777E-3</v>
      </c>
      <c r="M208" s="59">
        <f t="shared" si="149"/>
        <v>8.0597112476768432E-3</v>
      </c>
      <c r="N208" s="59">
        <f t="shared" si="150"/>
        <v>1.0637871322980389E-2</v>
      </c>
      <c r="O208" s="62">
        <f t="shared" si="151"/>
        <v>1.341440155118988E-2</v>
      </c>
      <c r="P208" s="54" t="s">
        <v>21</v>
      </c>
      <c r="Q208" s="52" t="s">
        <v>21</v>
      </c>
      <c r="R208" s="93" t="s">
        <v>21</v>
      </c>
      <c r="S208" s="70" t="s">
        <v>21</v>
      </c>
      <c r="T208" s="62" t="str">
        <f t="shared" si="141"/>
        <v/>
      </c>
      <c r="V208" s="113">
        <v>1.1308596400000002</v>
      </c>
      <c r="W208" s="71">
        <v>2.9353546100000001</v>
      </c>
      <c r="X208" s="71">
        <v>4.5743516</v>
      </c>
      <c r="Y208" s="71">
        <v>6.0192603800000004</v>
      </c>
      <c r="Z208" s="114">
        <v>7.8526787499999999</v>
      </c>
      <c r="AB208" s="72">
        <v>2.4349550872748916E-2</v>
      </c>
      <c r="AC208" s="70">
        <v>3.1543766482660975E-2</v>
      </c>
      <c r="AD208" s="70">
        <v>3.6152315247676849E-2</v>
      </c>
      <c r="AE208" s="70">
        <v>3.951351312298039E-2</v>
      </c>
      <c r="AF208" s="62">
        <v>4.3549932951189883E-2</v>
      </c>
      <c r="AG208" s="70" t="s">
        <v>21</v>
      </c>
      <c r="AH208" s="70">
        <v>3.9372337826609777E-3</v>
      </c>
      <c r="AI208" s="70">
        <v>8.0597112476768432E-3</v>
      </c>
      <c r="AJ208" s="70">
        <v>1.0637871322980389E-2</v>
      </c>
      <c r="AK208" s="62">
        <v>1.341440155118988E-2</v>
      </c>
    </row>
    <row r="209" spans="2:37" s="52" customFormat="1" x14ac:dyDescent="0.35">
      <c r="B209" s="54" t="s">
        <v>348</v>
      </c>
      <c r="C209" s="52" t="s">
        <v>232</v>
      </c>
      <c r="D209" s="52" t="s">
        <v>20</v>
      </c>
      <c r="E209" s="52" t="s">
        <v>532</v>
      </c>
      <c r="F209" s="72">
        <f t="shared" si="142"/>
        <v>2.4016708562726394E-2</v>
      </c>
      <c r="G209" s="59">
        <f t="shared" si="143"/>
        <v>3.0854893466104885E-2</v>
      </c>
      <c r="H209" s="59">
        <f t="shared" si="144"/>
        <v>3.5846673625905726E-2</v>
      </c>
      <c r="I209" s="59">
        <f t="shared" si="145"/>
        <v>3.9398843527742672E-2</v>
      </c>
      <c r="J209" s="62">
        <f t="shared" si="146"/>
        <v>4.2565043684761078E-2</v>
      </c>
      <c r="K209" s="59" t="str">
        <f t="shared" si="147"/>
        <v/>
      </c>
      <c r="L209" s="59">
        <f t="shared" si="148"/>
        <v>3.2548540661048895E-3</v>
      </c>
      <c r="M209" s="59">
        <f t="shared" si="149"/>
        <v>7.7474748259057317E-3</v>
      </c>
      <c r="N209" s="59">
        <f t="shared" si="150"/>
        <v>1.050942542774267E-2</v>
      </c>
      <c r="O209" s="62">
        <f t="shared" si="151"/>
        <v>1.2451115084761079E-2</v>
      </c>
      <c r="P209" s="54" t="s">
        <v>387</v>
      </c>
      <c r="Q209" s="52" t="s">
        <v>388</v>
      </c>
      <c r="R209" s="93">
        <v>47529</v>
      </c>
      <c r="S209" s="70">
        <v>3.4313570000000002E-2</v>
      </c>
      <c r="T209" s="62">
        <f t="shared" si="141"/>
        <v>1.533103625905724E-3</v>
      </c>
      <c r="V209" s="113">
        <v>1.1305343299999999</v>
      </c>
      <c r="W209" s="71">
        <v>2.9364350400000001</v>
      </c>
      <c r="X209" s="71">
        <v>4.5744038200000006</v>
      </c>
      <c r="Y209" s="71">
        <v>6.0140509900000003</v>
      </c>
      <c r="Z209" s="114">
        <v>7.8538199099999995</v>
      </c>
      <c r="AB209" s="72">
        <v>2.4016708562726394E-2</v>
      </c>
      <c r="AC209" s="70">
        <v>3.0854893466104885E-2</v>
      </c>
      <c r="AD209" s="70">
        <v>3.5846673625905726E-2</v>
      </c>
      <c r="AE209" s="70">
        <v>3.9398843527742672E-2</v>
      </c>
      <c r="AF209" s="62">
        <v>4.2565043684761078E-2</v>
      </c>
      <c r="AG209" s="70" t="s">
        <v>21</v>
      </c>
      <c r="AH209" s="70">
        <v>3.2548540661048895E-3</v>
      </c>
      <c r="AI209" s="70">
        <v>7.7474748259057317E-3</v>
      </c>
      <c r="AJ209" s="70">
        <v>1.050942542774267E-2</v>
      </c>
      <c r="AK209" s="62">
        <v>1.2451115084761079E-2</v>
      </c>
    </row>
    <row r="210" spans="2:37" s="52" customFormat="1" x14ac:dyDescent="0.35">
      <c r="B210" s="54" t="s">
        <v>251</v>
      </c>
      <c r="C210" s="52" t="s">
        <v>232</v>
      </c>
      <c r="D210" s="52" t="s">
        <v>53</v>
      </c>
      <c r="E210" s="52" t="s">
        <v>125</v>
      </c>
      <c r="F210" s="72">
        <f t="shared" si="142"/>
        <v>2.4095576537280412E-2</v>
      </c>
      <c r="G210" s="59">
        <f t="shared" si="143"/>
        <v>3.1013371490098134E-2</v>
      </c>
      <c r="H210" s="59">
        <f t="shared" si="144"/>
        <v>3.5685517044791643E-2</v>
      </c>
      <c r="I210" s="59">
        <f t="shared" si="145"/>
        <v>3.8960885554277951E-2</v>
      </c>
      <c r="J210" s="62">
        <f t="shared" si="146"/>
        <v>4.2612591887111986E-2</v>
      </c>
      <c r="K210" s="59" t="str">
        <f t="shared" si="147"/>
        <v/>
      </c>
      <c r="L210" s="59">
        <f t="shared" si="148"/>
        <v>3.4248470900981346E-3</v>
      </c>
      <c r="M210" s="59">
        <f t="shared" si="149"/>
        <v>7.6090690447916396E-3</v>
      </c>
      <c r="N210" s="59">
        <f t="shared" si="150"/>
        <v>1.0105649054277958E-2</v>
      </c>
      <c r="O210" s="62">
        <f t="shared" si="151"/>
        <v>1.250948198711198E-2</v>
      </c>
      <c r="P210" s="54" t="s">
        <v>533</v>
      </c>
      <c r="Q210" s="52" t="s">
        <v>534</v>
      </c>
      <c r="R210" s="93" t="s">
        <v>32</v>
      </c>
      <c r="S210" s="70">
        <v>3.6684750000000002E-2</v>
      </c>
      <c r="T210" s="62">
        <f t="shared" si="141"/>
        <v>-9.9923295520835953E-4</v>
      </c>
      <c r="V210" s="113">
        <v>1.13134337</v>
      </c>
      <c r="W210" s="71">
        <v>2.9400106299999997</v>
      </c>
      <c r="X210" s="71">
        <v>4.5850532800000003</v>
      </c>
      <c r="Y210" s="71">
        <v>6.0387358600000001</v>
      </c>
      <c r="Z210" s="114">
        <v>7.89745776</v>
      </c>
      <c r="AB210" s="72">
        <v>2.4095576537280412E-2</v>
      </c>
      <c r="AC210" s="70">
        <v>3.1013371490098134E-2</v>
      </c>
      <c r="AD210" s="70">
        <v>3.5685517044791643E-2</v>
      </c>
      <c r="AE210" s="70">
        <v>3.8960885554277951E-2</v>
      </c>
      <c r="AF210" s="62">
        <v>4.2612591887111986E-2</v>
      </c>
      <c r="AG210" s="70" t="s">
        <v>21</v>
      </c>
      <c r="AH210" s="70">
        <v>3.4248470900981346E-3</v>
      </c>
      <c r="AI210" s="70">
        <v>7.6090690447916396E-3</v>
      </c>
      <c r="AJ210" s="70">
        <v>1.0105649054277958E-2</v>
      </c>
      <c r="AK210" s="62">
        <v>1.250948198711198E-2</v>
      </c>
    </row>
    <row r="211" spans="2:37" s="52" customFormat="1" x14ac:dyDescent="0.35">
      <c r="B211" s="54" t="s">
        <v>143</v>
      </c>
      <c r="C211" s="52" t="s">
        <v>232</v>
      </c>
      <c r="D211" s="52" t="s">
        <v>20</v>
      </c>
      <c r="E211" s="52" t="s">
        <v>57</v>
      </c>
      <c r="F211" s="72">
        <f t="shared" si="142"/>
        <v>2.4148408954140561E-2</v>
      </c>
      <c r="G211" s="59">
        <f t="shared" si="143"/>
        <v>3.0835492005606736E-2</v>
      </c>
      <c r="H211" s="59">
        <f t="shared" si="144"/>
        <v>3.5667121307316405E-2</v>
      </c>
      <c r="I211" s="59">
        <f t="shared" si="145"/>
        <v>3.8908410940575698E-2</v>
      </c>
      <c r="J211" s="62">
        <f t="shared" si="146"/>
        <v>4.2566504865283183E-2</v>
      </c>
      <c r="K211" s="59" t="str">
        <f t="shared" si="147"/>
        <v/>
      </c>
      <c r="L211" s="59">
        <f t="shared" si="148"/>
        <v>3.2378913056067345E-3</v>
      </c>
      <c r="M211" s="59">
        <f t="shared" si="149"/>
        <v>7.5755082073164087E-3</v>
      </c>
      <c r="N211" s="59">
        <f t="shared" si="150"/>
        <v>1.0039464140575695E-2</v>
      </c>
      <c r="O211" s="62">
        <f t="shared" si="151"/>
        <v>1.2451808665283184E-2</v>
      </c>
      <c r="P211" s="54" t="s">
        <v>535</v>
      </c>
      <c r="Q211" s="52" t="s">
        <v>536</v>
      </c>
      <c r="R211" s="93">
        <v>47498</v>
      </c>
      <c r="S211" s="70">
        <v>3.4564930000000001E-2</v>
      </c>
      <c r="T211" s="62">
        <f t="shared" si="141"/>
        <v>1.1021913073164039E-3</v>
      </c>
      <c r="V211" s="113">
        <v>1.1302341199999999</v>
      </c>
      <c r="W211" s="71">
        <v>2.9358993900000003</v>
      </c>
      <c r="X211" s="71">
        <v>4.57568705</v>
      </c>
      <c r="Y211" s="71">
        <v>6.0202189500000003</v>
      </c>
      <c r="Z211" s="114">
        <v>7.8640245499999999</v>
      </c>
      <c r="AB211" s="72">
        <v>2.4148408954140561E-2</v>
      </c>
      <c r="AC211" s="70">
        <v>3.0835492005606736E-2</v>
      </c>
      <c r="AD211" s="70">
        <v>3.5667121307316405E-2</v>
      </c>
      <c r="AE211" s="70">
        <v>3.8908410940575698E-2</v>
      </c>
      <c r="AF211" s="62">
        <v>4.2566504865283183E-2</v>
      </c>
      <c r="AG211" s="70" t="s">
        <v>21</v>
      </c>
      <c r="AH211" s="70">
        <v>3.2378913056067345E-3</v>
      </c>
      <c r="AI211" s="70">
        <v>7.5755082073164087E-3</v>
      </c>
      <c r="AJ211" s="70">
        <v>1.0039464140575695E-2</v>
      </c>
      <c r="AK211" s="62">
        <v>1.2451808665283184E-2</v>
      </c>
    </row>
    <row r="212" spans="2:37" s="52" customFormat="1" x14ac:dyDescent="0.35">
      <c r="B212" s="54" t="s">
        <v>257</v>
      </c>
      <c r="C212" s="52" t="s">
        <v>232</v>
      </c>
      <c r="D212" s="52" t="s">
        <v>69</v>
      </c>
      <c r="E212" s="52" t="s">
        <v>21</v>
      </c>
      <c r="F212" s="72">
        <f t="shared" si="142"/>
        <v>2.447227393087691E-2</v>
      </c>
      <c r="G212" s="59">
        <f t="shared" si="143"/>
        <v>3.1051474750166196E-2</v>
      </c>
      <c r="H212" s="59">
        <f t="shared" si="144"/>
        <v>3.5624799930740032E-2</v>
      </c>
      <c r="I212" s="59">
        <f t="shared" si="145"/>
        <v>3.867181983694775E-2</v>
      </c>
      <c r="J212" s="62">
        <f t="shared" si="146"/>
        <v>4.1995714977458402E-2</v>
      </c>
      <c r="K212" s="59" t="str">
        <f t="shared" si="147"/>
        <v/>
      </c>
      <c r="L212" s="59">
        <f t="shared" si="148"/>
        <v>3.4602470501661989E-3</v>
      </c>
      <c r="M212" s="59">
        <f t="shared" si="149"/>
        <v>7.5492696307400383E-3</v>
      </c>
      <c r="N212" s="59">
        <f t="shared" si="150"/>
        <v>9.825596536947756E-3</v>
      </c>
      <c r="O212" s="62">
        <f t="shared" si="151"/>
        <v>1.1910454477458395E-2</v>
      </c>
      <c r="P212" s="54" t="s">
        <v>537</v>
      </c>
      <c r="Q212" s="52" t="s">
        <v>538</v>
      </c>
      <c r="R212" s="93" t="s">
        <v>32</v>
      </c>
      <c r="S212" s="70">
        <v>2.8465280000000003E-2</v>
      </c>
      <c r="T212" s="62">
        <f t="shared" si="141"/>
        <v>7.1595199307400298E-3</v>
      </c>
      <c r="V212" s="113">
        <v>1.1306432199999998</v>
      </c>
      <c r="W212" s="71">
        <v>2.9386812899999999</v>
      </c>
      <c r="X212" s="71">
        <v>4.5842577499999999</v>
      </c>
      <c r="Y212" s="71">
        <v>6.0426322800000003</v>
      </c>
      <c r="Z212" s="114">
        <v>7.9192739999999997</v>
      </c>
      <c r="AB212" s="72">
        <v>2.447227393087691E-2</v>
      </c>
      <c r="AC212" s="70">
        <v>3.1051474750166196E-2</v>
      </c>
      <c r="AD212" s="70">
        <v>3.5624799930740032E-2</v>
      </c>
      <c r="AE212" s="70">
        <v>3.867181983694775E-2</v>
      </c>
      <c r="AF212" s="62">
        <v>4.1995714977458402E-2</v>
      </c>
      <c r="AG212" s="70" t="s">
        <v>21</v>
      </c>
      <c r="AH212" s="70">
        <v>3.4602470501661989E-3</v>
      </c>
      <c r="AI212" s="70">
        <v>7.5492696307400383E-3</v>
      </c>
      <c r="AJ212" s="70">
        <v>9.825596536947756E-3</v>
      </c>
      <c r="AK212" s="62">
        <v>1.1910454477458395E-2</v>
      </c>
    </row>
    <row r="213" spans="2:37" s="52" customFormat="1" x14ac:dyDescent="0.35">
      <c r="B213" s="54" t="s">
        <v>252</v>
      </c>
      <c r="C213" s="52" t="s">
        <v>232</v>
      </c>
      <c r="D213" s="52" t="s">
        <v>20</v>
      </c>
      <c r="E213" s="52" t="s">
        <v>21</v>
      </c>
      <c r="F213" s="72">
        <f t="shared" si="142"/>
        <v>2.4383119063330478E-2</v>
      </c>
      <c r="G213" s="59">
        <f t="shared" si="143"/>
        <v>3.1701079263474902E-2</v>
      </c>
      <c r="H213" s="59">
        <f t="shared" si="144"/>
        <v>3.5561992138283656E-2</v>
      </c>
      <c r="I213" s="59">
        <f t="shared" si="145"/>
        <v>3.8058316096385367E-2</v>
      </c>
      <c r="J213" s="62">
        <f t="shared" si="146"/>
        <v>4.1777567865402071E-2</v>
      </c>
      <c r="K213" s="59" t="str">
        <f t="shared" si="147"/>
        <v/>
      </c>
      <c r="L213" s="59">
        <f t="shared" si="148"/>
        <v>4.0681772634749017E-3</v>
      </c>
      <c r="M213" s="59">
        <f t="shared" si="149"/>
        <v>7.4696107382836597E-3</v>
      </c>
      <c r="N213" s="59">
        <f t="shared" si="150"/>
        <v>9.2135609963853692E-3</v>
      </c>
      <c r="O213" s="62">
        <f t="shared" si="151"/>
        <v>1.1674485265402075E-2</v>
      </c>
      <c r="P213" s="54" t="s">
        <v>539</v>
      </c>
      <c r="Q213" s="52" t="s">
        <v>540</v>
      </c>
      <c r="R213" s="93">
        <v>47545</v>
      </c>
      <c r="S213" s="70">
        <v>3.1726919999999999E-2</v>
      </c>
      <c r="T213" s="62">
        <f t="shared" si="141"/>
        <v>3.8350721382836572E-3</v>
      </c>
      <c r="V213" s="113">
        <v>1.12990287</v>
      </c>
      <c r="W213" s="71">
        <v>2.9294392999999999</v>
      </c>
      <c r="X213" s="71">
        <v>4.5683912600000003</v>
      </c>
      <c r="Y213" s="71">
        <v>6.0285856899999999</v>
      </c>
      <c r="Z213" s="114">
        <v>7.9071909700000003</v>
      </c>
      <c r="AB213" s="72">
        <v>2.4383119063330478E-2</v>
      </c>
      <c r="AC213" s="70">
        <v>3.1701079263474902E-2</v>
      </c>
      <c r="AD213" s="70">
        <v>3.5561992138283656E-2</v>
      </c>
      <c r="AE213" s="70">
        <v>3.8058316096385367E-2</v>
      </c>
      <c r="AF213" s="62">
        <v>4.1777567865402071E-2</v>
      </c>
      <c r="AG213" s="70" t="s">
        <v>21</v>
      </c>
      <c r="AH213" s="70">
        <v>4.0681772634749017E-3</v>
      </c>
      <c r="AI213" s="70">
        <v>7.4696107382836597E-3</v>
      </c>
      <c r="AJ213" s="70">
        <v>9.2135609963853692E-3</v>
      </c>
      <c r="AK213" s="62">
        <v>1.1674485265402075E-2</v>
      </c>
    </row>
    <row r="214" spans="2:37" s="52" customFormat="1" x14ac:dyDescent="0.35">
      <c r="B214" s="54" t="s">
        <v>153</v>
      </c>
      <c r="C214" s="52" t="s">
        <v>232</v>
      </c>
      <c r="D214" s="52" t="s">
        <v>20</v>
      </c>
      <c r="E214" s="52" t="s">
        <v>133</v>
      </c>
      <c r="F214" s="72">
        <f t="shared" si="142"/>
        <v>2.3575679901806521E-2</v>
      </c>
      <c r="G214" s="59">
        <f t="shared" si="143"/>
        <v>3.0415414406503836E-2</v>
      </c>
      <c r="H214" s="59">
        <f t="shared" si="144"/>
        <v>3.5535878963594274E-2</v>
      </c>
      <c r="I214" s="59">
        <f t="shared" si="145"/>
        <v>3.9075824878679943E-2</v>
      </c>
      <c r="J214" s="62">
        <f t="shared" si="146"/>
        <v>4.2321767322871622E-2</v>
      </c>
      <c r="K214" s="59" t="str">
        <f t="shared" si="147"/>
        <v/>
      </c>
      <c r="L214" s="59">
        <f t="shared" si="148"/>
        <v>2.8313998065038377E-3</v>
      </c>
      <c r="M214" s="59">
        <f t="shared" si="149"/>
        <v>7.4487295635942748E-3</v>
      </c>
      <c r="N214" s="59">
        <f t="shared" si="150"/>
        <v>1.0200417378679952E-2</v>
      </c>
      <c r="O214" s="62">
        <f t="shared" si="151"/>
        <v>1.2217168022871625E-2</v>
      </c>
      <c r="P214" s="54" t="s">
        <v>541</v>
      </c>
      <c r="Q214" s="52" t="s">
        <v>542</v>
      </c>
      <c r="R214" s="93">
        <v>47529</v>
      </c>
      <c r="S214" s="70">
        <v>3.4616799999999996E-2</v>
      </c>
      <c r="T214" s="62">
        <f t="shared" si="141"/>
        <v>9.1907896359427754E-4</v>
      </c>
      <c r="V214" s="113">
        <v>1.13136528</v>
      </c>
      <c r="W214" s="71">
        <v>2.9411006799999999</v>
      </c>
      <c r="X214" s="71">
        <v>4.5821591600000007</v>
      </c>
      <c r="Y214" s="71">
        <v>6.0244318200000002</v>
      </c>
      <c r="Z214" s="114">
        <v>7.8715944899999997</v>
      </c>
      <c r="AB214" s="72">
        <v>2.3575679901806521E-2</v>
      </c>
      <c r="AC214" s="70">
        <v>3.0415414406503836E-2</v>
      </c>
      <c r="AD214" s="70">
        <v>3.5535878963594274E-2</v>
      </c>
      <c r="AE214" s="70">
        <v>3.9075824878679943E-2</v>
      </c>
      <c r="AF214" s="62">
        <v>4.2321767322871622E-2</v>
      </c>
      <c r="AG214" s="70" t="s">
        <v>21</v>
      </c>
      <c r="AH214" s="70">
        <v>2.8313998065038377E-3</v>
      </c>
      <c r="AI214" s="70">
        <v>7.4487295635942748E-3</v>
      </c>
      <c r="AJ214" s="70">
        <v>1.0200417378679952E-2</v>
      </c>
      <c r="AK214" s="62">
        <v>1.2217168022871625E-2</v>
      </c>
    </row>
    <row r="215" spans="2:37" s="52" customFormat="1" x14ac:dyDescent="0.35">
      <c r="B215" s="54" t="s">
        <v>343</v>
      </c>
      <c r="C215" s="52" t="s">
        <v>232</v>
      </c>
      <c r="D215" s="52" t="s">
        <v>31</v>
      </c>
      <c r="E215" s="52" t="s">
        <v>21</v>
      </c>
      <c r="F215" s="72">
        <f t="shared" si="142"/>
        <v>2.4493861485142775E-2</v>
      </c>
      <c r="G215" s="59">
        <f t="shared" si="143"/>
        <v>3.0846816646689233E-2</v>
      </c>
      <c r="H215" s="59">
        <f t="shared" si="144"/>
        <v>3.547342461247642E-2</v>
      </c>
      <c r="I215" s="59">
        <f t="shared" si="145"/>
        <v>3.8658901240956445E-2</v>
      </c>
      <c r="J215" s="62">
        <f t="shared" si="146"/>
        <v>4.2118400478312348E-2</v>
      </c>
      <c r="K215" s="59" t="str">
        <f t="shared" si="147"/>
        <v/>
      </c>
      <c r="L215" s="59">
        <f t="shared" si="148"/>
        <v>3.2653950466892379E-3</v>
      </c>
      <c r="M215" s="59">
        <f t="shared" si="149"/>
        <v>7.4050008124764291E-3</v>
      </c>
      <c r="N215" s="59">
        <f t="shared" si="150"/>
        <v>9.8148081409564422E-3</v>
      </c>
      <c r="O215" s="62">
        <f t="shared" si="151"/>
        <v>1.2031152878312348E-2</v>
      </c>
      <c r="P215" s="54" t="s">
        <v>21</v>
      </c>
      <c r="Q215" s="52" t="s">
        <v>21</v>
      </c>
      <c r="R215" s="93" t="s">
        <v>21</v>
      </c>
      <c r="S215" s="70" t="s">
        <v>21</v>
      </c>
      <c r="T215" s="62" t="str">
        <f t="shared" si="141"/>
        <v/>
      </c>
      <c r="V215" s="113">
        <v>1.13053548</v>
      </c>
      <c r="W215" s="71">
        <v>2.93925868</v>
      </c>
      <c r="X215" s="71">
        <v>4.58699675</v>
      </c>
      <c r="Y215" s="71">
        <v>6.04561496</v>
      </c>
      <c r="Z215" s="114">
        <v>7.91828866</v>
      </c>
      <c r="AB215" s="72">
        <v>2.4493861485142775E-2</v>
      </c>
      <c r="AC215" s="70">
        <v>3.0846816646689233E-2</v>
      </c>
      <c r="AD215" s="70">
        <v>3.547342461247642E-2</v>
      </c>
      <c r="AE215" s="70">
        <v>3.8658901240956445E-2</v>
      </c>
      <c r="AF215" s="62">
        <v>4.2118400478312348E-2</v>
      </c>
      <c r="AG215" s="70" t="s">
        <v>21</v>
      </c>
      <c r="AH215" s="70">
        <v>3.2653950466892379E-3</v>
      </c>
      <c r="AI215" s="70">
        <v>7.4050008124764291E-3</v>
      </c>
      <c r="AJ215" s="70">
        <v>9.8148081409564422E-3</v>
      </c>
      <c r="AK215" s="62">
        <v>1.2031152878312348E-2</v>
      </c>
    </row>
    <row r="216" spans="2:37" s="52" customFormat="1" x14ac:dyDescent="0.35">
      <c r="B216" s="54" t="s">
        <v>357</v>
      </c>
      <c r="C216" s="52" t="s">
        <v>232</v>
      </c>
      <c r="D216" s="52" t="s">
        <v>20</v>
      </c>
      <c r="E216" s="52" t="s">
        <v>21</v>
      </c>
      <c r="F216" s="72">
        <f t="shared" si="142"/>
        <v>2.4016650182521457E-2</v>
      </c>
      <c r="G216" s="59">
        <f t="shared" si="143"/>
        <v>3.0782002790392653E-2</v>
      </c>
      <c r="H216" s="59">
        <f t="shared" si="144"/>
        <v>3.5378235228990654E-2</v>
      </c>
      <c r="I216" s="59">
        <f t="shared" si="145"/>
        <v>3.8446674531866155E-2</v>
      </c>
      <c r="J216" s="62">
        <f t="shared" si="146"/>
        <v>4.1717398125674182E-2</v>
      </c>
      <c r="K216" s="59" t="str">
        <f t="shared" si="147"/>
        <v/>
      </c>
      <c r="L216" s="59">
        <f t="shared" si="148"/>
        <v>3.1837189903926541E-3</v>
      </c>
      <c r="M216" s="59">
        <f t="shared" si="149"/>
        <v>7.2944352289906547E-3</v>
      </c>
      <c r="N216" s="59">
        <f t="shared" si="150"/>
        <v>9.5914561318661655E-3</v>
      </c>
      <c r="O216" s="62">
        <f t="shared" si="151"/>
        <v>1.1627073225674182E-2</v>
      </c>
      <c r="P216" s="54" t="s">
        <v>21</v>
      </c>
      <c r="Q216" s="52" t="s">
        <v>21</v>
      </c>
      <c r="R216" s="93" t="s">
        <v>21</v>
      </c>
      <c r="S216" s="70" t="s">
        <v>21</v>
      </c>
      <c r="T216" s="62" t="str">
        <f t="shared" si="141"/>
        <v/>
      </c>
      <c r="V216" s="113">
        <v>1.1305410599999999</v>
      </c>
      <c r="W216" s="71">
        <v>2.9358751000000001</v>
      </c>
      <c r="X216" s="71">
        <v>4.5790241900000002</v>
      </c>
      <c r="Y216" s="71">
        <v>6.0316747199999998</v>
      </c>
      <c r="Z216" s="114">
        <v>7.8987622200000001</v>
      </c>
      <c r="AB216" s="72">
        <v>2.4016650182521457E-2</v>
      </c>
      <c r="AC216" s="70">
        <v>3.0782002790392653E-2</v>
      </c>
      <c r="AD216" s="70">
        <v>3.5378235228990654E-2</v>
      </c>
      <c r="AE216" s="70">
        <v>3.8446674531866155E-2</v>
      </c>
      <c r="AF216" s="62">
        <v>4.1717398125674182E-2</v>
      </c>
      <c r="AG216" s="70" t="s">
        <v>21</v>
      </c>
      <c r="AH216" s="70">
        <v>3.1837189903926541E-3</v>
      </c>
      <c r="AI216" s="70">
        <v>7.2944352289906547E-3</v>
      </c>
      <c r="AJ216" s="70">
        <v>9.5914561318661655E-3</v>
      </c>
      <c r="AK216" s="62">
        <v>1.1627073225674182E-2</v>
      </c>
    </row>
    <row r="217" spans="2:37" s="52" customFormat="1" x14ac:dyDescent="0.35">
      <c r="B217" s="54" t="s">
        <v>360</v>
      </c>
      <c r="C217" s="52" t="s">
        <v>232</v>
      </c>
      <c r="D217" s="52" t="s">
        <v>20</v>
      </c>
      <c r="E217" s="52" t="s">
        <v>543</v>
      </c>
      <c r="F217" s="72">
        <f t="shared" si="142"/>
        <v>2.4110536447690109E-2</v>
      </c>
      <c r="G217" s="59">
        <f t="shared" si="143"/>
        <v>3.076854250178521E-2</v>
      </c>
      <c r="H217" s="59">
        <f t="shared" si="144"/>
        <v>3.5377425194128669E-2</v>
      </c>
      <c r="I217" s="59">
        <f t="shared" si="145"/>
        <v>3.8427578630261652E-2</v>
      </c>
      <c r="J217" s="62">
        <f t="shared" si="146"/>
        <v>4.1819001630260449E-2</v>
      </c>
      <c r="K217" s="59" t="str">
        <f t="shared" si="147"/>
        <v/>
      </c>
      <c r="L217" s="59">
        <f t="shared" si="148"/>
        <v>3.1708852017852036E-3</v>
      </c>
      <c r="M217" s="59">
        <f t="shared" si="149"/>
        <v>7.2937790941286721E-3</v>
      </c>
      <c r="N217" s="59">
        <f t="shared" si="150"/>
        <v>9.5733096302616522E-3</v>
      </c>
      <c r="O217" s="62">
        <f t="shared" si="151"/>
        <v>1.172544483026045E-2</v>
      </c>
      <c r="P217" s="54" t="s">
        <v>21</v>
      </c>
      <c r="Q217" s="52" t="s">
        <v>21</v>
      </c>
      <c r="R217" s="93" t="s">
        <v>21</v>
      </c>
      <c r="S217" s="70" t="s">
        <v>21</v>
      </c>
      <c r="T217" s="62" t="str">
        <f t="shared" si="141"/>
        <v/>
      </c>
      <c r="V217" s="113">
        <v>1.13035895</v>
      </c>
      <c r="W217" s="71">
        <v>2.9361866600000002</v>
      </c>
      <c r="X217" s="71">
        <v>4.5794890600000002</v>
      </c>
      <c r="Y217" s="71">
        <v>6.0320347500000002</v>
      </c>
      <c r="Z217" s="114">
        <v>7.8965541000000004</v>
      </c>
      <c r="AB217" s="72">
        <v>2.4110536447690109E-2</v>
      </c>
      <c r="AC217" s="70">
        <v>3.076854250178521E-2</v>
      </c>
      <c r="AD217" s="70">
        <v>3.5377425194128669E-2</v>
      </c>
      <c r="AE217" s="70">
        <v>3.8427578630261652E-2</v>
      </c>
      <c r="AF217" s="62">
        <v>4.1819001630260449E-2</v>
      </c>
      <c r="AG217" s="70" t="s">
        <v>21</v>
      </c>
      <c r="AH217" s="70">
        <v>3.1708852017852036E-3</v>
      </c>
      <c r="AI217" s="70">
        <v>7.2937790941286721E-3</v>
      </c>
      <c r="AJ217" s="70">
        <v>9.5733096302616522E-3</v>
      </c>
      <c r="AK217" s="62">
        <v>1.172544483026045E-2</v>
      </c>
    </row>
    <row r="218" spans="2:37" s="52" customFormat="1" x14ac:dyDescent="0.35">
      <c r="B218" s="54" t="s">
        <v>258</v>
      </c>
      <c r="C218" s="52" t="s">
        <v>232</v>
      </c>
      <c r="D218" s="52" t="s">
        <v>31</v>
      </c>
      <c r="E218" s="52" t="s">
        <v>21</v>
      </c>
      <c r="F218" s="72">
        <f t="shared" si="142"/>
        <v>2.4171768982450378E-2</v>
      </c>
      <c r="G218" s="59">
        <f t="shared" si="143"/>
        <v>3.0776777763719152E-2</v>
      </c>
      <c r="H218" s="59">
        <f t="shared" si="144"/>
        <v>3.5374199986146763E-2</v>
      </c>
      <c r="I218" s="59">
        <f t="shared" si="145"/>
        <v>3.8266640254410011E-2</v>
      </c>
      <c r="J218" s="62">
        <f t="shared" si="146"/>
        <v>4.1095251313961072E-2</v>
      </c>
      <c r="K218" s="59" t="str">
        <f t="shared" si="147"/>
        <v/>
      </c>
      <c r="L218" s="59">
        <f t="shared" si="148"/>
        <v>3.196530263719158E-3</v>
      </c>
      <c r="M218" s="59">
        <f t="shared" si="149"/>
        <v>7.3083744861467629E-3</v>
      </c>
      <c r="N218" s="59">
        <f t="shared" si="150"/>
        <v>9.435723554410011E-3</v>
      </c>
      <c r="O218" s="62">
        <f t="shared" si="151"/>
        <v>1.1038989813961076E-2</v>
      </c>
      <c r="P218" s="54" t="s">
        <v>544</v>
      </c>
      <c r="Q218" s="52" t="s">
        <v>545</v>
      </c>
      <c r="R218" s="93">
        <v>47517</v>
      </c>
      <c r="S218" s="70">
        <v>3.3535379999999997E-2</v>
      </c>
      <c r="T218" s="62">
        <f t="shared" si="141"/>
        <v>1.8388199861467669E-3</v>
      </c>
      <c r="V218" s="113">
        <v>1.13118312</v>
      </c>
      <c r="W218" s="71">
        <v>2.9408886700000001</v>
      </c>
      <c r="X218" s="71">
        <v>4.5898018399999998</v>
      </c>
      <c r="Y218" s="71">
        <v>6.0543039399999996</v>
      </c>
      <c r="Z218" s="114">
        <v>7.9549047499999999</v>
      </c>
      <c r="AB218" s="72">
        <v>2.4171768982450378E-2</v>
      </c>
      <c r="AC218" s="70">
        <v>3.0776777763719152E-2</v>
      </c>
      <c r="AD218" s="70">
        <v>3.5374199986146763E-2</v>
      </c>
      <c r="AE218" s="70">
        <v>3.8266640254410011E-2</v>
      </c>
      <c r="AF218" s="62">
        <v>4.1095251313961072E-2</v>
      </c>
      <c r="AG218" s="70" t="s">
        <v>21</v>
      </c>
      <c r="AH218" s="70">
        <v>3.196530263719158E-3</v>
      </c>
      <c r="AI218" s="70">
        <v>7.3083744861467629E-3</v>
      </c>
      <c r="AJ218" s="70">
        <v>9.435723554410011E-3</v>
      </c>
      <c r="AK218" s="62">
        <v>1.1038989813961076E-2</v>
      </c>
    </row>
    <row r="219" spans="2:37" s="52" customFormat="1" x14ac:dyDescent="0.35">
      <c r="B219" s="54" t="s">
        <v>344</v>
      </c>
      <c r="C219" s="52" t="s">
        <v>232</v>
      </c>
      <c r="D219" s="52" t="s">
        <v>97</v>
      </c>
      <c r="E219" s="52" t="s">
        <v>225</v>
      </c>
      <c r="F219" s="72">
        <f t="shared" si="142"/>
        <v>2.3929711672369548E-2</v>
      </c>
      <c r="G219" s="59">
        <f t="shared" si="143"/>
        <v>3.0958528529531647E-2</v>
      </c>
      <c r="H219" s="59">
        <f t="shared" si="144"/>
        <v>3.5326870838108697E-2</v>
      </c>
      <c r="I219" s="59">
        <f t="shared" si="145"/>
        <v>3.8612609516660588E-2</v>
      </c>
      <c r="J219" s="62">
        <f t="shared" si="146"/>
        <v>4.1973867393419684E-2</v>
      </c>
      <c r="K219" s="59" t="str">
        <f t="shared" si="147"/>
        <v/>
      </c>
      <c r="L219" s="59">
        <f t="shared" si="148"/>
        <v>3.3718933295316398E-3</v>
      </c>
      <c r="M219" s="59">
        <f t="shared" si="149"/>
        <v>7.2623294381087E-3</v>
      </c>
      <c r="N219" s="59">
        <f t="shared" si="150"/>
        <v>9.7692318166605965E-3</v>
      </c>
      <c r="O219" s="62">
        <f t="shared" si="151"/>
        <v>1.1890977093419686E-2</v>
      </c>
      <c r="P219" s="54" t="s">
        <v>21</v>
      </c>
      <c r="Q219" s="52" t="s">
        <v>21</v>
      </c>
      <c r="R219" s="93" t="s">
        <v>21</v>
      </c>
      <c r="S219" s="70" t="s">
        <v>21</v>
      </c>
      <c r="T219" s="62" t="str">
        <f t="shared" si="141"/>
        <v/>
      </c>
      <c r="V219" s="113">
        <v>1.1316638400000001</v>
      </c>
      <c r="W219" s="71">
        <v>2.9405809000000001</v>
      </c>
      <c r="X219" s="71">
        <v>4.5895425699999999</v>
      </c>
      <c r="Y219" s="71">
        <v>6.0492803100000003</v>
      </c>
      <c r="Z219" s="114">
        <v>7.9255502699999996</v>
      </c>
      <c r="AB219" s="72">
        <v>2.3929711672369548E-2</v>
      </c>
      <c r="AC219" s="70">
        <v>3.0958528529531647E-2</v>
      </c>
      <c r="AD219" s="70">
        <v>3.5326870838108697E-2</v>
      </c>
      <c r="AE219" s="70">
        <v>3.8612609516660588E-2</v>
      </c>
      <c r="AF219" s="62">
        <v>4.1973867393419684E-2</v>
      </c>
      <c r="AG219" s="70" t="s">
        <v>21</v>
      </c>
      <c r="AH219" s="70">
        <v>3.3718933295316398E-3</v>
      </c>
      <c r="AI219" s="70">
        <v>7.2623294381087E-3</v>
      </c>
      <c r="AJ219" s="70">
        <v>9.7692318166605965E-3</v>
      </c>
      <c r="AK219" s="62">
        <v>1.1890977093419686E-2</v>
      </c>
    </row>
    <row r="220" spans="2:37" s="52" customFormat="1" x14ac:dyDescent="0.35">
      <c r="B220" s="54" t="s">
        <v>353</v>
      </c>
      <c r="C220" s="52" t="s">
        <v>232</v>
      </c>
      <c r="D220" s="52" t="s">
        <v>31</v>
      </c>
      <c r="E220" s="52" t="s">
        <v>546</v>
      </c>
      <c r="F220" s="72">
        <f t="shared" si="142"/>
        <v>2.3875390637688568E-2</v>
      </c>
      <c r="G220" s="59">
        <f t="shared" si="143"/>
        <v>3.0737111991379629E-2</v>
      </c>
      <c r="H220" s="59">
        <f t="shared" si="144"/>
        <v>3.532460218066312E-2</v>
      </c>
      <c r="I220" s="59">
        <f t="shared" si="145"/>
        <v>3.8462685740138412E-2</v>
      </c>
      <c r="J220" s="62">
        <f t="shared" si="146"/>
        <v>4.1966810708959162E-2</v>
      </c>
      <c r="K220" s="59" t="str">
        <f t="shared" si="147"/>
        <v/>
      </c>
      <c r="L220" s="59">
        <f t="shared" si="148"/>
        <v>3.1579270913796339E-3</v>
      </c>
      <c r="M220" s="59">
        <f t="shared" si="149"/>
        <v>7.2603400806631226E-3</v>
      </c>
      <c r="N220" s="59">
        <f t="shared" si="150"/>
        <v>9.6250178401384133E-3</v>
      </c>
      <c r="O220" s="62">
        <f t="shared" si="151"/>
        <v>1.1883963008959161E-2</v>
      </c>
      <c r="P220" s="54" t="s">
        <v>21</v>
      </c>
      <c r="Q220" s="52" t="s">
        <v>21</v>
      </c>
      <c r="R220" s="93" t="s">
        <v>21</v>
      </c>
      <c r="S220" s="70" t="s">
        <v>21</v>
      </c>
      <c r="T220" s="62" t="str">
        <f t="shared" si="141"/>
        <v/>
      </c>
      <c r="V220" s="113">
        <v>1.1317634700000001</v>
      </c>
      <c r="W220" s="71">
        <v>2.9421922700000001</v>
      </c>
      <c r="X220" s="71">
        <v>4.5916720499999997</v>
      </c>
      <c r="Y220" s="71">
        <v>6.0533797799999993</v>
      </c>
      <c r="Z220" s="114">
        <v>7.9307106300000001</v>
      </c>
      <c r="AB220" s="72">
        <v>2.3875390637688568E-2</v>
      </c>
      <c r="AC220" s="70">
        <v>3.0737111991379629E-2</v>
      </c>
      <c r="AD220" s="70">
        <v>3.532460218066312E-2</v>
      </c>
      <c r="AE220" s="70">
        <v>3.8462685740138412E-2</v>
      </c>
      <c r="AF220" s="62">
        <v>4.1966810708959162E-2</v>
      </c>
      <c r="AG220" s="70" t="s">
        <v>21</v>
      </c>
      <c r="AH220" s="70">
        <v>3.1579270913796339E-3</v>
      </c>
      <c r="AI220" s="70">
        <v>7.2603400806631226E-3</v>
      </c>
      <c r="AJ220" s="70">
        <v>9.6250178401384133E-3</v>
      </c>
      <c r="AK220" s="62">
        <v>1.1883963008959161E-2</v>
      </c>
    </row>
    <row r="221" spans="2:37" s="52" customFormat="1" x14ac:dyDescent="0.35">
      <c r="B221" s="54" t="s">
        <v>361</v>
      </c>
      <c r="C221" s="52" t="s">
        <v>232</v>
      </c>
      <c r="D221" s="52" t="s">
        <v>304</v>
      </c>
      <c r="E221" s="52" t="s">
        <v>21</v>
      </c>
      <c r="F221" s="72">
        <f t="shared" si="142"/>
        <v>2.4037706585251405E-2</v>
      </c>
      <c r="G221" s="59">
        <f t="shared" si="143"/>
        <v>3.0771244740625866E-2</v>
      </c>
      <c r="H221" s="59">
        <f t="shared" si="144"/>
        <v>3.5273893522021385E-2</v>
      </c>
      <c r="I221" s="59">
        <f t="shared" si="145"/>
        <v>3.8266622281399119E-2</v>
      </c>
      <c r="J221" s="62">
        <f t="shared" si="146"/>
        <v>4.1336250903912519E-2</v>
      </c>
      <c r="K221" s="59" t="str">
        <f t="shared" si="147"/>
        <v/>
      </c>
      <c r="L221" s="59">
        <f t="shared" si="148"/>
        <v>3.1903866406258617E-3</v>
      </c>
      <c r="M221" s="59">
        <f t="shared" si="149"/>
        <v>7.2108348220213808E-3</v>
      </c>
      <c r="N221" s="59">
        <f t="shared" si="150"/>
        <v>9.4351772813991187E-3</v>
      </c>
      <c r="O221" s="62">
        <f t="shared" si="151"/>
        <v>1.1272278603912516E-2</v>
      </c>
      <c r="P221" s="54" t="s">
        <v>21</v>
      </c>
      <c r="Q221" s="52" t="s">
        <v>21</v>
      </c>
      <c r="R221" s="93" t="s">
        <v>21</v>
      </c>
      <c r="S221" s="70" t="s">
        <v>21</v>
      </c>
      <c r="T221" s="62" t="str">
        <f t="shared" si="141"/>
        <v/>
      </c>
      <c r="V221" s="113">
        <v>1.13145984</v>
      </c>
      <c r="W221" s="71">
        <v>2.9414305299999999</v>
      </c>
      <c r="X221" s="71">
        <v>4.5914107500000005</v>
      </c>
      <c r="Y221" s="71">
        <v>6.0561934400000004</v>
      </c>
      <c r="Z221" s="114">
        <v>7.9506112500000006</v>
      </c>
      <c r="AB221" s="72">
        <v>2.4037706585251405E-2</v>
      </c>
      <c r="AC221" s="70">
        <v>3.0771244740625866E-2</v>
      </c>
      <c r="AD221" s="70">
        <v>3.5273893522021385E-2</v>
      </c>
      <c r="AE221" s="70">
        <v>3.8266622281399119E-2</v>
      </c>
      <c r="AF221" s="62">
        <v>4.1336250903912519E-2</v>
      </c>
      <c r="AG221" s="70" t="s">
        <v>21</v>
      </c>
      <c r="AH221" s="70">
        <v>3.1903866406258617E-3</v>
      </c>
      <c r="AI221" s="70">
        <v>7.2108348220213808E-3</v>
      </c>
      <c r="AJ221" s="70">
        <v>9.4351772813991187E-3</v>
      </c>
      <c r="AK221" s="62">
        <v>1.1272278603912516E-2</v>
      </c>
    </row>
    <row r="222" spans="2:37" s="52" customFormat="1" x14ac:dyDescent="0.35">
      <c r="B222" s="54" t="s">
        <v>346</v>
      </c>
      <c r="C222" s="52" t="s">
        <v>232</v>
      </c>
      <c r="D222" s="52" t="s">
        <v>97</v>
      </c>
      <c r="E222" s="52" t="s">
        <v>21</v>
      </c>
      <c r="F222" s="72">
        <f t="shared" si="142"/>
        <v>2.4043674136558207E-2</v>
      </c>
      <c r="G222" s="59">
        <f t="shared" si="143"/>
        <v>3.0781002356631195E-2</v>
      </c>
      <c r="H222" s="59">
        <f t="shared" si="144"/>
        <v>3.5273386867218086E-2</v>
      </c>
      <c r="I222" s="59">
        <f t="shared" si="145"/>
        <v>3.8118950226940986E-2</v>
      </c>
      <c r="J222" s="62">
        <f t="shared" si="146"/>
        <v>4.1717663311241451E-2</v>
      </c>
      <c r="K222" s="59" t="str">
        <f t="shared" si="147"/>
        <v/>
      </c>
      <c r="L222" s="59">
        <f t="shared" si="148"/>
        <v>3.2000908566311996E-3</v>
      </c>
      <c r="M222" s="59">
        <f t="shared" si="149"/>
        <v>7.2105240672180951E-3</v>
      </c>
      <c r="N222" s="59">
        <f t="shared" si="150"/>
        <v>9.2926999269409873E-3</v>
      </c>
      <c r="O222" s="62">
        <f t="shared" si="151"/>
        <v>1.1640466911241446E-2</v>
      </c>
      <c r="P222" s="54" t="s">
        <v>21</v>
      </c>
      <c r="Q222" s="52" t="s">
        <v>21</v>
      </c>
      <c r="R222" s="93" t="s">
        <v>21</v>
      </c>
      <c r="S222" s="70" t="s">
        <v>21</v>
      </c>
      <c r="T222" s="62" t="str">
        <f t="shared" si="141"/>
        <v/>
      </c>
      <c r="V222" s="113">
        <v>1.1314428600000002</v>
      </c>
      <c r="W222" s="71">
        <v>2.94133405</v>
      </c>
      <c r="X222" s="71">
        <v>4.5912925200000005</v>
      </c>
      <c r="Y222" s="71">
        <v>6.05822971</v>
      </c>
      <c r="Z222" s="114">
        <v>7.9444576099999997</v>
      </c>
      <c r="AB222" s="72">
        <v>2.4043674136558207E-2</v>
      </c>
      <c r="AC222" s="70">
        <v>3.0781002356631195E-2</v>
      </c>
      <c r="AD222" s="70">
        <v>3.5273386867218086E-2</v>
      </c>
      <c r="AE222" s="70">
        <v>3.8118950226940986E-2</v>
      </c>
      <c r="AF222" s="62">
        <v>4.1717663311241451E-2</v>
      </c>
      <c r="AG222" s="70" t="s">
        <v>21</v>
      </c>
      <c r="AH222" s="70">
        <v>3.2000908566311996E-3</v>
      </c>
      <c r="AI222" s="70">
        <v>7.2105240672180951E-3</v>
      </c>
      <c r="AJ222" s="70">
        <v>9.2926999269409873E-3</v>
      </c>
      <c r="AK222" s="62">
        <v>1.1640466911241446E-2</v>
      </c>
    </row>
    <row r="223" spans="2:37" s="52" customFormat="1" x14ac:dyDescent="0.35">
      <c r="B223" s="54" t="s">
        <v>250</v>
      </c>
      <c r="C223" s="52" t="s">
        <v>232</v>
      </c>
      <c r="D223" s="52" t="s">
        <v>43</v>
      </c>
      <c r="E223" s="52" t="s">
        <v>123</v>
      </c>
      <c r="F223" s="72">
        <f t="shared" si="142"/>
        <v>2.4143824273598912E-2</v>
      </c>
      <c r="G223" s="59">
        <f t="shared" si="143"/>
        <v>3.0729022078965995E-2</v>
      </c>
      <c r="H223" s="59">
        <f t="shared" si="144"/>
        <v>3.5218986784516564E-2</v>
      </c>
      <c r="I223" s="59">
        <f t="shared" si="145"/>
        <v>3.8410353967655103E-2</v>
      </c>
      <c r="J223" s="62">
        <f t="shared" si="146"/>
        <v>4.1962683912842587E-2</v>
      </c>
      <c r="K223" s="59" t="str">
        <f t="shared" si="147"/>
        <v/>
      </c>
      <c r="L223" s="59">
        <f t="shared" si="148"/>
        <v>3.1507352789659944E-3</v>
      </c>
      <c r="M223" s="59">
        <f t="shared" si="149"/>
        <v>7.1585135845165741E-3</v>
      </c>
      <c r="N223" s="59">
        <f t="shared" si="150"/>
        <v>9.5744916676551006E-3</v>
      </c>
      <c r="O223" s="62">
        <f t="shared" si="151"/>
        <v>1.1879805712842591E-2</v>
      </c>
      <c r="P223" s="54" t="s">
        <v>21</v>
      </c>
      <c r="Q223" s="52" t="s">
        <v>21</v>
      </c>
      <c r="R223" s="93" t="s">
        <v>21</v>
      </c>
      <c r="S223" s="70" t="s">
        <v>21</v>
      </c>
      <c r="T223" s="62" t="str">
        <f t="shared" si="141"/>
        <v/>
      </c>
      <c r="V223" s="113">
        <v>1.13122864</v>
      </c>
      <c r="W223" s="71">
        <v>2.9412757200000001</v>
      </c>
      <c r="X223" s="71">
        <v>4.5919276099999999</v>
      </c>
      <c r="Y223" s="71">
        <v>6.05474288</v>
      </c>
      <c r="Z223" s="114">
        <v>7.9324180599999998</v>
      </c>
      <c r="AB223" s="72">
        <v>2.4143824273598912E-2</v>
      </c>
      <c r="AC223" s="70">
        <v>3.0729022078965995E-2</v>
      </c>
      <c r="AD223" s="70">
        <v>3.5218986784516564E-2</v>
      </c>
      <c r="AE223" s="70">
        <v>3.8410353967655103E-2</v>
      </c>
      <c r="AF223" s="62">
        <v>4.1962683912842587E-2</v>
      </c>
      <c r="AG223" s="70" t="s">
        <v>21</v>
      </c>
      <c r="AH223" s="70">
        <v>3.1507352789659944E-3</v>
      </c>
      <c r="AI223" s="70">
        <v>7.1585135845165741E-3</v>
      </c>
      <c r="AJ223" s="70">
        <v>9.5744916676551006E-3</v>
      </c>
      <c r="AK223" s="62">
        <v>1.1879805712842591E-2</v>
      </c>
    </row>
    <row r="224" spans="2:37" s="52" customFormat="1" x14ac:dyDescent="0.35">
      <c r="B224" s="54" t="s">
        <v>259</v>
      </c>
      <c r="C224" s="52" t="s">
        <v>232</v>
      </c>
      <c r="D224" s="52" t="s">
        <v>31</v>
      </c>
      <c r="E224" s="52" t="s">
        <v>36</v>
      </c>
      <c r="F224" s="72">
        <f t="shared" si="142"/>
        <v>2.415069595921028E-2</v>
      </c>
      <c r="G224" s="59">
        <f t="shared" si="143"/>
        <v>3.0724829489278349E-2</v>
      </c>
      <c r="H224" s="59">
        <f t="shared" si="144"/>
        <v>3.5171177133817462E-2</v>
      </c>
      <c r="I224" s="59">
        <f t="shared" si="145"/>
        <v>3.8117736914763875E-2</v>
      </c>
      <c r="J224" s="62">
        <f t="shared" si="146"/>
        <v>4.1571734905154818E-2</v>
      </c>
      <c r="K224" s="59" t="str">
        <f t="shared" si="147"/>
        <v/>
      </c>
      <c r="L224" s="59">
        <f t="shared" si="148"/>
        <v>3.144982789278352E-3</v>
      </c>
      <c r="M224" s="59">
        <f t="shared" si="149"/>
        <v>7.1110777338174707E-3</v>
      </c>
      <c r="N224" s="59">
        <f t="shared" si="150"/>
        <v>9.290918514763883E-3</v>
      </c>
      <c r="O224" s="62">
        <f t="shared" si="151"/>
        <v>1.149913280515482E-2</v>
      </c>
      <c r="P224" s="54" t="s">
        <v>547</v>
      </c>
      <c r="Q224" s="52" t="s">
        <v>548</v>
      </c>
      <c r="R224" s="93">
        <v>47660</v>
      </c>
      <c r="S224" s="70">
        <v>3.3705189999999996E-2</v>
      </c>
      <c r="T224" s="62">
        <f t="shared" si="141"/>
        <v>1.465987133817466E-3</v>
      </c>
      <c r="V224" s="113">
        <v>1.1312502900000001</v>
      </c>
      <c r="W224" s="71">
        <v>2.9413592499999996</v>
      </c>
      <c r="X224" s="71">
        <v>4.5925653899999999</v>
      </c>
      <c r="Y224" s="71">
        <v>6.0598092299999999</v>
      </c>
      <c r="Z224" s="114">
        <v>7.9493934200000007</v>
      </c>
      <c r="AB224" s="72">
        <v>2.415069595921028E-2</v>
      </c>
      <c r="AC224" s="70">
        <v>3.0724829489278349E-2</v>
      </c>
      <c r="AD224" s="70">
        <v>3.5171177133817462E-2</v>
      </c>
      <c r="AE224" s="70">
        <v>3.8117736914763875E-2</v>
      </c>
      <c r="AF224" s="62">
        <v>4.1571734905154818E-2</v>
      </c>
      <c r="AG224" s="70" t="s">
        <v>21</v>
      </c>
      <c r="AH224" s="70">
        <v>3.144982789278352E-3</v>
      </c>
      <c r="AI224" s="70">
        <v>7.1110777338174707E-3</v>
      </c>
      <c r="AJ224" s="70">
        <v>9.290918514763883E-3</v>
      </c>
      <c r="AK224" s="62">
        <v>1.149913280515482E-2</v>
      </c>
    </row>
    <row r="225" spans="2:37" s="52" customFormat="1" x14ac:dyDescent="0.35">
      <c r="B225" s="54" t="s">
        <v>248</v>
      </c>
      <c r="C225" s="52" t="s">
        <v>232</v>
      </c>
      <c r="D225" s="52" t="s">
        <v>97</v>
      </c>
      <c r="E225" s="52" t="s">
        <v>159</v>
      </c>
      <c r="F225" s="72">
        <f t="shared" si="142"/>
        <v>2.4199242462301495E-2</v>
      </c>
      <c r="G225" s="59">
        <f t="shared" si="143"/>
        <v>3.0743184981449709E-2</v>
      </c>
      <c r="H225" s="59">
        <f t="shared" si="144"/>
        <v>3.5170139406503015E-2</v>
      </c>
      <c r="I225" s="59">
        <f t="shared" si="145"/>
        <v>3.806799240223737E-2</v>
      </c>
      <c r="J225" s="62">
        <f t="shared" si="146"/>
        <v>4.1522043850024871E-2</v>
      </c>
      <c r="K225" s="59" t="str">
        <f t="shared" si="147"/>
        <v/>
      </c>
      <c r="L225" s="59">
        <f t="shared" si="148"/>
        <v>3.1631778814497128E-3</v>
      </c>
      <c r="M225" s="59">
        <f t="shared" si="149"/>
        <v>7.1103564065030204E-3</v>
      </c>
      <c r="N225" s="59">
        <f t="shared" si="150"/>
        <v>9.2430519022373668E-3</v>
      </c>
      <c r="O225" s="62">
        <f t="shared" si="151"/>
        <v>1.1450826450024869E-2</v>
      </c>
      <c r="P225" s="54" t="s">
        <v>549</v>
      </c>
      <c r="Q225" s="52" t="s">
        <v>550</v>
      </c>
      <c r="R225" s="93">
        <v>47551</v>
      </c>
      <c r="S225" s="70">
        <v>3.184331E-2</v>
      </c>
      <c r="T225" s="62">
        <f t="shared" si="141"/>
        <v>3.3268294065030152E-3</v>
      </c>
      <c r="V225" s="113">
        <v>1.1311471199999998</v>
      </c>
      <c r="W225" s="71">
        <v>2.9410502000000003</v>
      </c>
      <c r="X225" s="71">
        <v>4.5922243800000002</v>
      </c>
      <c r="Y225" s="71">
        <v>6.0602130999999995</v>
      </c>
      <c r="Z225" s="114">
        <v>7.9514499399999998</v>
      </c>
      <c r="AB225" s="72">
        <v>2.4199242462301495E-2</v>
      </c>
      <c r="AC225" s="70">
        <v>3.0743184981449709E-2</v>
      </c>
      <c r="AD225" s="70">
        <v>3.5170139406503015E-2</v>
      </c>
      <c r="AE225" s="70">
        <v>3.806799240223737E-2</v>
      </c>
      <c r="AF225" s="62">
        <v>4.1522043850024871E-2</v>
      </c>
      <c r="AG225" s="70" t="s">
        <v>21</v>
      </c>
      <c r="AH225" s="70">
        <v>3.1631778814497128E-3</v>
      </c>
      <c r="AI225" s="70">
        <v>7.1103564065030204E-3</v>
      </c>
      <c r="AJ225" s="70">
        <v>9.2430519022373668E-3</v>
      </c>
      <c r="AK225" s="62">
        <v>1.1450826450024869E-2</v>
      </c>
    </row>
    <row r="226" spans="2:37" s="52" customFormat="1" x14ac:dyDescent="0.35">
      <c r="B226" s="54" t="s">
        <v>245</v>
      </c>
      <c r="C226" s="52" t="s">
        <v>232</v>
      </c>
      <c r="D226" s="52" t="s">
        <v>20</v>
      </c>
      <c r="E226" s="52" t="s">
        <v>21</v>
      </c>
      <c r="F226" s="72">
        <f t="shared" si="142"/>
        <v>2.4044315829827016E-2</v>
      </c>
      <c r="G226" s="59">
        <f t="shared" si="143"/>
        <v>3.0742933833521748E-2</v>
      </c>
      <c r="H226" s="59">
        <f t="shared" si="144"/>
        <v>3.5046868342428886E-2</v>
      </c>
      <c r="I226" s="59">
        <f t="shared" si="145"/>
        <v>3.8041724164744765E-2</v>
      </c>
      <c r="J226" s="62">
        <f t="shared" si="146"/>
        <v>4.1309335068297592E-2</v>
      </c>
      <c r="K226" s="59" t="str">
        <f t="shared" si="147"/>
        <v/>
      </c>
      <c r="L226" s="59">
        <f t="shared" si="148"/>
        <v>3.1464364335217479E-3</v>
      </c>
      <c r="M226" s="59">
        <f t="shared" si="149"/>
        <v>6.9747361424288912E-3</v>
      </c>
      <c r="N226" s="59">
        <f t="shared" si="150"/>
        <v>9.2012899647447646E-3</v>
      </c>
      <c r="O226" s="62">
        <f t="shared" si="151"/>
        <v>1.1231799268297588E-2</v>
      </c>
      <c r="P226" s="54" t="s">
        <v>246</v>
      </c>
      <c r="Q226" s="52" t="s">
        <v>247</v>
      </c>
      <c r="R226" s="93">
        <v>47543</v>
      </c>
      <c r="S226" s="70">
        <v>3.267929E-2</v>
      </c>
      <c r="T226" s="62">
        <f t="shared" si="141"/>
        <v>2.367578342428886E-3</v>
      </c>
      <c r="V226" s="113">
        <v>1.13049069</v>
      </c>
      <c r="W226" s="71">
        <v>2.9370288200000001</v>
      </c>
      <c r="X226" s="71">
        <v>4.58330211</v>
      </c>
      <c r="Y226" s="71">
        <v>6.0430584899999999</v>
      </c>
      <c r="Z226" s="114">
        <v>7.9232755899999994</v>
      </c>
      <c r="AB226" s="72">
        <v>2.4044315829827016E-2</v>
      </c>
      <c r="AC226" s="70">
        <v>3.0742933833521748E-2</v>
      </c>
      <c r="AD226" s="70">
        <v>3.5046868342428886E-2</v>
      </c>
      <c r="AE226" s="70">
        <v>3.8041724164744765E-2</v>
      </c>
      <c r="AF226" s="62">
        <v>4.1309335068297592E-2</v>
      </c>
      <c r="AG226" s="70" t="s">
        <v>21</v>
      </c>
      <c r="AH226" s="70">
        <v>3.1464364335217479E-3</v>
      </c>
      <c r="AI226" s="70">
        <v>6.9747361424288912E-3</v>
      </c>
      <c r="AJ226" s="70">
        <v>9.2012899647447646E-3</v>
      </c>
      <c r="AK226" s="62">
        <v>1.1231799268297588E-2</v>
      </c>
    </row>
    <row r="227" spans="2:37" s="52" customFormat="1" x14ac:dyDescent="0.35">
      <c r="B227" s="54" t="s">
        <v>350</v>
      </c>
      <c r="C227" s="52" t="s">
        <v>232</v>
      </c>
      <c r="D227" s="52" t="s">
        <v>20</v>
      </c>
      <c r="E227" s="52" t="s">
        <v>21</v>
      </c>
      <c r="F227" s="72">
        <f t="shared" si="142"/>
        <v>2.3681957395092559E-2</v>
      </c>
      <c r="G227" s="59">
        <f t="shared" si="143"/>
        <v>3.033444508565292E-2</v>
      </c>
      <c r="H227" s="59">
        <f t="shared" si="144"/>
        <v>3.4957938459026901E-2</v>
      </c>
      <c r="I227" s="59">
        <f t="shared" si="145"/>
        <v>3.7958623979798892E-2</v>
      </c>
      <c r="J227" s="62">
        <f t="shared" si="146"/>
        <v>4.0860562134494245E-2</v>
      </c>
      <c r="K227" s="59" t="str">
        <f t="shared" si="147"/>
        <v/>
      </c>
      <c r="L227" s="59">
        <f t="shared" si="148"/>
        <v>2.7534568856529139E-3</v>
      </c>
      <c r="M227" s="59">
        <f t="shared" si="149"/>
        <v>6.8901848590269058E-3</v>
      </c>
      <c r="N227" s="59">
        <f t="shared" si="150"/>
        <v>9.1222032797988895E-3</v>
      </c>
      <c r="O227" s="62">
        <f t="shared" si="151"/>
        <v>1.0798417834494246E-2</v>
      </c>
      <c r="P227" s="54" t="s">
        <v>391</v>
      </c>
      <c r="Q227" s="52" t="s">
        <v>392</v>
      </c>
      <c r="R227" s="93">
        <v>47802</v>
      </c>
      <c r="S227" s="70">
        <v>3.382785E-2</v>
      </c>
      <c r="T227" s="62">
        <f t="shared" si="141"/>
        <v>1.1300884590269011E-3</v>
      </c>
      <c r="V227" s="113">
        <v>1.1311580400000001</v>
      </c>
      <c r="W227" s="71">
        <v>2.94050097</v>
      </c>
      <c r="X227" s="71">
        <v>4.5883320799999998</v>
      </c>
      <c r="Y227" s="71">
        <v>6.0488548599999996</v>
      </c>
      <c r="Z227" s="114">
        <v>7.9398231499999996</v>
      </c>
      <c r="AB227" s="72">
        <v>2.3681957395092559E-2</v>
      </c>
      <c r="AC227" s="70">
        <v>3.033444508565292E-2</v>
      </c>
      <c r="AD227" s="70">
        <v>3.4957938459026901E-2</v>
      </c>
      <c r="AE227" s="70">
        <v>3.7958623979798892E-2</v>
      </c>
      <c r="AF227" s="62">
        <v>4.0860562134494245E-2</v>
      </c>
      <c r="AG227" s="70" t="s">
        <v>21</v>
      </c>
      <c r="AH227" s="70">
        <v>2.7534568856529139E-3</v>
      </c>
      <c r="AI227" s="70">
        <v>6.8901848590269058E-3</v>
      </c>
      <c r="AJ227" s="70">
        <v>9.1222032797988895E-3</v>
      </c>
      <c r="AK227" s="62">
        <v>1.0798417834494246E-2</v>
      </c>
    </row>
    <row r="228" spans="2:37" s="52" customFormat="1" x14ac:dyDescent="0.35">
      <c r="B228" s="54" t="s">
        <v>254</v>
      </c>
      <c r="C228" s="52" t="s">
        <v>232</v>
      </c>
      <c r="D228" s="52" t="s">
        <v>255</v>
      </c>
      <c r="E228" s="52" t="s">
        <v>103</v>
      </c>
      <c r="F228" s="72">
        <f t="shared" si="142"/>
        <v>2.4122255976432215E-2</v>
      </c>
      <c r="G228" s="59">
        <f t="shared" si="143"/>
        <v>3.0384422119220898E-2</v>
      </c>
      <c r="H228" s="59">
        <f t="shared" si="144"/>
        <v>3.4755242078390626E-2</v>
      </c>
      <c r="I228" s="59">
        <f t="shared" si="145"/>
        <v>3.7860856394871557E-2</v>
      </c>
      <c r="J228" s="62">
        <f t="shared" si="146"/>
        <v>4.1312409282057434E-2</v>
      </c>
      <c r="K228" s="59" t="str">
        <f t="shared" si="147"/>
        <v/>
      </c>
      <c r="L228" s="59">
        <f t="shared" si="148"/>
        <v>2.8164245192209047E-3</v>
      </c>
      <c r="M228" s="59">
        <f t="shared" si="149"/>
        <v>6.7091088783906277E-3</v>
      </c>
      <c r="N228" s="59">
        <f t="shared" si="150"/>
        <v>9.0429527948715539E-3</v>
      </c>
      <c r="O228" s="62">
        <f t="shared" si="151"/>
        <v>1.1248470882057424E-2</v>
      </c>
      <c r="P228" s="54" t="s">
        <v>551</v>
      </c>
      <c r="Q228" s="52" t="s">
        <v>552</v>
      </c>
      <c r="R228" s="93" t="s">
        <v>32</v>
      </c>
      <c r="S228" s="70">
        <v>3.2300280000000001E-2</v>
      </c>
      <c r="T228" s="62">
        <f t="shared" si="141"/>
        <v>2.4549620783906254E-3</v>
      </c>
      <c r="V228" s="113">
        <v>1.1312847100000001</v>
      </c>
      <c r="W228" s="71">
        <v>2.9436184500000002</v>
      </c>
      <c r="X228" s="71">
        <v>4.5999954799999996</v>
      </c>
      <c r="Y228" s="71">
        <v>6.0718945400000006</v>
      </c>
      <c r="Z228" s="114">
        <v>7.9685711599999998</v>
      </c>
      <c r="AB228" s="72">
        <v>2.4122255976432215E-2</v>
      </c>
      <c r="AC228" s="70">
        <v>3.0384422119220898E-2</v>
      </c>
      <c r="AD228" s="70">
        <v>3.4755242078390626E-2</v>
      </c>
      <c r="AE228" s="70">
        <v>3.7860856394871557E-2</v>
      </c>
      <c r="AF228" s="62">
        <v>4.1312409282057434E-2</v>
      </c>
      <c r="AG228" s="70" t="s">
        <v>21</v>
      </c>
      <c r="AH228" s="70">
        <v>2.8164245192209047E-3</v>
      </c>
      <c r="AI228" s="70">
        <v>6.7091088783906277E-3</v>
      </c>
      <c r="AJ228" s="70">
        <v>9.0429527948715539E-3</v>
      </c>
      <c r="AK228" s="62">
        <v>1.1248470882057424E-2</v>
      </c>
    </row>
    <row r="229" spans="2:37" s="52" customFormat="1" x14ac:dyDescent="0.35">
      <c r="B229" s="54" t="s">
        <v>156</v>
      </c>
      <c r="C229" s="52" t="s">
        <v>232</v>
      </c>
      <c r="D229" s="52" t="s">
        <v>31</v>
      </c>
      <c r="E229" s="52" t="s">
        <v>553</v>
      </c>
      <c r="F229" s="72">
        <f t="shared" si="142"/>
        <v>2.3794180530561305E-2</v>
      </c>
      <c r="G229" s="59">
        <f t="shared" si="143"/>
        <v>3.0266190979804739E-2</v>
      </c>
      <c r="H229" s="59">
        <f t="shared" si="144"/>
        <v>3.4707275684048071E-2</v>
      </c>
      <c r="I229" s="59">
        <f t="shared" si="145"/>
        <v>3.7714021269405373E-2</v>
      </c>
      <c r="J229" s="62">
        <f t="shared" si="146"/>
        <v>4.1163468402299258E-2</v>
      </c>
      <c r="K229" s="59" t="str">
        <f t="shared" si="147"/>
        <v/>
      </c>
      <c r="L229" s="59">
        <f t="shared" si="148"/>
        <v>2.7007959798047354E-3</v>
      </c>
      <c r="M229" s="59">
        <f t="shared" si="149"/>
        <v>6.6619781840480769E-3</v>
      </c>
      <c r="N229" s="59">
        <f t="shared" si="150"/>
        <v>8.900689169405375E-3</v>
      </c>
      <c r="O229" s="62">
        <f t="shared" si="151"/>
        <v>1.1103550502299253E-2</v>
      </c>
      <c r="P229" s="54" t="s">
        <v>21</v>
      </c>
      <c r="Q229" s="52" t="s">
        <v>21</v>
      </c>
      <c r="R229" s="93" t="s">
        <v>21</v>
      </c>
      <c r="S229" s="70" t="s">
        <v>21</v>
      </c>
      <c r="T229" s="62" t="str">
        <f t="shared" si="141"/>
        <v/>
      </c>
      <c r="V229" s="113">
        <v>1.1319456800000001</v>
      </c>
      <c r="W229" s="71">
        <v>2.9455884299999999</v>
      </c>
      <c r="X229" s="71">
        <v>4.6027159700000002</v>
      </c>
      <c r="Y229" s="71">
        <v>6.0767547200000003</v>
      </c>
      <c r="Z229" s="114">
        <v>7.9779788399999996</v>
      </c>
      <c r="AB229" s="72">
        <v>2.3794180530561305E-2</v>
      </c>
      <c r="AC229" s="70">
        <v>3.0266190979804739E-2</v>
      </c>
      <c r="AD229" s="70">
        <v>3.4707275684048071E-2</v>
      </c>
      <c r="AE229" s="70">
        <v>3.7714021269405373E-2</v>
      </c>
      <c r="AF229" s="62">
        <v>4.1163468402299258E-2</v>
      </c>
      <c r="AG229" s="70" t="s">
        <v>21</v>
      </c>
      <c r="AH229" s="70">
        <v>2.7007959798047354E-3</v>
      </c>
      <c r="AI229" s="70">
        <v>6.6619781840480769E-3</v>
      </c>
      <c r="AJ229" s="70">
        <v>8.900689169405375E-3</v>
      </c>
      <c r="AK229" s="62">
        <v>1.1103550502299253E-2</v>
      </c>
    </row>
    <row r="230" spans="2:37" s="52" customFormat="1" x14ac:dyDescent="0.35">
      <c r="B230" s="54" t="s">
        <v>148</v>
      </c>
      <c r="C230" s="52" t="s">
        <v>232</v>
      </c>
      <c r="D230" s="52" t="s">
        <v>97</v>
      </c>
      <c r="E230" s="52" t="s">
        <v>345</v>
      </c>
      <c r="F230" s="72">
        <f t="shared" si="142"/>
        <v>2.368764257140292E-2</v>
      </c>
      <c r="G230" s="59">
        <f t="shared" si="143"/>
        <v>3.0423446557813399E-2</v>
      </c>
      <c r="H230" s="59">
        <f t="shared" si="144"/>
        <v>3.4656209533279032E-2</v>
      </c>
      <c r="I230" s="59">
        <f t="shared" si="145"/>
        <v>3.776337433750334E-2</v>
      </c>
      <c r="J230" s="62">
        <f t="shared" si="146"/>
        <v>4.1309475096553319E-2</v>
      </c>
      <c r="K230" s="59" t="str">
        <f t="shared" si="147"/>
        <v/>
      </c>
      <c r="L230" s="59">
        <f t="shared" si="148"/>
        <v>2.8537734578134026E-3</v>
      </c>
      <c r="M230" s="59">
        <f t="shared" si="149"/>
        <v>6.6130264332790387E-3</v>
      </c>
      <c r="N230" s="59">
        <f t="shared" si="150"/>
        <v>8.9485556375033387E-3</v>
      </c>
      <c r="O230" s="62">
        <f t="shared" si="151"/>
        <v>1.1245320696553322E-2</v>
      </c>
      <c r="P230" s="54" t="s">
        <v>554</v>
      </c>
      <c r="Q230" s="52" t="s">
        <v>555</v>
      </c>
      <c r="R230" s="93" t="s">
        <v>32</v>
      </c>
      <c r="S230" s="70">
        <v>3.5675400000000003E-2</v>
      </c>
      <c r="T230" s="62">
        <f t="shared" si="141"/>
        <v>-1.0191904667209706E-3</v>
      </c>
      <c r="V230" s="113">
        <v>1.13213874</v>
      </c>
      <c r="W230" s="71">
        <v>2.9449080700000003</v>
      </c>
      <c r="X230" s="71">
        <v>4.6021779299999999</v>
      </c>
      <c r="Y230" s="71">
        <v>6.0757536700000001</v>
      </c>
      <c r="Z230" s="114">
        <v>7.9730054699999995</v>
      </c>
      <c r="AB230" s="72">
        <v>2.368764257140292E-2</v>
      </c>
      <c r="AC230" s="70">
        <v>3.0423446557813399E-2</v>
      </c>
      <c r="AD230" s="70">
        <v>3.4656209533279032E-2</v>
      </c>
      <c r="AE230" s="70">
        <v>3.776337433750334E-2</v>
      </c>
      <c r="AF230" s="62">
        <v>4.1309475096553319E-2</v>
      </c>
      <c r="AG230" s="70" t="s">
        <v>21</v>
      </c>
      <c r="AH230" s="70">
        <v>2.8537734578134026E-3</v>
      </c>
      <c r="AI230" s="70">
        <v>6.6130264332790387E-3</v>
      </c>
      <c r="AJ230" s="70">
        <v>8.9485556375033387E-3</v>
      </c>
      <c r="AK230" s="62">
        <v>1.1245320696553322E-2</v>
      </c>
    </row>
    <row r="231" spans="2:37" s="52" customFormat="1" x14ac:dyDescent="0.35">
      <c r="B231" s="54" t="s">
        <v>352</v>
      </c>
      <c r="C231" s="52" t="s">
        <v>232</v>
      </c>
      <c r="D231" s="52" t="s">
        <v>20</v>
      </c>
      <c r="E231" s="52" t="s">
        <v>21</v>
      </c>
      <c r="F231" s="72">
        <f t="shared" si="142"/>
        <v>2.3539465933134569E-2</v>
      </c>
      <c r="G231" s="59">
        <f t="shared" si="143"/>
        <v>3.0227681531900648E-2</v>
      </c>
      <c r="H231" s="59">
        <f t="shared" si="144"/>
        <v>3.4653636257522102E-2</v>
      </c>
      <c r="I231" s="59">
        <f t="shared" si="145"/>
        <v>3.7957330791870247E-2</v>
      </c>
      <c r="J231" s="62">
        <f t="shared" si="146"/>
        <v>4.1201036599806187E-2</v>
      </c>
      <c r="K231" s="59" t="str">
        <f t="shared" si="147"/>
        <v/>
      </c>
      <c r="L231" s="59">
        <f t="shared" si="148"/>
        <v>2.6460317319006404E-3</v>
      </c>
      <c r="M231" s="59">
        <f t="shared" si="149"/>
        <v>6.5929765575221018E-3</v>
      </c>
      <c r="N231" s="59">
        <f t="shared" si="150"/>
        <v>9.1185686918702387E-3</v>
      </c>
      <c r="O231" s="62">
        <f t="shared" si="151"/>
        <v>1.112752679980618E-2</v>
      </c>
      <c r="P231" s="54" t="s">
        <v>21</v>
      </c>
      <c r="Q231" s="52" t="s">
        <v>21</v>
      </c>
      <c r="R231" s="93" t="s">
        <v>21</v>
      </c>
      <c r="S231" s="70" t="s">
        <v>21</v>
      </c>
      <c r="T231" s="62" t="str">
        <f t="shared" si="141"/>
        <v/>
      </c>
      <c r="V231" s="113">
        <v>1.1315043499999999</v>
      </c>
      <c r="W231" s="71">
        <v>2.9424981999999997</v>
      </c>
      <c r="X231" s="71">
        <v>4.5943764600000003</v>
      </c>
      <c r="Y231" s="71">
        <v>6.0553925</v>
      </c>
      <c r="Z231" s="114">
        <v>7.9365190200000004</v>
      </c>
      <c r="AB231" s="72">
        <v>2.3539465933134569E-2</v>
      </c>
      <c r="AC231" s="70">
        <v>3.0227681531900648E-2</v>
      </c>
      <c r="AD231" s="70">
        <v>3.4653636257522102E-2</v>
      </c>
      <c r="AE231" s="70">
        <v>3.7957330791870247E-2</v>
      </c>
      <c r="AF231" s="62">
        <v>4.1201036599806187E-2</v>
      </c>
      <c r="AG231" s="70" t="s">
        <v>21</v>
      </c>
      <c r="AH231" s="70">
        <v>2.6460317319006404E-3</v>
      </c>
      <c r="AI231" s="70">
        <v>6.5929765575221018E-3</v>
      </c>
      <c r="AJ231" s="70">
        <v>9.1185686918702387E-3</v>
      </c>
      <c r="AK231" s="62">
        <v>1.112752679980618E-2</v>
      </c>
    </row>
    <row r="232" spans="2:37" s="52" customFormat="1" x14ac:dyDescent="0.35">
      <c r="B232" s="54" t="s">
        <v>373</v>
      </c>
      <c r="C232" s="52" t="s">
        <v>232</v>
      </c>
      <c r="D232" s="52" t="s">
        <v>69</v>
      </c>
      <c r="E232" s="52" t="s">
        <v>21</v>
      </c>
      <c r="F232" s="72">
        <f t="shared" si="142"/>
        <v>2.3824967326453665E-2</v>
      </c>
      <c r="G232" s="59">
        <f t="shared" si="143"/>
        <v>3.0336308766379497E-2</v>
      </c>
      <c r="H232" s="59">
        <f t="shared" si="144"/>
        <v>3.4602165108702787E-2</v>
      </c>
      <c r="I232" s="59">
        <f t="shared" si="145"/>
        <v>3.7267935116235044E-2</v>
      </c>
      <c r="J232" s="62">
        <f t="shared" si="146"/>
        <v>4.0084758460938612E-2</v>
      </c>
      <c r="K232" s="59" t="str">
        <f t="shared" si="147"/>
        <v/>
      </c>
      <c r="L232" s="59">
        <f t="shared" si="148"/>
        <v>2.7699089663794974E-3</v>
      </c>
      <c r="M232" s="59">
        <f t="shared" si="149"/>
        <v>6.5609841087027922E-3</v>
      </c>
      <c r="N232" s="59">
        <f t="shared" si="150"/>
        <v>8.4696215162350548E-3</v>
      </c>
      <c r="O232" s="62">
        <f t="shared" si="151"/>
        <v>1.0055335760938606E-2</v>
      </c>
      <c r="P232" s="54" t="s">
        <v>21</v>
      </c>
      <c r="Q232" s="52" t="s">
        <v>21</v>
      </c>
      <c r="R232" s="93" t="s">
        <v>21</v>
      </c>
      <c r="S232" s="70" t="s">
        <v>21</v>
      </c>
      <c r="T232" s="62" t="str">
        <f t="shared" si="141"/>
        <v/>
      </c>
      <c r="V232" s="113">
        <v>1.1318607200000002</v>
      </c>
      <c r="W232" s="71">
        <v>2.9449675599999998</v>
      </c>
      <c r="X232" s="71">
        <v>4.6030269800000001</v>
      </c>
      <c r="Y232" s="71">
        <v>6.0839439100000003</v>
      </c>
      <c r="Z232" s="114">
        <v>8.0154180099999994</v>
      </c>
      <c r="AB232" s="72">
        <v>2.3824967326453665E-2</v>
      </c>
      <c r="AC232" s="70">
        <v>3.0336308766379497E-2</v>
      </c>
      <c r="AD232" s="70">
        <v>3.4602165108702787E-2</v>
      </c>
      <c r="AE232" s="70">
        <v>3.7267935116235044E-2</v>
      </c>
      <c r="AF232" s="62">
        <v>4.0084758460938612E-2</v>
      </c>
      <c r="AG232" s="70" t="s">
        <v>21</v>
      </c>
      <c r="AH232" s="70">
        <v>2.7699089663794974E-3</v>
      </c>
      <c r="AI232" s="70">
        <v>6.5609841087027922E-3</v>
      </c>
      <c r="AJ232" s="70">
        <v>8.4696215162350548E-3</v>
      </c>
      <c r="AK232" s="62">
        <v>1.0055335760938606E-2</v>
      </c>
    </row>
    <row r="233" spans="2:37" s="52" customFormat="1" x14ac:dyDescent="0.35">
      <c r="B233" s="54" t="s">
        <v>374</v>
      </c>
      <c r="C233" s="52" t="s">
        <v>232</v>
      </c>
      <c r="D233" s="52" t="s">
        <v>20</v>
      </c>
      <c r="E233" s="52" t="s">
        <v>556</v>
      </c>
      <c r="F233" s="72">
        <f t="shared" si="142"/>
        <v>2.3114625776630371E-2</v>
      </c>
      <c r="G233" s="59">
        <f t="shared" si="143"/>
        <v>2.9131374386372078E-2</v>
      </c>
      <c r="H233" s="59">
        <f t="shared" si="144"/>
        <v>3.2671586891348151E-2</v>
      </c>
      <c r="I233" s="59">
        <f t="shared" si="145"/>
        <v>3.5107277118601829E-2</v>
      </c>
      <c r="J233" s="62">
        <f t="shared" si="146"/>
        <v>3.7651925929544527E-2</v>
      </c>
      <c r="K233" s="59" t="str">
        <f t="shared" si="147"/>
        <v/>
      </c>
      <c r="L233" s="59">
        <f t="shared" si="148"/>
        <v>1.5863312863720856E-3</v>
      </c>
      <c r="M233" s="59">
        <f t="shared" si="149"/>
        <v>4.6728555913481511E-3</v>
      </c>
      <c r="N233" s="59">
        <f t="shared" si="150"/>
        <v>6.3578330186018208E-3</v>
      </c>
      <c r="O233" s="62">
        <f t="shared" si="151"/>
        <v>7.6688668295445302E-3</v>
      </c>
      <c r="P233" s="54" t="s">
        <v>21</v>
      </c>
      <c r="Q233" s="52" t="s">
        <v>21</v>
      </c>
      <c r="R233" s="93" t="s">
        <v>21</v>
      </c>
      <c r="S233" s="70" t="s">
        <v>21</v>
      </c>
      <c r="T233" s="62" t="str">
        <f t="shared" si="141"/>
        <v/>
      </c>
      <c r="V233" s="113">
        <v>1.13227704</v>
      </c>
      <c r="W233" s="71">
        <v>2.9502352100000002</v>
      </c>
      <c r="X233" s="71">
        <v>4.6251820399999994</v>
      </c>
      <c r="Y233" s="71">
        <v>6.1344165200000003</v>
      </c>
      <c r="Z233" s="114">
        <v>8.12282145</v>
      </c>
      <c r="AB233" s="72">
        <v>2.3114625776630371E-2</v>
      </c>
      <c r="AC233" s="70">
        <v>2.9131374386372078E-2</v>
      </c>
      <c r="AD233" s="70">
        <v>3.2671586891348151E-2</v>
      </c>
      <c r="AE233" s="70">
        <v>3.5107277118601829E-2</v>
      </c>
      <c r="AF233" s="62">
        <v>3.7651925929544527E-2</v>
      </c>
      <c r="AG233" s="70" t="s">
        <v>21</v>
      </c>
      <c r="AH233" s="70">
        <v>1.5863312863720856E-3</v>
      </c>
      <c r="AI233" s="70">
        <v>4.6728555913481511E-3</v>
      </c>
      <c r="AJ233" s="70">
        <v>6.3578330186018208E-3</v>
      </c>
      <c r="AK233" s="62">
        <v>7.6688668295445302E-3</v>
      </c>
    </row>
    <row r="234" spans="2:37" s="52" customFormat="1" x14ac:dyDescent="0.35">
      <c r="B234" s="54" t="s">
        <v>157</v>
      </c>
      <c r="C234" s="52" t="s">
        <v>232</v>
      </c>
      <c r="D234" s="52" t="s">
        <v>31</v>
      </c>
      <c r="E234" s="52" t="s">
        <v>21</v>
      </c>
      <c r="F234" s="72">
        <f t="shared" si="142"/>
        <v>2.4280995810150939E-2</v>
      </c>
      <c r="G234" s="59">
        <f t="shared" si="143"/>
        <v>3.0432583915520027E-2</v>
      </c>
      <c r="H234" s="59">
        <f t="shared" si="144"/>
        <v>3.4552025489095944E-2</v>
      </c>
      <c r="I234" s="59">
        <f t="shared" si="145"/>
        <v>3.7417416054851591E-2</v>
      </c>
      <c r="J234" s="62">
        <f t="shared" si="146"/>
        <v>4.0575789677515468E-2</v>
      </c>
      <c r="K234" s="59" t="str">
        <f t="shared" si="147"/>
        <v/>
      </c>
      <c r="L234" s="59">
        <f t="shared" si="148"/>
        <v>2.8616022155200298E-3</v>
      </c>
      <c r="M234" s="59">
        <f t="shared" si="149"/>
        <v>6.5112160890959461E-3</v>
      </c>
      <c r="N234" s="59">
        <f t="shared" si="150"/>
        <v>8.6128663548515859E-3</v>
      </c>
      <c r="O234" s="62">
        <f t="shared" si="151"/>
        <v>1.0531297877515474E-2</v>
      </c>
      <c r="P234" s="54" t="s">
        <v>21</v>
      </c>
      <c r="Q234" s="52" t="s">
        <v>21</v>
      </c>
      <c r="R234" s="93" t="s">
        <v>21</v>
      </c>
      <c r="S234" s="70" t="s">
        <v>21</v>
      </c>
      <c r="T234" s="62" t="str">
        <f t="shared" si="141"/>
        <v/>
      </c>
      <c r="V234" s="113">
        <v>1.13100691</v>
      </c>
      <c r="W234" s="71">
        <v>2.94282076</v>
      </c>
      <c r="X234" s="71">
        <v>4.6013033600000002</v>
      </c>
      <c r="Y234" s="71">
        <v>6.0803882400000004</v>
      </c>
      <c r="Z234" s="114">
        <v>7.9986244299999996</v>
      </c>
      <c r="AB234" s="72">
        <v>2.4280995810150939E-2</v>
      </c>
      <c r="AC234" s="70">
        <v>3.0432583915520027E-2</v>
      </c>
      <c r="AD234" s="70">
        <v>3.4552025489095944E-2</v>
      </c>
      <c r="AE234" s="70">
        <v>3.7417416054851591E-2</v>
      </c>
      <c r="AF234" s="62">
        <v>4.0575789677515468E-2</v>
      </c>
      <c r="AG234" s="70" t="s">
        <v>21</v>
      </c>
      <c r="AH234" s="70">
        <v>2.8616022155200298E-3</v>
      </c>
      <c r="AI234" s="70">
        <v>6.5112160890959461E-3</v>
      </c>
      <c r="AJ234" s="70">
        <v>8.6128663548515859E-3</v>
      </c>
      <c r="AK234" s="62">
        <v>1.0531297877515474E-2</v>
      </c>
    </row>
    <row r="235" spans="2:37" s="52" customFormat="1" x14ac:dyDescent="0.35">
      <c r="B235" s="54" t="s">
        <v>260</v>
      </c>
      <c r="C235" s="52" t="s">
        <v>232</v>
      </c>
      <c r="D235" s="52" t="s">
        <v>43</v>
      </c>
      <c r="E235" s="52" t="s">
        <v>21</v>
      </c>
      <c r="F235" s="72">
        <f t="shared" si="142"/>
        <v>2.4101493720887834E-2</v>
      </c>
      <c r="G235" s="59">
        <f t="shared" si="143"/>
        <v>3.062851917485121E-2</v>
      </c>
      <c r="H235" s="59">
        <f t="shared" si="144"/>
        <v>3.4500130999903116E-2</v>
      </c>
      <c r="I235" s="59">
        <f t="shared" si="145"/>
        <v>3.7120892294182306E-2</v>
      </c>
      <c r="J235" s="62">
        <f t="shared" si="146"/>
        <v>4.0277885514764952E-2</v>
      </c>
      <c r="K235" s="59" t="str">
        <f t="shared" si="147"/>
        <v/>
      </c>
      <c r="L235" s="59">
        <f t="shared" si="148"/>
        <v>3.0526481748512162E-3</v>
      </c>
      <c r="M235" s="59">
        <f t="shared" si="149"/>
        <v>6.4619293999031175E-3</v>
      </c>
      <c r="N235" s="59">
        <f t="shared" si="150"/>
        <v>8.3264796941823066E-3</v>
      </c>
      <c r="O235" s="62">
        <f t="shared" si="151"/>
        <v>1.0240790914764953E-2</v>
      </c>
      <c r="P235" s="54" t="s">
        <v>21</v>
      </c>
      <c r="Q235" s="52" t="s">
        <v>21</v>
      </c>
      <c r="R235" s="93" t="s">
        <v>21</v>
      </c>
      <c r="S235" s="70" t="s">
        <v>21</v>
      </c>
      <c r="T235" s="62" t="str">
        <f t="shared" si="141"/>
        <v/>
      </c>
      <c r="V235" s="113">
        <v>1.1313275200000001</v>
      </c>
      <c r="W235" s="71">
        <v>2.9421134900000001</v>
      </c>
      <c r="X235" s="71">
        <v>4.6006288300000007</v>
      </c>
      <c r="Y235" s="71">
        <v>6.0843150100000001</v>
      </c>
      <c r="Z235" s="114">
        <v>8.0124409100000005</v>
      </c>
      <c r="AB235" s="72">
        <v>2.4101493720887834E-2</v>
      </c>
      <c r="AC235" s="70">
        <v>3.062851917485121E-2</v>
      </c>
      <c r="AD235" s="70">
        <v>3.4500130999903116E-2</v>
      </c>
      <c r="AE235" s="70">
        <v>3.7120892294182306E-2</v>
      </c>
      <c r="AF235" s="62">
        <v>4.0277885514764952E-2</v>
      </c>
      <c r="AG235" s="70" t="s">
        <v>21</v>
      </c>
      <c r="AH235" s="70">
        <v>3.0526481748512162E-3</v>
      </c>
      <c r="AI235" s="70">
        <v>6.4619293999031175E-3</v>
      </c>
      <c r="AJ235" s="70">
        <v>8.3264796941823066E-3</v>
      </c>
      <c r="AK235" s="62">
        <v>1.0240790914764953E-2</v>
      </c>
    </row>
    <row r="236" spans="2:37" s="52" customFormat="1" x14ac:dyDescent="0.35">
      <c r="B236" s="54" t="s">
        <v>322</v>
      </c>
      <c r="C236" s="52" t="s">
        <v>232</v>
      </c>
      <c r="D236" s="52" t="s">
        <v>31</v>
      </c>
      <c r="E236" s="52" t="s">
        <v>256</v>
      </c>
      <c r="F236" s="72">
        <f t="shared" si="142"/>
        <v>2.3623422201283828E-2</v>
      </c>
      <c r="G236" s="59">
        <f t="shared" si="143"/>
        <v>3.0109582041154666E-2</v>
      </c>
      <c r="H236" s="59">
        <f t="shared" si="144"/>
        <v>3.4398855555050761E-2</v>
      </c>
      <c r="I236" s="59">
        <f t="shared" si="145"/>
        <v>3.8297115976365925E-2</v>
      </c>
      <c r="J236" s="62">
        <f t="shared" si="146"/>
        <v>4.174824654809612E-2</v>
      </c>
      <c r="K236" s="59" t="str">
        <f t="shared" si="147"/>
        <v/>
      </c>
      <c r="L236" s="59">
        <f t="shared" si="148"/>
        <v>2.5489445411546689E-3</v>
      </c>
      <c r="M236" s="59">
        <f t="shared" si="149"/>
        <v>6.3631201550507577E-3</v>
      </c>
      <c r="N236" s="59">
        <f t="shared" si="150"/>
        <v>9.4636903763659318E-3</v>
      </c>
      <c r="O236" s="62">
        <f t="shared" si="151"/>
        <v>1.1674241548096122E-2</v>
      </c>
      <c r="P236" s="54" t="s">
        <v>21</v>
      </c>
      <c r="Q236" s="52" t="s">
        <v>21</v>
      </c>
      <c r="R236" s="93" t="s">
        <v>21</v>
      </c>
      <c r="S236" s="70" t="s">
        <v>21</v>
      </c>
      <c r="T236" s="62" t="str">
        <f t="shared" si="141"/>
        <v/>
      </c>
      <c r="V236" s="113">
        <v>1.1322806400000001</v>
      </c>
      <c r="W236" s="71">
        <v>2.9472110799999998</v>
      </c>
      <c r="X236" s="71">
        <v>4.6079544399999994</v>
      </c>
      <c r="Y236" s="71">
        <v>6.0742256499999998</v>
      </c>
      <c r="Z236" s="114">
        <v>7.9553435000000006</v>
      </c>
      <c r="AB236" s="72">
        <v>2.3623422201283828E-2</v>
      </c>
      <c r="AC236" s="70">
        <v>3.0109582041154666E-2</v>
      </c>
      <c r="AD236" s="70">
        <v>3.4398855555050761E-2</v>
      </c>
      <c r="AE236" s="70">
        <v>3.8297115976365925E-2</v>
      </c>
      <c r="AF236" s="62">
        <v>4.174824654809612E-2</v>
      </c>
      <c r="AG236" s="70" t="s">
        <v>21</v>
      </c>
      <c r="AH236" s="70">
        <v>2.5489445411546689E-3</v>
      </c>
      <c r="AI236" s="70">
        <v>6.3631201550507577E-3</v>
      </c>
      <c r="AJ236" s="70">
        <v>9.4636903763659318E-3</v>
      </c>
      <c r="AK236" s="62">
        <v>1.1674241548096122E-2</v>
      </c>
    </row>
    <row r="237" spans="2:37" s="52" customFormat="1" x14ac:dyDescent="0.35">
      <c r="B237" s="54" t="s">
        <v>365</v>
      </c>
      <c r="C237" s="52" t="s">
        <v>232</v>
      </c>
      <c r="D237" s="52" t="s">
        <v>69</v>
      </c>
      <c r="E237" s="52" t="s">
        <v>21</v>
      </c>
      <c r="F237" s="72">
        <f t="shared" si="142"/>
        <v>2.4200528368943257E-2</v>
      </c>
      <c r="G237" s="59">
        <f t="shared" si="143"/>
        <v>3.0259903314282487E-2</v>
      </c>
      <c r="H237" s="59">
        <f t="shared" si="144"/>
        <v>3.4342302139835752E-2</v>
      </c>
      <c r="I237" s="59">
        <f t="shared" si="145"/>
        <v>3.7115003701563107E-2</v>
      </c>
      <c r="J237" s="62">
        <f t="shared" si="146"/>
        <v>4.0076733509694165E-2</v>
      </c>
      <c r="K237" s="59" t="str">
        <f t="shared" si="147"/>
        <v/>
      </c>
      <c r="L237" s="59">
        <f t="shared" si="148"/>
        <v>2.695758414282485E-3</v>
      </c>
      <c r="M237" s="59">
        <f t="shared" si="149"/>
        <v>6.308953839835753E-3</v>
      </c>
      <c r="N237" s="59">
        <f t="shared" si="150"/>
        <v>8.3208812015631052E-3</v>
      </c>
      <c r="O237" s="62">
        <f t="shared" si="151"/>
        <v>1.0046637909694175E-2</v>
      </c>
      <c r="P237" s="54" t="s">
        <v>21</v>
      </c>
      <c r="Q237" s="52" t="s">
        <v>21</v>
      </c>
      <c r="R237" s="93" t="s">
        <v>21</v>
      </c>
      <c r="S237" s="70" t="s">
        <v>21</v>
      </c>
      <c r="T237" s="62" t="str">
        <f t="shared" si="141"/>
        <v/>
      </c>
      <c r="V237" s="113">
        <v>1.1311340300000001</v>
      </c>
      <c r="W237" s="71">
        <v>2.94415571</v>
      </c>
      <c r="X237" s="71">
        <v>4.6052236099999995</v>
      </c>
      <c r="Y237" s="71">
        <v>6.0891712899999995</v>
      </c>
      <c r="Z237" s="114">
        <v>8.0215737199999992</v>
      </c>
      <c r="AB237" s="72">
        <v>2.4200528368943257E-2</v>
      </c>
      <c r="AC237" s="70">
        <v>3.0259903314282487E-2</v>
      </c>
      <c r="AD237" s="70">
        <v>3.4342302139835752E-2</v>
      </c>
      <c r="AE237" s="70">
        <v>3.7115003701563107E-2</v>
      </c>
      <c r="AF237" s="62">
        <v>4.0076733509694165E-2</v>
      </c>
      <c r="AG237" s="70" t="s">
        <v>21</v>
      </c>
      <c r="AH237" s="70">
        <v>2.695758414282485E-3</v>
      </c>
      <c r="AI237" s="70">
        <v>6.308953839835753E-3</v>
      </c>
      <c r="AJ237" s="70">
        <v>8.3208812015631052E-3</v>
      </c>
      <c r="AK237" s="62">
        <v>1.0046637909694175E-2</v>
      </c>
    </row>
    <row r="238" spans="2:37" s="52" customFormat="1" x14ac:dyDescent="0.35">
      <c r="B238" s="54" t="s">
        <v>374</v>
      </c>
      <c r="C238" s="52" t="s">
        <v>232</v>
      </c>
      <c r="D238" s="52" t="s">
        <v>20</v>
      </c>
      <c r="E238" s="52" t="s">
        <v>249</v>
      </c>
      <c r="F238" s="72">
        <f t="shared" si="142"/>
        <v>2.3114625776630371E-2</v>
      </c>
      <c r="G238" s="59">
        <f t="shared" si="143"/>
        <v>2.9131374386372078E-2</v>
      </c>
      <c r="H238" s="59">
        <f t="shared" si="144"/>
        <v>3.2671586891348151E-2</v>
      </c>
      <c r="I238" s="59">
        <f t="shared" si="145"/>
        <v>3.5107277118601829E-2</v>
      </c>
      <c r="J238" s="62">
        <f t="shared" si="146"/>
        <v>3.7651925929544527E-2</v>
      </c>
      <c r="K238" s="59" t="str">
        <f t="shared" si="147"/>
        <v/>
      </c>
      <c r="L238" s="59">
        <f t="shared" si="148"/>
        <v>1.5863312863720856E-3</v>
      </c>
      <c r="M238" s="59">
        <f t="shared" si="149"/>
        <v>4.6728555913481511E-3</v>
      </c>
      <c r="N238" s="59">
        <f t="shared" si="150"/>
        <v>6.3578330186018208E-3</v>
      </c>
      <c r="O238" s="62">
        <f t="shared" si="151"/>
        <v>7.6688668295445302E-3</v>
      </c>
      <c r="P238" s="54" t="s">
        <v>21</v>
      </c>
      <c r="Q238" s="52" t="s">
        <v>21</v>
      </c>
      <c r="R238" s="93" t="s">
        <v>21</v>
      </c>
      <c r="S238" s="70" t="s">
        <v>21</v>
      </c>
      <c r="T238" s="62" t="str">
        <f t="shared" si="141"/>
        <v/>
      </c>
      <c r="V238" s="113">
        <v>1.13227704</v>
      </c>
      <c r="W238" s="71">
        <v>2.9502352100000002</v>
      </c>
      <c r="X238" s="71">
        <v>4.6251820399999994</v>
      </c>
      <c r="Y238" s="71">
        <v>6.1344165200000003</v>
      </c>
      <c r="Z238" s="114">
        <v>8.12282145</v>
      </c>
      <c r="AB238" s="72">
        <v>2.3114625776630371E-2</v>
      </c>
      <c r="AC238" s="70">
        <v>2.9131374386372078E-2</v>
      </c>
      <c r="AD238" s="70">
        <v>3.2671586891348151E-2</v>
      </c>
      <c r="AE238" s="70">
        <v>3.5107277118601829E-2</v>
      </c>
      <c r="AF238" s="62">
        <v>3.7651925929544527E-2</v>
      </c>
      <c r="AG238" s="70" t="s">
        <v>21</v>
      </c>
      <c r="AH238" s="70">
        <v>1.5863312863720856E-3</v>
      </c>
      <c r="AI238" s="70">
        <v>4.6728555913481511E-3</v>
      </c>
      <c r="AJ238" s="70">
        <v>6.3578330186018208E-3</v>
      </c>
      <c r="AK238" s="62">
        <v>7.6688668295445302E-3</v>
      </c>
    </row>
    <row r="239" spans="2:37" s="52" customFormat="1" x14ac:dyDescent="0.35">
      <c r="B239" s="54" t="s">
        <v>357</v>
      </c>
      <c r="C239" s="52" t="s">
        <v>232</v>
      </c>
      <c r="D239" s="52" t="s">
        <v>20</v>
      </c>
      <c r="E239" s="52" t="s">
        <v>58</v>
      </c>
      <c r="F239" s="72">
        <f t="shared" si="142"/>
        <v>2.4016650182521457E-2</v>
      </c>
      <c r="G239" s="59">
        <f t="shared" si="143"/>
        <v>3.0782002790392653E-2</v>
      </c>
      <c r="H239" s="59">
        <f t="shared" si="144"/>
        <v>3.5378235228990654E-2</v>
      </c>
      <c r="I239" s="59">
        <f t="shared" si="145"/>
        <v>3.8446674531866155E-2</v>
      </c>
      <c r="J239" s="62">
        <f t="shared" si="146"/>
        <v>4.1717398125674182E-2</v>
      </c>
      <c r="K239" s="59" t="str">
        <f t="shared" si="147"/>
        <v/>
      </c>
      <c r="L239" s="59">
        <f t="shared" si="148"/>
        <v>3.1837189903926541E-3</v>
      </c>
      <c r="M239" s="59">
        <f t="shared" si="149"/>
        <v>7.2944352289906547E-3</v>
      </c>
      <c r="N239" s="59">
        <f t="shared" si="150"/>
        <v>9.5914561318661655E-3</v>
      </c>
      <c r="O239" s="62">
        <f t="shared" si="151"/>
        <v>1.1627073225674182E-2</v>
      </c>
      <c r="P239" s="54" t="s">
        <v>21</v>
      </c>
      <c r="Q239" s="52" t="s">
        <v>21</v>
      </c>
      <c r="R239" s="93" t="s">
        <v>21</v>
      </c>
      <c r="S239" s="70" t="s">
        <v>21</v>
      </c>
      <c r="T239" s="62" t="str">
        <f t="shared" si="141"/>
        <v/>
      </c>
      <c r="V239" s="113">
        <v>1.1305410599999999</v>
      </c>
      <c r="W239" s="71">
        <v>2.9358751000000001</v>
      </c>
      <c r="X239" s="71">
        <v>4.5790241900000002</v>
      </c>
      <c r="Y239" s="71">
        <v>6.0316747199999998</v>
      </c>
      <c r="Z239" s="114">
        <v>7.8987622200000001</v>
      </c>
      <c r="AB239" s="72">
        <v>2.4016650182521457E-2</v>
      </c>
      <c r="AC239" s="70">
        <v>3.0782002790392653E-2</v>
      </c>
      <c r="AD239" s="70">
        <v>3.5378235228990654E-2</v>
      </c>
      <c r="AE239" s="70">
        <v>3.8446674531866155E-2</v>
      </c>
      <c r="AF239" s="62">
        <v>4.1717398125674182E-2</v>
      </c>
      <c r="AG239" s="70" t="s">
        <v>21</v>
      </c>
      <c r="AH239" s="70">
        <v>3.1837189903926541E-3</v>
      </c>
      <c r="AI239" s="70">
        <v>7.2944352289906547E-3</v>
      </c>
      <c r="AJ239" s="70">
        <v>9.5914561318661655E-3</v>
      </c>
      <c r="AK239" s="62">
        <v>1.1627073225674182E-2</v>
      </c>
    </row>
    <row r="240" spans="2:37" s="52" customFormat="1" x14ac:dyDescent="0.35">
      <c r="B240" s="54" t="s">
        <v>261</v>
      </c>
      <c r="C240" s="52" t="s">
        <v>232</v>
      </c>
      <c r="D240" s="52" t="s">
        <v>62</v>
      </c>
      <c r="E240" s="52" t="s">
        <v>128</v>
      </c>
      <c r="F240" s="72">
        <f t="shared" si="142"/>
        <v>2.4211454798502719E-2</v>
      </c>
      <c r="G240" s="59">
        <f t="shared" si="143"/>
        <v>3.0356525829852862E-2</v>
      </c>
      <c r="H240" s="59">
        <f t="shared" si="144"/>
        <v>3.4239267814803798E-2</v>
      </c>
      <c r="I240" s="59">
        <f t="shared" si="145"/>
        <v>3.6965995180974404E-2</v>
      </c>
      <c r="J240" s="62">
        <f t="shared" si="146"/>
        <v>3.9877906005721338E-2</v>
      </c>
      <c r="K240" s="59" t="str">
        <f t="shared" si="147"/>
        <v/>
      </c>
      <c r="L240" s="59">
        <f t="shared" si="148"/>
        <v>2.7896156298528574E-3</v>
      </c>
      <c r="M240" s="59">
        <f t="shared" si="149"/>
        <v>6.2092691148037983E-3</v>
      </c>
      <c r="N240" s="59">
        <f t="shared" si="150"/>
        <v>8.176457980974404E-3</v>
      </c>
      <c r="O240" s="62">
        <f t="shared" si="151"/>
        <v>9.8526360057213346E-3</v>
      </c>
      <c r="P240" s="54" t="s">
        <v>557</v>
      </c>
      <c r="Q240" s="52" t="s">
        <v>558</v>
      </c>
      <c r="R240" s="93">
        <v>47649</v>
      </c>
      <c r="S240" s="70">
        <v>3.0699800000000003E-2</v>
      </c>
      <c r="T240" s="62">
        <f t="shared" si="141"/>
        <v>3.5394678148037949E-3</v>
      </c>
      <c r="V240" s="113">
        <v>1.1311071400000001</v>
      </c>
      <c r="W240" s="71">
        <v>2.9434774199999998</v>
      </c>
      <c r="X240" s="71">
        <v>4.60541029</v>
      </c>
      <c r="Y240" s="71">
        <v>6.0919323300000006</v>
      </c>
      <c r="Z240" s="114">
        <v>8.0304182099999988</v>
      </c>
      <c r="AB240" s="72">
        <v>2.4211454798502719E-2</v>
      </c>
      <c r="AC240" s="70">
        <v>3.0356525829852862E-2</v>
      </c>
      <c r="AD240" s="70">
        <v>3.4239267814803798E-2</v>
      </c>
      <c r="AE240" s="70">
        <v>3.6965995180974404E-2</v>
      </c>
      <c r="AF240" s="62">
        <v>3.9877906005721338E-2</v>
      </c>
      <c r="AG240" s="70" t="s">
        <v>21</v>
      </c>
      <c r="AH240" s="70">
        <v>2.7896156298528574E-3</v>
      </c>
      <c r="AI240" s="70">
        <v>6.2092691148037983E-3</v>
      </c>
      <c r="AJ240" s="70">
        <v>8.176457980974404E-3</v>
      </c>
      <c r="AK240" s="62">
        <v>9.8526360057213346E-3</v>
      </c>
    </row>
    <row r="241" spans="2:37" s="52" customFormat="1" x14ac:dyDescent="0.35">
      <c r="B241" s="54" t="s">
        <v>370</v>
      </c>
      <c r="C241" s="52" t="s">
        <v>232</v>
      </c>
      <c r="D241" s="52" t="s">
        <v>69</v>
      </c>
      <c r="E241" s="52" t="s">
        <v>21</v>
      </c>
      <c r="F241" s="72">
        <f t="shared" si="142"/>
        <v>2.3678224497017175E-2</v>
      </c>
      <c r="G241" s="59">
        <f t="shared" si="143"/>
        <v>3.0294896930340969E-2</v>
      </c>
      <c r="H241" s="59">
        <f t="shared" si="144"/>
        <v>3.4191230357142409E-2</v>
      </c>
      <c r="I241" s="59">
        <f t="shared" si="145"/>
        <v>3.716433515317584E-2</v>
      </c>
      <c r="J241" s="62">
        <f t="shared" si="146"/>
        <v>4.036791256948153E-2</v>
      </c>
      <c r="K241" s="59" t="str">
        <f t="shared" si="147"/>
        <v/>
      </c>
      <c r="L241" s="59">
        <f t="shared" si="148"/>
        <v>2.7296620303409748E-3</v>
      </c>
      <c r="M241" s="59">
        <f t="shared" si="149"/>
        <v>6.1626790571424131E-3</v>
      </c>
      <c r="N241" s="59">
        <f t="shared" si="150"/>
        <v>8.3686564531758427E-3</v>
      </c>
      <c r="O241" s="62">
        <f t="shared" si="151"/>
        <v>1.0330193569481535E-2</v>
      </c>
      <c r="P241" s="54" t="s">
        <v>401</v>
      </c>
      <c r="Q241" s="52" t="s">
        <v>402</v>
      </c>
      <c r="R241" s="93">
        <v>47802</v>
      </c>
      <c r="S241" s="70">
        <v>3.4600939999999997E-2</v>
      </c>
      <c r="T241" s="62">
        <f t="shared" si="141"/>
        <v>-4.0970964285758776E-4</v>
      </c>
      <c r="V241" s="113">
        <v>1.13214894</v>
      </c>
      <c r="W241" s="71">
        <v>2.9457572000000001</v>
      </c>
      <c r="X241" s="71">
        <v>4.6082579399999997</v>
      </c>
      <c r="Y241" s="71">
        <v>6.0918713000000002</v>
      </c>
      <c r="Z241" s="114">
        <v>8.0161894499999988</v>
      </c>
      <c r="AB241" s="72">
        <v>2.3678224497017175E-2</v>
      </c>
      <c r="AC241" s="70">
        <v>3.0294896930340969E-2</v>
      </c>
      <c r="AD241" s="70">
        <v>3.4191230357142409E-2</v>
      </c>
      <c r="AE241" s="70">
        <v>3.716433515317584E-2</v>
      </c>
      <c r="AF241" s="62">
        <v>4.036791256948153E-2</v>
      </c>
      <c r="AG241" s="70" t="s">
        <v>21</v>
      </c>
      <c r="AH241" s="70">
        <v>2.7296620303409748E-3</v>
      </c>
      <c r="AI241" s="70">
        <v>6.1626790571424131E-3</v>
      </c>
      <c r="AJ241" s="70">
        <v>8.3686564531758427E-3</v>
      </c>
      <c r="AK241" s="62">
        <v>1.0330193569481535E-2</v>
      </c>
    </row>
    <row r="242" spans="2:37" s="52" customFormat="1" x14ac:dyDescent="0.35">
      <c r="B242" s="54" t="s">
        <v>263</v>
      </c>
      <c r="C242" s="52" t="s">
        <v>232</v>
      </c>
      <c r="D242" s="52" t="s">
        <v>31</v>
      </c>
      <c r="E242" s="52" t="s">
        <v>21</v>
      </c>
      <c r="F242" s="72">
        <f t="shared" si="142"/>
        <v>2.3961755655472244E-2</v>
      </c>
      <c r="G242" s="59">
        <f t="shared" si="143"/>
        <v>3.0019091420437748E-2</v>
      </c>
      <c r="H242" s="59">
        <f t="shared" si="144"/>
        <v>3.4187316537976881E-2</v>
      </c>
      <c r="I242" s="59">
        <f t="shared" si="145"/>
        <v>3.7061858288698957E-2</v>
      </c>
      <c r="J242" s="62">
        <f t="shared" si="146"/>
        <v>3.9729561064316854E-2</v>
      </c>
      <c r="K242" s="59" t="str">
        <f t="shared" si="147"/>
        <v/>
      </c>
      <c r="L242" s="59">
        <f t="shared" si="148"/>
        <v>2.462595120437745E-3</v>
      </c>
      <c r="M242" s="59">
        <f t="shared" si="149"/>
        <v>6.158868837976882E-3</v>
      </c>
      <c r="N242" s="59">
        <f t="shared" si="150"/>
        <v>8.269675088698962E-3</v>
      </c>
      <c r="O242" s="62">
        <f t="shared" si="151"/>
        <v>9.7103515643168509E-3</v>
      </c>
      <c r="P242" s="54" t="s">
        <v>21</v>
      </c>
      <c r="Q242" s="52" t="s">
        <v>21</v>
      </c>
      <c r="R242" s="93" t="s">
        <v>21</v>
      </c>
      <c r="S242" s="70" t="s">
        <v>21</v>
      </c>
      <c r="T242" s="62" t="str">
        <f t="shared" si="141"/>
        <v/>
      </c>
      <c r="V242" s="113">
        <v>1.1315946699999999</v>
      </c>
      <c r="W242" s="71">
        <v>2.94654836</v>
      </c>
      <c r="X242" s="71">
        <v>4.60978288</v>
      </c>
      <c r="Y242" s="71">
        <v>6.0947210800000002</v>
      </c>
      <c r="Z242" s="114">
        <v>8.0355012200000004</v>
      </c>
      <c r="AB242" s="72">
        <v>2.3961755655472244E-2</v>
      </c>
      <c r="AC242" s="70">
        <v>3.0019091420437748E-2</v>
      </c>
      <c r="AD242" s="70">
        <v>3.4187316537976881E-2</v>
      </c>
      <c r="AE242" s="70">
        <v>3.7061858288698957E-2</v>
      </c>
      <c r="AF242" s="62">
        <v>3.9729561064316854E-2</v>
      </c>
      <c r="AG242" s="70" t="s">
        <v>21</v>
      </c>
      <c r="AH242" s="70">
        <v>2.462595120437745E-3</v>
      </c>
      <c r="AI242" s="70">
        <v>6.158868837976882E-3</v>
      </c>
      <c r="AJ242" s="70">
        <v>8.269675088698962E-3</v>
      </c>
      <c r="AK242" s="62">
        <v>9.7103515643168509E-3</v>
      </c>
    </row>
    <row r="243" spans="2:37" s="52" customFormat="1" x14ac:dyDescent="0.35">
      <c r="B243" s="54" t="s">
        <v>376</v>
      </c>
      <c r="C243" s="52" t="s">
        <v>232</v>
      </c>
      <c r="D243" s="52" t="s">
        <v>20</v>
      </c>
      <c r="E243" s="52" t="s">
        <v>21</v>
      </c>
      <c r="F243" s="72">
        <f t="shared" si="142"/>
        <v>2.3345921299921479E-2</v>
      </c>
      <c r="G243" s="59">
        <f t="shared" si="143"/>
        <v>2.9570319942394931E-2</v>
      </c>
      <c r="H243" s="59">
        <f t="shared" si="144"/>
        <v>3.4123181875020378E-2</v>
      </c>
      <c r="I243" s="59">
        <f t="shared" si="145"/>
        <v>3.6844652818547062E-2</v>
      </c>
      <c r="J243" s="62">
        <f t="shared" si="146"/>
        <v>3.9790269722473605E-2</v>
      </c>
      <c r="K243" s="59" t="str">
        <f t="shared" si="147"/>
        <v/>
      </c>
      <c r="L243" s="59">
        <f t="shared" si="148"/>
        <v>2.0106417423949321E-3</v>
      </c>
      <c r="M243" s="59">
        <f t="shared" si="149"/>
        <v>6.0802431750203818E-3</v>
      </c>
      <c r="N243" s="59">
        <f t="shared" si="150"/>
        <v>8.0441601185470626E-3</v>
      </c>
      <c r="O243" s="62">
        <f t="shared" si="151"/>
        <v>9.7564690224736083E-3</v>
      </c>
      <c r="P243" s="54" t="s">
        <v>405</v>
      </c>
      <c r="Q243" s="52" t="s">
        <v>406</v>
      </c>
      <c r="R243" s="93">
        <v>47825</v>
      </c>
      <c r="S243" s="70">
        <v>3.4718300000000001E-2</v>
      </c>
      <c r="T243" s="62">
        <f t="shared" si="141"/>
        <v>-5.9511812497962252E-4</v>
      </c>
      <c r="V243" s="113">
        <v>1.13184401</v>
      </c>
      <c r="W243" s="71">
        <v>2.9468671</v>
      </c>
      <c r="X243" s="71">
        <v>4.60550003</v>
      </c>
      <c r="Y243" s="71">
        <v>6.0827270799999997</v>
      </c>
      <c r="Z243" s="114">
        <v>8.0064093500000002</v>
      </c>
      <c r="AB243" s="72">
        <v>2.3345921299921479E-2</v>
      </c>
      <c r="AC243" s="70">
        <v>2.9570319942394931E-2</v>
      </c>
      <c r="AD243" s="70">
        <v>3.4123181875020378E-2</v>
      </c>
      <c r="AE243" s="70">
        <v>3.6844652818547062E-2</v>
      </c>
      <c r="AF243" s="62">
        <v>3.9790269722473605E-2</v>
      </c>
      <c r="AG243" s="70" t="s">
        <v>21</v>
      </c>
      <c r="AH243" s="70">
        <v>2.0106417423949321E-3</v>
      </c>
      <c r="AI243" s="70">
        <v>6.0802431750203818E-3</v>
      </c>
      <c r="AJ243" s="70">
        <v>8.0441601185470626E-3</v>
      </c>
      <c r="AK243" s="62">
        <v>9.7564690224736083E-3</v>
      </c>
    </row>
    <row r="244" spans="2:37" s="52" customFormat="1" x14ac:dyDescent="0.35">
      <c r="B244" s="54" t="s">
        <v>362</v>
      </c>
      <c r="C244" s="52" t="s">
        <v>232</v>
      </c>
      <c r="D244" s="52" t="s">
        <v>20</v>
      </c>
      <c r="E244" s="52" t="s">
        <v>21</v>
      </c>
      <c r="F244" s="72">
        <f t="shared" si="142"/>
        <v>2.3371781230169249E-2</v>
      </c>
      <c r="G244" s="59">
        <f t="shared" si="143"/>
        <v>3.003298963941884E-2</v>
      </c>
      <c r="H244" s="59">
        <f t="shared" si="144"/>
        <v>3.4027977707806266E-2</v>
      </c>
      <c r="I244" s="59">
        <f t="shared" si="145"/>
        <v>3.6514093709781106E-2</v>
      </c>
      <c r="J244" s="62">
        <f t="shared" si="146"/>
        <v>3.9211121747766149E-2</v>
      </c>
      <c r="K244" s="59" t="str">
        <f t="shared" si="147"/>
        <v/>
      </c>
      <c r="L244" s="59">
        <f t="shared" si="148"/>
        <v>2.4584170394188437E-3</v>
      </c>
      <c r="M244" s="59">
        <f t="shared" si="149"/>
        <v>5.9877614078062665E-3</v>
      </c>
      <c r="N244" s="59">
        <f t="shared" si="150"/>
        <v>7.7233494097811014E-3</v>
      </c>
      <c r="O244" s="62">
        <f t="shared" si="151"/>
        <v>9.1936820477661468E-3</v>
      </c>
      <c r="P244" s="54" t="s">
        <v>21</v>
      </c>
      <c r="Q244" s="52" t="s">
        <v>21</v>
      </c>
      <c r="R244" s="93" t="s">
        <v>21</v>
      </c>
      <c r="S244" s="70" t="s">
        <v>21</v>
      </c>
      <c r="T244" s="62" t="str">
        <f t="shared" si="141"/>
        <v/>
      </c>
      <c r="V244" s="113">
        <v>1.1318042400000001</v>
      </c>
      <c r="W244" s="71">
        <v>2.9437957300000002</v>
      </c>
      <c r="X244" s="71">
        <v>4.6026244199999997</v>
      </c>
      <c r="Y244" s="71">
        <v>6.0852182999999993</v>
      </c>
      <c r="Z244" s="114">
        <v>8.0200204600000013</v>
      </c>
      <c r="AB244" s="72">
        <v>2.3371781230169249E-2</v>
      </c>
      <c r="AC244" s="70">
        <v>3.003298963941884E-2</v>
      </c>
      <c r="AD244" s="70">
        <v>3.4027977707806266E-2</v>
      </c>
      <c r="AE244" s="70">
        <v>3.6514093709781106E-2</v>
      </c>
      <c r="AF244" s="62">
        <v>3.9211121747766149E-2</v>
      </c>
      <c r="AG244" s="70" t="s">
        <v>21</v>
      </c>
      <c r="AH244" s="70">
        <v>2.4584170394188437E-3</v>
      </c>
      <c r="AI244" s="70">
        <v>5.9877614078062665E-3</v>
      </c>
      <c r="AJ244" s="70">
        <v>7.7233494097811014E-3</v>
      </c>
      <c r="AK244" s="62">
        <v>9.1936820477661468E-3</v>
      </c>
    </row>
    <row r="245" spans="2:37" s="52" customFormat="1" x14ac:dyDescent="0.35">
      <c r="B245" s="54" t="s">
        <v>363</v>
      </c>
      <c r="C245" s="52" t="s">
        <v>232</v>
      </c>
      <c r="D245" s="52" t="s">
        <v>20</v>
      </c>
      <c r="E245" s="52" t="s">
        <v>21</v>
      </c>
      <c r="F245" s="72">
        <f t="shared" si="142"/>
        <v>2.3314812804887043E-2</v>
      </c>
      <c r="G245" s="59">
        <f t="shared" si="143"/>
        <v>2.9857081898690886E-2</v>
      </c>
      <c r="H245" s="59">
        <f t="shared" si="144"/>
        <v>3.3995174347964785E-2</v>
      </c>
      <c r="I245" s="59">
        <f t="shared" si="145"/>
        <v>3.696942132587959E-2</v>
      </c>
      <c r="J245" s="62">
        <f t="shared" si="146"/>
        <v>4.0258393255509915E-2</v>
      </c>
      <c r="K245" s="59" t="str">
        <f t="shared" si="147"/>
        <v/>
      </c>
      <c r="L245" s="59">
        <f t="shared" si="148"/>
        <v>2.2891568986908857E-3</v>
      </c>
      <c r="M245" s="59">
        <f t="shared" si="149"/>
        <v>5.9566790479647835E-3</v>
      </c>
      <c r="N245" s="59">
        <f t="shared" si="150"/>
        <v>8.1637488258795906E-3</v>
      </c>
      <c r="O245" s="62">
        <f t="shared" si="151"/>
        <v>1.0210892955509913E-2</v>
      </c>
      <c r="P245" s="54" t="s">
        <v>21</v>
      </c>
      <c r="Q245" s="52" t="s">
        <v>21</v>
      </c>
      <c r="R245" s="93" t="s">
        <v>21</v>
      </c>
      <c r="S245" s="70" t="s">
        <v>21</v>
      </c>
      <c r="T245" s="62" t="str">
        <f t="shared" si="141"/>
        <v/>
      </c>
      <c r="V245" s="113">
        <v>1.13189271</v>
      </c>
      <c r="W245" s="71">
        <v>2.9450689900000002</v>
      </c>
      <c r="X245" s="71">
        <v>4.6049013799999994</v>
      </c>
      <c r="Y245" s="71">
        <v>6.0840559799999996</v>
      </c>
      <c r="Z245" s="114">
        <v>7.9949857900000003</v>
      </c>
      <c r="AB245" s="72">
        <v>2.3314812804887043E-2</v>
      </c>
      <c r="AC245" s="70">
        <v>2.9857081898690886E-2</v>
      </c>
      <c r="AD245" s="70">
        <v>3.3995174347964785E-2</v>
      </c>
      <c r="AE245" s="70">
        <v>3.696942132587959E-2</v>
      </c>
      <c r="AF245" s="62">
        <v>4.0258393255509915E-2</v>
      </c>
      <c r="AG245" s="70" t="s">
        <v>21</v>
      </c>
      <c r="AH245" s="70">
        <v>2.2891568986908857E-3</v>
      </c>
      <c r="AI245" s="70">
        <v>5.9566790479647835E-3</v>
      </c>
      <c r="AJ245" s="70">
        <v>8.1637488258795906E-3</v>
      </c>
      <c r="AK245" s="62">
        <v>1.0210892955509913E-2</v>
      </c>
    </row>
    <row r="246" spans="2:37" s="52" customFormat="1" x14ac:dyDescent="0.35">
      <c r="B246" s="54" t="s">
        <v>366</v>
      </c>
      <c r="C246" s="52" t="s">
        <v>232</v>
      </c>
      <c r="D246" s="52" t="s">
        <v>20</v>
      </c>
      <c r="E246" s="52" t="s">
        <v>264</v>
      </c>
      <c r="F246" s="72">
        <f t="shared" si="142"/>
        <v>2.3418233474801375E-2</v>
      </c>
      <c r="G246" s="59">
        <f t="shared" si="143"/>
        <v>2.9903568137422957E-2</v>
      </c>
      <c r="H246" s="59">
        <f t="shared" si="144"/>
        <v>3.3978838706183762E-2</v>
      </c>
      <c r="I246" s="59">
        <f t="shared" si="145"/>
        <v>3.6960159621593547E-2</v>
      </c>
      <c r="J246" s="62">
        <f t="shared" si="146"/>
        <v>4.041677853404009E-2</v>
      </c>
      <c r="K246" s="59" t="str">
        <f t="shared" si="147"/>
        <v/>
      </c>
      <c r="L246" s="59">
        <f t="shared" si="148"/>
        <v>2.3334777374229647E-3</v>
      </c>
      <c r="M246" s="59">
        <f t="shared" si="149"/>
        <v>5.9404132061837579E-3</v>
      </c>
      <c r="N246" s="59">
        <f t="shared" si="150"/>
        <v>8.1548756215935516E-3</v>
      </c>
      <c r="O246" s="62">
        <f t="shared" si="151"/>
        <v>1.0364478434040088E-2</v>
      </c>
      <c r="P246" s="54" t="s">
        <v>397</v>
      </c>
      <c r="Q246" s="52" t="s">
        <v>398</v>
      </c>
      <c r="R246" s="93">
        <v>47710</v>
      </c>
      <c r="S246" s="70">
        <v>3.5118070000000001E-2</v>
      </c>
      <c r="T246" s="62">
        <f t="shared" si="141"/>
        <v>-1.1392312938162397E-3</v>
      </c>
      <c r="V246" s="113">
        <v>1.13172143</v>
      </c>
      <c r="W246" s="71">
        <v>2.9448399199999997</v>
      </c>
      <c r="X246" s="71">
        <v>4.6044782199999998</v>
      </c>
      <c r="Y246" s="71">
        <v>6.0819981900000002</v>
      </c>
      <c r="Z246" s="114">
        <v>7.9881820899999996</v>
      </c>
      <c r="AB246" s="72">
        <v>2.3418233474801375E-2</v>
      </c>
      <c r="AC246" s="70">
        <v>2.9903568137422957E-2</v>
      </c>
      <c r="AD246" s="70">
        <v>3.3978838706183762E-2</v>
      </c>
      <c r="AE246" s="70">
        <v>3.6960159621593547E-2</v>
      </c>
      <c r="AF246" s="62">
        <v>4.041677853404009E-2</v>
      </c>
      <c r="AG246" s="70" t="s">
        <v>21</v>
      </c>
      <c r="AH246" s="70">
        <v>2.3334777374229647E-3</v>
      </c>
      <c r="AI246" s="70">
        <v>5.9404132061837579E-3</v>
      </c>
      <c r="AJ246" s="70">
        <v>8.1548756215935516E-3</v>
      </c>
      <c r="AK246" s="62">
        <v>1.0364478434040088E-2</v>
      </c>
    </row>
    <row r="247" spans="2:37" s="52" customFormat="1" x14ac:dyDescent="0.35">
      <c r="B247" s="54" t="s">
        <v>364</v>
      </c>
      <c r="C247" s="52" t="s">
        <v>232</v>
      </c>
      <c r="D247" s="52" t="s">
        <v>20</v>
      </c>
      <c r="E247" s="52" t="s">
        <v>112</v>
      </c>
      <c r="F247" s="72">
        <f t="shared" si="142"/>
        <v>2.3461530111994242E-2</v>
      </c>
      <c r="G247" s="59">
        <f t="shared" si="143"/>
        <v>2.9585550328758235E-2</v>
      </c>
      <c r="H247" s="59">
        <f t="shared" si="144"/>
        <v>3.3974016084603979E-2</v>
      </c>
      <c r="I247" s="59">
        <f t="shared" si="145"/>
        <v>3.6819708242332702E-2</v>
      </c>
      <c r="J247" s="62">
        <f t="shared" si="146"/>
        <v>3.9872333804631621E-2</v>
      </c>
      <c r="K247" s="59" t="str">
        <f t="shared" si="147"/>
        <v/>
      </c>
      <c r="L247" s="59">
        <f t="shared" si="148"/>
        <v>2.025664628758239E-3</v>
      </c>
      <c r="M247" s="59">
        <f t="shared" si="149"/>
        <v>5.9357111846039846E-3</v>
      </c>
      <c r="N247" s="59">
        <f t="shared" si="150"/>
        <v>8.0193809423327045E-3</v>
      </c>
      <c r="O247" s="62">
        <f t="shared" si="151"/>
        <v>9.8364007046316208E-3</v>
      </c>
      <c r="P247" s="54" t="s">
        <v>395</v>
      </c>
      <c r="Q247" s="52" t="s">
        <v>396</v>
      </c>
      <c r="R247" s="93">
        <v>47708</v>
      </c>
      <c r="S247" s="70">
        <v>3.2166149999999998E-2</v>
      </c>
      <c r="T247" s="62">
        <f t="shared" si="141"/>
        <v>1.8078660846039818E-3</v>
      </c>
      <c r="V247" s="113">
        <v>1.13163861</v>
      </c>
      <c r="W247" s="71">
        <v>2.94596583</v>
      </c>
      <c r="X247" s="71">
        <v>4.6071196600000004</v>
      </c>
      <c r="Y247" s="71">
        <v>6.0863691099999997</v>
      </c>
      <c r="Z247" s="114">
        <v>8.0067578599999987</v>
      </c>
      <c r="AB247" s="72">
        <v>2.3461530111994242E-2</v>
      </c>
      <c r="AC247" s="70">
        <v>2.9585550328758235E-2</v>
      </c>
      <c r="AD247" s="70">
        <v>3.3974016084603979E-2</v>
      </c>
      <c r="AE247" s="70">
        <v>3.6819708242332702E-2</v>
      </c>
      <c r="AF247" s="62">
        <v>3.9872333804631621E-2</v>
      </c>
      <c r="AG247" s="70" t="s">
        <v>21</v>
      </c>
      <c r="AH247" s="70">
        <v>2.025664628758239E-3</v>
      </c>
      <c r="AI247" s="70">
        <v>5.9357111846039846E-3</v>
      </c>
      <c r="AJ247" s="70">
        <v>8.0193809423327045E-3</v>
      </c>
      <c r="AK247" s="62">
        <v>9.8364007046316208E-3</v>
      </c>
    </row>
    <row r="248" spans="2:37" s="52" customFormat="1" x14ac:dyDescent="0.35">
      <c r="B248" s="54" t="s">
        <v>355</v>
      </c>
      <c r="C248" s="52" t="s">
        <v>232</v>
      </c>
      <c r="D248" s="52" t="s">
        <v>20</v>
      </c>
      <c r="E248" s="52" t="s">
        <v>21</v>
      </c>
      <c r="F248" s="72">
        <f t="shared" si="142"/>
        <v>2.3179786342249473E-2</v>
      </c>
      <c r="G248" s="59">
        <f t="shared" si="143"/>
        <v>2.9550970198475166E-2</v>
      </c>
      <c r="H248" s="59">
        <f t="shared" si="144"/>
        <v>3.3949681055595898E-2</v>
      </c>
      <c r="I248" s="59">
        <f t="shared" si="145"/>
        <v>3.7320859030587961E-2</v>
      </c>
      <c r="J248" s="62">
        <f t="shared" si="146"/>
        <v>4.0827066383455707E-2</v>
      </c>
      <c r="K248" s="59" t="str">
        <f t="shared" si="147"/>
        <v/>
      </c>
      <c r="L248" s="59">
        <f t="shared" si="148"/>
        <v>1.9936729984751664E-3</v>
      </c>
      <c r="M248" s="59">
        <f t="shared" si="149"/>
        <v>5.913331255595896E-3</v>
      </c>
      <c r="N248" s="59">
        <f t="shared" si="150"/>
        <v>8.5052209305879565E-3</v>
      </c>
      <c r="O248" s="62">
        <f t="shared" si="151"/>
        <v>1.0765726483455706E-2</v>
      </c>
      <c r="P248" s="54" t="s">
        <v>21</v>
      </c>
      <c r="Q248" s="52" t="s">
        <v>21</v>
      </c>
      <c r="R248" s="93" t="s">
        <v>21</v>
      </c>
      <c r="S248" s="70" t="s">
        <v>21</v>
      </c>
      <c r="T248" s="62" t="str">
        <f t="shared" si="141"/>
        <v/>
      </c>
      <c r="V248" s="113">
        <v>1.1321456999999999</v>
      </c>
      <c r="W248" s="71">
        <v>2.9475233699999999</v>
      </c>
      <c r="X248" s="71">
        <v>4.6086701000000003</v>
      </c>
      <c r="Y248" s="71">
        <v>6.0802370699999999</v>
      </c>
      <c r="Z248" s="114">
        <v>7.9737199900000002</v>
      </c>
      <c r="AB248" s="72">
        <v>2.3179786342249473E-2</v>
      </c>
      <c r="AC248" s="70">
        <v>2.9550970198475166E-2</v>
      </c>
      <c r="AD248" s="70">
        <v>3.3949681055595898E-2</v>
      </c>
      <c r="AE248" s="70">
        <v>3.7320859030587961E-2</v>
      </c>
      <c r="AF248" s="62">
        <v>4.0827066383455707E-2</v>
      </c>
      <c r="AG248" s="70" t="s">
        <v>21</v>
      </c>
      <c r="AH248" s="70">
        <v>1.9936729984751664E-3</v>
      </c>
      <c r="AI248" s="70">
        <v>5.913331255595896E-3</v>
      </c>
      <c r="AJ248" s="70">
        <v>8.5052209305879565E-3</v>
      </c>
      <c r="AK248" s="62">
        <v>1.0765726483455706E-2</v>
      </c>
    </row>
    <row r="249" spans="2:37" s="52" customFormat="1" x14ac:dyDescent="0.35">
      <c r="B249" s="54" t="s">
        <v>358</v>
      </c>
      <c r="C249" s="52" t="s">
        <v>232</v>
      </c>
      <c r="D249" s="52" t="s">
        <v>20</v>
      </c>
      <c r="E249" s="52" t="s">
        <v>21</v>
      </c>
      <c r="F249" s="72">
        <f t="shared" si="142"/>
        <v>2.3373582527389868E-2</v>
      </c>
      <c r="G249" s="59">
        <f t="shared" si="143"/>
        <v>2.9742867110811227E-2</v>
      </c>
      <c r="H249" s="59">
        <f t="shared" si="144"/>
        <v>3.390570348668763E-2</v>
      </c>
      <c r="I249" s="59">
        <f t="shared" si="145"/>
        <v>3.7368346860857465E-2</v>
      </c>
      <c r="J249" s="62">
        <f t="shared" si="146"/>
        <v>4.0936380129157103E-2</v>
      </c>
      <c r="K249" s="59" t="str">
        <f t="shared" si="147"/>
        <v/>
      </c>
      <c r="L249" s="59">
        <f t="shared" si="148"/>
        <v>2.1778136108112313E-3</v>
      </c>
      <c r="M249" s="59">
        <f t="shared" si="149"/>
        <v>5.8695503866876275E-3</v>
      </c>
      <c r="N249" s="59">
        <f t="shared" si="150"/>
        <v>8.5491869608574685E-3</v>
      </c>
      <c r="O249" s="62">
        <f t="shared" si="151"/>
        <v>1.0870421429157095E-2</v>
      </c>
      <c r="P249" s="54" t="s">
        <v>21</v>
      </c>
      <c r="Q249" s="52" t="s">
        <v>21</v>
      </c>
      <c r="R249" s="93" t="s">
        <v>21</v>
      </c>
      <c r="S249" s="70" t="s">
        <v>21</v>
      </c>
      <c r="T249" s="62" t="str">
        <f t="shared" si="141"/>
        <v/>
      </c>
      <c r="V249" s="113">
        <v>1.1317944099999999</v>
      </c>
      <c r="W249" s="71">
        <v>2.9459775700000002</v>
      </c>
      <c r="X249" s="71">
        <v>4.6065759900000005</v>
      </c>
      <c r="Y249" s="71">
        <v>6.0796066800000004</v>
      </c>
      <c r="Z249" s="114">
        <v>7.9698424299999999</v>
      </c>
      <c r="AB249" s="72">
        <v>2.3373582527389868E-2</v>
      </c>
      <c r="AC249" s="70">
        <v>2.9742867110811227E-2</v>
      </c>
      <c r="AD249" s="70">
        <v>3.390570348668763E-2</v>
      </c>
      <c r="AE249" s="70">
        <v>3.7368346860857465E-2</v>
      </c>
      <c r="AF249" s="62">
        <v>4.0936380129157103E-2</v>
      </c>
      <c r="AG249" s="70" t="s">
        <v>21</v>
      </c>
      <c r="AH249" s="70">
        <v>2.1778136108112313E-3</v>
      </c>
      <c r="AI249" s="70">
        <v>5.8695503866876275E-3</v>
      </c>
      <c r="AJ249" s="70">
        <v>8.5491869608574685E-3</v>
      </c>
      <c r="AK249" s="62">
        <v>1.0870421429157095E-2</v>
      </c>
    </row>
    <row r="250" spans="2:37" s="52" customFormat="1" x14ac:dyDescent="0.35">
      <c r="B250" s="54" t="s">
        <v>262</v>
      </c>
      <c r="C250" s="52" t="s">
        <v>232</v>
      </c>
      <c r="D250" s="52" t="s">
        <v>97</v>
      </c>
      <c r="E250" s="52" t="s">
        <v>21</v>
      </c>
      <c r="F250" s="72">
        <f t="shared" si="142"/>
        <v>2.3809949400556842E-2</v>
      </c>
      <c r="G250" s="59">
        <f t="shared" si="143"/>
        <v>3.0097358421945573E-2</v>
      </c>
      <c r="H250" s="59">
        <f t="shared" si="144"/>
        <v>3.3829895469468525E-2</v>
      </c>
      <c r="I250" s="59">
        <f t="shared" si="145"/>
        <v>3.6466876759438736E-2</v>
      </c>
      <c r="J250" s="62">
        <f t="shared" si="146"/>
        <v>3.9029707978536637E-2</v>
      </c>
      <c r="K250" s="59" t="str">
        <f t="shared" si="147"/>
        <v/>
      </c>
      <c r="L250" s="59">
        <f t="shared" si="148"/>
        <v>2.5375668219455782E-3</v>
      </c>
      <c r="M250" s="59">
        <f t="shared" si="149"/>
        <v>5.8116747694685229E-3</v>
      </c>
      <c r="N250" s="59">
        <f t="shared" si="150"/>
        <v>7.6921927594387346E-3</v>
      </c>
      <c r="O250" s="62">
        <f t="shared" si="151"/>
        <v>9.0261826785366372E-3</v>
      </c>
      <c r="P250" s="54" t="s">
        <v>559</v>
      </c>
      <c r="Q250" s="52" t="s">
        <v>560</v>
      </c>
      <c r="R250" s="93">
        <v>47648</v>
      </c>
      <c r="S250" s="70">
        <v>3.1153590000000002E-2</v>
      </c>
      <c r="T250" s="62">
        <f t="shared" si="141"/>
        <v>2.6763054694685234E-3</v>
      </c>
      <c r="V250" s="113">
        <v>1.13190806</v>
      </c>
      <c r="W250" s="71">
        <v>2.9466139600000001</v>
      </c>
      <c r="X250" s="71">
        <v>4.6134632399999997</v>
      </c>
      <c r="Y250" s="71">
        <v>6.1082765600000002</v>
      </c>
      <c r="Z250" s="114">
        <v>8.0708493500000014</v>
      </c>
      <c r="AB250" s="72">
        <v>2.3809949400556842E-2</v>
      </c>
      <c r="AC250" s="70">
        <v>3.0097358421945573E-2</v>
      </c>
      <c r="AD250" s="70">
        <v>3.3829895469468525E-2</v>
      </c>
      <c r="AE250" s="70">
        <v>3.6466876759438736E-2</v>
      </c>
      <c r="AF250" s="62">
        <v>3.9029707978536637E-2</v>
      </c>
      <c r="AG250" s="70" t="s">
        <v>21</v>
      </c>
      <c r="AH250" s="70">
        <v>2.5375668219455782E-3</v>
      </c>
      <c r="AI250" s="70">
        <v>5.8116747694685229E-3</v>
      </c>
      <c r="AJ250" s="70">
        <v>7.6921927594387346E-3</v>
      </c>
      <c r="AK250" s="62">
        <v>9.0261826785366372E-3</v>
      </c>
    </row>
    <row r="251" spans="2:37" s="52" customFormat="1" x14ac:dyDescent="0.35">
      <c r="B251" s="54" t="s">
        <v>371</v>
      </c>
      <c r="C251" s="52" t="s">
        <v>232</v>
      </c>
      <c r="D251" s="52" t="s">
        <v>31</v>
      </c>
      <c r="E251" s="52" t="s">
        <v>289</v>
      </c>
      <c r="F251" s="72">
        <f t="shared" si="142"/>
        <v>2.3889416845105246E-2</v>
      </c>
      <c r="G251" s="59">
        <f t="shared" si="143"/>
        <v>2.9880915785321732E-2</v>
      </c>
      <c r="H251" s="59">
        <f t="shared" si="144"/>
        <v>3.3723302306205488E-2</v>
      </c>
      <c r="I251" s="59">
        <f t="shared" si="145"/>
        <v>3.6363274100162983E-2</v>
      </c>
      <c r="J251" s="62">
        <f t="shared" si="146"/>
        <v>3.9219467613612537E-2</v>
      </c>
      <c r="K251" s="59" t="str">
        <f t="shared" si="147"/>
        <v/>
      </c>
      <c r="L251" s="59">
        <f t="shared" si="148"/>
        <v>2.3285592853217363E-3</v>
      </c>
      <c r="M251" s="59">
        <f t="shared" si="149"/>
        <v>5.7087045062054857E-3</v>
      </c>
      <c r="N251" s="59">
        <f t="shared" si="150"/>
        <v>7.5921609001629812E-3</v>
      </c>
      <c r="O251" s="62">
        <f t="shared" si="151"/>
        <v>9.2110160136125406E-3</v>
      </c>
      <c r="P251" s="54" t="s">
        <v>21</v>
      </c>
      <c r="Q251" s="52" t="s">
        <v>21</v>
      </c>
      <c r="R251" s="93" t="s">
        <v>21</v>
      </c>
      <c r="S251" s="70" t="s">
        <v>21</v>
      </c>
      <c r="T251" s="62" t="str">
        <f t="shared" si="141"/>
        <v/>
      </c>
      <c r="V251" s="113">
        <v>1.1317377099999999</v>
      </c>
      <c r="W251" s="71">
        <v>2.9477056699999999</v>
      </c>
      <c r="X251" s="71">
        <v>4.6161971099999999</v>
      </c>
      <c r="Y251" s="71">
        <v>6.1126750899999998</v>
      </c>
      <c r="Z251" s="114">
        <v>8.0708848900000003</v>
      </c>
      <c r="AB251" s="72">
        <v>2.3889416845105246E-2</v>
      </c>
      <c r="AC251" s="70">
        <v>2.9880915785321732E-2</v>
      </c>
      <c r="AD251" s="70">
        <v>3.3723302306205488E-2</v>
      </c>
      <c r="AE251" s="70">
        <v>3.6363274100162983E-2</v>
      </c>
      <c r="AF251" s="62">
        <v>3.9219467613612537E-2</v>
      </c>
      <c r="AG251" s="70" t="s">
        <v>21</v>
      </c>
      <c r="AH251" s="70">
        <v>2.3285592853217363E-3</v>
      </c>
      <c r="AI251" s="70">
        <v>5.7087045062054857E-3</v>
      </c>
      <c r="AJ251" s="70">
        <v>7.5921609001629812E-3</v>
      </c>
      <c r="AK251" s="62">
        <v>9.2110160136125406E-3</v>
      </c>
    </row>
    <row r="252" spans="2:37" s="52" customFormat="1" x14ac:dyDescent="0.35">
      <c r="B252" s="54" t="s">
        <v>147</v>
      </c>
      <c r="C252" s="52" t="s">
        <v>232</v>
      </c>
      <c r="D252" s="52" t="s">
        <v>20</v>
      </c>
      <c r="E252" s="52" t="s">
        <v>21</v>
      </c>
      <c r="F252" s="72">
        <f t="shared" si="142"/>
        <v>2.3002770000257231E-2</v>
      </c>
      <c r="G252" s="59">
        <f t="shared" si="143"/>
        <v>2.8980606666232374E-2</v>
      </c>
      <c r="H252" s="59">
        <f t="shared" si="144"/>
        <v>3.3200814260680549E-2</v>
      </c>
      <c r="I252" s="59">
        <f t="shared" si="145"/>
        <v>3.6444463956182872E-2</v>
      </c>
      <c r="J252" s="62">
        <f t="shared" si="146"/>
        <v>3.9770161887515275E-2</v>
      </c>
      <c r="K252" s="59" t="str">
        <f t="shared" si="147"/>
        <v/>
      </c>
      <c r="L252" s="59">
        <f t="shared" si="148"/>
        <v>1.4397244662323725E-3</v>
      </c>
      <c r="M252" s="59">
        <f t="shared" si="149"/>
        <v>5.1865093606805546E-3</v>
      </c>
      <c r="N252" s="59">
        <f t="shared" si="150"/>
        <v>7.6561563561828635E-3</v>
      </c>
      <c r="O252" s="62">
        <f t="shared" si="151"/>
        <v>9.7382617875152733E-3</v>
      </c>
      <c r="P252" s="54" t="s">
        <v>561</v>
      </c>
      <c r="Q252" s="52" t="s">
        <v>562</v>
      </c>
      <c r="R252" s="93">
        <v>47515</v>
      </c>
      <c r="S252" s="70">
        <v>3.4164469999999995E-2</v>
      </c>
      <c r="T252" s="62">
        <f t="shared" si="141"/>
        <v>-9.636557393194467E-4</v>
      </c>
      <c r="V252" s="113">
        <v>1.1325028699999999</v>
      </c>
      <c r="W252" s="71">
        <v>2.9519337999999999</v>
      </c>
      <c r="X252" s="71">
        <v>4.6218154999999994</v>
      </c>
      <c r="Y252" s="71">
        <v>6.1081955399999996</v>
      </c>
      <c r="Z252" s="114">
        <v>8.0319769099999991</v>
      </c>
      <c r="AB252" s="72">
        <v>2.3002770000257231E-2</v>
      </c>
      <c r="AC252" s="70">
        <v>2.8980606666232374E-2</v>
      </c>
      <c r="AD252" s="70">
        <v>3.3200814260680549E-2</v>
      </c>
      <c r="AE252" s="70">
        <v>3.6444463956182872E-2</v>
      </c>
      <c r="AF252" s="62">
        <v>3.9770161887515275E-2</v>
      </c>
      <c r="AG252" s="70" t="s">
        <v>21</v>
      </c>
      <c r="AH252" s="70">
        <v>1.4397244662323725E-3</v>
      </c>
      <c r="AI252" s="70">
        <v>5.1865093606805546E-3</v>
      </c>
      <c r="AJ252" s="70">
        <v>7.6561563561828635E-3</v>
      </c>
      <c r="AK252" s="62">
        <v>9.7382617875152733E-3</v>
      </c>
    </row>
    <row r="253" spans="2:37" s="52" customFormat="1" x14ac:dyDescent="0.35">
      <c r="B253" s="54" t="s">
        <v>372</v>
      </c>
      <c r="C253" s="52" t="s">
        <v>232</v>
      </c>
      <c r="D253" s="52" t="s">
        <v>20</v>
      </c>
      <c r="E253" s="52" t="s">
        <v>21</v>
      </c>
      <c r="F253" s="72">
        <f t="shared" si="142"/>
        <v>2.3328609831273914E-2</v>
      </c>
      <c r="G253" s="59">
        <f t="shared" si="143"/>
        <v>2.9434631660028111E-2</v>
      </c>
      <c r="H253" s="59">
        <f t="shared" si="144"/>
        <v>3.3194056271456496E-2</v>
      </c>
      <c r="I253" s="59">
        <f t="shared" si="145"/>
        <v>3.5667481988984763E-2</v>
      </c>
      <c r="J253" s="62">
        <f t="shared" si="146"/>
        <v>3.8569739271678186E-2</v>
      </c>
      <c r="K253" s="59" t="str">
        <f t="shared" si="147"/>
        <v/>
      </c>
      <c r="L253" s="59">
        <f t="shared" si="148"/>
        <v>1.8798914600281157E-3</v>
      </c>
      <c r="M253" s="59">
        <f t="shared" si="149"/>
        <v>5.1798264714564939E-3</v>
      </c>
      <c r="N253" s="59">
        <f t="shared" si="150"/>
        <v>6.90209968898476E-3</v>
      </c>
      <c r="O253" s="62">
        <f t="shared" si="151"/>
        <v>8.5649186716781796E-3</v>
      </c>
      <c r="P253" s="54" t="s">
        <v>21</v>
      </c>
      <c r="Q253" s="52" t="s">
        <v>21</v>
      </c>
      <c r="R253" s="93" t="s">
        <v>21</v>
      </c>
      <c r="S253" s="70" t="s">
        <v>21</v>
      </c>
      <c r="T253" s="62" t="str">
        <f t="shared" si="141"/>
        <v/>
      </c>
      <c r="V253" s="113">
        <v>1.1318765900000001</v>
      </c>
      <c r="W253" s="71">
        <v>2.9476548199999999</v>
      </c>
      <c r="X253" s="71">
        <v>4.6166447399999999</v>
      </c>
      <c r="Y253" s="71">
        <v>6.1155070899999995</v>
      </c>
      <c r="Z253" s="114">
        <v>8.0770651299999994</v>
      </c>
      <c r="AB253" s="72">
        <v>2.3328609831273914E-2</v>
      </c>
      <c r="AC253" s="70">
        <v>2.9434631660028111E-2</v>
      </c>
      <c r="AD253" s="70">
        <v>3.3194056271456496E-2</v>
      </c>
      <c r="AE253" s="70">
        <v>3.5667481988984763E-2</v>
      </c>
      <c r="AF253" s="62">
        <v>3.8569739271678186E-2</v>
      </c>
      <c r="AG253" s="70" t="s">
        <v>21</v>
      </c>
      <c r="AH253" s="70">
        <v>1.8798914600281157E-3</v>
      </c>
      <c r="AI253" s="70">
        <v>5.1798264714564939E-3</v>
      </c>
      <c r="AJ253" s="70">
        <v>6.90209968898476E-3</v>
      </c>
      <c r="AK253" s="62">
        <v>8.5649186716781796E-3</v>
      </c>
    </row>
    <row r="254" spans="2:37" x14ac:dyDescent="0.35">
      <c r="B254" s="54" t="s">
        <v>369</v>
      </c>
      <c r="C254" s="52" t="s">
        <v>232</v>
      </c>
      <c r="D254" s="52" t="s">
        <v>20</v>
      </c>
      <c r="E254" s="52" t="s">
        <v>256</v>
      </c>
      <c r="F254" s="72">
        <f t="shared" si="110"/>
        <v>2.2999106242082675E-2</v>
      </c>
      <c r="G254" s="59">
        <f t="shared" si="111"/>
        <v>2.9240251500938671E-2</v>
      </c>
      <c r="H254" s="59">
        <f t="shared" si="112"/>
        <v>3.3182735832619242E-2</v>
      </c>
      <c r="I254" s="59">
        <f t="shared" si="113"/>
        <v>3.5960293347123917E-2</v>
      </c>
      <c r="J254" s="62">
        <f t="shared" si="114"/>
        <v>3.8750182317498466E-2</v>
      </c>
      <c r="K254" s="59" t="str">
        <f t="shared" si="115"/>
        <v/>
      </c>
      <c r="L254" s="59">
        <f t="shared" si="116"/>
        <v>1.6910840009386713E-3</v>
      </c>
      <c r="M254" s="59">
        <f t="shared" si="117"/>
        <v>5.168675532619238E-3</v>
      </c>
      <c r="N254" s="59">
        <f t="shared" si="118"/>
        <v>7.1862706471239194E-3</v>
      </c>
      <c r="O254" s="62">
        <f t="shared" si="119"/>
        <v>8.7426352174984692E-3</v>
      </c>
      <c r="P254" s="54" t="s">
        <v>21</v>
      </c>
      <c r="Q254" s="52" t="s">
        <v>21</v>
      </c>
      <c r="R254" s="93" t="s">
        <v>21</v>
      </c>
      <c r="S254" s="70" t="s">
        <v>21</v>
      </c>
      <c r="T254" s="62" t="str">
        <f t="shared" si="98"/>
        <v/>
      </c>
      <c r="V254" s="113">
        <v>1.13252</v>
      </c>
      <c r="W254" s="71">
        <v>2.95021084</v>
      </c>
      <c r="X254" s="71">
        <v>4.6197323099999998</v>
      </c>
      <c r="Y254" s="71">
        <v>6.1141379099999993</v>
      </c>
      <c r="Z254" s="114">
        <v>8.0694747099999997</v>
      </c>
      <c r="AB254" s="72">
        <v>2.2999106242082675E-2</v>
      </c>
      <c r="AC254" s="70">
        <v>2.9240251500938671E-2</v>
      </c>
      <c r="AD254" s="70">
        <v>3.3182735832619242E-2</v>
      </c>
      <c r="AE254" s="70">
        <v>3.5960293347123917E-2</v>
      </c>
      <c r="AF254" s="62">
        <v>3.8750182317498466E-2</v>
      </c>
      <c r="AG254" s="70" t="s">
        <v>21</v>
      </c>
      <c r="AH254" s="70">
        <v>1.6910840009386713E-3</v>
      </c>
      <c r="AI254" s="70">
        <v>5.168675532619238E-3</v>
      </c>
      <c r="AJ254" s="70">
        <v>7.1862706471239194E-3</v>
      </c>
      <c r="AK254" s="62">
        <v>8.7426352174984692E-3</v>
      </c>
    </row>
    <row r="255" spans="2:37" x14ac:dyDescent="0.35">
      <c r="B255" s="54" t="s">
        <v>368</v>
      </c>
      <c r="C255" s="52" t="s">
        <v>232</v>
      </c>
      <c r="D255" s="52" t="s">
        <v>20</v>
      </c>
      <c r="E255" s="52" t="s">
        <v>292</v>
      </c>
      <c r="F255" s="72">
        <f t="shared" si="110"/>
        <v>2.3035666923030738E-2</v>
      </c>
      <c r="G255" s="59">
        <f t="shared" si="111"/>
        <v>2.9189465482044433E-2</v>
      </c>
      <c r="H255" s="59">
        <f t="shared" si="112"/>
        <v>3.3066343535105666E-2</v>
      </c>
      <c r="I255" s="59">
        <f t="shared" si="113"/>
        <v>3.6103139891968714E-2</v>
      </c>
      <c r="J255" s="62">
        <f t="shared" si="114"/>
        <v>3.9206972481542438E-2</v>
      </c>
      <c r="K255" s="59" t="str">
        <f t="shared" si="115"/>
        <v/>
      </c>
      <c r="L255" s="59">
        <f t="shared" si="116"/>
        <v>1.6415877820444361E-3</v>
      </c>
      <c r="M255" s="59">
        <f t="shared" si="117"/>
        <v>5.0554549351056683E-3</v>
      </c>
      <c r="N255" s="59">
        <f t="shared" si="118"/>
        <v>7.3247195919687079E-3</v>
      </c>
      <c r="O255" s="62">
        <f t="shared" si="119"/>
        <v>9.1921940815424368E-3</v>
      </c>
      <c r="P255" s="54" t="s">
        <v>21</v>
      </c>
      <c r="Q255" s="52" t="s">
        <v>21</v>
      </c>
      <c r="R255" s="93" t="s">
        <v>21</v>
      </c>
      <c r="S255" s="70" t="s">
        <v>21</v>
      </c>
      <c r="T255" s="62" t="str">
        <f t="shared" si="98"/>
        <v/>
      </c>
      <c r="V255" s="113">
        <v>1.1324512900000001</v>
      </c>
      <c r="W255" s="71">
        <v>2.95048033</v>
      </c>
      <c r="X255" s="71">
        <v>4.6218150299999996</v>
      </c>
      <c r="Y255" s="71">
        <v>6.1134293399999997</v>
      </c>
      <c r="Z255" s="114">
        <v>8.0462443399999994</v>
      </c>
      <c r="AB255" s="72">
        <v>2.3035666923030738E-2</v>
      </c>
      <c r="AC255" s="70">
        <v>2.9189465482044433E-2</v>
      </c>
      <c r="AD255" s="70">
        <v>3.3066343535105666E-2</v>
      </c>
      <c r="AE255" s="70">
        <v>3.6103139891968714E-2</v>
      </c>
      <c r="AF255" s="62">
        <v>3.9206972481542438E-2</v>
      </c>
      <c r="AG255" s="70" t="s">
        <v>21</v>
      </c>
      <c r="AH255" s="70">
        <v>1.6415877820444361E-3</v>
      </c>
      <c r="AI255" s="70">
        <v>5.0554549351056683E-3</v>
      </c>
      <c r="AJ255" s="70">
        <v>7.3247195919687079E-3</v>
      </c>
      <c r="AK255" s="62">
        <v>9.1921940815424368E-3</v>
      </c>
    </row>
    <row r="256" spans="2:37" x14ac:dyDescent="0.35">
      <c r="B256" s="54" t="s">
        <v>266</v>
      </c>
      <c r="C256" s="52" t="s">
        <v>232</v>
      </c>
      <c r="D256" s="52" t="s">
        <v>20</v>
      </c>
      <c r="E256" s="52" t="s">
        <v>21</v>
      </c>
      <c r="F256" s="72">
        <f t="shared" si="110"/>
        <v>2.3453041672794789E-2</v>
      </c>
      <c r="G256" s="59">
        <f t="shared" si="111"/>
        <v>2.9322735351864502E-2</v>
      </c>
      <c r="H256" s="59">
        <f t="shared" si="112"/>
        <v>3.2771792103896517E-2</v>
      </c>
      <c r="I256" s="59">
        <f t="shared" si="113"/>
        <v>3.5184137857522925E-2</v>
      </c>
      <c r="J256" s="62">
        <f t="shared" si="114"/>
        <v>3.7728537628317523E-2</v>
      </c>
      <c r="K256" s="59" t="str">
        <f t="shared" si="115"/>
        <v/>
      </c>
      <c r="L256" s="59">
        <f t="shared" si="116"/>
        <v>1.7701876518645011E-3</v>
      </c>
      <c r="M256" s="59">
        <f t="shared" si="117"/>
        <v>4.7689126038965241E-3</v>
      </c>
      <c r="N256" s="59">
        <f t="shared" si="118"/>
        <v>6.431607257522922E-3</v>
      </c>
      <c r="O256" s="62">
        <f t="shared" si="119"/>
        <v>7.7425878283175252E-3</v>
      </c>
      <c r="P256" s="54" t="s">
        <v>563</v>
      </c>
      <c r="Q256" s="52" t="s">
        <v>564</v>
      </c>
      <c r="R256" s="93" t="s">
        <v>32</v>
      </c>
      <c r="S256" s="70">
        <v>3.0727540000000001E-2</v>
      </c>
      <c r="T256" s="62">
        <f t="shared" si="98"/>
        <v>2.0442521038965163E-3</v>
      </c>
      <c r="V256" s="113">
        <v>1.1316510900000001</v>
      </c>
      <c r="W256" s="71">
        <v>2.94804567</v>
      </c>
      <c r="X256" s="71">
        <v>4.6222014399999996</v>
      </c>
      <c r="Y256" s="71">
        <v>6.1294215999999997</v>
      </c>
      <c r="Z256" s="114">
        <v>8.1158110600000004</v>
      </c>
      <c r="AB256" s="72">
        <v>2.3453041672794789E-2</v>
      </c>
      <c r="AC256" s="70">
        <v>2.9322735351864502E-2</v>
      </c>
      <c r="AD256" s="70">
        <v>3.2771792103896517E-2</v>
      </c>
      <c r="AE256" s="70">
        <v>3.5184137857522925E-2</v>
      </c>
      <c r="AF256" s="62">
        <v>3.7728537628317523E-2</v>
      </c>
      <c r="AG256" s="70" t="s">
        <v>21</v>
      </c>
      <c r="AH256" s="70">
        <v>1.7701876518645011E-3</v>
      </c>
      <c r="AI256" s="70">
        <v>4.7689126038965241E-3</v>
      </c>
      <c r="AJ256" s="70">
        <v>6.431607257522922E-3</v>
      </c>
      <c r="AK256" s="62">
        <v>7.7425878283175252E-3</v>
      </c>
    </row>
    <row r="257" spans="2:37" s="52" customFormat="1" x14ac:dyDescent="0.35">
      <c r="B257" s="54" t="s">
        <v>349</v>
      </c>
      <c r="C257" s="52" t="s">
        <v>232</v>
      </c>
      <c r="D257" s="52" t="s">
        <v>20</v>
      </c>
      <c r="E257" s="52" t="s">
        <v>316</v>
      </c>
      <c r="F257" s="72">
        <f t="shared" ref="F257" si="152">IF(ISNUMBER(AB257),AB257-((C$4-C$3)/V257),"")</f>
        <v>2.5147955853075905E-2</v>
      </c>
      <c r="G257" s="59">
        <f t="shared" ref="G257" si="153">IF(ISNUMBER(AC257),AC257-((D$4-D$3)/W257),"")</f>
        <v>3.339613655685774E-2</v>
      </c>
      <c r="H257" s="59">
        <f t="shared" ref="H257" si="154">IF(ISNUMBER(AD257),AD257-((E$4-E$3)/X257),"")</f>
        <v>4.0440650901645413E-2</v>
      </c>
      <c r="I257" s="59">
        <f t="shared" ref="I257" si="155">IF(ISNUMBER(AE257),AE257-((F$4-F$3)/Y257),"")</f>
        <v>4.3674387396002254E-2</v>
      </c>
      <c r="J257" s="62">
        <f t="shared" ref="J257" si="156">IF(ISNUMBER(AF257),AF257-((G$4-G$3)/Z257),"")</f>
        <v>4.7142179224027879E-2</v>
      </c>
      <c r="K257" s="59" t="str">
        <f t="shared" ref="K257" si="157">IF(ISNUMBER(AG257),IF(AG257-((C$4-C$3)/V257)&lt;0,"",AG257-((C$4-C$3)/V257)),"")</f>
        <v/>
      </c>
      <c r="L257" s="59">
        <f t="shared" ref="L257" si="158">IF(ISNUMBER(AH257),IF(AH257-((D$4-D$3)/W257)&lt;0,"",AH257-((D$4-D$3)/W257)),"")</f>
        <v>5.7065428568577438E-3</v>
      </c>
      <c r="M257" s="59">
        <f t="shared" ref="M257" si="159">IF(ISNUMBER(AI257),IF(AI257-((E$4-E$3)/X257)&lt;0,"",AI257-((E$4-E$3)/X257)),"")</f>
        <v>1.2164441801645408E-2</v>
      </c>
      <c r="N257" s="59">
        <f t="shared" ref="N257" si="160">IF(ISNUMBER(AJ257),IF(AJ257-((F$4-F$3)/Y257)&lt;0,"",AJ257-((F$4-F$3)/Y257)),"")</f>
        <v>1.4612624596002254E-2</v>
      </c>
      <c r="O257" s="62">
        <f t="shared" ref="O257" si="161">IF(ISNUMBER(AK257),IF(AK257-((G$4-G$3)/Z257)&lt;0,"",AK257-((G$4-G$3)/Z257)),"")</f>
        <v>1.6857822824027875E-2</v>
      </c>
      <c r="P257" s="54" t="s">
        <v>389</v>
      </c>
      <c r="Q257" s="52" t="s">
        <v>390</v>
      </c>
      <c r="R257" s="93">
        <v>47507</v>
      </c>
      <c r="S257" s="70">
        <v>3.9366360000000003E-2</v>
      </c>
      <c r="T257" s="62">
        <f t="shared" ref="T257" si="162">IF(S257="","",H257-S257)</f>
        <v>1.0742909016454097E-3</v>
      </c>
      <c r="V257" s="113">
        <v>1.1283363799999999</v>
      </c>
      <c r="W257" s="71">
        <v>2.91690074</v>
      </c>
      <c r="X257" s="71">
        <v>4.5027590599999998</v>
      </c>
      <c r="Y257" s="71">
        <v>5.8681695899999999</v>
      </c>
      <c r="Z257" s="114">
        <v>7.58410385</v>
      </c>
      <c r="AB257" s="72">
        <v>2.5147955853075905E-2</v>
      </c>
      <c r="AC257" s="70">
        <v>3.339613655685774E-2</v>
      </c>
      <c r="AD257" s="70">
        <v>4.0440650901645413E-2</v>
      </c>
      <c r="AE257" s="70">
        <v>4.3674387396002254E-2</v>
      </c>
      <c r="AF257" s="62">
        <v>4.7142179224027879E-2</v>
      </c>
      <c r="AG257" s="70" t="s">
        <v>21</v>
      </c>
      <c r="AH257" s="70">
        <v>5.7065428568577438E-3</v>
      </c>
      <c r="AI257" s="70">
        <v>1.2164441801645408E-2</v>
      </c>
      <c r="AJ257" s="70">
        <v>1.4612624596002254E-2</v>
      </c>
      <c r="AK257" s="62">
        <v>1.6857822824027875E-2</v>
      </c>
    </row>
    <row r="258" spans="2:37" x14ac:dyDescent="0.35">
      <c r="B258" s="54" t="s">
        <v>375</v>
      </c>
      <c r="C258" s="52" t="s">
        <v>232</v>
      </c>
      <c r="D258" s="52" t="s">
        <v>20</v>
      </c>
      <c r="E258" s="52" t="s">
        <v>264</v>
      </c>
      <c r="F258" s="73">
        <f t="shared" si="110"/>
        <v>2.3003344487196258E-2</v>
      </c>
      <c r="G258" s="75">
        <f t="shared" si="111"/>
        <v>2.917081530979344E-2</v>
      </c>
      <c r="H258" s="75">
        <f t="shared" si="112"/>
        <v>3.2662753773750004E-2</v>
      </c>
      <c r="I258" s="75">
        <f t="shared" si="113"/>
        <v>3.5043890923292215E-2</v>
      </c>
      <c r="J258" s="63">
        <f t="shared" si="114"/>
        <v>3.7723536615530892E-2</v>
      </c>
      <c r="K258" s="75" t="str">
        <f t="shared" si="115"/>
        <v/>
      </c>
      <c r="L258" s="75">
        <f t="shared" si="116"/>
        <v>1.6236419097934406E-3</v>
      </c>
      <c r="M258" s="75">
        <f t="shared" si="117"/>
        <v>4.663685473750007E-3</v>
      </c>
      <c r="N258" s="75">
        <f t="shared" si="118"/>
        <v>6.2960051232922171E-3</v>
      </c>
      <c r="O258" s="63">
        <f t="shared" si="119"/>
        <v>7.7426184155308993E-3</v>
      </c>
      <c r="P258" s="54" t="s">
        <v>403</v>
      </c>
      <c r="Q258" s="52" t="s">
        <v>404</v>
      </c>
      <c r="R258" s="93">
        <v>47515</v>
      </c>
      <c r="S258" s="70">
        <v>3.3444689999999999E-2</v>
      </c>
      <c r="T258" s="62">
        <f t="shared" si="98"/>
        <v>-7.8193622624999487E-4</v>
      </c>
      <c r="V258" s="113">
        <v>1.13251535</v>
      </c>
      <c r="W258" s="71">
        <v>2.95045139</v>
      </c>
      <c r="X258" s="71">
        <v>4.6254071200000002</v>
      </c>
      <c r="Y258" s="71">
        <v>6.1349206399999998</v>
      </c>
      <c r="Z258" s="114">
        <v>8.1116741399999999</v>
      </c>
      <c r="AB258" s="72">
        <v>2.3003344487196258E-2</v>
      </c>
      <c r="AC258" s="70">
        <v>2.917081530979344E-2</v>
      </c>
      <c r="AD258" s="70">
        <v>3.2662753773750004E-2</v>
      </c>
      <c r="AE258" s="70">
        <v>3.5043890923292215E-2</v>
      </c>
      <c r="AF258" s="62">
        <v>3.7723536615530892E-2</v>
      </c>
      <c r="AG258" s="70" t="s">
        <v>21</v>
      </c>
      <c r="AH258" s="70">
        <v>1.6236419097934406E-3</v>
      </c>
      <c r="AI258" s="70">
        <v>4.663685473750007E-3</v>
      </c>
      <c r="AJ258" s="70">
        <v>6.2960051232922171E-3</v>
      </c>
      <c r="AK258" s="62">
        <v>7.7426184155308993E-3</v>
      </c>
    </row>
    <row r="259" spans="2:37" x14ac:dyDescent="0.35">
      <c r="B259" s="78" t="s">
        <v>160</v>
      </c>
      <c r="C259" s="135"/>
      <c r="D259" s="77"/>
      <c r="E259" s="77"/>
      <c r="F259" s="77" t="str">
        <f t="shared" si="110"/>
        <v/>
      </c>
      <c r="G259" s="77" t="str">
        <f>IF(ISNUMBER(AC259),AC259-((D$4-D$3)/W259),"")</f>
        <v/>
      </c>
      <c r="H259" s="77" t="str">
        <f t="shared" si="112"/>
        <v/>
      </c>
      <c r="I259" s="77" t="str">
        <f t="shared" si="113"/>
        <v/>
      </c>
      <c r="J259" s="77" t="str">
        <f t="shared" si="114"/>
        <v/>
      </c>
      <c r="K259" s="77" t="str">
        <f t="shared" si="115"/>
        <v/>
      </c>
      <c r="L259" s="77" t="str">
        <f t="shared" si="116"/>
        <v/>
      </c>
      <c r="M259" s="77" t="str">
        <f t="shared" si="117"/>
        <v/>
      </c>
      <c r="N259" s="77" t="str">
        <f t="shared" si="118"/>
        <v/>
      </c>
      <c r="O259" s="76" t="str">
        <f t="shared" si="119"/>
        <v/>
      </c>
      <c r="P259" s="78"/>
      <c r="Q259" s="77"/>
      <c r="R259" s="94"/>
      <c r="S259" s="77"/>
      <c r="T259" s="76" t="str">
        <f t="shared" si="98"/>
        <v/>
      </c>
      <c r="V259" s="119"/>
      <c r="W259" s="108"/>
      <c r="X259" s="108"/>
      <c r="Y259" s="108"/>
      <c r="Z259" s="120"/>
      <c r="AB259" s="77"/>
      <c r="AC259" s="77"/>
      <c r="AD259" s="77"/>
      <c r="AE259" s="77"/>
      <c r="AF259" s="77"/>
      <c r="AG259" s="77"/>
      <c r="AH259" s="77"/>
      <c r="AI259" s="77"/>
      <c r="AJ259" s="77"/>
      <c r="AK259" s="76"/>
    </row>
    <row r="260" spans="2:37" x14ac:dyDescent="0.35">
      <c r="B260" s="55" t="s">
        <v>162</v>
      </c>
      <c r="C260" s="52" t="s">
        <v>232</v>
      </c>
      <c r="D260" s="65" t="s">
        <v>20</v>
      </c>
      <c r="E260" s="65" t="s">
        <v>290</v>
      </c>
      <c r="F260" s="72">
        <f t="shared" si="110"/>
        <v>3.1697154848058115E-2</v>
      </c>
      <c r="G260" s="59">
        <f t="shared" si="111"/>
        <v>5.2260602935623929E-2</v>
      </c>
      <c r="H260" s="59">
        <f t="shared" si="112"/>
        <v>7.0255217783542115E-2</v>
      </c>
      <c r="I260" s="59">
        <f t="shared" si="113"/>
        <v>8.1405537729720631E-2</v>
      </c>
      <c r="J260" s="62">
        <f t="shared" si="114"/>
        <v>8.7038363489053985E-2</v>
      </c>
      <c r="K260" s="59">
        <f t="shared" si="115"/>
        <v>4.2831494480581062E-3</v>
      </c>
      <c r="L260" s="59">
        <f t="shared" si="116"/>
        <v>2.3559040135623929E-2</v>
      </c>
      <c r="M260" s="59">
        <f t="shared" si="117"/>
        <v>4.0013632083542111E-2</v>
      </c>
      <c r="N260" s="59">
        <f t="shared" si="118"/>
        <v>4.9600128729720631E-2</v>
      </c>
      <c r="O260" s="62">
        <f t="shared" si="119"/>
        <v>5.3918123889053968E-2</v>
      </c>
      <c r="P260" s="55" t="s">
        <v>21</v>
      </c>
      <c r="Q260" s="65" t="s">
        <v>21</v>
      </c>
      <c r="R260" s="99" t="s">
        <v>21</v>
      </c>
      <c r="S260" s="79" t="s">
        <v>21</v>
      </c>
      <c r="T260" s="62" t="str">
        <f t="shared" si="98"/>
        <v/>
      </c>
      <c r="V260" s="117">
        <v>1.1128375799999999</v>
      </c>
      <c r="W260" s="60">
        <v>2.7714596</v>
      </c>
      <c r="X260" s="60">
        <v>4.03516896</v>
      </c>
      <c r="Y260" s="60">
        <v>4.8983774000000002</v>
      </c>
      <c r="Z260" s="118">
        <v>5.7620798899999999</v>
      </c>
      <c r="AB260" s="74">
        <v>3.1697154848058115E-2</v>
      </c>
      <c r="AC260" s="79">
        <v>5.2260602935623929E-2</v>
      </c>
      <c r="AD260" s="79">
        <v>7.0255217783542115E-2</v>
      </c>
      <c r="AE260" s="79">
        <v>8.1405537729720631E-2</v>
      </c>
      <c r="AF260" s="61">
        <v>8.7038363489053985E-2</v>
      </c>
      <c r="AG260" s="79">
        <v>4.2831494480581062E-3</v>
      </c>
      <c r="AH260" s="79">
        <v>2.3559040135623929E-2</v>
      </c>
      <c r="AI260" s="79">
        <v>4.0013632083542111E-2</v>
      </c>
      <c r="AJ260" s="79">
        <v>4.9600128729720631E-2</v>
      </c>
      <c r="AK260" s="61">
        <v>5.3918123889053968E-2</v>
      </c>
    </row>
    <row r="261" spans="2:37" x14ac:dyDescent="0.35">
      <c r="B261" s="54" t="s">
        <v>166</v>
      </c>
      <c r="C261" s="52" t="s">
        <v>232</v>
      </c>
      <c r="D261" s="52" t="s">
        <v>167</v>
      </c>
      <c r="E261" s="52" t="s">
        <v>234</v>
      </c>
      <c r="F261" s="72">
        <f t="shared" si="110"/>
        <v>3.8783097359107593E-2</v>
      </c>
      <c r="G261" s="59">
        <f t="shared" si="111"/>
        <v>5.3433991043168635E-2</v>
      </c>
      <c r="H261" s="59">
        <f t="shared" si="112"/>
        <v>5.8092629671873133E-2</v>
      </c>
      <c r="I261" s="59">
        <f t="shared" si="113"/>
        <v>6.0344967025554141E-2</v>
      </c>
      <c r="J261" s="62">
        <f t="shared" si="114"/>
        <v>6.286771989676597E-2</v>
      </c>
      <c r="K261" s="59">
        <f t="shared" si="115"/>
        <v>1.0789069559107597E-2</v>
      </c>
      <c r="L261" s="59">
        <f t="shared" si="116"/>
        <v>2.4570777743168626E-2</v>
      </c>
      <c r="M261" s="59">
        <f t="shared" si="117"/>
        <v>2.8732968371873141E-2</v>
      </c>
      <c r="N261" s="59">
        <f t="shared" si="118"/>
        <v>3.024166452555415E-2</v>
      </c>
      <c r="O261" s="62">
        <f t="shared" si="119"/>
        <v>3.1640355196765987E-2</v>
      </c>
      <c r="P261" s="54" t="s">
        <v>21</v>
      </c>
      <c r="Q261" s="52" t="s">
        <v>21</v>
      </c>
      <c r="R261" s="93" t="s">
        <v>21</v>
      </c>
      <c r="S261" s="70" t="s">
        <v>21</v>
      </c>
      <c r="T261" s="62" t="str">
        <f t="shared" si="98"/>
        <v/>
      </c>
      <c r="V261" s="113">
        <v>1.0980984199999999</v>
      </c>
      <c r="W261" s="71">
        <v>2.7324987099999998</v>
      </c>
      <c r="X261" s="71">
        <v>4.1090198199999994</v>
      </c>
      <c r="Y261" s="71">
        <v>5.24944465</v>
      </c>
      <c r="Z261" s="114">
        <v>6.6130966200000003</v>
      </c>
      <c r="AB261" s="72">
        <v>3.8783097359107593E-2</v>
      </c>
      <c r="AC261" s="70">
        <v>5.3433991043168635E-2</v>
      </c>
      <c r="AD261" s="70">
        <v>5.8092629671873133E-2</v>
      </c>
      <c r="AE261" s="70">
        <v>6.0344967025554141E-2</v>
      </c>
      <c r="AF261" s="62">
        <v>6.286771989676597E-2</v>
      </c>
      <c r="AG261" s="70">
        <v>1.0789069559107597E-2</v>
      </c>
      <c r="AH261" s="70">
        <v>2.4570777743168626E-2</v>
      </c>
      <c r="AI261" s="70">
        <v>2.8732968371873141E-2</v>
      </c>
      <c r="AJ261" s="70">
        <v>3.024166452555415E-2</v>
      </c>
      <c r="AK261" s="62">
        <v>3.1640355196765987E-2</v>
      </c>
    </row>
    <row r="262" spans="2:37" x14ac:dyDescent="0.35">
      <c r="B262" s="54" t="s">
        <v>165</v>
      </c>
      <c r="C262" s="52" t="s">
        <v>232</v>
      </c>
      <c r="D262" s="52" t="s">
        <v>97</v>
      </c>
      <c r="E262" s="52" t="s">
        <v>565</v>
      </c>
      <c r="F262" s="72">
        <f t="shared" si="110"/>
        <v>2.8098646967548185E-2</v>
      </c>
      <c r="G262" s="59">
        <f t="shared" si="111"/>
        <v>4.3625318458025801E-2</v>
      </c>
      <c r="H262" s="59">
        <f t="shared" si="112"/>
        <v>5.6096101309138904E-2</v>
      </c>
      <c r="I262" s="59">
        <f t="shared" si="113"/>
        <v>6.0733501725393609E-2</v>
      </c>
      <c r="J262" s="62">
        <f t="shared" si="114"/>
        <v>6.5039721119400623E-2</v>
      </c>
      <c r="K262" s="59">
        <f t="shared" si="115"/>
        <v>9.2964386754818169E-4</v>
      </c>
      <c r="L262" s="59">
        <f t="shared" si="116"/>
        <v>1.5503029658025799E-2</v>
      </c>
      <c r="M262" s="59">
        <f t="shared" si="117"/>
        <v>2.6993010609138897E-2</v>
      </c>
      <c r="N262" s="59">
        <f t="shared" si="118"/>
        <v>3.0727472625393625E-2</v>
      </c>
      <c r="O262" s="62">
        <f t="shared" si="119"/>
        <v>3.3806555819400633E-2</v>
      </c>
      <c r="P262" s="54" t="s">
        <v>21</v>
      </c>
      <c r="Q262" s="52" t="s">
        <v>21</v>
      </c>
      <c r="R262" s="93" t="s">
        <v>21</v>
      </c>
      <c r="S262" s="70" t="s">
        <v>21</v>
      </c>
      <c r="T262" s="62" t="str">
        <f t="shared" si="98"/>
        <v/>
      </c>
      <c r="V262" s="113">
        <v>1.1226652800000001</v>
      </c>
      <c r="W262" s="71">
        <v>2.8427862000000004</v>
      </c>
      <c r="X262" s="71">
        <v>4.2549918099999999</v>
      </c>
      <c r="Y262" s="71">
        <v>5.3797513399999994</v>
      </c>
      <c r="Z262" s="114">
        <v>6.6759332300000001</v>
      </c>
      <c r="AB262" s="72">
        <v>2.8098646967548185E-2</v>
      </c>
      <c r="AC262" s="70">
        <v>4.3625318458025801E-2</v>
      </c>
      <c r="AD262" s="70">
        <v>5.6096101309138904E-2</v>
      </c>
      <c r="AE262" s="70">
        <v>6.0733501725393609E-2</v>
      </c>
      <c r="AF262" s="62">
        <v>6.5039721119400623E-2</v>
      </c>
      <c r="AG262" s="70">
        <v>9.2964386754818169E-4</v>
      </c>
      <c r="AH262" s="70">
        <v>1.5503029658025799E-2</v>
      </c>
      <c r="AI262" s="70">
        <v>2.6993010609138897E-2</v>
      </c>
      <c r="AJ262" s="70">
        <v>3.0727472625393625E-2</v>
      </c>
      <c r="AK262" s="62">
        <v>3.3806555819400633E-2</v>
      </c>
    </row>
    <row r="263" spans="2:37" x14ac:dyDescent="0.35">
      <c r="B263" s="54" t="s">
        <v>233</v>
      </c>
      <c r="C263" s="52" t="s">
        <v>232</v>
      </c>
      <c r="D263" s="52" t="s">
        <v>43</v>
      </c>
      <c r="E263" s="52" t="s">
        <v>116</v>
      </c>
      <c r="F263" s="72">
        <f t="shared" si="110"/>
        <v>2.7423499318354277E-2</v>
      </c>
      <c r="G263" s="59">
        <f t="shared" si="111"/>
        <v>3.9454556140324545E-2</v>
      </c>
      <c r="H263" s="59">
        <f t="shared" si="112"/>
        <v>5.1710268861596506E-2</v>
      </c>
      <c r="I263" s="59">
        <f t="shared" si="113"/>
        <v>5.8782059191491452E-2</v>
      </c>
      <c r="J263" s="62">
        <f t="shared" si="114"/>
        <v>6.3601063902178262E-2</v>
      </c>
      <c r="K263" s="59">
        <f t="shared" si="115"/>
        <v>2.6833851835427868E-4</v>
      </c>
      <c r="L263" s="59">
        <f t="shared" si="116"/>
        <v>1.1534257540324546E-2</v>
      </c>
      <c r="M263" s="59">
        <f t="shared" si="117"/>
        <v>2.2874081161596511E-2</v>
      </c>
      <c r="N263" s="59">
        <f t="shared" si="118"/>
        <v>2.8899072191491459E-2</v>
      </c>
      <c r="O263" s="62">
        <f t="shared" si="119"/>
        <v>3.2466955702178273E-2</v>
      </c>
      <c r="P263" s="54" t="s">
        <v>21</v>
      </c>
      <c r="Q263" s="52" t="s">
        <v>21</v>
      </c>
      <c r="R263" s="93" t="s">
        <v>21</v>
      </c>
      <c r="S263" s="70" t="s">
        <v>21</v>
      </c>
      <c r="T263" s="62" t="str">
        <f t="shared" si="98"/>
        <v/>
      </c>
      <c r="V263" s="113">
        <v>1.12455134</v>
      </c>
      <c r="W263" s="71">
        <v>2.87621554</v>
      </c>
      <c r="X263" s="71">
        <v>4.3376261899999999</v>
      </c>
      <c r="Y263" s="71">
        <v>5.4900867700000004</v>
      </c>
      <c r="Z263" s="114">
        <v>6.8044148600000005</v>
      </c>
      <c r="AB263" s="72">
        <v>2.7423499318354277E-2</v>
      </c>
      <c r="AC263" s="70">
        <v>3.9454556140324545E-2</v>
      </c>
      <c r="AD263" s="70">
        <v>5.1710268861596506E-2</v>
      </c>
      <c r="AE263" s="70">
        <v>5.8782059191491452E-2</v>
      </c>
      <c r="AF263" s="62">
        <v>6.3601063902178262E-2</v>
      </c>
      <c r="AG263" s="70">
        <v>2.6833851835427868E-4</v>
      </c>
      <c r="AH263" s="70">
        <v>1.1534257540324546E-2</v>
      </c>
      <c r="AI263" s="70">
        <v>2.2874081161596511E-2</v>
      </c>
      <c r="AJ263" s="70">
        <v>2.8899072191491459E-2</v>
      </c>
      <c r="AK263" s="62">
        <v>3.2466955702178273E-2</v>
      </c>
    </row>
    <row r="264" spans="2:37" s="52" customFormat="1" x14ac:dyDescent="0.35">
      <c r="B264" s="54" t="s">
        <v>161</v>
      </c>
      <c r="C264" s="52" t="s">
        <v>232</v>
      </c>
      <c r="D264" s="52" t="s">
        <v>97</v>
      </c>
      <c r="E264" s="52" t="s">
        <v>566</v>
      </c>
      <c r="F264" s="72">
        <f t="shared" ref="F264" si="163">IF(ISNUMBER(AB264),AB264-((C$4-C$3)/V264),"")</f>
        <v>2.6617753640732829E-2</v>
      </c>
      <c r="G264" s="59">
        <f t="shared" ref="G264" si="164">IF(ISNUMBER(AC264),AC264-((D$4-D$3)/W264),"")</f>
        <v>3.8599061161943046E-2</v>
      </c>
      <c r="H264" s="59">
        <f t="shared" ref="H264" si="165">IF(ISNUMBER(AD264),AD264-((E$4-E$3)/X264),"")</f>
        <v>4.8060322264462954E-2</v>
      </c>
      <c r="I264" s="59">
        <f t="shared" ref="I264" si="166">IF(ISNUMBER(AE264),AE264-((F$4-F$3)/Y264),"")</f>
        <v>5.3836138229265827E-2</v>
      </c>
      <c r="J264" s="62">
        <f t="shared" ref="J264" si="167">IF(ISNUMBER(AF264),AF264-((G$4-G$3)/Z264),"")</f>
        <v>5.8714436656551391E-2</v>
      </c>
      <c r="K264" s="59" t="str">
        <f t="shared" ref="K264" si="168">IF(ISNUMBER(AG264),IF(AG264-((C$4-C$3)/V264)&lt;0,"",AG264-((C$4-C$3)/V264)),"")</f>
        <v/>
      </c>
      <c r="L264" s="59">
        <f t="shared" ref="L264" si="169">IF(ISNUMBER(AH264),IF(AH264-((D$4-D$3)/W264)&lt;0,"",AH264-((D$4-D$3)/W264)),"")</f>
        <v>1.0714863361943034E-2</v>
      </c>
      <c r="M264" s="59">
        <f t="shared" ref="M264" si="170">IF(ISNUMBER(AI264),IF(AI264-((E$4-E$3)/X264)&lt;0,"",AI264-((E$4-E$3)/X264)),"")</f>
        <v>1.9432565064462958E-2</v>
      </c>
      <c r="N264" s="59">
        <f t="shared" ref="N264" si="171">IF(ISNUMBER(AJ264),IF(AJ264-((F$4-F$3)/Y264)&lt;0,"",AJ264-((F$4-F$3)/Y264)),"")</f>
        <v>2.4266337929265819E-2</v>
      </c>
      <c r="O264" s="62">
        <f t="shared" ref="O264" si="172">IF(ISNUMBER(AK264),IF(AK264-((G$4-G$3)/Z264)&lt;0,"",AK264-((G$4-G$3)/Z264)),"")</f>
        <v>2.7880311756551372E-2</v>
      </c>
      <c r="P264" s="54" t="s">
        <v>567</v>
      </c>
      <c r="Q264" s="52" t="s">
        <v>568</v>
      </c>
      <c r="R264" s="93">
        <v>47542</v>
      </c>
      <c r="S264" s="70">
        <v>3.7913749999999996E-2</v>
      </c>
      <c r="T264" s="62">
        <f t="shared" ref="T264" si="173">IF(S264="","",H264-S264)</f>
        <v>1.0146572264462958E-2</v>
      </c>
      <c r="V264" s="113">
        <v>1.1265057599999999</v>
      </c>
      <c r="W264" s="71">
        <v>2.87882609</v>
      </c>
      <c r="X264" s="71">
        <v>4.3805960200000005</v>
      </c>
      <c r="Y264" s="71">
        <v>5.6065675600000002</v>
      </c>
      <c r="Z264" s="114">
        <v>7.0377938400000009</v>
      </c>
      <c r="AB264" s="72">
        <v>2.6617753640732829E-2</v>
      </c>
      <c r="AC264" s="70">
        <v>3.8599061161943046E-2</v>
      </c>
      <c r="AD264" s="70">
        <v>4.8060322264462954E-2</v>
      </c>
      <c r="AE264" s="70">
        <v>5.3836138229265827E-2</v>
      </c>
      <c r="AF264" s="62">
        <v>5.8714436656551391E-2</v>
      </c>
      <c r="AG264" s="70" t="s">
        <v>21</v>
      </c>
      <c r="AH264" s="70">
        <v>1.0714863361943034E-2</v>
      </c>
      <c r="AI264" s="70">
        <v>1.9432565064462958E-2</v>
      </c>
      <c r="AJ264" s="70">
        <v>2.4266337929265819E-2</v>
      </c>
      <c r="AK264" s="62">
        <v>2.7880311756551372E-2</v>
      </c>
    </row>
    <row r="265" spans="2:37" x14ac:dyDescent="0.35">
      <c r="B265" s="54" t="s">
        <v>173</v>
      </c>
      <c r="C265" s="52" t="s">
        <v>232</v>
      </c>
      <c r="D265" s="52" t="s">
        <v>43</v>
      </c>
      <c r="E265" s="52" t="s">
        <v>569</v>
      </c>
      <c r="F265" s="72">
        <f t="shared" si="110"/>
        <v>3.036422679949706E-2</v>
      </c>
      <c r="G265" s="59">
        <f t="shared" si="111"/>
        <v>3.8737864319671772E-2</v>
      </c>
      <c r="H265" s="59">
        <f t="shared" si="112"/>
        <v>4.5598255293422686E-2</v>
      </c>
      <c r="I265" s="59">
        <f t="shared" si="113"/>
        <v>5.0939363730198264E-2</v>
      </c>
      <c r="J265" s="62">
        <f t="shared" si="114"/>
        <v>5.6628837258838279E-2</v>
      </c>
      <c r="K265" s="59">
        <f t="shared" si="115"/>
        <v>3.0424404994970587E-3</v>
      </c>
      <c r="L265" s="59">
        <f t="shared" si="116"/>
        <v>1.0838527919671777E-2</v>
      </c>
      <c r="M265" s="59">
        <f t="shared" si="117"/>
        <v>1.7092660593422682E-2</v>
      </c>
      <c r="N265" s="59">
        <f t="shared" si="118"/>
        <v>2.1526379230198258E-2</v>
      </c>
      <c r="O265" s="62">
        <f t="shared" si="119"/>
        <v>2.5897928458838277E-2</v>
      </c>
      <c r="P265" s="54" t="s">
        <v>21</v>
      </c>
      <c r="Q265" s="52" t="s">
        <v>21</v>
      </c>
      <c r="R265" s="93" t="s">
        <v>21</v>
      </c>
      <c r="S265" s="70" t="s">
        <v>21</v>
      </c>
      <c r="T265" s="62" t="str">
        <f t="shared" si="98"/>
        <v/>
      </c>
      <c r="V265" s="113">
        <v>1.11745735</v>
      </c>
      <c r="W265" s="71">
        <v>2.8674213200000001</v>
      </c>
      <c r="X265" s="71">
        <v>4.3944683199999997</v>
      </c>
      <c r="Y265" s="71">
        <v>5.6629357599999999</v>
      </c>
      <c r="Z265" s="114">
        <v>7.1502082100000006</v>
      </c>
      <c r="AB265" s="72">
        <v>3.036422679949706E-2</v>
      </c>
      <c r="AC265" s="70">
        <v>3.8737864319671772E-2</v>
      </c>
      <c r="AD265" s="70">
        <v>4.5598255293422686E-2</v>
      </c>
      <c r="AE265" s="70">
        <v>5.0939363730198264E-2</v>
      </c>
      <c r="AF265" s="62">
        <v>5.6628837258838279E-2</v>
      </c>
      <c r="AG265" s="70">
        <v>3.0424404994970587E-3</v>
      </c>
      <c r="AH265" s="70">
        <v>1.0838527919671777E-2</v>
      </c>
      <c r="AI265" s="70">
        <v>1.7092660593422682E-2</v>
      </c>
      <c r="AJ265" s="70">
        <v>2.1526379230198258E-2</v>
      </c>
      <c r="AK265" s="62">
        <v>2.5897928458838277E-2</v>
      </c>
    </row>
    <row r="266" spans="2:37" x14ac:dyDescent="0.35">
      <c r="B266" s="54" t="s">
        <v>172</v>
      </c>
      <c r="C266" s="52" t="s">
        <v>232</v>
      </c>
      <c r="D266" s="52" t="s">
        <v>43</v>
      </c>
      <c r="E266" s="52" t="s">
        <v>140</v>
      </c>
      <c r="F266" s="72">
        <f t="shared" si="110"/>
        <v>2.7079757693305437E-2</v>
      </c>
      <c r="G266" s="59">
        <f t="shared" si="111"/>
        <v>3.670880295761756E-2</v>
      </c>
      <c r="H266" s="59">
        <f t="shared" si="112"/>
        <v>4.5506376691072076E-2</v>
      </c>
      <c r="I266" s="59">
        <f t="shared" si="113"/>
        <v>5.1175720157790573E-2</v>
      </c>
      <c r="J266" s="62">
        <f t="shared" si="114"/>
        <v>5.5520164112564427E-2</v>
      </c>
      <c r="K266" s="59" t="str">
        <f t="shared" si="115"/>
        <v/>
      </c>
      <c r="L266" s="59">
        <f t="shared" si="116"/>
        <v>8.9096968576175637E-3</v>
      </c>
      <c r="M266" s="59">
        <f t="shared" si="117"/>
        <v>1.7014841091072076E-2</v>
      </c>
      <c r="N266" s="59">
        <f t="shared" si="118"/>
        <v>2.1759111357790573E-2</v>
      </c>
      <c r="O266" s="62">
        <f t="shared" si="119"/>
        <v>2.4864662012564428E-2</v>
      </c>
      <c r="P266" s="54" t="s">
        <v>570</v>
      </c>
      <c r="Q266" s="52" t="s">
        <v>571</v>
      </c>
      <c r="R266" s="93">
        <v>47535</v>
      </c>
      <c r="S266" s="70">
        <v>3.4344239999999998E-2</v>
      </c>
      <c r="T266" s="62">
        <f t="shared" si="98"/>
        <v>1.1162136691072078E-2</v>
      </c>
      <c r="V266" s="113">
        <v>1.12544198</v>
      </c>
      <c r="W266" s="71">
        <v>2.89389363</v>
      </c>
      <c r="X266" s="71">
        <v>4.4244857899999994</v>
      </c>
      <c r="Y266" s="71">
        <v>5.6878155800000005</v>
      </c>
      <c r="Z266" s="114">
        <v>7.1952312599999999</v>
      </c>
      <c r="AB266" s="72">
        <v>2.7079757693305437E-2</v>
      </c>
      <c r="AC266" s="70">
        <v>3.670880295761756E-2</v>
      </c>
      <c r="AD266" s="70">
        <v>4.5506376691072076E-2</v>
      </c>
      <c r="AE266" s="70">
        <v>5.1175720157790573E-2</v>
      </c>
      <c r="AF266" s="62">
        <v>5.5520164112564427E-2</v>
      </c>
      <c r="AG266" s="70" t="s">
        <v>21</v>
      </c>
      <c r="AH266" s="70">
        <v>8.9096968576175637E-3</v>
      </c>
      <c r="AI266" s="70">
        <v>1.7014841091072076E-2</v>
      </c>
      <c r="AJ266" s="70">
        <v>2.1759111357790573E-2</v>
      </c>
      <c r="AK266" s="62">
        <v>2.4864662012564428E-2</v>
      </c>
    </row>
    <row r="267" spans="2:37" x14ac:dyDescent="0.35">
      <c r="B267" s="54" t="s">
        <v>170</v>
      </c>
      <c r="C267" s="52" t="s">
        <v>232</v>
      </c>
      <c r="D267" s="52" t="s">
        <v>31</v>
      </c>
      <c r="E267" s="52" t="s">
        <v>572</v>
      </c>
      <c r="F267" s="72">
        <f t="shared" si="110"/>
        <v>2.5970845180136034E-2</v>
      </c>
      <c r="G267" s="59">
        <f t="shared" si="111"/>
        <v>3.5751786552021887E-2</v>
      </c>
      <c r="H267" s="59">
        <f t="shared" si="112"/>
        <v>4.5286065711593611E-2</v>
      </c>
      <c r="I267" s="59">
        <f t="shared" si="113"/>
        <v>5.2407511799671146E-2</v>
      </c>
      <c r="J267" s="62">
        <f t="shared" si="114"/>
        <v>5.8405880965811625E-2</v>
      </c>
      <c r="K267" s="59" t="str">
        <f t="shared" si="115"/>
        <v/>
      </c>
      <c r="L267" s="59">
        <f t="shared" si="116"/>
        <v>7.9906284520218848E-3</v>
      </c>
      <c r="M267" s="59">
        <f t="shared" si="117"/>
        <v>1.6805472811593617E-2</v>
      </c>
      <c r="N267" s="59">
        <f t="shared" si="118"/>
        <v>2.2921553199671148E-2</v>
      </c>
      <c r="O267" s="62">
        <f t="shared" si="119"/>
        <v>2.7592680165811609E-2</v>
      </c>
      <c r="P267" s="54" t="s">
        <v>573</v>
      </c>
      <c r="Q267" s="52" t="s">
        <v>574</v>
      </c>
      <c r="R267" s="93">
        <v>47664</v>
      </c>
      <c r="S267" s="70">
        <v>3.6932340000000001E-2</v>
      </c>
      <c r="T267" s="62">
        <f t="shared" si="98"/>
        <v>8.3537257115936098E-3</v>
      </c>
      <c r="V267" s="113">
        <v>1.12770533</v>
      </c>
      <c r="W267" s="71">
        <v>2.9041686499999999</v>
      </c>
      <c r="X267" s="71">
        <v>4.4386365300000001</v>
      </c>
      <c r="Y267" s="71">
        <v>5.6843277900000002</v>
      </c>
      <c r="Z267" s="114">
        <v>7.1183714900000004</v>
      </c>
      <c r="AB267" s="72">
        <v>2.5970845180136034E-2</v>
      </c>
      <c r="AC267" s="70">
        <v>3.5751786552021887E-2</v>
      </c>
      <c r="AD267" s="70">
        <v>4.5286065711593611E-2</v>
      </c>
      <c r="AE267" s="70">
        <v>5.2407511799671146E-2</v>
      </c>
      <c r="AF267" s="62">
        <v>5.8405880965811625E-2</v>
      </c>
      <c r="AG267" s="70" t="s">
        <v>21</v>
      </c>
      <c r="AH267" s="70">
        <v>7.9906284520218848E-3</v>
      </c>
      <c r="AI267" s="70">
        <v>1.6805472811593617E-2</v>
      </c>
      <c r="AJ267" s="70">
        <v>2.2921553199671148E-2</v>
      </c>
      <c r="AK267" s="62">
        <v>2.7592680165811609E-2</v>
      </c>
    </row>
    <row r="268" spans="2:37" s="52" customFormat="1" x14ac:dyDescent="0.35">
      <c r="B268" s="54" t="s">
        <v>129</v>
      </c>
      <c r="C268" s="52" t="s">
        <v>232</v>
      </c>
      <c r="D268" s="52" t="s">
        <v>62</v>
      </c>
      <c r="E268" s="52" t="s">
        <v>286</v>
      </c>
      <c r="F268" s="72">
        <f t="shared" ref="F268:F273" si="174">IF(ISNUMBER(AB268),AB268-((C$4-C$3)/V268),"")</f>
        <v>2.7453785546858699E-2</v>
      </c>
      <c r="G268" s="59">
        <f t="shared" ref="G268:G273" si="175">IF(ISNUMBER(AC268),AC268-((D$4-D$3)/W268),"")</f>
        <v>3.7339014508453817E-2</v>
      </c>
      <c r="H268" s="59">
        <f t="shared" ref="H268:H273" si="176">IF(ISNUMBER(AD268),AD268-((E$4-E$3)/X268),"")</f>
        <v>4.4558065298499122E-2</v>
      </c>
      <c r="I268" s="59">
        <f t="shared" ref="I268:I273" si="177">IF(ISNUMBER(AE268),AE268-((F$4-F$3)/Y268),"")</f>
        <v>4.9401861034099853E-2</v>
      </c>
      <c r="J268" s="62">
        <f t="shared" ref="J268:J273" si="178">IF(ISNUMBER(AF268),AF268-((G$4-G$3)/Z268),"")</f>
        <v>5.3447732540978829E-2</v>
      </c>
      <c r="K268" s="59">
        <f t="shared" ref="K268:K273" si="179">IF(ISNUMBER(AG268),IF(AG268-((C$4-C$3)/V268)&lt;0,"",AG268-((C$4-C$3)/V268)),"")</f>
        <v>2.9633364685869613E-4</v>
      </c>
      <c r="L268" s="59">
        <f t="shared" ref="L268:L273" si="180">IF(ISNUMBER(AH268),IF(AH268-((D$4-D$3)/W268)&lt;0,"",AH268-((D$4-D$3)/W268)),"")</f>
        <v>9.5138035084538254E-3</v>
      </c>
      <c r="M268" s="59">
        <f t="shared" ref="M268:M273" si="181">IF(ISNUMBER(AI268),IF(AI268-((E$4-E$3)/X268)&lt;0,"",AI268-((E$4-E$3)/X268)),"")</f>
        <v>1.6113988998499116E-2</v>
      </c>
      <c r="N268" s="59">
        <f t="shared" ref="N268:N273" si="182">IF(ISNUMBER(AJ268),IF(AJ268-((F$4-F$3)/Y268)&lt;0,"",AJ268-((F$4-F$3)/Y268)),"")</f>
        <v>2.0080265534099855E-2</v>
      </c>
      <c r="O268" s="62">
        <f t="shared" ref="O268:O273" si="183">IF(ISNUMBER(AK268),IF(AK268-((G$4-G$3)/Z268)&lt;0,"",AK268-((G$4-G$3)/Z268)),"")</f>
        <v>2.2894359340978825E-2</v>
      </c>
      <c r="P268" s="54" t="s">
        <v>21</v>
      </c>
      <c r="Q268" s="52" t="s">
        <v>21</v>
      </c>
      <c r="R268" s="93" t="s">
        <v>21</v>
      </c>
      <c r="S268" s="70" t="s">
        <v>21</v>
      </c>
      <c r="T268" s="62" t="str">
        <f t="shared" si="98"/>
        <v/>
      </c>
      <c r="V268" s="113">
        <v>1.12448489</v>
      </c>
      <c r="W268" s="71">
        <v>2.8869695599999998</v>
      </c>
      <c r="X268" s="71">
        <v>4.4264666899999998</v>
      </c>
      <c r="Y268" s="71">
        <v>5.71713059</v>
      </c>
      <c r="Z268" s="114">
        <v>7.2804124600000009</v>
      </c>
      <c r="AB268" s="72">
        <v>2.7453785546858699E-2</v>
      </c>
      <c r="AC268" s="70">
        <v>3.7339014508453817E-2</v>
      </c>
      <c r="AD268" s="70">
        <v>4.4558065298499122E-2</v>
      </c>
      <c r="AE268" s="70">
        <v>4.9401861034099853E-2</v>
      </c>
      <c r="AF268" s="62">
        <v>5.3447732540978829E-2</v>
      </c>
      <c r="AG268" s="70">
        <v>2.9633364685869613E-4</v>
      </c>
      <c r="AH268" s="70">
        <v>9.5138035084538254E-3</v>
      </c>
      <c r="AI268" s="70">
        <v>1.6113988998499116E-2</v>
      </c>
      <c r="AJ268" s="70">
        <v>2.0080265534099855E-2</v>
      </c>
      <c r="AK268" s="62">
        <v>2.2894359340978825E-2</v>
      </c>
    </row>
    <row r="269" spans="2:37" s="52" customFormat="1" x14ac:dyDescent="0.35">
      <c r="B269" s="54" t="s">
        <v>407</v>
      </c>
      <c r="C269" s="52" t="s">
        <v>232</v>
      </c>
      <c r="D269" s="52" t="s">
        <v>20</v>
      </c>
      <c r="E269" s="52" t="s">
        <v>48</v>
      </c>
      <c r="F269" s="72">
        <f t="shared" si="174"/>
        <v>2.5306610171618876E-2</v>
      </c>
      <c r="G269" s="59">
        <f t="shared" si="175"/>
        <v>3.5124447884592895E-2</v>
      </c>
      <c r="H269" s="59">
        <f t="shared" si="176"/>
        <v>4.252253747860181E-2</v>
      </c>
      <c r="I269" s="59">
        <f t="shared" si="177"/>
        <v>4.8131737427411871E-2</v>
      </c>
      <c r="J269" s="62">
        <f t="shared" si="178"/>
        <v>5.14477002161952E-2</v>
      </c>
      <c r="K269" s="59" t="str">
        <f t="shared" si="179"/>
        <v/>
      </c>
      <c r="L269" s="59">
        <f t="shared" si="180"/>
        <v>7.361960484592903E-3</v>
      </c>
      <c r="M269" s="59">
        <f t="shared" si="181"/>
        <v>1.4149028378601814E-2</v>
      </c>
      <c r="N269" s="59">
        <f t="shared" si="182"/>
        <v>1.8851351327411874E-2</v>
      </c>
      <c r="O269" s="62">
        <f t="shared" si="183"/>
        <v>2.0976850116195198E-2</v>
      </c>
      <c r="P269" s="54" t="s">
        <v>409</v>
      </c>
      <c r="Q269" s="52" t="s">
        <v>410</v>
      </c>
      <c r="R269" s="93">
        <v>47771</v>
      </c>
      <c r="S269" s="70">
        <v>3.9204940000000001E-2</v>
      </c>
      <c r="T269" s="62">
        <f t="shared" si="98"/>
        <v>3.3175974786018095E-3</v>
      </c>
      <c r="V269" s="113">
        <v>1.1281249799999999</v>
      </c>
      <c r="W269" s="71">
        <v>2.9041060700000001</v>
      </c>
      <c r="X269" s="71">
        <v>4.4640334099999999</v>
      </c>
      <c r="Y269" s="71">
        <v>5.7663140999999998</v>
      </c>
      <c r="Z269" s="114">
        <v>7.3623470999999991</v>
      </c>
      <c r="AB269" s="72">
        <v>2.5306610171618876E-2</v>
      </c>
      <c r="AC269" s="70">
        <v>3.5124447884592895E-2</v>
      </c>
      <c r="AD269" s="70">
        <v>4.252253747860181E-2</v>
      </c>
      <c r="AE269" s="70">
        <v>4.8131737427411871E-2</v>
      </c>
      <c r="AF269" s="62">
        <v>5.14477002161952E-2</v>
      </c>
      <c r="AG269" s="70" t="s">
        <v>21</v>
      </c>
      <c r="AH269" s="70">
        <v>7.361960484592903E-3</v>
      </c>
      <c r="AI269" s="70">
        <v>1.4149028378601814E-2</v>
      </c>
      <c r="AJ269" s="70">
        <v>1.8851351327411874E-2</v>
      </c>
      <c r="AK269" s="62">
        <v>2.0976850116195198E-2</v>
      </c>
    </row>
    <row r="270" spans="2:37" s="52" customFormat="1" x14ac:dyDescent="0.35">
      <c r="B270" s="54" t="s">
        <v>163</v>
      </c>
      <c r="C270" s="52" t="s">
        <v>232</v>
      </c>
      <c r="D270" s="52" t="s">
        <v>47</v>
      </c>
      <c r="E270" s="52" t="s">
        <v>575</v>
      </c>
      <c r="F270" s="72">
        <f t="shared" si="174"/>
        <v>2.6132383198801838E-2</v>
      </c>
      <c r="G270" s="59">
        <f t="shared" si="175"/>
        <v>3.4679139412732596E-2</v>
      </c>
      <c r="H270" s="59">
        <f t="shared" si="176"/>
        <v>4.1760845778185722E-2</v>
      </c>
      <c r="I270" s="59">
        <f t="shared" si="177"/>
        <v>4.7354885907892004E-2</v>
      </c>
      <c r="J270" s="62">
        <f t="shared" si="178"/>
        <v>5.262965694687527E-2</v>
      </c>
      <c r="K270" s="59" t="str">
        <f t="shared" si="179"/>
        <v/>
      </c>
      <c r="L270" s="59">
        <f t="shared" si="180"/>
        <v>6.9615922127325945E-3</v>
      </c>
      <c r="M270" s="59">
        <f t="shared" si="181"/>
        <v>1.3449668378185724E-2</v>
      </c>
      <c r="N270" s="59">
        <f t="shared" si="182"/>
        <v>1.8140558407892006E-2</v>
      </c>
      <c r="O270" s="62">
        <f t="shared" si="183"/>
        <v>2.2121414946875275E-2</v>
      </c>
      <c r="P270" s="54" t="s">
        <v>21</v>
      </c>
      <c r="Q270" s="52" t="s">
        <v>21</v>
      </c>
      <c r="R270" s="93" t="s">
        <v>21</v>
      </c>
      <c r="S270" s="70" t="s">
        <v>21</v>
      </c>
      <c r="T270" s="62" t="str">
        <f t="shared" si="98"/>
        <v/>
      </c>
      <c r="V270" s="113">
        <v>1.1273670899999999</v>
      </c>
      <c r="W270" s="71">
        <v>2.9100946400000001</v>
      </c>
      <c r="X270" s="71">
        <v>4.4838962900000006</v>
      </c>
      <c r="Y270" s="71">
        <v>5.8061749200000001</v>
      </c>
      <c r="Z270" s="114">
        <v>7.3887064499999999</v>
      </c>
      <c r="AB270" s="72">
        <v>2.6132383198801838E-2</v>
      </c>
      <c r="AC270" s="70">
        <v>3.4679139412732596E-2</v>
      </c>
      <c r="AD270" s="70">
        <v>4.1760845778185722E-2</v>
      </c>
      <c r="AE270" s="70">
        <v>4.7354885907892004E-2</v>
      </c>
      <c r="AF270" s="62">
        <v>5.262965694687527E-2</v>
      </c>
      <c r="AG270" s="70" t="s">
        <v>21</v>
      </c>
      <c r="AH270" s="70">
        <v>6.9615922127325945E-3</v>
      </c>
      <c r="AI270" s="70">
        <v>1.3449668378185724E-2</v>
      </c>
      <c r="AJ270" s="70">
        <v>1.8140558407892006E-2</v>
      </c>
      <c r="AK270" s="62">
        <v>2.2121414946875275E-2</v>
      </c>
    </row>
    <row r="271" spans="2:37" s="52" customFormat="1" x14ac:dyDescent="0.35">
      <c r="B271" s="54" t="s">
        <v>164</v>
      </c>
      <c r="C271" s="52" t="s">
        <v>232</v>
      </c>
      <c r="D271" s="52" t="s">
        <v>43</v>
      </c>
      <c r="E271" s="52" t="s">
        <v>291</v>
      </c>
      <c r="F271" s="72">
        <f t="shared" si="174"/>
        <v>2.5575789833683114E-2</v>
      </c>
      <c r="G271" s="59">
        <f t="shared" si="175"/>
        <v>3.4268227800529731E-2</v>
      </c>
      <c r="H271" s="59">
        <f t="shared" si="176"/>
        <v>4.1078117685470344E-2</v>
      </c>
      <c r="I271" s="59">
        <f t="shared" si="177"/>
        <v>4.4501227394798538E-2</v>
      </c>
      <c r="J271" s="62">
        <f t="shared" si="178"/>
        <v>4.7274728651710791E-2</v>
      </c>
      <c r="K271" s="59" t="str">
        <f t="shared" si="179"/>
        <v/>
      </c>
      <c r="L271" s="59">
        <f t="shared" si="180"/>
        <v>6.561019300529736E-3</v>
      </c>
      <c r="M271" s="59">
        <f t="shared" si="181"/>
        <v>1.279342458547035E-2</v>
      </c>
      <c r="N271" s="59">
        <f t="shared" si="182"/>
        <v>1.5421445194798534E-2</v>
      </c>
      <c r="O271" s="62">
        <f t="shared" si="183"/>
        <v>1.7003695751710797E-2</v>
      </c>
      <c r="P271" s="54" t="s">
        <v>21</v>
      </c>
      <c r="Q271" s="52" t="s">
        <v>21</v>
      </c>
      <c r="R271" s="93" t="s">
        <v>21</v>
      </c>
      <c r="S271" s="70" t="s">
        <v>21</v>
      </c>
      <c r="T271" s="62" t="str">
        <f t="shared" si="98"/>
        <v/>
      </c>
      <c r="V271" s="113">
        <v>1.12855642</v>
      </c>
      <c r="W271" s="71">
        <v>2.9147268</v>
      </c>
      <c r="X271" s="71">
        <v>4.4972477299999998</v>
      </c>
      <c r="Y271" s="71">
        <v>5.8592235399999995</v>
      </c>
      <c r="Z271" s="114">
        <v>7.5844948699999994</v>
      </c>
      <c r="AB271" s="72">
        <v>2.5575789833683114E-2</v>
      </c>
      <c r="AC271" s="70">
        <v>3.4268227800529731E-2</v>
      </c>
      <c r="AD271" s="70">
        <v>4.1078117685470344E-2</v>
      </c>
      <c r="AE271" s="70">
        <v>4.4501227394798538E-2</v>
      </c>
      <c r="AF271" s="62">
        <v>4.7274728651710791E-2</v>
      </c>
      <c r="AG271" s="70" t="s">
        <v>21</v>
      </c>
      <c r="AH271" s="70">
        <v>6.561019300529736E-3</v>
      </c>
      <c r="AI271" s="70">
        <v>1.279342458547035E-2</v>
      </c>
      <c r="AJ271" s="70">
        <v>1.5421445194798534E-2</v>
      </c>
      <c r="AK271" s="62">
        <v>1.7003695751710797E-2</v>
      </c>
    </row>
    <row r="272" spans="2:37" s="52" customFormat="1" x14ac:dyDescent="0.35">
      <c r="B272" s="54" t="s">
        <v>168</v>
      </c>
      <c r="C272" s="52" t="s">
        <v>232</v>
      </c>
      <c r="D272" s="52" t="s">
        <v>20</v>
      </c>
      <c r="E272" s="52" t="s">
        <v>408</v>
      </c>
      <c r="F272" s="72">
        <f t="shared" si="174"/>
        <v>2.8913639607778489E-2</v>
      </c>
      <c r="G272" s="59">
        <f t="shared" si="175"/>
        <v>4.0088505500370776E-2</v>
      </c>
      <c r="H272" s="59">
        <f t="shared" si="176"/>
        <v>4.9910760150470725E-2</v>
      </c>
      <c r="I272" s="59">
        <f t="shared" si="177"/>
        <v>5.4991392342562957E-2</v>
      </c>
      <c r="J272" s="62">
        <f t="shared" si="178"/>
        <v>5.9822989393284509E-2</v>
      </c>
      <c r="K272" s="59">
        <f t="shared" si="179"/>
        <v>1.6652562077784806E-3</v>
      </c>
      <c r="L272" s="59">
        <f t="shared" si="180"/>
        <v>1.211297360037078E-2</v>
      </c>
      <c r="M272" s="59">
        <f t="shared" si="181"/>
        <v>2.1152390750470724E-2</v>
      </c>
      <c r="N272" s="59">
        <f t="shared" si="182"/>
        <v>2.5325231342562954E-2</v>
      </c>
      <c r="O272" s="62">
        <f t="shared" si="183"/>
        <v>2.8889380193284509E-2</v>
      </c>
      <c r="P272" s="54" t="s">
        <v>474</v>
      </c>
      <c r="Q272" s="52" t="s">
        <v>475</v>
      </c>
      <c r="R272" s="93">
        <v>47505</v>
      </c>
      <c r="S272" s="70">
        <v>4.5329649999999999E-2</v>
      </c>
      <c r="T272" s="62">
        <f t="shared" si="98"/>
        <v>4.5811101504707255E-3</v>
      </c>
      <c r="V272" s="113">
        <v>1.11953923</v>
      </c>
      <c r="W272" s="71">
        <v>2.8574448700000001</v>
      </c>
      <c r="X272" s="71">
        <v>4.3362656499999996</v>
      </c>
      <c r="Y272" s="71">
        <v>5.5267409500000007</v>
      </c>
      <c r="Z272" s="114">
        <v>6.9267912099999993</v>
      </c>
      <c r="AB272" s="72">
        <v>2.8913639607778489E-2</v>
      </c>
      <c r="AC272" s="70">
        <v>4.0088505500370776E-2</v>
      </c>
      <c r="AD272" s="70">
        <v>4.9910760150470725E-2</v>
      </c>
      <c r="AE272" s="70">
        <v>5.4991392342562957E-2</v>
      </c>
      <c r="AF272" s="62">
        <v>5.9822989393284509E-2</v>
      </c>
      <c r="AG272" s="70">
        <v>1.6652562077784806E-3</v>
      </c>
      <c r="AH272" s="70">
        <v>1.211297360037078E-2</v>
      </c>
      <c r="AI272" s="70">
        <v>2.1152390750470724E-2</v>
      </c>
      <c r="AJ272" s="70">
        <v>2.5325231342562954E-2</v>
      </c>
      <c r="AK272" s="62">
        <v>2.8889380193284509E-2</v>
      </c>
    </row>
    <row r="273" spans="2:37" s="52" customFormat="1" x14ac:dyDescent="0.35">
      <c r="B273" s="54" t="s">
        <v>168</v>
      </c>
      <c r="C273" s="52" t="s">
        <v>232</v>
      </c>
      <c r="D273" s="52" t="s">
        <v>20</v>
      </c>
      <c r="E273" s="52" t="s">
        <v>576</v>
      </c>
      <c r="F273" s="72">
        <f t="shared" si="174"/>
        <v>2.8913639607778489E-2</v>
      </c>
      <c r="G273" s="59">
        <f t="shared" si="175"/>
        <v>4.0088505500370776E-2</v>
      </c>
      <c r="H273" s="59">
        <f t="shared" si="176"/>
        <v>4.9910760150470725E-2</v>
      </c>
      <c r="I273" s="59">
        <f t="shared" si="177"/>
        <v>5.4991392342562957E-2</v>
      </c>
      <c r="J273" s="62">
        <f t="shared" si="178"/>
        <v>5.9822989393284509E-2</v>
      </c>
      <c r="K273" s="59">
        <f t="shared" si="179"/>
        <v>1.6652562077784806E-3</v>
      </c>
      <c r="L273" s="59">
        <f t="shared" si="180"/>
        <v>1.211297360037078E-2</v>
      </c>
      <c r="M273" s="59">
        <f t="shared" si="181"/>
        <v>2.1152390750470724E-2</v>
      </c>
      <c r="N273" s="59">
        <f t="shared" si="182"/>
        <v>2.5325231342562954E-2</v>
      </c>
      <c r="O273" s="62">
        <f t="shared" si="183"/>
        <v>2.8889380193284509E-2</v>
      </c>
      <c r="P273" s="54" t="s">
        <v>474</v>
      </c>
      <c r="Q273" s="52" t="s">
        <v>475</v>
      </c>
      <c r="R273" s="93">
        <v>47505</v>
      </c>
      <c r="S273" s="70">
        <v>4.5329649999999999E-2</v>
      </c>
      <c r="T273" s="62">
        <f t="shared" si="98"/>
        <v>4.5811101504707255E-3</v>
      </c>
      <c r="V273" s="113">
        <v>1.11953923</v>
      </c>
      <c r="W273" s="71">
        <v>2.8574448700000001</v>
      </c>
      <c r="X273" s="71">
        <v>4.3362656499999996</v>
      </c>
      <c r="Y273" s="71">
        <v>5.5267409500000007</v>
      </c>
      <c r="Z273" s="114">
        <v>6.9267912099999993</v>
      </c>
      <c r="AB273" s="72">
        <v>2.8913639607778489E-2</v>
      </c>
      <c r="AC273" s="70">
        <v>4.0088505500370776E-2</v>
      </c>
      <c r="AD273" s="70">
        <v>4.9910760150470725E-2</v>
      </c>
      <c r="AE273" s="70">
        <v>5.4991392342562957E-2</v>
      </c>
      <c r="AF273" s="62">
        <v>5.9822989393284509E-2</v>
      </c>
      <c r="AG273" s="70">
        <v>1.6652562077784806E-3</v>
      </c>
      <c r="AH273" s="70">
        <v>1.211297360037078E-2</v>
      </c>
      <c r="AI273" s="70">
        <v>2.1152390750470724E-2</v>
      </c>
      <c r="AJ273" s="70">
        <v>2.5325231342562954E-2</v>
      </c>
      <c r="AK273" s="62">
        <v>2.8889380193284509E-2</v>
      </c>
    </row>
    <row r="274" spans="2:37" x14ac:dyDescent="0.35">
      <c r="B274" s="54" t="s">
        <v>117</v>
      </c>
      <c r="C274" s="52" t="s">
        <v>232</v>
      </c>
      <c r="D274" s="52" t="s">
        <v>31</v>
      </c>
      <c r="E274" s="52" t="s">
        <v>123</v>
      </c>
      <c r="F274" s="72">
        <f t="shared" si="110"/>
        <v>2.4844407453254821E-2</v>
      </c>
      <c r="G274" s="59">
        <f t="shared" si="111"/>
        <v>3.4231514963682701E-2</v>
      </c>
      <c r="H274" s="59">
        <f t="shared" si="112"/>
        <v>3.8225820125139899E-2</v>
      </c>
      <c r="I274" s="59">
        <f t="shared" si="113"/>
        <v>4.172626604849354E-2</v>
      </c>
      <c r="J274" s="62">
        <f t="shared" si="114"/>
        <v>4.4647390747283688E-2</v>
      </c>
      <c r="K274" s="59" t="str">
        <f t="shared" si="115"/>
        <v/>
      </c>
      <c r="L274" s="59">
        <f t="shared" si="116"/>
        <v>6.5288849636826966E-3</v>
      </c>
      <c r="M274" s="59">
        <f t="shared" si="117"/>
        <v>1.0058087525139901E-2</v>
      </c>
      <c r="N274" s="59">
        <f t="shared" si="118"/>
        <v>1.2764485348493546E-2</v>
      </c>
      <c r="O274" s="62">
        <f t="shared" si="119"/>
        <v>1.4474749547283691E-2</v>
      </c>
      <c r="P274" s="54" t="s">
        <v>21</v>
      </c>
      <c r="Q274" s="52" t="s">
        <v>21</v>
      </c>
      <c r="R274" s="93" t="s">
        <v>21</v>
      </c>
      <c r="S274" s="70" t="s">
        <v>21</v>
      </c>
      <c r="T274" s="62" t="str">
        <f t="shared" si="98"/>
        <v/>
      </c>
      <c r="V274" s="113">
        <v>1.12990137</v>
      </c>
      <c r="W274" s="71">
        <v>2.9169801</v>
      </c>
      <c r="X274" s="71">
        <v>4.5308162400000001</v>
      </c>
      <c r="Y274" s="71">
        <v>5.9404506699999997</v>
      </c>
      <c r="Z274" s="114">
        <v>7.7384683399999998</v>
      </c>
      <c r="AB274" s="72">
        <v>2.4844407453254821E-2</v>
      </c>
      <c r="AC274" s="70">
        <v>3.4231514963682701E-2</v>
      </c>
      <c r="AD274" s="70">
        <v>3.8225820125139899E-2</v>
      </c>
      <c r="AE274" s="70">
        <v>4.172626604849354E-2</v>
      </c>
      <c r="AF274" s="62">
        <v>4.4647390747283688E-2</v>
      </c>
      <c r="AG274" s="70" t="s">
        <v>21</v>
      </c>
      <c r="AH274" s="70">
        <v>6.5288849636826966E-3</v>
      </c>
      <c r="AI274" s="70">
        <v>1.0058087525139901E-2</v>
      </c>
      <c r="AJ274" s="70">
        <v>1.2764485348493546E-2</v>
      </c>
      <c r="AK274" s="62">
        <v>1.4474749547283691E-2</v>
      </c>
    </row>
    <row r="275" spans="2:37" x14ac:dyDescent="0.35">
      <c r="B275" s="54" t="s">
        <v>138</v>
      </c>
      <c r="C275" s="52" t="s">
        <v>232</v>
      </c>
      <c r="D275" s="52" t="s">
        <v>139</v>
      </c>
      <c r="E275" s="52" t="s">
        <v>159</v>
      </c>
      <c r="F275" s="72">
        <f t="shared" si="110"/>
        <v>2.590641967595031E-2</v>
      </c>
      <c r="G275" s="59">
        <f t="shared" si="111"/>
        <v>3.2481990504707209E-2</v>
      </c>
      <c r="H275" s="59">
        <f t="shared" si="112"/>
        <v>3.725638660534164E-2</v>
      </c>
      <c r="I275" s="59">
        <f t="shared" si="113"/>
        <v>4.120968918093617E-2</v>
      </c>
      <c r="J275" s="62">
        <f t="shared" si="114"/>
        <v>4.5742061448373866E-2</v>
      </c>
      <c r="K275" s="59" t="str">
        <f t="shared" si="115"/>
        <v/>
      </c>
      <c r="L275" s="59">
        <f t="shared" si="116"/>
        <v>4.8459999047072077E-3</v>
      </c>
      <c r="M275" s="59">
        <f t="shared" si="117"/>
        <v>9.1266106053416469E-3</v>
      </c>
      <c r="N275" s="59">
        <f t="shared" si="118"/>
        <v>1.2271202880936168E-2</v>
      </c>
      <c r="O275" s="62">
        <f t="shared" si="119"/>
        <v>1.5530224548373873E-2</v>
      </c>
      <c r="P275" s="54" t="s">
        <v>21</v>
      </c>
      <c r="Q275" s="52" t="s">
        <v>21</v>
      </c>
      <c r="R275" s="93" t="s">
        <v>21</v>
      </c>
      <c r="S275" s="70" t="s">
        <v>21</v>
      </c>
      <c r="T275" s="62" t="str">
        <f t="shared" si="98"/>
        <v/>
      </c>
      <c r="V275" s="113">
        <v>1.1277911700000001</v>
      </c>
      <c r="W275" s="71">
        <v>2.9238148900000001</v>
      </c>
      <c r="X275" s="71">
        <v>4.5494578099999998</v>
      </c>
      <c r="Y275" s="71">
        <v>5.9685299599999997</v>
      </c>
      <c r="Z275" s="114">
        <v>7.7421203300000005</v>
      </c>
      <c r="AA275" s="136"/>
      <c r="AB275" s="72">
        <v>2.590641967595031E-2</v>
      </c>
      <c r="AC275" s="70">
        <v>3.2481990504707209E-2</v>
      </c>
      <c r="AD275" s="70">
        <v>3.725638660534164E-2</v>
      </c>
      <c r="AE275" s="70">
        <v>4.120968918093617E-2</v>
      </c>
      <c r="AF275" s="62">
        <v>4.5742061448373866E-2</v>
      </c>
      <c r="AG275" s="70" t="s">
        <v>21</v>
      </c>
      <c r="AH275" s="70">
        <v>4.8459999047072077E-3</v>
      </c>
      <c r="AI275" s="70">
        <v>9.1266106053416469E-3</v>
      </c>
      <c r="AJ275" s="70">
        <v>1.2271202880936168E-2</v>
      </c>
      <c r="AK275" s="62">
        <v>1.5530224548373873E-2</v>
      </c>
    </row>
    <row r="276" spans="2:37" x14ac:dyDescent="0.35">
      <c r="B276" s="56" t="s">
        <v>169</v>
      </c>
      <c r="C276" s="66" t="s">
        <v>232</v>
      </c>
      <c r="D276" s="66" t="s">
        <v>69</v>
      </c>
      <c r="E276" s="66" t="s">
        <v>110</v>
      </c>
      <c r="F276" s="73">
        <f t="shared" si="110"/>
        <v>2.4322760147940589E-2</v>
      </c>
      <c r="G276" s="75">
        <f t="shared" si="111"/>
        <v>3.1151234367264767E-2</v>
      </c>
      <c r="H276" s="75">
        <f t="shared" si="112"/>
        <v>3.5994732031739571E-2</v>
      </c>
      <c r="I276" s="75">
        <f t="shared" si="113"/>
        <v>3.9066321415109802E-2</v>
      </c>
      <c r="J276" s="63">
        <f t="shared" si="114"/>
        <v>4.3148255335608995E-2</v>
      </c>
      <c r="K276" s="75" t="str">
        <f t="shared" si="115"/>
        <v/>
      </c>
      <c r="L276" s="75">
        <f t="shared" si="116"/>
        <v>3.5577144672647703E-3</v>
      </c>
      <c r="M276" s="75">
        <f t="shared" si="117"/>
        <v>7.9074680317395684E-3</v>
      </c>
      <c r="N276" s="75">
        <f t="shared" si="118"/>
        <v>1.0207196915109809E-2</v>
      </c>
      <c r="O276" s="63">
        <f t="shared" si="119"/>
        <v>1.3025625335608998E-2</v>
      </c>
      <c r="P276" s="56" t="s">
        <v>21</v>
      </c>
      <c r="Q276" s="66" t="s">
        <v>21</v>
      </c>
      <c r="R276" s="95" t="s">
        <v>21</v>
      </c>
      <c r="S276" s="75" t="s">
        <v>21</v>
      </c>
      <c r="T276" s="63" t="str">
        <f t="shared" si="98"/>
        <v/>
      </c>
      <c r="V276" s="115">
        <v>1.1309121099999999</v>
      </c>
      <c r="W276" s="107">
        <v>2.93798754</v>
      </c>
      <c r="X276" s="107">
        <v>4.5795362800000001</v>
      </c>
      <c r="Y276" s="107">
        <v>6.0310038400000003</v>
      </c>
      <c r="Z276" s="116">
        <v>7.8768201400000004</v>
      </c>
      <c r="AA276" s="66"/>
      <c r="AB276" s="73">
        <v>2.4322760147940589E-2</v>
      </c>
      <c r="AC276" s="75">
        <v>3.1151234367264767E-2</v>
      </c>
      <c r="AD276" s="75">
        <v>3.5994732031739571E-2</v>
      </c>
      <c r="AE276" s="75">
        <v>3.9066321415109802E-2</v>
      </c>
      <c r="AF276" s="63">
        <v>4.3148255335608995E-2</v>
      </c>
      <c r="AG276" s="75" t="s">
        <v>21</v>
      </c>
      <c r="AH276" s="75">
        <v>3.5577144672647703E-3</v>
      </c>
      <c r="AI276" s="75">
        <v>7.9074680317395684E-3</v>
      </c>
      <c r="AJ276" s="75">
        <v>1.0207196915109809E-2</v>
      </c>
      <c r="AK276" s="63">
        <v>1.3025625335608998E-2</v>
      </c>
    </row>
    <row r="277" spans="2:37" x14ac:dyDescent="0.35">
      <c r="B277" s="52"/>
      <c r="C277" s="52"/>
      <c r="D277" s="52"/>
      <c r="E277" s="52"/>
      <c r="P277" s="127"/>
      <c r="Q277" s="127"/>
      <c r="R277" s="44"/>
      <c r="S277" s="127"/>
      <c r="T277" s="52"/>
      <c r="V277" s="71"/>
      <c r="W277" s="71"/>
      <c r="X277" s="71"/>
      <c r="Y277" s="71"/>
      <c r="Z277" s="71"/>
      <c r="AB277" s="52"/>
      <c r="AC277" s="52"/>
      <c r="AD277" s="52"/>
      <c r="AE277" s="52"/>
      <c r="AF277" s="52"/>
      <c r="AG277" s="52"/>
      <c r="AH277" s="52"/>
      <c r="AI277" s="52"/>
      <c r="AJ277" s="52"/>
      <c r="AK277" s="52"/>
    </row>
    <row r="278" spans="2:37" ht="15.5" x14ac:dyDescent="0.35">
      <c r="B278" s="121" t="s">
        <v>177</v>
      </c>
      <c r="C278" s="52"/>
      <c r="D278" s="52"/>
      <c r="E278" s="52"/>
      <c r="P278" s="52"/>
      <c r="Q278" s="52"/>
      <c r="R278" s="93"/>
      <c r="S278" s="70"/>
      <c r="T278" s="70"/>
      <c r="V278" s="71"/>
      <c r="W278" s="71"/>
      <c r="X278" s="71"/>
      <c r="Y278" s="71"/>
      <c r="Z278" s="71"/>
      <c r="AB278" s="52"/>
      <c r="AC278" s="52"/>
      <c r="AD278" s="52"/>
      <c r="AE278" s="52"/>
      <c r="AF278" s="52"/>
      <c r="AG278" s="52"/>
      <c r="AH278" s="52"/>
      <c r="AI278" s="52"/>
      <c r="AJ278" s="52"/>
      <c r="AK278" s="52"/>
    </row>
    <row r="279" spans="2:37" x14ac:dyDescent="0.35">
      <c r="B279" s="84" t="s">
        <v>5</v>
      </c>
      <c r="C279" s="83" t="s">
        <v>6</v>
      </c>
      <c r="D279" s="83" t="s">
        <v>7</v>
      </c>
      <c r="E279" s="83" t="s">
        <v>8</v>
      </c>
      <c r="F279" s="6" t="s">
        <v>9</v>
      </c>
      <c r="G279" s="7" t="s">
        <v>10</v>
      </c>
      <c r="H279" s="7" t="s">
        <v>11</v>
      </c>
      <c r="I279" s="7" t="s">
        <v>12</v>
      </c>
      <c r="J279" s="8" t="s">
        <v>13</v>
      </c>
      <c r="K279" s="6" t="s">
        <v>9</v>
      </c>
      <c r="L279" s="7" t="s">
        <v>10</v>
      </c>
      <c r="M279" s="7" t="s">
        <v>11</v>
      </c>
      <c r="N279" s="7" t="s">
        <v>12</v>
      </c>
      <c r="O279" s="8" t="s">
        <v>13</v>
      </c>
      <c r="P279" s="69" t="s">
        <v>14</v>
      </c>
      <c r="Q279" s="57" t="s">
        <v>15</v>
      </c>
      <c r="R279" s="57" t="s">
        <v>16</v>
      </c>
      <c r="S279" s="57" t="s">
        <v>17</v>
      </c>
      <c r="T279" s="57" t="s">
        <v>18</v>
      </c>
      <c r="V279" s="109" t="s">
        <v>9</v>
      </c>
      <c r="W279" s="105" t="s">
        <v>10</v>
      </c>
      <c r="X279" s="105" t="s">
        <v>11</v>
      </c>
      <c r="Y279" s="105" t="s">
        <v>12</v>
      </c>
      <c r="Z279" s="110" t="s">
        <v>13</v>
      </c>
      <c r="AB279" s="82" t="s">
        <v>9</v>
      </c>
      <c r="AC279" s="81" t="s">
        <v>10</v>
      </c>
      <c r="AD279" s="81" t="s">
        <v>11</v>
      </c>
      <c r="AE279" s="81" t="s">
        <v>12</v>
      </c>
      <c r="AF279" s="80" t="s">
        <v>13</v>
      </c>
      <c r="AG279" s="82" t="s">
        <v>9</v>
      </c>
      <c r="AH279" s="81" t="s">
        <v>10</v>
      </c>
      <c r="AI279" s="81" t="s">
        <v>11</v>
      </c>
      <c r="AJ279" s="81" t="s">
        <v>12</v>
      </c>
      <c r="AK279" s="80" t="s">
        <v>13</v>
      </c>
    </row>
    <row r="280" spans="2:37" x14ac:dyDescent="0.35">
      <c r="B280" s="55" t="s">
        <v>178</v>
      </c>
      <c r="C280" s="52" t="s">
        <v>232</v>
      </c>
      <c r="D280" s="65" t="s">
        <v>47</v>
      </c>
      <c r="E280" s="65" t="s">
        <v>577</v>
      </c>
      <c r="F280" s="72" t="str">
        <f>IF(ISNUMBER(AB280),AB280-((C$4-C$3)/V280),"")</f>
        <v/>
      </c>
      <c r="G280" s="59">
        <f>IF(ISNUMBER(AC280),AC280-((D$4-D$3)/W280),"")</f>
        <v>3.1058007983931015E-2</v>
      </c>
      <c r="H280" s="59">
        <f>IF(ISNUMBER(AD280),AD280-((E$4-E$3)/X280),"")</f>
        <v>3.4983661571987915E-2</v>
      </c>
      <c r="I280" s="59">
        <f>IF(ISNUMBER(AE280),AE280-((F$4-F$3)/Y280),"")</f>
        <v>3.8686314926113075E-2</v>
      </c>
      <c r="J280" s="62">
        <f>IF(ISNUMBER(AF280),AF280-((G$4-G$3)/Z280),"")</f>
        <v>4.2432805356821063E-2</v>
      </c>
      <c r="K280" s="59" t="str">
        <f>IF(ISNUMBER(AG280),IF(AG280-((C$4-C$3)/V280)&lt;0,"",AG280-((C$4-C$3)/V280)),"")</f>
        <v/>
      </c>
      <c r="L280" s="59">
        <f>IF(ISNUMBER(AH280),IF(AH280-((D$4-D$3)/W280)&lt;0,"",AH280-((D$4-D$3)/W280)),"")</f>
        <v>3.4867244839310177E-3</v>
      </c>
      <c r="M280" s="59">
        <f>IF(ISNUMBER(AI280),IF(AI280-((E$4-E$3)/X280)&lt;0,"",AI280-((E$4-E$3)/X280)),"")</f>
        <v>6.9350415719879157E-3</v>
      </c>
      <c r="N280" s="59">
        <f>IF(ISNUMBER(AJ280),IF(AJ280-((F$4-F$3)/Y280)&lt;0,"",AJ280-((F$4-F$3)/Y280)),"")</f>
        <v>9.8668514261130713E-3</v>
      </c>
      <c r="O280" s="62">
        <f>IF(ISNUMBER(AK280),IF(AK280-((G$4-G$3)/Z280)&lt;0,"",AK280-((G$4-G$3)/Z280)),"")</f>
        <v>1.236737935682107E-2</v>
      </c>
      <c r="P280" s="55" t="s">
        <v>578</v>
      </c>
      <c r="Q280" s="65" t="s">
        <v>579</v>
      </c>
      <c r="R280" s="99" t="s">
        <v>32</v>
      </c>
      <c r="S280" s="79">
        <v>3.1108050000000002E-2</v>
      </c>
      <c r="T280" s="62">
        <f t="shared" ref="T280:T286" si="184">IF(S280="","",H280-S280)</f>
        <v>3.8756115719879129E-3</v>
      </c>
      <c r="V280" s="113">
        <v>1.13161661</v>
      </c>
      <c r="W280" s="71">
        <v>2.9439356600000002</v>
      </c>
      <c r="X280" s="71">
        <v>4.5997931000000003</v>
      </c>
      <c r="Y280" s="71">
        <v>6.0713367900000001</v>
      </c>
      <c r="Z280" s="114">
        <v>7.9674727900000004</v>
      </c>
      <c r="AB280" s="74" t="s">
        <v>21</v>
      </c>
      <c r="AC280" s="79">
        <v>3.1058007983931015E-2</v>
      </c>
      <c r="AD280" s="79">
        <v>3.4983661571987915E-2</v>
      </c>
      <c r="AE280" s="79">
        <v>3.8686314926113075E-2</v>
      </c>
      <c r="AF280" s="61">
        <v>4.2432805356821063E-2</v>
      </c>
      <c r="AG280" s="79" t="s">
        <v>21</v>
      </c>
      <c r="AH280" s="79">
        <v>3.4867244839310177E-3</v>
      </c>
      <c r="AI280" s="79">
        <v>6.9350415719879157E-3</v>
      </c>
      <c r="AJ280" s="79">
        <v>9.8668514261130713E-3</v>
      </c>
      <c r="AK280" s="61">
        <v>1.236737935682107E-2</v>
      </c>
    </row>
    <row r="281" spans="2:37" s="52" customFormat="1" x14ac:dyDescent="0.35">
      <c r="B281" s="54" t="s">
        <v>269</v>
      </c>
      <c r="C281" s="52" t="s">
        <v>232</v>
      </c>
      <c r="D281" s="52" t="s">
        <v>20</v>
      </c>
      <c r="E281" s="52" t="s">
        <v>580</v>
      </c>
      <c r="F281" s="72" t="str">
        <f t="shared" ref="F281" si="185">IF(ISNUMBER(AB281),AB281-((C$4-C$3)/V281),"")</f>
        <v/>
      </c>
      <c r="G281" s="59">
        <f t="shared" ref="G281" si="186">IF(ISNUMBER(AC281),AC281-((D$4-D$3)/W281),"")</f>
        <v>3.2675589652588391E-2</v>
      </c>
      <c r="H281" s="59">
        <f t="shared" ref="H281" si="187">IF(ISNUMBER(AD281),AD281-((E$4-E$3)/X281),"")</f>
        <v>3.5593721962704376E-2</v>
      </c>
      <c r="I281" s="59">
        <f t="shared" ref="I281" si="188">IF(ISNUMBER(AE281),AE281-((F$4-F$3)/Y281),"")</f>
        <v>3.8429714339203468E-2</v>
      </c>
      <c r="J281" s="62">
        <f t="shared" ref="J281" si="189">IF(ISNUMBER(AF281),AF281-((G$4-G$3)/Z281),"")</f>
        <v>4.0706698052350665E-2</v>
      </c>
      <c r="K281" s="59" t="str">
        <f t="shared" ref="K281" si="190">IF(ISNUMBER(AG281),IF(AG281-((C$4-C$3)/V281)&lt;0,"",AG281-((C$4-C$3)/V281)),"")</f>
        <v/>
      </c>
      <c r="L281" s="59">
        <f t="shared" ref="L281" si="191">IF(ISNUMBER(AH281),IF(AH281-((D$4-D$3)/W281)&lt;0,"",AH281-((D$4-D$3)/W281)),"")</f>
        <v>5.0714239525883947E-3</v>
      </c>
      <c r="M281" s="59">
        <f t="shared" ref="M281" si="192">IF(ISNUMBER(AI281),IF(AI281-((E$4-E$3)/X281)&lt;0,"",AI281-((E$4-E$3)/X281)),"")</f>
        <v>7.5432654627043778E-3</v>
      </c>
      <c r="N281" s="59">
        <f t="shared" ref="N281" si="193">IF(ISNUMBER(AJ281),IF(AJ281-((F$4-F$3)/Y281)&lt;0,"",AJ281-((F$4-F$3)/Y281)),"")</f>
        <v>9.6331164392034659E-3</v>
      </c>
      <c r="O281" s="62">
        <f t="shared" ref="O281" si="194">IF(ISNUMBER(AK281),IF(AK281-((G$4-G$3)/Z281)&lt;0,"",AK281-((G$4-G$3)/Z281)),"")</f>
        <v>1.0695429152350673E-2</v>
      </c>
      <c r="P281" s="54" t="s">
        <v>581</v>
      </c>
      <c r="Q281" s="52" t="s">
        <v>582</v>
      </c>
      <c r="R281" s="93" t="s">
        <v>32</v>
      </c>
      <c r="S281" s="70">
        <v>2.8781880000000003E-2</v>
      </c>
      <c r="T281" s="62">
        <f t="shared" ref="T281" si="195">IF(S281="","",H281-S281)</f>
        <v>6.8118419627043736E-3</v>
      </c>
      <c r="V281" s="113">
        <v>1.1302818100000001</v>
      </c>
      <c r="W281" s="71">
        <v>2.9336393100000002</v>
      </c>
      <c r="X281" s="71">
        <v>4.5861264100000003</v>
      </c>
      <c r="Y281" s="71">
        <v>6.0688434600000001</v>
      </c>
      <c r="Z281" s="114">
        <v>8.0237767599999987</v>
      </c>
      <c r="AB281" s="72" t="s">
        <v>21</v>
      </c>
      <c r="AC281" s="70">
        <v>3.2675589652588391E-2</v>
      </c>
      <c r="AD281" s="70">
        <v>3.5593721962704376E-2</v>
      </c>
      <c r="AE281" s="70">
        <v>3.8429714339203468E-2</v>
      </c>
      <c r="AF281" s="62">
        <v>4.0706698052350665E-2</v>
      </c>
      <c r="AG281" s="70" t="s">
        <v>21</v>
      </c>
      <c r="AH281" s="70">
        <v>5.0714239525883947E-3</v>
      </c>
      <c r="AI281" s="70">
        <v>7.5432654627043778E-3</v>
      </c>
      <c r="AJ281" s="70">
        <v>9.6331164392034659E-3</v>
      </c>
      <c r="AK281" s="62">
        <v>1.0695429152350673E-2</v>
      </c>
    </row>
    <row r="282" spans="2:37" x14ac:dyDescent="0.35">
      <c r="B282" s="54" t="s">
        <v>180</v>
      </c>
      <c r="C282" s="52" t="s">
        <v>232</v>
      </c>
      <c r="D282" s="52" t="s">
        <v>69</v>
      </c>
      <c r="E282" s="52" t="s">
        <v>270</v>
      </c>
      <c r="F282" s="72" t="str">
        <f t="shared" ref="F282:F286" si="196">IF(ISNUMBER(AB282),AB282-((C$4-C$3)/V282),"")</f>
        <v/>
      </c>
      <c r="G282" s="59">
        <f t="shared" ref="G282:G286" si="197">IF(ISNUMBER(AC282),AC282-((D$4-D$3)/W282),"")</f>
        <v>2.992709163290869E-2</v>
      </c>
      <c r="H282" s="59">
        <f t="shared" ref="H282:H286" si="198">IF(ISNUMBER(AD282),AD282-((E$4-E$3)/X282),"")</f>
        <v>3.3135124858736029E-2</v>
      </c>
      <c r="I282" s="59">
        <f t="shared" ref="I282:I286" si="199">IF(ISNUMBER(AE282),AE282-((F$4-F$3)/Y282),"")</f>
        <v>3.6113125253774948E-2</v>
      </c>
      <c r="J282" s="62">
        <f t="shared" ref="J282:J286" si="200">IF(ISNUMBER(AF282),AF282-((G$4-G$3)/Z282),"")</f>
        <v>3.900767943083612E-2</v>
      </c>
      <c r="K282" s="59" t="str">
        <f t="shared" ref="K282:K286" si="201">IF(ISNUMBER(AG282),IF(AG282-((C$4-C$3)/V282)&lt;0,"",AG282-((C$4-C$3)/V282)),"")</f>
        <v/>
      </c>
      <c r="L282" s="59">
        <f t="shared" ref="L282:L286" si="202">IF(ISNUMBER(AH282),IF(AH282-((D$4-D$3)/W282)&lt;0,"",AH282-((D$4-D$3)/W282)),"")</f>
        <v>2.3912829329086902E-3</v>
      </c>
      <c r="M282" s="59">
        <f t="shared" ref="M282:M286" si="203">IF(ISNUMBER(AI282),IF(AI282-((E$4-E$3)/X282)&lt;0,"",AI282-((E$4-E$3)/X282)),"")</f>
        <v>5.1409065587360346E-3</v>
      </c>
      <c r="N282" s="59">
        <f t="shared" ref="N282:N286" si="204">IF(ISNUMBER(AJ282),IF(AJ282-((F$4-F$3)/Y282)&lt;0,"",AJ282-((F$4-F$3)/Y282)),"")</f>
        <v>7.3671476537749527E-3</v>
      </c>
      <c r="O282" s="62">
        <f t="shared" ref="O282:O286" si="205">IF(ISNUMBER(AK282),IF(AK282-((G$4-G$3)/Z282)&lt;0,"",AK282-((G$4-G$3)/Z282)),"")</f>
        <v>9.0236845308361222E-3</v>
      </c>
      <c r="P282" s="54" t="s">
        <v>583</v>
      </c>
      <c r="Q282" s="52" t="s">
        <v>584</v>
      </c>
      <c r="R282" s="93" t="s">
        <v>32</v>
      </c>
      <c r="S282" s="70">
        <v>2.80942E-2</v>
      </c>
      <c r="T282" s="62">
        <f t="shared" si="184"/>
        <v>5.0409248587360289E-3</v>
      </c>
      <c r="V282" s="113">
        <v>1.1325095199999999</v>
      </c>
      <c r="W282" s="71">
        <v>2.9526101599999999</v>
      </c>
      <c r="X282" s="71">
        <v>4.6297723899999994</v>
      </c>
      <c r="Y282" s="71">
        <v>6.1405969599999999</v>
      </c>
      <c r="Z282" s="114">
        <v>8.1300313000000006</v>
      </c>
      <c r="AB282" s="72" t="s">
        <v>21</v>
      </c>
      <c r="AC282" s="70">
        <v>2.992709163290869E-2</v>
      </c>
      <c r="AD282" s="70">
        <v>3.3135124858736029E-2</v>
      </c>
      <c r="AE282" s="70">
        <v>3.6113125253774948E-2</v>
      </c>
      <c r="AF282" s="62">
        <v>3.900767943083612E-2</v>
      </c>
      <c r="AG282" s="70" t="s">
        <v>21</v>
      </c>
      <c r="AH282" s="70">
        <v>2.3912829329086902E-3</v>
      </c>
      <c r="AI282" s="70">
        <v>5.1409065587360346E-3</v>
      </c>
      <c r="AJ282" s="70">
        <v>7.3671476537749527E-3</v>
      </c>
      <c r="AK282" s="62">
        <v>9.0236845308361222E-3</v>
      </c>
    </row>
    <row r="283" spans="2:37" x14ac:dyDescent="0.35">
      <c r="B283" s="54" t="s">
        <v>181</v>
      </c>
      <c r="C283" s="52" t="s">
        <v>232</v>
      </c>
      <c r="D283" s="52" t="s">
        <v>182</v>
      </c>
      <c r="E283" s="52" t="s">
        <v>321</v>
      </c>
      <c r="F283" s="72" t="str">
        <f t="shared" si="196"/>
        <v/>
      </c>
      <c r="G283" s="59">
        <f t="shared" si="197"/>
        <v>3.0896010522505377E-2</v>
      </c>
      <c r="H283" s="59">
        <f t="shared" si="198"/>
        <v>3.4713528304913033E-2</v>
      </c>
      <c r="I283" s="59">
        <f t="shared" si="199"/>
        <v>3.8900512465700733E-2</v>
      </c>
      <c r="J283" s="62">
        <f t="shared" si="200"/>
        <v>4.3238890215819711E-2</v>
      </c>
      <c r="K283" s="59" t="str">
        <f t="shared" si="201"/>
        <v/>
      </c>
      <c r="L283" s="59">
        <f t="shared" si="202"/>
        <v>3.3307156225053786E-3</v>
      </c>
      <c r="M283" s="59">
        <f t="shared" si="203"/>
        <v>6.6739073049130312E-3</v>
      </c>
      <c r="N283" s="59">
        <f t="shared" si="204"/>
        <v>1.0074848665700735E-2</v>
      </c>
      <c r="O283" s="62">
        <f t="shared" si="205"/>
        <v>1.3152081415819722E-2</v>
      </c>
      <c r="P283" s="54" t="s">
        <v>585</v>
      </c>
      <c r="Q283" s="52" t="s">
        <v>586</v>
      </c>
      <c r="R283" s="93" t="s">
        <v>32</v>
      </c>
      <c r="S283" s="70">
        <v>3.444788E-2</v>
      </c>
      <c r="T283" s="62">
        <f t="shared" si="184"/>
        <v>2.656483049130326E-4</v>
      </c>
      <c r="V283" s="113">
        <v>1.13250462</v>
      </c>
      <c r="W283" s="71">
        <v>2.94652804</v>
      </c>
      <c r="X283" s="71">
        <v>4.6053759299999992</v>
      </c>
      <c r="Y283" s="71">
        <v>6.07448546</v>
      </c>
      <c r="Z283" s="114">
        <v>7.9495991999999998</v>
      </c>
      <c r="AB283" s="72" t="s">
        <v>21</v>
      </c>
      <c r="AC283" s="70">
        <v>3.0896010522505377E-2</v>
      </c>
      <c r="AD283" s="70">
        <v>3.4713528304913033E-2</v>
      </c>
      <c r="AE283" s="70">
        <v>3.8900512465700733E-2</v>
      </c>
      <c r="AF283" s="62">
        <v>4.3238890215819711E-2</v>
      </c>
      <c r="AG283" s="70" t="s">
        <v>21</v>
      </c>
      <c r="AH283" s="70">
        <v>3.3307156225053786E-3</v>
      </c>
      <c r="AI283" s="70">
        <v>6.6739073049130312E-3</v>
      </c>
      <c r="AJ283" s="70">
        <v>1.0074848665700735E-2</v>
      </c>
      <c r="AK283" s="62">
        <v>1.3152081415819722E-2</v>
      </c>
    </row>
    <row r="284" spans="2:37" x14ac:dyDescent="0.35">
      <c r="B284" s="54" t="s">
        <v>183</v>
      </c>
      <c r="C284" s="52" t="s">
        <v>232</v>
      </c>
      <c r="D284" s="52" t="s">
        <v>53</v>
      </c>
      <c r="E284" s="52" t="s">
        <v>179</v>
      </c>
      <c r="F284" s="72" t="str">
        <f t="shared" si="196"/>
        <v/>
      </c>
      <c r="G284" s="59">
        <f t="shared" si="197"/>
        <v>2.9881420246413899E-2</v>
      </c>
      <c r="H284" s="59">
        <f t="shared" si="198"/>
        <v>3.3029949780934424E-2</v>
      </c>
      <c r="I284" s="59">
        <f t="shared" si="199"/>
        <v>3.6224892355977437E-2</v>
      </c>
      <c r="J284" s="62">
        <f t="shared" si="200"/>
        <v>3.9229093593704349E-2</v>
      </c>
      <c r="K284" s="59" t="str">
        <f t="shared" si="201"/>
        <v/>
      </c>
      <c r="L284" s="59">
        <f t="shared" si="202"/>
        <v>2.3462157464138947E-3</v>
      </c>
      <c r="M284" s="59">
        <f t="shared" si="203"/>
        <v>5.0381487809344197E-3</v>
      </c>
      <c r="N284" s="59">
        <f t="shared" si="204"/>
        <v>7.4755175559774378E-3</v>
      </c>
      <c r="O284" s="62">
        <f t="shared" si="205"/>
        <v>9.2407593937043515E-3</v>
      </c>
      <c r="P284" s="54" t="s">
        <v>587</v>
      </c>
      <c r="Q284" s="52" t="s">
        <v>588</v>
      </c>
      <c r="R284" s="93" t="s">
        <v>32</v>
      </c>
      <c r="S284" s="70">
        <v>2.8864209999999998E-2</v>
      </c>
      <c r="T284" s="62">
        <f t="shared" si="184"/>
        <v>4.1657397809344264E-3</v>
      </c>
      <c r="V284" s="113">
        <v>1.1329334599999998</v>
      </c>
      <c r="W284" s="71">
        <v>2.9536650899999999</v>
      </c>
      <c r="X284" s="71">
        <v>4.6319858800000002</v>
      </c>
      <c r="Y284" s="71">
        <v>6.1415051399999996</v>
      </c>
      <c r="Z284" s="114">
        <v>8.1245409199999994</v>
      </c>
      <c r="AB284" s="72" t="s">
        <v>21</v>
      </c>
      <c r="AC284" s="70">
        <v>2.9881420246413899E-2</v>
      </c>
      <c r="AD284" s="70">
        <v>3.3029949780934424E-2</v>
      </c>
      <c r="AE284" s="70">
        <v>3.6224892355977437E-2</v>
      </c>
      <c r="AF284" s="62">
        <v>3.9229093593704349E-2</v>
      </c>
      <c r="AG284" s="70" t="s">
        <v>21</v>
      </c>
      <c r="AH284" s="70">
        <v>2.3462157464138947E-3</v>
      </c>
      <c r="AI284" s="70">
        <v>5.0381487809344197E-3</v>
      </c>
      <c r="AJ284" s="70">
        <v>7.4755175559774378E-3</v>
      </c>
      <c r="AK284" s="62">
        <v>9.2407593937043515E-3</v>
      </c>
    </row>
    <row r="285" spans="2:37" x14ac:dyDescent="0.35">
      <c r="B285" s="54" t="s">
        <v>184</v>
      </c>
      <c r="C285" s="52" t="s">
        <v>232</v>
      </c>
      <c r="D285" s="52" t="s">
        <v>31</v>
      </c>
      <c r="E285" s="52" t="s">
        <v>589</v>
      </c>
      <c r="F285" s="72" t="str">
        <f t="shared" si="196"/>
        <v/>
      </c>
      <c r="G285" s="59">
        <f t="shared" si="197"/>
        <v>3.0591040683601644E-2</v>
      </c>
      <c r="H285" s="59">
        <f t="shared" si="198"/>
        <v>3.4231483805941106E-2</v>
      </c>
      <c r="I285" s="59">
        <f t="shared" si="199"/>
        <v>3.7728708270249406E-2</v>
      </c>
      <c r="J285" s="62">
        <f t="shared" si="200"/>
        <v>4.1193593875302165E-2</v>
      </c>
      <c r="K285" s="59" t="str">
        <f t="shared" si="201"/>
        <v/>
      </c>
      <c r="L285" s="59">
        <f t="shared" si="202"/>
        <v>3.03503238360164E-3</v>
      </c>
      <c r="M285" s="59">
        <f t="shared" si="203"/>
        <v>6.2060468059411062E-3</v>
      </c>
      <c r="N285" s="59">
        <f t="shared" si="204"/>
        <v>8.9382670702494033E-3</v>
      </c>
      <c r="O285" s="62">
        <f t="shared" si="205"/>
        <v>1.1160610975302174E-2</v>
      </c>
      <c r="P285" s="54" t="s">
        <v>590</v>
      </c>
      <c r="Q285" s="52" t="s">
        <v>591</v>
      </c>
      <c r="R285" s="93" t="s">
        <v>32</v>
      </c>
      <c r="S285" s="70">
        <v>3.0360189999999999E-2</v>
      </c>
      <c r="T285" s="62">
        <f t="shared" si="184"/>
        <v>3.8712938059411069E-3</v>
      </c>
      <c r="V285" s="113">
        <v>1.13215548</v>
      </c>
      <c r="W285" s="71">
        <v>2.9478106399999997</v>
      </c>
      <c r="X285" s="71">
        <v>4.61229084</v>
      </c>
      <c r="Y285" s="71">
        <v>6.0984573900000001</v>
      </c>
      <c r="Z285" s="114">
        <v>8.0278158600000005</v>
      </c>
      <c r="AB285" s="72" t="s">
        <v>21</v>
      </c>
      <c r="AC285" s="70">
        <v>3.0591040683601644E-2</v>
      </c>
      <c r="AD285" s="70">
        <v>3.4231483805941106E-2</v>
      </c>
      <c r="AE285" s="70">
        <v>3.7728708270249406E-2</v>
      </c>
      <c r="AF285" s="62">
        <v>4.1193593875302165E-2</v>
      </c>
      <c r="AG285" s="70" t="s">
        <v>21</v>
      </c>
      <c r="AH285" s="70">
        <v>3.03503238360164E-3</v>
      </c>
      <c r="AI285" s="70">
        <v>6.2060468059411062E-3</v>
      </c>
      <c r="AJ285" s="70">
        <v>8.9382670702494033E-3</v>
      </c>
      <c r="AK285" s="62">
        <v>1.1160610975302174E-2</v>
      </c>
    </row>
    <row r="286" spans="2:37" x14ac:dyDescent="0.35">
      <c r="B286" s="56" t="s">
        <v>185</v>
      </c>
      <c r="C286" s="66" t="s">
        <v>232</v>
      </c>
      <c r="D286" s="66" t="s">
        <v>139</v>
      </c>
      <c r="E286" s="66" t="s">
        <v>592</v>
      </c>
      <c r="F286" s="73" t="str">
        <f t="shared" si="196"/>
        <v/>
      </c>
      <c r="G286" s="75">
        <f t="shared" si="197"/>
        <v>2.9878099576331373E-2</v>
      </c>
      <c r="H286" s="75">
        <f t="shared" si="198"/>
        <v>3.286817391595348E-2</v>
      </c>
      <c r="I286" s="75">
        <f t="shared" si="199"/>
        <v>3.6499231807729557E-2</v>
      </c>
      <c r="J286" s="63">
        <f t="shared" si="200"/>
        <v>3.9559760167325084E-2</v>
      </c>
      <c r="K286" s="75" t="str">
        <f t="shared" si="201"/>
        <v/>
      </c>
      <c r="L286" s="75">
        <f t="shared" si="202"/>
        <v>2.3425443763313717E-3</v>
      </c>
      <c r="M286" s="75">
        <f t="shared" si="203"/>
        <v>4.8804206159534869E-3</v>
      </c>
      <c r="N286" s="75">
        <f t="shared" si="204"/>
        <v>7.7418942077295558E-3</v>
      </c>
      <c r="O286" s="63">
        <f t="shared" si="205"/>
        <v>9.5652844673250817E-3</v>
      </c>
      <c r="P286" s="56" t="s">
        <v>593</v>
      </c>
      <c r="Q286" s="66" t="s">
        <v>594</v>
      </c>
      <c r="R286" s="95" t="s">
        <v>32</v>
      </c>
      <c r="S286" s="75">
        <v>2.7533690000000003E-2</v>
      </c>
      <c r="T286" s="63">
        <f t="shared" si="184"/>
        <v>5.3344839159534772E-3</v>
      </c>
      <c r="V286" s="115">
        <v>1.13306938</v>
      </c>
      <c r="W286" s="107">
        <v>2.9539344000000001</v>
      </c>
      <c r="X286" s="107">
        <v>4.6339262400000001</v>
      </c>
      <c r="Y286" s="107">
        <v>6.1401268600000005</v>
      </c>
      <c r="Z286" s="116">
        <v>8.1129186799999999</v>
      </c>
      <c r="AB286" s="73" t="s">
        <v>21</v>
      </c>
      <c r="AC286" s="75">
        <v>2.9878099576331373E-2</v>
      </c>
      <c r="AD286" s="75">
        <v>3.286817391595348E-2</v>
      </c>
      <c r="AE286" s="75">
        <v>3.6499231807729557E-2</v>
      </c>
      <c r="AF286" s="63">
        <v>3.9559760167325084E-2</v>
      </c>
      <c r="AG286" s="75" t="s">
        <v>21</v>
      </c>
      <c r="AH286" s="75">
        <v>2.3425443763313717E-3</v>
      </c>
      <c r="AI286" s="75">
        <v>4.8804206159534869E-3</v>
      </c>
      <c r="AJ286" s="75">
        <v>7.7418942077295558E-3</v>
      </c>
      <c r="AK286" s="63">
        <v>9.5652844673250817E-3</v>
      </c>
    </row>
    <row r="287" spans="2:37" x14ac:dyDescent="0.35">
      <c r="B287" s="52"/>
      <c r="C287" s="52"/>
      <c r="D287" s="52"/>
      <c r="E287" s="52"/>
      <c r="P287" s="52"/>
      <c r="Q287" s="52"/>
      <c r="R287" s="52"/>
      <c r="S287" s="52"/>
      <c r="T287" s="52"/>
      <c r="V287" s="71"/>
      <c r="W287" s="71"/>
      <c r="X287" s="71"/>
      <c r="Y287" s="71"/>
      <c r="Z287" s="71"/>
      <c r="AB287" s="52"/>
      <c r="AC287" s="52"/>
      <c r="AD287" s="52"/>
      <c r="AE287" s="52"/>
      <c r="AF287" s="52"/>
      <c r="AG287" s="52"/>
      <c r="AH287" s="52"/>
      <c r="AI287" s="52"/>
      <c r="AJ287" s="52"/>
      <c r="AK287" s="52"/>
    </row>
    <row r="288" spans="2:37" ht="15.5" x14ac:dyDescent="0.35">
      <c r="B288" s="121" t="s">
        <v>186</v>
      </c>
      <c r="C288" s="52"/>
      <c r="D288" s="52"/>
      <c r="E288" s="52"/>
      <c r="P288" s="52"/>
      <c r="Q288" s="52"/>
      <c r="R288" s="93"/>
      <c r="S288" s="70"/>
      <c r="T288" s="70"/>
      <c r="V288" s="71"/>
      <c r="W288" s="71"/>
      <c r="X288" s="71"/>
      <c r="Y288" s="71"/>
      <c r="Z288" s="71"/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</row>
    <row r="289" spans="1:38" x14ac:dyDescent="0.35">
      <c r="B289" s="84" t="s">
        <v>5</v>
      </c>
      <c r="C289" s="83" t="s">
        <v>6</v>
      </c>
      <c r="D289" s="83" t="s">
        <v>7</v>
      </c>
      <c r="E289" s="83" t="s">
        <v>8</v>
      </c>
      <c r="F289" s="82" t="s">
        <v>9</v>
      </c>
      <c r="G289" s="81" t="s">
        <v>10</v>
      </c>
      <c r="H289" s="81" t="s">
        <v>11</v>
      </c>
      <c r="I289" s="81" t="s">
        <v>12</v>
      </c>
      <c r="J289" s="80" t="s">
        <v>13</v>
      </c>
      <c r="K289" s="82" t="s">
        <v>9</v>
      </c>
      <c r="L289" s="81" t="s">
        <v>10</v>
      </c>
      <c r="M289" s="81" t="s">
        <v>11</v>
      </c>
      <c r="N289" s="81" t="s">
        <v>12</v>
      </c>
      <c r="O289" s="80" t="s">
        <v>13</v>
      </c>
      <c r="P289" s="69" t="s">
        <v>14</v>
      </c>
      <c r="Q289" s="57" t="s">
        <v>15</v>
      </c>
      <c r="R289" s="57" t="s">
        <v>16</v>
      </c>
      <c r="S289" s="57" t="s">
        <v>17</v>
      </c>
      <c r="T289" s="80" t="s">
        <v>18</v>
      </c>
      <c r="V289" s="109" t="s">
        <v>9</v>
      </c>
      <c r="W289" s="105" t="s">
        <v>10</v>
      </c>
      <c r="X289" s="105" t="s">
        <v>11</v>
      </c>
      <c r="Y289" s="105" t="s">
        <v>12</v>
      </c>
      <c r="Z289" s="110" t="s">
        <v>13</v>
      </c>
      <c r="AB289" s="82" t="s">
        <v>9</v>
      </c>
      <c r="AC289" s="81" t="s">
        <v>10</v>
      </c>
      <c r="AD289" s="81" t="s">
        <v>11</v>
      </c>
      <c r="AE289" s="81" t="s">
        <v>12</v>
      </c>
      <c r="AF289" s="80" t="s">
        <v>13</v>
      </c>
      <c r="AG289" s="82" t="s">
        <v>9</v>
      </c>
      <c r="AH289" s="81" t="s">
        <v>10</v>
      </c>
      <c r="AI289" s="81" t="s">
        <v>11</v>
      </c>
      <c r="AJ289" s="81" t="s">
        <v>12</v>
      </c>
      <c r="AK289" s="80" t="s">
        <v>13</v>
      </c>
    </row>
    <row r="290" spans="1:38" x14ac:dyDescent="0.35">
      <c r="B290" s="56" t="s">
        <v>296</v>
      </c>
      <c r="C290" s="66"/>
      <c r="D290" s="68"/>
      <c r="E290" s="68"/>
      <c r="F290" s="101" t="str">
        <f t="shared" ref="F290" si="206">IF(ISNUMBER(AB290),AB290-((C$4-C$3)/V290),"")</f>
        <v/>
      </c>
      <c r="G290" s="102" t="str">
        <f t="shared" ref="G290" si="207">IF(ISNUMBER(AC290),AC290-((D$4-D$3)/W290),"")</f>
        <v/>
      </c>
      <c r="H290" s="102">
        <f t="shared" ref="H290" si="208">IF(ISNUMBER(AD290),AD290-((E$4-E$3)/X290),"")</f>
        <v>4.2297932873603922E-2</v>
      </c>
      <c r="I290" s="102" t="str">
        <f t="shared" ref="I290" si="209">IF(ISNUMBER(AE290),AE290-((F$4-F$3)/Y290),"")</f>
        <v/>
      </c>
      <c r="J290" s="103" t="str">
        <f t="shared" ref="J290" si="210">IF(ISNUMBER(AF290),AF290-((G$4-G$3)/Z290),"")</f>
        <v/>
      </c>
      <c r="K290" s="102" t="str">
        <f t="shared" ref="K290" si="211">IF(ISNUMBER(AG290),IF(AG290-((C$4-C$3)/V290)&lt;0,"",AG290-((C$4-C$3)/V290)),"")</f>
        <v/>
      </c>
      <c r="L290" s="102" t="str">
        <f t="shared" ref="L290" si="212">IF(ISNUMBER(AH290),IF(AH290-((D$4-D$3)/W290)&lt;0,"",AH290-((D$4-D$3)/W290)),"")</f>
        <v/>
      </c>
      <c r="M290" s="102">
        <f t="shared" ref="M290" si="213">IF(ISNUMBER(AI290),IF(AI290-((E$4-E$3)/X290)&lt;0,"",AI290-((E$4-E$3)/X290)),"")</f>
        <v>1.4030898973603923E-2</v>
      </c>
      <c r="N290" s="102" t="str">
        <f t="shared" ref="N290" si="214">IF(ISNUMBER(AJ290),IF(AJ290-((F$4-F$3)/Y290)&lt;0,"",AJ290-((F$4-F$3)/Y290)),"")</f>
        <v/>
      </c>
      <c r="O290" s="103" t="str">
        <f t="shared" ref="O290" si="215">IF(ISNUMBER(AK290),IF(AK290-((G$4-G$3)/Z290)&lt;0,"",AK290-((G$4-G$3)/Z290)),"")</f>
        <v/>
      </c>
      <c r="P290" s="55"/>
      <c r="Q290" s="68"/>
      <c r="R290" s="104"/>
      <c r="S290" s="102"/>
      <c r="T290" s="103"/>
      <c r="V290" s="113">
        <v>1.1156254699999999</v>
      </c>
      <c r="W290" s="71">
        <v>2.8708853199999997</v>
      </c>
      <c r="X290" s="71">
        <v>4.4565358999999996</v>
      </c>
      <c r="Y290" s="71">
        <v>5.8656311099999998</v>
      </c>
      <c r="Z290" s="114">
        <v>7.7023826700000004</v>
      </c>
      <c r="AB290" s="101" t="s">
        <v>21</v>
      </c>
      <c r="AC290" s="102"/>
      <c r="AD290" s="102">
        <v>4.2297932873603922E-2</v>
      </c>
      <c r="AE290" s="102" t="s">
        <v>21</v>
      </c>
      <c r="AF290" s="103" t="s">
        <v>21</v>
      </c>
      <c r="AG290" s="102" t="s">
        <v>21</v>
      </c>
      <c r="AH290" s="102"/>
      <c r="AI290" s="102">
        <v>1.4030898973603923E-2</v>
      </c>
      <c r="AJ290" s="102" t="s">
        <v>21</v>
      </c>
      <c r="AK290" s="103" t="s">
        <v>21</v>
      </c>
    </row>
    <row r="291" spans="1:38" x14ac:dyDescent="0.35">
      <c r="B291" s="54" t="s">
        <v>187</v>
      </c>
      <c r="C291" s="52" t="s">
        <v>232</v>
      </c>
      <c r="D291" s="65" t="s">
        <v>188</v>
      </c>
      <c r="E291" s="65" t="s">
        <v>271</v>
      </c>
      <c r="F291" s="74" t="str">
        <f t="shared" ref="F291:F316" si="216">IF(ISNUMBER(AB291),AB291-((C$4-C$3)/V291),"")</f>
        <v/>
      </c>
      <c r="G291" s="79">
        <f t="shared" ref="G291:G316" si="217">IF(ISNUMBER(AC291),AC291-((D$4-D$3)/W291),"")</f>
        <v>2.9718439897039615E-2</v>
      </c>
      <c r="H291" s="79">
        <f t="shared" ref="H291:H316" si="218">IF(ISNUMBER(AD291),AD291-((E$4-E$3)/X291),"")</f>
        <v>3.3966965250066074E-2</v>
      </c>
      <c r="I291" s="79" t="str">
        <f t="shared" ref="I291:I316" si="219">IF(ISNUMBER(AE291),AE291-((F$4-F$3)/Y291),"")</f>
        <v/>
      </c>
      <c r="J291" s="61" t="str">
        <f t="shared" ref="J291:J316" si="220">IF(ISNUMBER(AF291),AF291-((G$4-G$3)/Z291),"")</f>
        <v/>
      </c>
      <c r="K291" s="79" t="str">
        <f t="shared" ref="K291:K316" si="221">IF(ISNUMBER(AG291),IF(AG291-((C$4-C$3)/V291)&lt;0,"",AG291-((C$4-C$3)/V291)),"")</f>
        <v/>
      </c>
      <c r="L291" s="79">
        <f t="shared" ref="L291:L316" si="222">IF(ISNUMBER(AH291),IF(AH291-((D$4-D$3)/W291)&lt;0,"",AH291-((D$4-D$3)/W291)),"")</f>
        <v>2.1857749970396224E-3</v>
      </c>
      <c r="M291" s="79">
        <f t="shared" ref="M291:M316" si="223">IF(ISNUMBER(AI291),IF(AI291-((E$4-E$3)/X291)&lt;0,"",AI291-((E$4-E$3)/X291)),"")</f>
        <v>5.9685964500660639E-3</v>
      </c>
      <c r="N291" s="79" t="str">
        <f t="shared" ref="N291:N316" si="224">IF(ISNUMBER(AJ291),IF(AJ291-((F$4-F$3)/Y291)&lt;0,"",AJ291-((F$4-F$3)/Y291)),"")</f>
        <v/>
      </c>
      <c r="O291" s="61" t="str">
        <f t="shared" ref="O291:O316" si="225">IF(ISNUMBER(AK291),IF(AK291-((G$4-G$3)/Z291)&lt;0,"",AK291-((G$4-G$3)/Z291)),"")</f>
        <v/>
      </c>
      <c r="P291" s="55" t="s">
        <v>21</v>
      </c>
      <c r="Q291" s="65" t="s">
        <v>21</v>
      </c>
      <c r="R291" s="99" t="s">
        <v>21</v>
      </c>
      <c r="S291" s="79" t="s">
        <v>21</v>
      </c>
      <c r="T291" s="62" t="str">
        <f t="shared" ref="T291:T316" si="226">IF(S291="","",H291-S291)</f>
        <v/>
      </c>
      <c r="V291" s="113">
        <v>1.1327740899999998</v>
      </c>
      <c r="W291" s="71">
        <v>2.9543175399999999</v>
      </c>
      <c r="X291" s="71">
        <v>4.6317359900000001</v>
      </c>
      <c r="Y291" s="71">
        <v>6.1365709300000004</v>
      </c>
      <c r="Z291" s="114">
        <v>8.1116210399999993</v>
      </c>
      <c r="AB291" s="74" t="s">
        <v>21</v>
      </c>
      <c r="AC291" s="79">
        <v>2.9718439897039615E-2</v>
      </c>
      <c r="AD291" s="79">
        <v>3.3966965250066074E-2</v>
      </c>
      <c r="AE291" s="79" t="s">
        <v>21</v>
      </c>
      <c r="AF291" s="61" t="s">
        <v>21</v>
      </c>
      <c r="AG291" s="79" t="s">
        <v>21</v>
      </c>
      <c r="AH291" s="79">
        <v>2.1857749970396224E-3</v>
      </c>
      <c r="AI291" s="79">
        <v>5.9685964500660639E-3</v>
      </c>
      <c r="AJ291" s="79" t="s">
        <v>21</v>
      </c>
      <c r="AK291" s="61" t="s">
        <v>21</v>
      </c>
    </row>
    <row r="292" spans="1:38" x14ac:dyDescent="0.35">
      <c r="B292" s="54" t="s">
        <v>189</v>
      </c>
      <c r="C292" s="52" t="s">
        <v>232</v>
      </c>
      <c r="D292" s="52" t="s">
        <v>190</v>
      </c>
      <c r="E292" s="52" t="s">
        <v>595</v>
      </c>
      <c r="F292" s="72" t="str">
        <f t="shared" si="216"/>
        <v/>
      </c>
      <c r="G292" s="59">
        <f t="shared" si="217"/>
        <v>3.2651468962826974E-2</v>
      </c>
      <c r="H292" s="59">
        <f t="shared" si="218"/>
        <v>3.7814298864510883E-2</v>
      </c>
      <c r="I292" s="59" t="str">
        <f t="shared" si="219"/>
        <v/>
      </c>
      <c r="J292" s="62" t="str">
        <f t="shared" si="220"/>
        <v/>
      </c>
      <c r="K292" s="59" t="str">
        <f t="shared" si="221"/>
        <v/>
      </c>
      <c r="L292" s="59">
        <f t="shared" si="222"/>
        <v>5.0277111628269687E-3</v>
      </c>
      <c r="M292" s="59">
        <f t="shared" si="223"/>
        <v>9.6977177645108849E-3</v>
      </c>
      <c r="N292" s="59" t="str">
        <f t="shared" si="224"/>
        <v/>
      </c>
      <c r="O292" s="62" t="str">
        <f t="shared" si="225"/>
        <v/>
      </c>
      <c r="P292" s="54" t="s">
        <v>596</v>
      </c>
      <c r="Q292" s="52" t="s">
        <v>597</v>
      </c>
      <c r="R292" s="93" t="s">
        <v>32</v>
      </c>
      <c r="S292" s="70">
        <v>3.630075E-2</v>
      </c>
      <c r="T292" s="62">
        <f t="shared" si="226"/>
        <v>1.513548864510883E-3</v>
      </c>
      <c r="V292" s="113">
        <v>1.1282502300000001</v>
      </c>
      <c r="W292" s="71">
        <v>2.93011394</v>
      </c>
      <c r="X292" s="71">
        <v>4.5669567400000002</v>
      </c>
      <c r="Y292" s="71">
        <v>6.0156577699999998</v>
      </c>
      <c r="Z292" s="114">
        <v>7.87826323</v>
      </c>
      <c r="AB292" s="72" t="s">
        <v>21</v>
      </c>
      <c r="AC292" s="70">
        <v>3.2651468962826974E-2</v>
      </c>
      <c r="AD292" s="70">
        <v>3.7814298864510883E-2</v>
      </c>
      <c r="AE292" s="70" t="s">
        <v>21</v>
      </c>
      <c r="AF292" s="62" t="s">
        <v>21</v>
      </c>
      <c r="AG292" s="70" t="s">
        <v>21</v>
      </c>
      <c r="AH292" s="70">
        <v>5.0277111628269687E-3</v>
      </c>
      <c r="AI292" s="70">
        <v>9.6977177645108849E-3</v>
      </c>
      <c r="AJ292" s="70" t="s">
        <v>21</v>
      </c>
      <c r="AK292" s="62" t="s">
        <v>21</v>
      </c>
    </row>
    <row r="293" spans="1:38" x14ac:dyDescent="0.35">
      <c r="B293" s="54" t="s">
        <v>192</v>
      </c>
      <c r="C293" s="52" t="s">
        <v>232</v>
      </c>
      <c r="D293" s="52" t="s">
        <v>193</v>
      </c>
      <c r="E293" s="52" t="s">
        <v>292</v>
      </c>
      <c r="F293" s="72" t="str">
        <f t="shared" si="216"/>
        <v/>
      </c>
      <c r="G293" s="59">
        <f t="shared" si="217"/>
        <v>2.9767996215350988E-2</v>
      </c>
      <c r="H293" s="59">
        <f t="shared" si="218"/>
        <v>3.400513443961789E-2</v>
      </c>
      <c r="I293" s="59" t="str">
        <f t="shared" si="219"/>
        <v/>
      </c>
      <c r="J293" s="62" t="str">
        <f t="shared" si="220"/>
        <v/>
      </c>
      <c r="K293" s="59" t="str">
        <f t="shared" si="221"/>
        <v/>
      </c>
      <c r="L293" s="59">
        <f t="shared" si="222"/>
        <v>2.2345169153509914E-3</v>
      </c>
      <c r="M293" s="59">
        <f t="shared" si="223"/>
        <v>6.0060698396178971E-3</v>
      </c>
      <c r="N293" s="59" t="str">
        <f t="shared" si="224"/>
        <v/>
      </c>
      <c r="O293" s="62" t="str">
        <f t="shared" si="225"/>
        <v/>
      </c>
      <c r="P293" s="54" t="s">
        <v>598</v>
      </c>
      <c r="Q293" s="52" t="s">
        <v>599</v>
      </c>
      <c r="R293" s="93" t="s">
        <v>32</v>
      </c>
      <c r="S293" s="70">
        <v>3.4215410000000002E-2</v>
      </c>
      <c r="T293" s="62">
        <f t="shared" si="226"/>
        <v>-2.1027556038211159E-4</v>
      </c>
      <c r="V293" s="113">
        <v>1.1324381299999999</v>
      </c>
      <c r="W293" s="71">
        <v>2.9534959299999999</v>
      </c>
      <c r="X293" s="71">
        <v>4.6306282599999999</v>
      </c>
      <c r="Y293" s="71">
        <v>6.13649354</v>
      </c>
      <c r="Z293" s="114">
        <v>8.0975215700000014</v>
      </c>
      <c r="AB293" s="72" t="s">
        <v>21</v>
      </c>
      <c r="AC293" s="70">
        <v>2.9767996215350988E-2</v>
      </c>
      <c r="AD293" s="70">
        <v>3.400513443961789E-2</v>
      </c>
      <c r="AE293" s="70" t="s">
        <v>21</v>
      </c>
      <c r="AF293" s="62" t="s">
        <v>21</v>
      </c>
      <c r="AG293" s="70" t="s">
        <v>21</v>
      </c>
      <c r="AH293" s="70">
        <v>2.2345169153509914E-3</v>
      </c>
      <c r="AI293" s="70">
        <v>6.0060698396178971E-3</v>
      </c>
      <c r="AJ293" s="70" t="s">
        <v>21</v>
      </c>
      <c r="AK293" s="62" t="s">
        <v>21</v>
      </c>
    </row>
    <row r="294" spans="1:38" x14ac:dyDescent="0.35">
      <c r="B294" s="54" t="s">
        <v>194</v>
      </c>
      <c r="C294" s="52" t="s">
        <v>232</v>
      </c>
      <c r="D294" s="52" t="s">
        <v>195</v>
      </c>
      <c r="E294" s="52" t="s">
        <v>600</v>
      </c>
      <c r="F294" s="72" t="str">
        <f t="shared" si="216"/>
        <v/>
      </c>
      <c r="G294" s="59">
        <f t="shared" si="217"/>
        <v>3.5897937895943692E-2</v>
      </c>
      <c r="H294" s="59">
        <f t="shared" si="218"/>
        <v>4.4592514116854651E-2</v>
      </c>
      <c r="I294" s="59" t="str">
        <f t="shared" si="219"/>
        <v/>
      </c>
      <c r="J294" s="62" t="str">
        <f t="shared" si="220"/>
        <v/>
      </c>
      <c r="K294" s="59" t="str">
        <f t="shared" si="221"/>
        <v/>
      </c>
      <c r="L294" s="59">
        <f t="shared" si="222"/>
        <v>8.1514251959436852E-3</v>
      </c>
      <c r="M294" s="59">
        <f t="shared" si="223"/>
        <v>1.6203445916854645E-2</v>
      </c>
      <c r="N294" s="59" t="str">
        <f t="shared" si="224"/>
        <v/>
      </c>
      <c r="O294" s="62" t="str">
        <f t="shared" si="225"/>
        <v/>
      </c>
      <c r="P294" s="54" t="s">
        <v>601</v>
      </c>
      <c r="Q294" s="52" t="s">
        <v>602</v>
      </c>
      <c r="R294" s="93" t="s">
        <v>32</v>
      </c>
      <c r="S294" s="70">
        <v>4.3563479999999995E-2</v>
      </c>
      <c r="T294" s="62">
        <f t="shared" si="226"/>
        <v>1.029034116854656E-3</v>
      </c>
      <c r="V294" s="113">
        <v>1.1283058100000001</v>
      </c>
      <c r="W294" s="71">
        <v>2.91341275</v>
      </c>
      <c r="X294" s="71">
        <v>4.4808659799999999</v>
      </c>
      <c r="Y294" s="71">
        <v>5.7995644899999999</v>
      </c>
      <c r="Z294" s="114">
        <v>7.3643814799999996</v>
      </c>
      <c r="AB294" s="72" t="s">
        <v>21</v>
      </c>
      <c r="AC294" s="70">
        <v>3.5897937895943692E-2</v>
      </c>
      <c r="AD294" s="70">
        <v>4.4592514116854651E-2</v>
      </c>
      <c r="AE294" s="70" t="s">
        <v>21</v>
      </c>
      <c r="AF294" s="62" t="s">
        <v>21</v>
      </c>
      <c r="AG294" s="70" t="s">
        <v>21</v>
      </c>
      <c r="AH294" s="70">
        <v>8.1514251959436852E-3</v>
      </c>
      <c r="AI294" s="70">
        <v>1.6203445916854645E-2</v>
      </c>
      <c r="AJ294" s="70" t="s">
        <v>21</v>
      </c>
      <c r="AK294" s="62" t="s">
        <v>21</v>
      </c>
    </row>
    <row r="295" spans="1:38" x14ac:dyDescent="0.35">
      <c r="B295" s="54" t="s">
        <v>196</v>
      </c>
      <c r="C295" s="52" t="s">
        <v>232</v>
      </c>
      <c r="D295" s="52" t="s">
        <v>197</v>
      </c>
      <c r="E295" s="52" t="s">
        <v>55</v>
      </c>
      <c r="F295" s="72" t="str">
        <f t="shared" si="216"/>
        <v/>
      </c>
      <c r="G295" s="59">
        <f t="shared" si="217"/>
        <v>3.4757522931380881E-2</v>
      </c>
      <c r="H295" s="59">
        <f t="shared" si="218"/>
        <v>4.1083816131319062E-2</v>
      </c>
      <c r="I295" s="59" t="str">
        <f t="shared" si="219"/>
        <v/>
      </c>
      <c r="J295" s="62" t="str">
        <f t="shared" si="220"/>
        <v/>
      </c>
      <c r="K295" s="59" t="str">
        <f t="shared" si="221"/>
        <v/>
      </c>
      <c r="L295" s="59">
        <f t="shared" si="222"/>
        <v>7.0668110313808746E-3</v>
      </c>
      <c r="M295" s="59">
        <f t="shared" si="223"/>
        <v>1.285257343131907E-2</v>
      </c>
      <c r="N295" s="59" t="str">
        <f t="shared" si="224"/>
        <v/>
      </c>
      <c r="O295" s="62" t="str">
        <f t="shared" si="225"/>
        <v/>
      </c>
      <c r="P295" s="54" t="s">
        <v>603</v>
      </c>
      <c r="Q295" s="52" t="s">
        <v>604</v>
      </c>
      <c r="R295" s="93">
        <v>47586</v>
      </c>
      <c r="S295" s="70">
        <v>3.9626380000000003E-2</v>
      </c>
      <c r="T295" s="62">
        <f t="shared" si="226"/>
        <v>1.4574361313190592E-3</v>
      </c>
      <c r="V295" s="113">
        <v>1.12780871</v>
      </c>
      <c r="W295" s="71">
        <v>2.9177551300000002</v>
      </c>
      <c r="X295" s="71">
        <v>4.5207360400000001</v>
      </c>
      <c r="Y295" s="71">
        <v>5.9022678800000001</v>
      </c>
      <c r="Z295" s="114">
        <v>7.6079400899999996</v>
      </c>
      <c r="AB295" s="72" t="s">
        <v>21</v>
      </c>
      <c r="AC295" s="70">
        <v>3.4757522931380881E-2</v>
      </c>
      <c r="AD295" s="70">
        <v>4.1083816131319062E-2</v>
      </c>
      <c r="AE295" s="70" t="s">
        <v>21</v>
      </c>
      <c r="AF295" s="62" t="s">
        <v>21</v>
      </c>
      <c r="AG295" s="70" t="s">
        <v>21</v>
      </c>
      <c r="AH295" s="70">
        <v>7.0668110313808746E-3</v>
      </c>
      <c r="AI295" s="70">
        <v>1.285257343131907E-2</v>
      </c>
      <c r="AJ295" s="70" t="s">
        <v>21</v>
      </c>
      <c r="AK295" s="62" t="s">
        <v>21</v>
      </c>
    </row>
    <row r="296" spans="1:38" x14ac:dyDescent="0.35">
      <c r="B296" s="54" t="s">
        <v>198</v>
      </c>
      <c r="C296" s="52" t="s">
        <v>232</v>
      </c>
      <c r="D296" s="52" t="s">
        <v>199</v>
      </c>
      <c r="E296" s="52" t="s">
        <v>293</v>
      </c>
      <c r="F296" s="72" t="str">
        <f t="shared" si="216"/>
        <v/>
      </c>
      <c r="G296" s="59">
        <f t="shared" si="217"/>
        <v>3.6765357584647565E-2</v>
      </c>
      <c r="H296" s="59">
        <f t="shared" si="218"/>
        <v>4.4316008644282652E-2</v>
      </c>
      <c r="I296" s="59" t="str">
        <f t="shared" si="219"/>
        <v/>
      </c>
      <c r="J296" s="62" t="str">
        <f t="shared" si="220"/>
        <v/>
      </c>
      <c r="K296" s="59" t="str">
        <f t="shared" si="221"/>
        <v/>
      </c>
      <c r="L296" s="59">
        <f t="shared" si="222"/>
        <v>9.0024111846475716E-3</v>
      </c>
      <c r="M296" s="59">
        <f t="shared" si="223"/>
        <v>1.595348784428265E-2</v>
      </c>
      <c r="N296" s="59" t="str">
        <f t="shared" si="224"/>
        <v/>
      </c>
      <c r="O296" s="62" t="str">
        <f t="shared" si="225"/>
        <v/>
      </c>
      <c r="P296" s="54" t="s">
        <v>605</v>
      </c>
      <c r="Q296" s="52" t="s">
        <v>606</v>
      </c>
      <c r="R296" s="93" t="s">
        <v>32</v>
      </c>
      <c r="S296" s="70">
        <v>3.9536439999999999E-2</v>
      </c>
      <c r="T296" s="62">
        <f t="shared" si="226"/>
        <v>4.7795686442826529E-3</v>
      </c>
      <c r="V296" s="113">
        <v>1.1263691100000002</v>
      </c>
      <c r="W296" s="71">
        <v>2.90437784</v>
      </c>
      <c r="X296" s="71">
        <v>4.47478</v>
      </c>
      <c r="Y296" s="71">
        <v>5.8015322500000002</v>
      </c>
      <c r="Z296" s="114">
        <v>7.3930426300000001</v>
      </c>
      <c r="AB296" s="72" t="s">
        <v>21</v>
      </c>
      <c r="AC296" s="70">
        <v>3.6765357584647565E-2</v>
      </c>
      <c r="AD296" s="70">
        <v>4.4316008644282652E-2</v>
      </c>
      <c r="AE296" s="70" t="s">
        <v>21</v>
      </c>
      <c r="AF296" s="62" t="s">
        <v>21</v>
      </c>
      <c r="AG296" s="70" t="s">
        <v>21</v>
      </c>
      <c r="AH296" s="70">
        <v>9.0024111846475716E-3</v>
      </c>
      <c r="AI296" s="70">
        <v>1.595348784428265E-2</v>
      </c>
      <c r="AJ296" s="70" t="s">
        <v>21</v>
      </c>
      <c r="AK296" s="62" t="s">
        <v>21</v>
      </c>
    </row>
    <row r="297" spans="1:38" x14ac:dyDescent="0.35">
      <c r="B297" s="54" t="s">
        <v>200</v>
      </c>
      <c r="C297" s="52" t="s">
        <v>232</v>
      </c>
      <c r="D297" s="52" t="s">
        <v>201</v>
      </c>
      <c r="E297" s="52" t="s">
        <v>179</v>
      </c>
      <c r="F297" s="72" t="str">
        <f t="shared" si="216"/>
        <v/>
      </c>
      <c r="G297" s="59">
        <f t="shared" si="217"/>
        <v>3.3526295324164415E-2</v>
      </c>
      <c r="H297" s="59">
        <f t="shared" si="218"/>
        <v>3.9094920463732162E-2</v>
      </c>
      <c r="I297" s="59" t="str">
        <f t="shared" si="219"/>
        <v/>
      </c>
      <c r="J297" s="62" t="str">
        <f t="shared" si="220"/>
        <v/>
      </c>
      <c r="K297" s="59" t="str">
        <f t="shared" si="221"/>
        <v/>
      </c>
      <c r="L297" s="59">
        <f t="shared" si="222"/>
        <v>5.8714043241644099E-3</v>
      </c>
      <c r="M297" s="59">
        <f t="shared" si="223"/>
        <v>1.0930533763732162E-2</v>
      </c>
      <c r="N297" s="59" t="str">
        <f t="shared" si="224"/>
        <v/>
      </c>
      <c r="O297" s="62" t="str">
        <f t="shared" si="225"/>
        <v/>
      </c>
      <c r="P297" s="54" t="s">
        <v>607</v>
      </c>
      <c r="Q297" s="52" t="s">
        <v>608</v>
      </c>
      <c r="R297" s="93" t="s">
        <v>32</v>
      </c>
      <c r="S297" s="70">
        <v>-9.4503599999999997E-3</v>
      </c>
      <c r="T297" s="62">
        <f t="shared" si="226"/>
        <v>4.854528046373216E-2</v>
      </c>
      <c r="V297" s="113">
        <v>1.12829859</v>
      </c>
      <c r="W297" s="71">
        <v>2.92447123</v>
      </c>
      <c r="X297" s="71">
        <v>4.5457062800000001</v>
      </c>
      <c r="Y297" s="71">
        <v>5.9623950299999997</v>
      </c>
      <c r="Z297" s="114">
        <v>7.7582077499999995</v>
      </c>
      <c r="AB297" s="72" t="s">
        <v>21</v>
      </c>
      <c r="AC297" s="70">
        <v>3.3526295324164415E-2</v>
      </c>
      <c r="AD297" s="70">
        <v>3.9094920463732162E-2</v>
      </c>
      <c r="AE297" s="70" t="s">
        <v>21</v>
      </c>
      <c r="AF297" s="62" t="s">
        <v>21</v>
      </c>
      <c r="AG297" s="70" t="s">
        <v>21</v>
      </c>
      <c r="AH297" s="70">
        <v>5.8714043241644099E-3</v>
      </c>
      <c r="AI297" s="70">
        <v>1.0930533763732162E-2</v>
      </c>
      <c r="AJ297" s="70" t="s">
        <v>21</v>
      </c>
      <c r="AK297" s="62" t="s">
        <v>21</v>
      </c>
    </row>
    <row r="298" spans="1:38" x14ac:dyDescent="0.35">
      <c r="B298" s="54" t="s">
        <v>202</v>
      </c>
      <c r="C298" s="52" t="s">
        <v>232</v>
      </c>
      <c r="D298" s="52" t="s">
        <v>203</v>
      </c>
      <c r="E298" s="52" t="s">
        <v>609</v>
      </c>
      <c r="F298" s="72" t="str">
        <f t="shared" si="216"/>
        <v/>
      </c>
      <c r="G298" s="59">
        <f t="shared" si="217"/>
        <v>4.3114286630090579E-2</v>
      </c>
      <c r="H298" s="59">
        <f t="shared" si="218"/>
        <v>5.2705781139385226E-2</v>
      </c>
      <c r="I298" s="59" t="str">
        <f t="shared" si="219"/>
        <v/>
      </c>
      <c r="J298" s="62" t="str">
        <f t="shared" si="220"/>
        <v/>
      </c>
      <c r="K298" s="59" t="str">
        <f t="shared" si="221"/>
        <v/>
      </c>
      <c r="L298" s="59">
        <f t="shared" si="222"/>
        <v>1.5069474130090577E-2</v>
      </c>
      <c r="M298" s="59">
        <f t="shared" si="223"/>
        <v>2.3918712039385226E-2</v>
      </c>
      <c r="N298" s="59" t="str">
        <f t="shared" si="224"/>
        <v/>
      </c>
      <c r="O298" s="62" t="str">
        <f t="shared" si="225"/>
        <v/>
      </c>
      <c r="P298" s="54" t="s">
        <v>21</v>
      </c>
      <c r="Q298" s="52" t="s">
        <v>21</v>
      </c>
      <c r="R298" s="93" t="s">
        <v>21</v>
      </c>
      <c r="S298" s="70" t="s">
        <v>21</v>
      </c>
      <c r="T298" s="62" t="str">
        <f t="shared" si="226"/>
        <v/>
      </c>
      <c r="V298" s="113">
        <v>1.11970919</v>
      </c>
      <c r="W298" s="71">
        <v>2.8554366799999999</v>
      </c>
      <c r="X298" s="71">
        <v>4.3422072200000006</v>
      </c>
      <c r="Y298" s="71">
        <v>5.5474938399999996</v>
      </c>
      <c r="Z298" s="114">
        <v>6.93203748</v>
      </c>
      <c r="AB298" s="72" t="s">
        <v>21</v>
      </c>
      <c r="AC298" s="70">
        <v>4.3114286630090579E-2</v>
      </c>
      <c r="AD298" s="70">
        <v>5.2705781139385226E-2</v>
      </c>
      <c r="AE298" s="70" t="s">
        <v>21</v>
      </c>
      <c r="AF298" s="62" t="s">
        <v>21</v>
      </c>
      <c r="AG298" s="70" t="s">
        <v>21</v>
      </c>
      <c r="AH298" s="70">
        <v>1.5069474130090577E-2</v>
      </c>
      <c r="AI298" s="70">
        <v>2.3918712039385226E-2</v>
      </c>
      <c r="AJ298" s="70" t="s">
        <v>21</v>
      </c>
      <c r="AK298" s="62" t="s">
        <v>21</v>
      </c>
    </row>
    <row r="299" spans="1:38" x14ac:dyDescent="0.35">
      <c r="B299" s="54" t="s">
        <v>204</v>
      </c>
      <c r="C299" s="52" t="s">
        <v>232</v>
      </c>
      <c r="D299" s="52" t="s">
        <v>205</v>
      </c>
      <c r="E299" s="52" t="s">
        <v>191</v>
      </c>
      <c r="F299" s="72" t="str">
        <f t="shared" si="216"/>
        <v/>
      </c>
      <c r="G299" s="59">
        <f t="shared" si="217"/>
        <v>3.2273378691420121E-2</v>
      </c>
      <c r="H299" s="59">
        <f t="shared" si="218"/>
        <v>3.6983485920037314E-2</v>
      </c>
      <c r="I299" s="59" t="str">
        <f t="shared" si="219"/>
        <v/>
      </c>
      <c r="J299" s="62" t="str">
        <f t="shared" si="220"/>
        <v/>
      </c>
      <c r="K299" s="59" t="str">
        <f t="shared" si="221"/>
        <v/>
      </c>
      <c r="L299" s="59">
        <f t="shared" si="222"/>
        <v>4.6639641914201172E-3</v>
      </c>
      <c r="M299" s="59">
        <f t="shared" si="223"/>
        <v>8.8957595200373236E-3</v>
      </c>
      <c r="N299" s="59" t="str">
        <f t="shared" si="224"/>
        <v/>
      </c>
      <c r="O299" s="62" t="str">
        <f t="shared" si="225"/>
        <v/>
      </c>
      <c r="P299" s="54" t="s">
        <v>610</v>
      </c>
      <c r="Q299" s="52" t="s">
        <v>611</v>
      </c>
      <c r="R299" s="93" t="s">
        <v>32</v>
      </c>
      <c r="S299" s="70">
        <v>3.2849900000000001E-2</v>
      </c>
      <c r="T299" s="62">
        <f t="shared" si="226"/>
        <v>4.1335859200373123E-3</v>
      </c>
      <c r="V299" s="113">
        <v>1.12957599</v>
      </c>
      <c r="W299" s="71">
        <v>2.93433688</v>
      </c>
      <c r="X299" s="71">
        <v>4.5793212799999994</v>
      </c>
      <c r="Y299" s="71">
        <v>6.0356753699999999</v>
      </c>
      <c r="Z299" s="114">
        <v>7.9141594999999993</v>
      </c>
      <c r="AB299" s="72" t="s">
        <v>21</v>
      </c>
      <c r="AC299" s="70">
        <v>3.2273378691420121E-2</v>
      </c>
      <c r="AD299" s="70">
        <v>3.6983485920037314E-2</v>
      </c>
      <c r="AE299" s="70" t="s">
        <v>21</v>
      </c>
      <c r="AF299" s="62" t="s">
        <v>21</v>
      </c>
      <c r="AG299" s="70" t="s">
        <v>21</v>
      </c>
      <c r="AH299" s="70">
        <v>4.6639641914201172E-3</v>
      </c>
      <c r="AI299" s="70">
        <v>8.8957595200373236E-3</v>
      </c>
      <c r="AJ299" s="70" t="s">
        <v>21</v>
      </c>
      <c r="AK299" s="62" t="s">
        <v>21</v>
      </c>
    </row>
    <row r="300" spans="1:38" x14ac:dyDescent="0.35">
      <c r="B300" s="54" t="s">
        <v>206</v>
      </c>
      <c r="C300" s="52" t="s">
        <v>232</v>
      </c>
      <c r="D300" s="52" t="s">
        <v>207</v>
      </c>
      <c r="E300" s="52" t="s">
        <v>179</v>
      </c>
      <c r="F300" s="72" t="str">
        <f t="shared" si="216"/>
        <v/>
      </c>
      <c r="G300" s="59">
        <f t="shared" si="217"/>
        <v>3.6098593527202821E-2</v>
      </c>
      <c r="H300" s="59">
        <f t="shared" si="218"/>
        <v>4.3086272138308901E-2</v>
      </c>
      <c r="I300" s="59" t="str">
        <f t="shared" si="219"/>
        <v/>
      </c>
      <c r="J300" s="62" t="str">
        <f t="shared" si="220"/>
        <v/>
      </c>
      <c r="K300" s="59" t="str">
        <f t="shared" si="221"/>
        <v/>
      </c>
      <c r="L300" s="59">
        <f t="shared" si="222"/>
        <v>8.3565493272028217E-3</v>
      </c>
      <c r="M300" s="59">
        <f t="shared" si="223"/>
        <v>1.4771349138308899E-2</v>
      </c>
      <c r="N300" s="59" t="str">
        <f t="shared" si="224"/>
        <v/>
      </c>
      <c r="O300" s="62" t="str">
        <f t="shared" si="225"/>
        <v/>
      </c>
      <c r="P300" s="54" t="s">
        <v>21</v>
      </c>
      <c r="Q300" s="52" t="s">
        <v>21</v>
      </c>
      <c r="R300" s="93" t="s">
        <v>21</v>
      </c>
      <c r="S300" s="70" t="s">
        <v>21</v>
      </c>
      <c r="T300" s="62" t="str">
        <f t="shared" si="226"/>
        <v/>
      </c>
      <c r="V300" s="113">
        <v>1.1262133599999999</v>
      </c>
      <c r="W300" s="71">
        <v>2.90687775</v>
      </c>
      <c r="X300" s="71">
        <v>4.48896769</v>
      </c>
      <c r="Y300" s="71">
        <v>5.8384690199999998</v>
      </c>
      <c r="Z300" s="114">
        <v>7.4801030700000011</v>
      </c>
      <c r="AB300" s="72" t="s">
        <v>21</v>
      </c>
      <c r="AC300" s="70">
        <v>3.6098593527202821E-2</v>
      </c>
      <c r="AD300" s="70">
        <v>4.3086272138308901E-2</v>
      </c>
      <c r="AE300" s="70" t="s">
        <v>21</v>
      </c>
      <c r="AF300" s="62" t="s">
        <v>21</v>
      </c>
      <c r="AG300" s="70" t="s">
        <v>21</v>
      </c>
      <c r="AH300" s="70">
        <v>8.3565493272028217E-3</v>
      </c>
      <c r="AI300" s="70">
        <v>1.4771349138308899E-2</v>
      </c>
      <c r="AJ300" s="70" t="s">
        <v>21</v>
      </c>
      <c r="AK300" s="62" t="s">
        <v>21</v>
      </c>
    </row>
    <row r="301" spans="1:38" x14ac:dyDescent="0.35">
      <c r="A301" s="52"/>
      <c r="B301" s="54" t="s">
        <v>411</v>
      </c>
      <c r="C301" s="52" t="s">
        <v>232</v>
      </c>
      <c r="D301" s="52" t="s">
        <v>411</v>
      </c>
      <c r="E301" s="52" t="s">
        <v>612</v>
      </c>
      <c r="F301" s="72" t="str">
        <f t="shared" ref="F301" si="227">IF(ISNUMBER(AB301),AB301-((C$4-C$3)/V301),"")</f>
        <v/>
      </c>
      <c r="G301" s="59">
        <f t="shared" ref="G301" si="228">IF(ISNUMBER(AC301),AC301-((D$4-D$3)/W301),"")</f>
        <v>5.9317944554121933E-2</v>
      </c>
      <c r="H301" s="59">
        <f t="shared" ref="H301" si="229">IF(ISNUMBER(AD301),AD301-((E$4-E$3)/X301),"")</f>
        <v>6.8218299555613149E-2</v>
      </c>
      <c r="I301" s="59" t="str">
        <f t="shared" ref="I301" si="230">IF(ISNUMBER(AE301),AE301-((F$4-F$3)/Y301),"")</f>
        <v/>
      </c>
      <c r="J301" s="62" t="str">
        <f t="shared" ref="J301" si="231">IF(ISNUMBER(AF301),AF301-((G$4-G$3)/Z301),"")</f>
        <v/>
      </c>
      <c r="K301" s="59" t="str">
        <f t="shared" ref="K301" si="232">IF(ISNUMBER(AG301),IF(AG301-((C$4-C$3)/V301)&lt;0,"",AG301-((C$4-C$3)/V301)),"")</f>
        <v/>
      </c>
      <c r="L301" s="59">
        <f t="shared" ref="L301" si="233">IF(ISNUMBER(AH301),IF(AH301-((D$4-D$3)/W301)&lt;0,"",AH301-((D$4-D$3)/W301)),"")</f>
        <v>3.0293426454121929E-2</v>
      </c>
      <c r="M301" s="59">
        <f t="shared" ref="M301" si="234">IF(ISNUMBER(AI301),IF(AI301-((E$4-E$3)/X301)&lt;0,"",AI301-((E$4-E$3)/X301)),"")</f>
        <v>3.8358100955613157E-2</v>
      </c>
      <c r="N301" s="59" t="str">
        <f t="shared" ref="N301" si="235">IF(ISNUMBER(AJ301),IF(AJ301-((F$4-F$3)/Y301)&lt;0,"",AJ301-((F$4-F$3)/Y301)),"")</f>
        <v/>
      </c>
      <c r="O301" s="62" t="str">
        <f t="shared" ref="O301" si="236">IF(ISNUMBER(AK301),IF(AK301-((G$4-G$3)/Z301)&lt;0,"",AK301-((G$4-G$3)/Z301)),"")</f>
        <v/>
      </c>
      <c r="P301" s="54" t="s">
        <v>613</v>
      </c>
      <c r="Q301" s="52" t="s">
        <v>614</v>
      </c>
      <c r="R301" s="93" t="s">
        <v>32</v>
      </c>
      <c r="S301" s="70">
        <v>6.301211000000001E-2</v>
      </c>
      <c r="T301" s="62">
        <f t="shared" si="226"/>
        <v>5.2061895556131388E-3</v>
      </c>
      <c r="U301" s="52"/>
      <c r="V301" s="113">
        <v>1.08776567</v>
      </c>
      <c r="W301" s="71">
        <v>2.7134672900000001</v>
      </c>
      <c r="X301" s="71">
        <v>4.0447690700000001</v>
      </c>
      <c r="Y301" s="71">
        <v>5.0985607499999999</v>
      </c>
      <c r="Z301" s="114">
        <v>6.2836537600000009</v>
      </c>
      <c r="AA301" s="52"/>
      <c r="AB301" s="72" t="s">
        <v>21</v>
      </c>
      <c r="AC301" s="70">
        <v>5.9317944554121933E-2</v>
      </c>
      <c r="AD301" s="70">
        <v>6.8218299555613149E-2</v>
      </c>
      <c r="AE301" s="70" t="s">
        <v>21</v>
      </c>
      <c r="AF301" s="62" t="s">
        <v>21</v>
      </c>
      <c r="AG301" s="70" t="s">
        <v>21</v>
      </c>
      <c r="AH301" s="70">
        <v>3.0293426454121929E-2</v>
      </c>
      <c r="AI301" s="70">
        <v>3.8358100955613157E-2</v>
      </c>
      <c r="AJ301" s="70" t="s">
        <v>21</v>
      </c>
      <c r="AK301" s="62" t="s">
        <v>21</v>
      </c>
      <c r="AL301" s="52"/>
    </row>
    <row r="302" spans="1:38" x14ac:dyDescent="0.35">
      <c r="B302" s="54" t="s">
        <v>208</v>
      </c>
      <c r="C302" s="52" t="s">
        <v>232</v>
      </c>
      <c r="D302" s="52" t="s">
        <v>208</v>
      </c>
      <c r="E302" s="52" t="s">
        <v>615</v>
      </c>
      <c r="F302" s="72" t="str">
        <f t="shared" si="216"/>
        <v/>
      </c>
      <c r="G302" s="59">
        <f t="shared" si="217"/>
        <v>3.3831436123936375E-2</v>
      </c>
      <c r="H302" s="59">
        <f t="shared" si="218"/>
        <v>3.8792685445224934E-2</v>
      </c>
      <c r="I302" s="59" t="str">
        <f t="shared" si="219"/>
        <v/>
      </c>
      <c r="J302" s="62" t="str">
        <f t="shared" si="220"/>
        <v/>
      </c>
      <c r="K302" s="59" t="str">
        <f t="shared" si="221"/>
        <v/>
      </c>
      <c r="L302" s="59">
        <f t="shared" si="222"/>
        <v>6.1735572239363691E-3</v>
      </c>
      <c r="M302" s="59">
        <f t="shared" si="223"/>
        <v>1.0646225945224932E-2</v>
      </c>
      <c r="N302" s="59" t="str">
        <f t="shared" si="224"/>
        <v/>
      </c>
      <c r="O302" s="62" t="str">
        <f t="shared" si="225"/>
        <v/>
      </c>
      <c r="P302" s="54" t="s">
        <v>616</v>
      </c>
      <c r="Q302" s="52" t="s">
        <v>617</v>
      </c>
      <c r="R302" s="93" t="s">
        <v>32</v>
      </c>
      <c r="S302" s="70">
        <v>3.7388360000000002E-2</v>
      </c>
      <c r="T302" s="62">
        <f t="shared" si="226"/>
        <v>1.4043254452249312E-3</v>
      </c>
      <c r="V302" s="113">
        <v>1.12834247</v>
      </c>
      <c r="W302" s="71">
        <v>2.9237840500000001</v>
      </c>
      <c r="X302" s="71">
        <v>4.5486157300000007</v>
      </c>
      <c r="Y302" s="71">
        <v>5.9823843199999995</v>
      </c>
      <c r="Z302" s="114">
        <v>7.8257782000000002</v>
      </c>
      <c r="AB302" s="72" t="s">
        <v>21</v>
      </c>
      <c r="AC302" s="70">
        <v>3.3831436123936375E-2</v>
      </c>
      <c r="AD302" s="70">
        <v>3.8792685445224934E-2</v>
      </c>
      <c r="AE302" s="70" t="s">
        <v>21</v>
      </c>
      <c r="AF302" s="62" t="s">
        <v>21</v>
      </c>
      <c r="AG302" s="70" t="s">
        <v>21</v>
      </c>
      <c r="AH302" s="70">
        <v>6.1735572239363691E-3</v>
      </c>
      <c r="AI302" s="70">
        <v>1.0646225945224932E-2</v>
      </c>
      <c r="AJ302" s="70" t="s">
        <v>21</v>
      </c>
      <c r="AK302" s="62" t="s">
        <v>21</v>
      </c>
    </row>
    <row r="303" spans="1:38" x14ac:dyDescent="0.35">
      <c r="B303" s="54" t="s">
        <v>209</v>
      </c>
      <c r="C303" s="52" t="s">
        <v>232</v>
      </c>
      <c r="D303" s="52" t="s">
        <v>209</v>
      </c>
      <c r="E303" s="52" t="s">
        <v>618</v>
      </c>
      <c r="F303" s="72" t="str">
        <f t="shared" si="216"/>
        <v/>
      </c>
      <c r="G303" s="59">
        <f t="shared" si="217"/>
        <v>4.0615555948098431E-2</v>
      </c>
      <c r="H303" s="59">
        <f t="shared" si="218"/>
        <v>4.837083076808088E-2</v>
      </c>
      <c r="I303" s="59" t="str">
        <f t="shared" si="219"/>
        <v/>
      </c>
      <c r="J303" s="62" t="str">
        <f t="shared" si="220"/>
        <v/>
      </c>
      <c r="K303" s="59" t="str">
        <f t="shared" si="221"/>
        <v/>
      </c>
      <c r="L303" s="59">
        <f t="shared" si="222"/>
        <v>1.2598277948098438E-2</v>
      </c>
      <c r="M303" s="59">
        <f t="shared" si="223"/>
        <v>1.9714481868080877E-2</v>
      </c>
      <c r="N303" s="59" t="str">
        <f t="shared" si="224"/>
        <v/>
      </c>
      <c r="O303" s="62" t="str">
        <f t="shared" si="225"/>
        <v/>
      </c>
      <c r="P303" s="54" t="s">
        <v>619</v>
      </c>
      <c r="Q303" s="52" t="s">
        <v>620</v>
      </c>
      <c r="R303" s="93" t="s">
        <v>32</v>
      </c>
      <c r="S303" s="70">
        <v>6.0068299999999998E-2</v>
      </c>
      <c r="T303" s="62">
        <f t="shared" si="226"/>
        <v>-1.1697469231919118E-2</v>
      </c>
      <c r="V303" s="113">
        <v>1.11890592</v>
      </c>
      <c r="W303" s="71">
        <v>2.8591271599999999</v>
      </c>
      <c r="X303" s="71">
        <v>4.3679463800000002</v>
      </c>
      <c r="Y303" s="71">
        <v>5.6312180000000005</v>
      </c>
      <c r="Z303" s="114">
        <v>7.1640181999999992</v>
      </c>
      <c r="AB303" s="72" t="s">
        <v>21</v>
      </c>
      <c r="AC303" s="70">
        <v>4.0615555948098431E-2</v>
      </c>
      <c r="AD303" s="70">
        <v>4.837083076808088E-2</v>
      </c>
      <c r="AE303" s="70" t="s">
        <v>21</v>
      </c>
      <c r="AF303" s="62" t="s">
        <v>21</v>
      </c>
      <c r="AG303" s="70" t="s">
        <v>21</v>
      </c>
      <c r="AH303" s="70">
        <v>1.2598277948098438E-2</v>
      </c>
      <c r="AI303" s="70">
        <v>1.9714481868080877E-2</v>
      </c>
      <c r="AJ303" s="70" t="s">
        <v>21</v>
      </c>
      <c r="AK303" s="62" t="s">
        <v>21</v>
      </c>
    </row>
    <row r="304" spans="1:38" x14ac:dyDescent="0.35">
      <c r="B304" s="54" t="s">
        <v>210</v>
      </c>
      <c r="C304" s="52" t="s">
        <v>232</v>
      </c>
      <c r="D304" s="52" t="s">
        <v>210</v>
      </c>
      <c r="E304" s="52" t="s">
        <v>572</v>
      </c>
      <c r="F304" s="72" t="str">
        <f t="shared" si="216"/>
        <v/>
      </c>
      <c r="G304" s="59">
        <f t="shared" si="217"/>
        <v>5.1168474549300264E-2</v>
      </c>
      <c r="H304" s="59">
        <f t="shared" si="218"/>
        <v>6.2041380343526367E-2</v>
      </c>
      <c r="I304" s="59" t="str">
        <f t="shared" si="219"/>
        <v/>
      </c>
      <c r="J304" s="62" t="str">
        <f t="shared" si="220"/>
        <v/>
      </c>
      <c r="K304" s="59" t="str">
        <f t="shared" si="221"/>
        <v/>
      </c>
      <c r="L304" s="59">
        <f t="shared" si="222"/>
        <v>2.2676963749300269E-2</v>
      </c>
      <c r="M304" s="59">
        <f t="shared" si="223"/>
        <v>3.2657523043526371E-2</v>
      </c>
      <c r="N304" s="59" t="str">
        <f t="shared" si="224"/>
        <v/>
      </c>
      <c r="O304" s="62" t="str">
        <f t="shared" si="225"/>
        <v/>
      </c>
      <c r="P304" s="54" t="s">
        <v>621</v>
      </c>
      <c r="Q304" s="52" t="s">
        <v>622</v>
      </c>
      <c r="R304" s="93" t="s">
        <v>32</v>
      </c>
      <c r="S304" s="70">
        <v>5.518605E-2</v>
      </c>
      <c r="T304" s="62">
        <f t="shared" si="226"/>
        <v>6.8553303435263668E-3</v>
      </c>
      <c r="V304" s="113">
        <v>1.10719276</v>
      </c>
      <c r="W304" s="71">
        <v>2.7918694199999998</v>
      </c>
      <c r="X304" s="71">
        <v>4.1875570900000003</v>
      </c>
      <c r="Y304" s="71">
        <v>5.30422291</v>
      </c>
      <c r="Z304" s="114">
        <v>6.5799032899999998</v>
      </c>
      <c r="AB304" s="72" t="s">
        <v>21</v>
      </c>
      <c r="AC304" s="70">
        <v>5.1168474549300264E-2</v>
      </c>
      <c r="AD304" s="70">
        <v>6.2041380343526367E-2</v>
      </c>
      <c r="AE304" s="70" t="s">
        <v>21</v>
      </c>
      <c r="AF304" s="62" t="s">
        <v>21</v>
      </c>
      <c r="AG304" s="70" t="s">
        <v>21</v>
      </c>
      <c r="AH304" s="70">
        <v>2.2676963749300269E-2</v>
      </c>
      <c r="AI304" s="70">
        <v>3.2657523043526371E-2</v>
      </c>
      <c r="AJ304" s="70" t="s">
        <v>21</v>
      </c>
      <c r="AK304" s="62" t="s">
        <v>21</v>
      </c>
    </row>
    <row r="305" spans="1:38" s="52" customFormat="1" x14ac:dyDescent="0.35">
      <c r="A305"/>
      <c r="B305" s="54" t="s">
        <v>211</v>
      </c>
      <c r="C305" s="52" t="s">
        <v>232</v>
      </c>
      <c r="D305" s="52" t="s">
        <v>211</v>
      </c>
      <c r="E305" s="52" t="s">
        <v>623</v>
      </c>
      <c r="F305" s="72" t="str">
        <f t="shared" si="216"/>
        <v/>
      </c>
      <c r="G305" s="59">
        <f t="shared" si="217"/>
        <v>4.8651396296428936E-2</v>
      </c>
      <c r="H305" s="59">
        <f t="shared" si="218"/>
        <v>5.8188712323781609E-2</v>
      </c>
      <c r="I305" s="59" t="str">
        <f t="shared" si="219"/>
        <v/>
      </c>
      <c r="J305" s="62" t="str">
        <f t="shared" si="220"/>
        <v/>
      </c>
      <c r="K305" s="59" t="str">
        <f t="shared" si="221"/>
        <v/>
      </c>
      <c r="L305" s="59">
        <f t="shared" si="222"/>
        <v>2.0288755196428941E-2</v>
      </c>
      <c r="M305" s="59">
        <f t="shared" si="223"/>
        <v>2.904352142378161E-2</v>
      </c>
      <c r="N305" s="59" t="str">
        <f t="shared" si="224"/>
        <v/>
      </c>
      <c r="O305" s="62" t="str">
        <f t="shared" si="225"/>
        <v/>
      </c>
      <c r="P305" s="54" t="s">
        <v>624</v>
      </c>
      <c r="Q305" s="52" t="s">
        <v>625</v>
      </c>
      <c r="R305" s="93" t="s">
        <v>32</v>
      </c>
      <c r="S305" s="70">
        <v>5.1584329999999998E-2</v>
      </c>
      <c r="T305" s="62">
        <f t="shared" si="226"/>
        <v>6.6043823237816116E-3</v>
      </c>
      <c r="U305"/>
      <c r="V305" s="113">
        <v>1.11187551</v>
      </c>
      <c r="W305" s="71">
        <v>2.8100354599999999</v>
      </c>
      <c r="X305" s="71">
        <v>4.2384799100000006</v>
      </c>
      <c r="Y305" s="71">
        <v>5.3903074499999999</v>
      </c>
      <c r="Z305" s="114">
        <v>6.7109877100000004</v>
      </c>
      <c r="AA305"/>
      <c r="AB305" s="72" t="s">
        <v>21</v>
      </c>
      <c r="AC305" s="70">
        <v>4.8651396296428936E-2</v>
      </c>
      <c r="AD305" s="70">
        <v>5.8188712323781609E-2</v>
      </c>
      <c r="AE305" s="70" t="s">
        <v>21</v>
      </c>
      <c r="AF305" s="62" t="s">
        <v>21</v>
      </c>
      <c r="AG305" s="70" t="s">
        <v>21</v>
      </c>
      <c r="AH305" s="70">
        <v>2.0288755196428941E-2</v>
      </c>
      <c r="AI305" s="70">
        <v>2.904352142378161E-2</v>
      </c>
      <c r="AJ305" s="70" t="s">
        <v>21</v>
      </c>
      <c r="AK305" s="62" t="s">
        <v>21</v>
      </c>
      <c r="AL305"/>
    </row>
    <row r="306" spans="1:38" x14ac:dyDescent="0.35">
      <c r="A306" s="52"/>
      <c r="B306" s="54" t="s">
        <v>272</v>
      </c>
      <c r="C306" s="52" t="s">
        <v>232</v>
      </c>
      <c r="D306" s="52" t="s">
        <v>272</v>
      </c>
      <c r="E306" s="52" t="s">
        <v>286</v>
      </c>
      <c r="F306" s="72" t="str">
        <f t="shared" ref="F306" si="237">IF(ISNUMBER(AB306),AB306-((C$4-C$3)/V306),"")</f>
        <v/>
      </c>
      <c r="G306" s="59">
        <f t="shared" ref="G306" si="238">IF(ISNUMBER(AC306),AC306-((D$4-D$3)/W306),"")</f>
        <v>3.2109438279006322E-2</v>
      </c>
      <c r="H306" s="59">
        <f t="shared" ref="H306" si="239">IF(ISNUMBER(AD306),AD306-((E$4-E$3)/X306),"")</f>
        <v>3.8238662607319104E-2</v>
      </c>
      <c r="I306" s="59" t="str">
        <f t="shared" ref="I306" si="240">IF(ISNUMBER(AE306),AE306-((F$4-F$3)/Y306),"")</f>
        <v/>
      </c>
      <c r="J306" s="62" t="str">
        <f t="shared" ref="J306" si="241">IF(ISNUMBER(AF306),AF306-((G$4-G$3)/Z306),"")</f>
        <v/>
      </c>
      <c r="K306" s="59" t="str">
        <f t="shared" ref="K306" si="242">IF(ISNUMBER(AG306),IF(AG306-((C$4-C$3)/V306)&lt;0,"",AG306-((C$4-C$3)/V306)),"")</f>
        <v/>
      </c>
      <c r="L306" s="59">
        <f t="shared" ref="L306" si="243">IF(ISNUMBER(AH306),IF(AH306-((D$4-D$3)/W306)&lt;0,"",AH306-((D$4-D$3)/W306)),"")</f>
        <v>4.5087192790063228E-3</v>
      </c>
      <c r="M306" s="59">
        <f t="shared" ref="M306" si="244">IF(ISNUMBER(AI306),IF(AI306-((E$4-E$3)/X306)&lt;0,"",AI306-((E$4-E$3)/X306)),"")</f>
        <v>1.011229310731911E-2</v>
      </c>
      <c r="N306" s="59" t="str">
        <f t="shared" ref="N306" si="245">IF(ISNUMBER(AJ306),IF(AJ306-((F$4-F$3)/Y306)&lt;0,"",AJ306-((F$4-F$3)/Y306)),"")</f>
        <v/>
      </c>
      <c r="O306" s="62" t="str">
        <f t="shared" ref="O306" si="246">IF(ISNUMBER(AK306),IF(AK306-((G$4-G$3)/Z306)&lt;0,"",AK306-((G$4-G$3)/Z306)),"")</f>
        <v/>
      </c>
      <c r="P306" s="54" t="s">
        <v>21</v>
      </c>
      <c r="Q306" s="52" t="s">
        <v>21</v>
      </c>
      <c r="R306" s="93" t="s">
        <v>21</v>
      </c>
      <c r="S306" s="70" t="s">
        <v>21</v>
      </c>
      <c r="T306" s="62" t="str">
        <f t="shared" ref="T306" si="247">IF(S306="","",H306-S306)</f>
        <v/>
      </c>
      <c r="U306" s="52"/>
      <c r="V306" s="113">
        <v>1.1304487000000001</v>
      </c>
      <c r="W306" s="71">
        <v>2.9371486400000002</v>
      </c>
      <c r="X306" s="71">
        <v>4.5716246900000002</v>
      </c>
      <c r="Y306" s="71">
        <v>5.9926798000000003</v>
      </c>
      <c r="Z306" s="114">
        <v>7.8076030300000001</v>
      </c>
      <c r="AA306" s="52"/>
      <c r="AB306" s="72" t="s">
        <v>21</v>
      </c>
      <c r="AC306" s="70">
        <v>3.2109438279006322E-2</v>
      </c>
      <c r="AD306" s="70">
        <v>3.8238662607319104E-2</v>
      </c>
      <c r="AE306" s="70" t="s">
        <v>21</v>
      </c>
      <c r="AF306" s="62" t="s">
        <v>21</v>
      </c>
      <c r="AG306" s="70" t="s">
        <v>21</v>
      </c>
      <c r="AH306" s="70">
        <v>4.5087192790063228E-3</v>
      </c>
      <c r="AI306" s="70">
        <v>1.011229310731911E-2</v>
      </c>
      <c r="AJ306" s="70" t="s">
        <v>21</v>
      </c>
      <c r="AK306" s="62" t="s">
        <v>21</v>
      </c>
      <c r="AL306" s="52"/>
    </row>
    <row r="307" spans="1:38" x14ac:dyDescent="0.35">
      <c r="B307" s="54" t="s">
        <v>273</v>
      </c>
      <c r="C307" s="52" t="s">
        <v>232</v>
      </c>
      <c r="D307" s="52" t="s">
        <v>273</v>
      </c>
      <c r="E307" s="52" t="s">
        <v>274</v>
      </c>
      <c r="F307" s="72" t="str">
        <f t="shared" si="216"/>
        <v/>
      </c>
      <c r="G307" s="59">
        <f t="shared" si="217"/>
        <v>3.5664375996865054E-2</v>
      </c>
      <c r="H307" s="59">
        <f t="shared" si="218"/>
        <v>4.1928424750548234E-2</v>
      </c>
      <c r="I307" s="59" t="str">
        <f t="shared" si="219"/>
        <v/>
      </c>
      <c r="J307" s="62" t="str">
        <f t="shared" si="220"/>
        <v/>
      </c>
      <c r="K307" s="59" t="str">
        <f t="shared" si="221"/>
        <v/>
      </c>
      <c r="L307" s="59">
        <f t="shared" si="222"/>
        <v>7.9354219968650608E-3</v>
      </c>
      <c r="M307" s="59">
        <f t="shared" si="223"/>
        <v>1.3660232150548235E-2</v>
      </c>
      <c r="N307" s="59" t="str">
        <f t="shared" si="224"/>
        <v/>
      </c>
      <c r="O307" s="62" t="str">
        <f t="shared" si="225"/>
        <v/>
      </c>
      <c r="P307" s="54" t="s">
        <v>626</v>
      </c>
      <c r="Q307" s="52" t="s">
        <v>627</v>
      </c>
      <c r="R307" s="93" t="s">
        <v>32</v>
      </c>
      <c r="S307" s="70">
        <v>4.0311329999999999E-2</v>
      </c>
      <c r="T307" s="62">
        <f t="shared" ref="T307:T309" si="248">IF(S307="","",H307-S307)</f>
        <v>1.6170947505482341E-3</v>
      </c>
      <c r="V307" s="113">
        <v>1.12870914</v>
      </c>
      <c r="W307" s="71">
        <v>2.9149262400000002</v>
      </c>
      <c r="X307" s="71">
        <v>4.5080670199999995</v>
      </c>
      <c r="Y307" s="71">
        <v>5.8843045700000003</v>
      </c>
      <c r="Z307" s="114">
        <v>7.6121105099999999</v>
      </c>
      <c r="AB307" s="72" t="s">
        <v>21</v>
      </c>
      <c r="AC307" s="70">
        <v>3.5664375996865054E-2</v>
      </c>
      <c r="AD307" s="70">
        <v>4.1928424750548234E-2</v>
      </c>
      <c r="AE307" s="70" t="s">
        <v>21</v>
      </c>
      <c r="AF307" s="62" t="s">
        <v>21</v>
      </c>
      <c r="AG307" s="70" t="s">
        <v>21</v>
      </c>
      <c r="AH307" s="70">
        <v>7.9354219968650608E-3</v>
      </c>
      <c r="AI307" s="70">
        <v>1.3660232150548235E-2</v>
      </c>
      <c r="AJ307" s="70" t="s">
        <v>21</v>
      </c>
      <c r="AK307" s="62" t="s">
        <v>21</v>
      </c>
    </row>
    <row r="308" spans="1:38" x14ac:dyDescent="0.35">
      <c r="B308" s="137" t="s">
        <v>277</v>
      </c>
      <c r="C308" s="138" t="s">
        <v>232</v>
      </c>
      <c r="D308" s="138" t="s">
        <v>277</v>
      </c>
      <c r="E308" s="138" t="s">
        <v>278</v>
      </c>
      <c r="F308" s="72" t="str">
        <f t="shared" si="216"/>
        <v/>
      </c>
      <c r="G308" s="59">
        <f t="shared" si="217"/>
        <v>3.2232166863600496E-2</v>
      </c>
      <c r="H308" s="59">
        <f t="shared" si="218"/>
        <v>3.7250603907820347E-2</v>
      </c>
      <c r="I308" s="59" t="str">
        <f t="shared" si="219"/>
        <v/>
      </c>
      <c r="J308" s="62" t="str">
        <f t="shared" si="220"/>
        <v/>
      </c>
      <c r="K308" s="59" t="str">
        <f t="shared" si="221"/>
        <v/>
      </c>
      <c r="L308" s="59">
        <f t="shared" si="222"/>
        <v>4.6252265636004975E-3</v>
      </c>
      <c r="M308" s="59">
        <f t="shared" si="223"/>
        <v>9.1553310078203443E-3</v>
      </c>
      <c r="N308" s="59" t="str">
        <f t="shared" si="224"/>
        <v/>
      </c>
      <c r="O308" s="62" t="str">
        <f t="shared" si="225"/>
        <v/>
      </c>
      <c r="P308" s="137" t="s">
        <v>628</v>
      </c>
      <c r="Q308" s="138" t="s">
        <v>629</v>
      </c>
      <c r="R308" s="142" t="s">
        <v>32</v>
      </c>
      <c r="S308" s="140">
        <v>3.1693899999999997E-2</v>
      </c>
      <c r="T308" s="62">
        <f t="shared" si="248"/>
        <v>5.5567039078203498E-3</v>
      </c>
      <c r="V308" s="143">
        <v>1.1305668200000001</v>
      </c>
      <c r="W308" s="144">
        <v>2.93605654</v>
      </c>
      <c r="X308" s="144">
        <v>4.57801715</v>
      </c>
      <c r="Y308" s="144">
        <v>6.0312270699999999</v>
      </c>
      <c r="Z308" s="145">
        <v>7.9044902700000002</v>
      </c>
      <c r="AB308" s="139" t="s">
        <v>21</v>
      </c>
      <c r="AC308" s="140">
        <v>3.2232166863600496E-2</v>
      </c>
      <c r="AD308" s="140">
        <v>3.7250603907820347E-2</v>
      </c>
      <c r="AE308" s="140" t="s">
        <v>21</v>
      </c>
      <c r="AF308" s="141" t="s">
        <v>21</v>
      </c>
      <c r="AG308" s="140" t="s">
        <v>21</v>
      </c>
      <c r="AH308" s="140">
        <v>4.6252265636004975E-3</v>
      </c>
      <c r="AI308" s="140">
        <v>9.1553310078203443E-3</v>
      </c>
      <c r="AJ308" s="140" t="s">
        <v>21</v>
      </c>
      <c r="AK308" s="141" t="s">
        <v>21</v>
      </c>
    </row>
    <row r="309" spans="1:38" x14ac:dyDescent="0.35">
      <c r="B309" s="137" t="s">
        <v>279</v>
      </c>
      <c r="C309" s="138" t="s">
        <v>232</v>
      </c>
      <c r="D309" s="138" t="s">
        <v>279</v>
      </c>
      <c r="E309" s="138" t="s">
        <v>48</v>
      </c>
      <c r="F309" s="72" t="str">
        <f t="shared" si="216"/>
        <v/>
      </c>
      <c r="G309" s="59">
        <f t="shared" si="217"/>
        <v>3.9160627282163532E-2</v>
      </c>
      <c r="H309" s="59">
        <f t="shared" si="218"/>
        <v>4.6625952447963095E-2</v>
      </c>
      <c r="I309" s="59" t="str">
        <f t="shared" si="219"/>
        <v/>
      </c>
      <c r="J309" s="62" t="str">
        <f t="shared" si="220"/>
        <v/>
      </c>
      <c r="K309" s="59" t="str">
        <f t="shared" si="221"/>
        <v/>
      </c>
      <c r="L309" s="59">
        <f t="shared" si="222"/>
        <v>1.1296559482163527E-2</v>
      </c>
      <c r="M309" s="59">
        <f t="shared" si="223"/>
        <v>1.8152036247963098E-2</v>
      </c>
      <c r="N309" s="59" t="str">
        <f t="shared" si="224"/>
        <v/>
      </c>
      <c r="O309" s="62" t="str">
        <f t="shared" si="225"/>
        <v/>
      </c>
      <c r="P309" s="137" t="s">
        <v>630</v>
      </c>
      <c r="Q309" s="138" t="s">
        <v>631</v>
      </c>
      <c r="R309" s="142" t="s">
        <v>32</v>
      </c>
      <c r="S309" s="140">
        <v>4.43401E-2</v>
      </c>
      <c r="T309" s="62">
        <f t="shared" si="248"/>
        <v>2.2858524479630951E-3</v>
      </c>
      <c r="V309" s="143">
        <v>1.1237284999999999</v>
      </c>
      <c r="W309" s="144">
        <v>2.8842939099999998</v>
      </c>
      <c r="X309" s="144">
        <v>4.4289073600000002</v>
      </c>
      <c r="Y309" s="144">
        <v>5.7340420099999996</v>
      </c>
      <c r="Z309" s="145">
        <v>7.2983229799999991</v>
      </c>
      <c r="AB309" s="139" t="s">
        <v>21</v>
      </c>
      <c r="AC309" s="140">
        <v>3.9160627282163532E-2</v>
      </c>
      <c r="AD309" s="140">
        <v>4.6625952447963095E-2</v>
      </c>
      <c r="AE309" s="140" t="s">
        <v>21</v>
      </c>
      <c r="AF309" s="141" t="s">
        <v>21</v>
      </c>
      <c r="AG309" s="140" t="s">
        <v>21</v>
      </c>
      <c r="AH309" s="140">
        <v>1.1296559482163527E-2</v>
      </c>
      <c r="AI309" s="140">
        <v>1.8152036247963098E-2</v>
      </c>
      <c r="AJ309" s="140" t="s">
        <v>21</v>
      </c>
      <c r="AK309" s="141" t="s">
        <v>21</v>
      </c>
    </row>
    <row r="310" spans="1:38" x14ac:dyDescent="0.35">
      <c r="B310" s="146" t="s">
        <v>275</v>
      </c>
      <c r="C310" s="147" t="s">
        <v>232</v>
      </c>
      <c r="D310" s="147" t="s">
        <v>276</v>
      </c>
      <c r="E310" s="147" t="s">
        <v>123</v>
      </c>
      <c r="F310" s="72" t="str">
        <f t="shared" si="216"/>
        <v/>
      </c>
      <c r="G310" s="59">
        <f t="shared" si="217"/>
        <v>3.5617223593101911E-2</v>
      </c>
      <c r="H310" s="59">
        <f t="shared" si="218"/>
        <v>4.0994520863757995E-2</v>
      </c>
      <c r="I310" s="59" t="str">
        <f t="shared" si="219"/>
        <v/>
      </c>
      <c r="J310" s="62" t="str">
        <f t="shared" si="220"/>
        <v/>
      </c>
      <c r="K310" s="59" t="str">
        <f t="shared" si="221"/>
        <v/>
      </c>
      <c r="L310" s="59">
        <f t="shared" si="222"/>
        <v>7.8704508931019112E-3</v>
      </c>
      <c r="M310" s="59">
        <f t="shared" si="223"/>
        <v>1.2725861663757995E-2</v>
      </c>
      <c r="N310" s="59" t="str">
        <f t="shared" si="224"/>
        <v/>
      </c>
      <c r="O310" s="62" t="str">
        <f t="shared" si="225"/>
        <v/>
      </c>
      <c r="P310" s="146" t="s">
        <v>632</v>
      </c>
      <c r="Q310" s="147" t="s">
        <v>633</v>
      </c>
      <c r="R310" s="151" t="s">
        <v>32</v>
      </c>
      <c r="S310" s="149">
        <v>3.6818900000000002E-2</v>
      </c>
      <c r="T310" s="62">
        <f t="shared" si="226"/>
        <v>4.1756208637579936E-3</v>
      </c>
      <c r="V310" s="152">
        <v>1.1245511800000001</v>
      </c>
      <c r="W310" s="153">
        <v>2.8987563300000003</v>
      </c>
      <c r="X310" s="153">
        <v>4.4809038299999999</v>
      </c>
      <c r="Y310" s="153">
        <v>5.8493851899999996</v>
      </c>
      <c r="Z310" s="154">
        <v>7.5357340400000004</v>
      </c>
      <c r="AB310" s="148" t="s">
        <v>21</v>
      </c>
      <c r="AC310" s="149">
        <v>3.5617223593101911E-2</v>
      </c>
      <c r="AD310" s="149">
        <v>4.0994520863757995E-2</v>
      </c>
      <c r="AE310" s="149" t="s">
        <v>21</v>
      </c>
      <c r="AF310" s="150" t="s">
        <v>21</v>
      </c>
      <c r="AG310" s="149" t="s">
        <v>21</v>
      </c>
      <c r="AH310" s="149">
        <v>7.8704508931019112E-3</v>
      </c>
      <c r="AI310" s="149">
        <v>1.2725861663757995E-2</v>
      </c>
      <c r="AJ310" s="149" t="s">
        <v>21</v>
      </c>
      <c r="AK310" s="150" t="s">
        <v>21</v>
      </c>
    </row>
    <row r="311" spans="1:38" x14ac:dyDescent="0.35">
      <c r="B311" s="54" t="s">
        <v>212</v>
      </c>
      <c r="C311" s="52" t="s">
        <v>232</v>
      </c>
      <c r="D311" s="52" t="s">
        <v>199</v>
      </c>
      <c r="E311" s="52" t="s">
        <v>293</v>
      </c>
      <c r="F311" s="74" t="str">
        <f t="shared" si="216"/>
        <v/>
      </c>
      <c r="G311" s="79">
        <f t="shared" si="217"/>
        <v>3.6172289833054656E-2</v>
      </c>
      <c r="H311" s="79">
        <f t="shared" si="218"/>
        <v>4.4551268894981948E-2</v>
      </c>
      <c r="I311" s="79" t="str">
        <f t="shared" si="219"/>
        <v/>
      </c>
      <c r="J311" s="61" t="str">
        <f t="shared" si="220"/>
        <v/>
      </c>
      <c r="K311" s="79" t="str">
        <f t="shared" si="221"/>
        <v/>
      </c>
      <c r="L311" s="79">
        <f t="shared" si="222"/>
        <v>8.4030107330546611E-3</v>
      </c>
      <c r="M311" s="79">
        <f t="shared" si="223"/>
        <v>1.6147376694981952E-2</v>
      </c>
      <c r="N311" s="79" t="str">
        <f t="shared" si="224"/>
        <v/>
      </c>
      <c r="O311" s="61" t="str">
        <f t="shared" si="225"/>
        <v/>
      </c>
      <c r="P311" s="54" t="s">
        <v>634</v>
      </c>
      <c r="Q311" s="52" t="s">
        <v>635</v>
      </c>
      <c r="R311" s="93" t="s">
        <v>32</v>
      </c>
      <c r="S311" s="70">
        <v>4.103101E-2</v>
      </c>
      <c r="T311" s="61">
        <f t="shared" si="226"/>
        <v>3.520258894981948E-3</v>
      </c>
      <c r="V311" s="113">
        <v>1.1278380799999999</v>
      </c>
      <c r="W311" s="71">
        <v>2.9067269800000002</v>
      </c>
      <c r="X311" s="71">
        <v>4.4691766799999995</v>
      </c>
      <c r="Y311" s="71">
        <v>5.7819014100000006</v>
      </c>
      <c r="Z311" s="114">
        <v>7.3563400000000003</v>
      </c>
      <c r="AB311" s="72" t="s">
        <v>21</v>
      </c>
      <c r="AC311" s="70">
        <v>3.6172289833054656E-2</v>
      </c>
      <c r="AD311" s="70">
        <v>4.4551268894981948E-2</v>
      </c>
      <c r="AE311" s="70" t="s">
        <v>21</v>
      </c>
      <c r="AF311" s="62" t="s">
        <v>21</v>
      </c>
      <c r="AG311" s="70" t="s">
        <v>21</v>
      </c>
      <c r="AH311" s="70">
        <v>8.4030107330546611E-3</v>
      </c>
      <c r="AI311" s="70">
        <v>1.6147376694981952E-2</v>
      </c>
      <c r="AJ311" s="70" t="s">
        <v>21</v>
      </c>
      <c r="AK311" s="62" t="s">
        <v>21</v>
      </c>
    </row>
    <row r="312" spans="1:38" x14ac:dyDescent="0.35">
      <c r="B312" s="54" t="s">
        <v>213</v>
      </c>
      <c r="C312" s="52" t="s">
        <v>232</v>
      </c>
      <c r="D312" s="52" t="s">
        <v>197</v>
      </c>
      <c r="E312" s="52" t="s">
        <v>636</v>
      </c>
      <c r="F312" s="72" t="str">
        <f t="shared" si="216"/>
        <v/>
      </c>
      <c r="G312" s="59">
        <f t="shared" si="217"/>
        <v>5.1427308741266831E-2</v>
      </c>
      <c r="H312" s="59">
        <f t="shared" si="218"/>
        <v>5.9761309736901816E-2</v>
      </c>
      <c r="I312" s="59" t="str">
        <f t="shared" si="219"/>
        <v/>
      </c>
      <c r="J312" s="62" t="str">
        <f t="shared" si="220"/>
        <v/>
      </c>
      <c r="K312" s="59" t="str">
        <f t="shared" si="221"/>
        <v/>
      </c>
      <c r="L312" s="59">
        <f t="shared" si="222"/>
        <v>2.290279344126683E-2</v>
      </c>
      <c r="M312" s="59">
        <f t="shared" si="223"/>
        <v>3.0501440336901817E-2</v>
      </c>
      <c r="N312" s="59" t="str">
        <f t="shared" si="224"/>
        <v/>
      </c>
      <c r="O312" s="62" t="str">
        <f t="shared" si="225"/>
        <v/>
      </c>
      <c r="P312" s="54" t="s">
        <v>21</v>
      </c>
      <c r="Q312" s="52" t="s">
        <v>21</v>
      </c>
      <c r="R312" s="93" t="s">
        <v>21</v>
      </c>
      <c r="S312" s="70" t="s">
        <v>21</v>
      </c>
      <c r="T312" s="62" t="str">
        <f t="shared" ref="T312:T315" si="249">IF(S312="","",H312-S312)</f>
        <v/>
      </c>
      <c r="V312" s="113">
        <v>1.1015822900000001</v>
      </c>
      <c r="W312" s="71">
        <v>2.7756174799999997</v>
      </c>
      <c r="X312" s="71">
        <v>4.1869494200000004</v>
      </c>
      <c r="Y312" s="71">
        <v>5.3157989900000002</v>
      </c>
      <c r="Z312" s="114">
        <v>6.6071949000000005</v>
      </c>
      <c r="AB312" s="72" t="s">
        <v>21</v>
      </c>
      <c r="AC312" s="70">
        <v>5.1427308741266831E-2</v>
      </c>
      <c r="AD312" s="70">
        <v>5.9761309736901816E-2</v>
      </c>
      <c r="AE312" s="70" t="s">
        <v>21</v>
      </c>
      <c r="AF312" s="62" t="s">
        <v>21</v>
      </c>
      <c r="AG312" s="70" t="s">
        <v>21</v>
      </c>
      <c r="AH312" s="70">
        <v>2.290279344126683E-2</v>
      </c>
      <c r="AI312" s="70">
        <v>3.0501440336901817E-2</v>
      </c>
      <c r="AJ312" s="70" t="s">
        <v>21</v>
      </c>
      <c r="AK312" s="62" t="s">
        <v>21</v>
      </c>
    </row>
    <row r="313" spans="1:38" x14ac:dyDescent="0.35">
      <c r="B313" s="54" t="s">
        <v>280</v>
      </c>
      <c r="C313" s="52" t="s">
        <v>232</v>
      </c>
      <c r="D313" s="52" t="s">
        <v>199</v>
      </c>
      <c r="E313" s="52" t="s">
        <v>133</v>
      </c>
      <c r="F313" s="72" t="str">
        <f t="shared" si="216"/>
        <v/>
      </c>
      <c r="G313" s="59" t="str">
        <f t="shared" si="217"/>
        <v/>
      </c>
      <c r="H313" s="59">
        <f t="shared" si="218"/>
        <v>3.4676245894182681E-2</v>
      </c>
      <c r="I313" s="59" t="str">
        <f t="shared" si="219"/>
        <v/>
      </c>
      <c r="J313" s="62" t="str">
        <f t="shared" si="220"/>
        <v/>
      </c>
      <c r="K313" s="59" t="str">
        <f t="shared" si="221"/>
        <v/>
      </c>
      <c r="L313" s="59" t="str">
        <f t="shared" si="222"/>
        <v/>
      </c>
      <c r="M313" s="59">
        <f t="shared" si="223"/>
        <v>6.5738648941826849E-3</v>
      </c>
      <c r="N313" s="59" t="str">
        <f t="shared" si="224"/>
        <v/>
      </c>
      <c r="O313" s="62" t="str">
        <f t="shared" si="225"/>
        <v/>
      </c>
      <c r="P313" s="54" t="s">
        <v>294</v>
      </c>
      <c r="Q313" s="52" t="s">
        <v>295</v>
      </c>
      <c r="R313" s="93">
        <v>47581</v>
      </c>
      <c r="S313" s="70">
        <v>3.8250890000000003E-2</v>
      </c>
      <c r="T313" s="62">
        <f t="shared" si="249"/>
        <v>-3.574644105817322E-3</v>
      </c>
      <c r="V313" s="113">
        <v>1.1282660499999999</v>
      </c>
      <c r="W313" s="71">
        <v>2.9306506199999998</v>
      </c>
      <c r="X313" s="71">
        <v>4.5692015900000005</v>
      </c>
      <c r="Y313" s="71">
        <v>6.0167357300000006</v>
      </c>
      <c r="Z313" s="114">
        <v>7.8543214700000004</v>
      </c>
      <c r="AB313" s="72" t="s">
        <v>21</v>
      </c>
      <c r="AC313" s="70"/>
      <c r="AD313" s="70">
        <v>3.4676245894182681E-2</v>
      </c>
      <c r="AE313" s="70" t="s">
        <v>21</v>
      </c>
      <c r="AF313" s="62" t="s">
        <v>21</v>
      </c>
      <c r="AG313" s="70" t="s">
        <v>21</v>
      </c>
      <c r="AH313" s="70"/>
      <c r="AI313" s="70">
        <v>6.5738648941826849E-3</v>
      </c>
      <c r="AJ313" s="70" t="s">
        <v>21</v>
      </c>
      <c r="AK313" s="62" t="s">
        <v>21</v>
      </c>
    </row>
    <row r="314" spans="1:38" x14ac:dyDescent="0.35">
      <c r="B314" s="54" t="s">
        <v>281</v>
      </c>
      <c r="C314" s="52" t="s">
        <v>232</v>
      </c>
      <c r="D314" s="52" t="s">
        <v>195</v>
      </c>
      <c r="E314" s="52" t="s">
        <v>637</v>
      </c>
      <c r="F314" s="72" t="str">
        <f t="shared" si="216"/>
        <v/>
      </c>
      <c r="G314" s="59" t="str">
        <f t="shared" si="217"/>
        <v/>
      </c>
      <c r="H314" s="59">
        <f t="shared" si="218"/>
        <v>6.1133048664213582E-2</v>
      </c>
      <c r="I314" s="59" t="str">
        <f t="shared" si="219"/>
        <v/>
      </c>
      <c r="J314" s="62" t="str">
        <f t="shared" si="220"/>
        <v/>
      </c>
      <c r="K314" s="59" t="str">
        <f t="shared" si="221"/>
        <v/>
      </c>
      <c r="L314" s="59" t="str">
        <f t="shared" si="222"/>
        <v/>
      </c>
      <c r="M314" s="59">
        <f t="shared" si="223"/>
        <v>3.1762601964213565E-2</v>
      </c>
      <c r="N314" s="59" t="str">
        <f t="shared" si="224"/>
        <v/>
      </c>
      <c r="O314" s="62" t="str">
        <f t="shared" si="225"/>
        <v/>
      </c>
      <c r="P314" s="54" t="s">
        <v>21</v>
      </c>
      <c r="Q314" s="52" t="s">
        <v>21</v>
      </c>
      <c r="R314" s="93" t="s">
        <v>21</v>
      </c>
      <c r="S314" s="70" t="s">
        <v>21</v>
      </c>
      <c r="T314" s="62" t="str">
        <f t="shared" si="249"/>
        <v/>
      </c>
      <c r="V314" s="113">
        <v>1.0975196700000001</v>
      </c>
      <c r="W314" s="71">
        <v>2.7444856100000004</v>
      </c>
      <c r="X314" s="71">
        <v>4.1330471700000002</v>
      </c>
      <c r="Y314" s="71">
        <v>5.2857049700000003</v>
      </c>
      <c r="Z314" s="114">
        <v>6.6709742500000004</v>
      </c>
      <c r="AB314" s="72" t="s">
        <v>21</v>
      </c>
      <c r="AC314" s="70"/>
      <c r="AD314" s="70">
        <v>6.1133048664213582E-2</v>
      </c>
      <c r="AE314" s="70" t="s">
        <v>21</v>
      </c>
      <c r="AF314" s="62" t="s">
        <v>21</v>
      </c>
      <c r="AG314" s="70" t="s">
        <v>21</v>
      </c>
      <c r="AH314" s="70"/>
      <c r="AI314" s="70">
        <v>3.1762601964213565E-2</v>
      </c>
      <c r="AJ314" s="70" t="s">
        <v>21</v>
      </c>
      <c r="AK314" s="62" t="s">
        <v>21</v>
      </c>
    </row>
    <row r="315" spans="1:38" x14ac:dyDescent="0.35">
      <c r="B315" s="54" t="s">
        <v>282</v>
      </c>
      <c r="C315" s="52" t="s">
        <v>232</v>
      </c>
      <c r="D315" s="52" t="s">
        <v>195</v>
      </c>
      <c r="E315" s="52" t="s">
        <v>638</v>
      </c>
      <c r="F315" s="72" t="str">
        <f t="shared" si="216"/>
        <v/>
      </c>
      <c r="G315" s="59" t="str">
        <f t="shared" si="217"/>
        <v/>
      </c>
      <c r="H315" s="59">
        <f t="shared" si="218"/>
        <v>6.3541223258540572E-2</v>
      </c>
      <c r="I315" s="59" t="str">
        <f t="shared" si="219"/>
        <v/>
      </c>
      <c r="J315" s="62" t="str">
        <f t="shared" si="220"/>
        <v/>
      </c>
      <c r="K315" s="59" t="str">
        <f t="shared" si="221"/>
        <v/>
      </c>
      <c r="L315" s="59" t="str">
        <f t="shared" si="222"/>
        <v/>
      </c>
      <c r="M315" s="59">
        <f t="shared" si="223"/>
        <v>3.4367693358540556E-2</v>
      </c>
      <c r="N315" s="59" t="str">
        <f t="shared" si="224"/>
        <v/>
      </c>
      <c r="O315" s="62" t="str">
        <f t="shared" si="225"/>
        <v/>
      </c>
      <c r="P315" s="54" t="s">
        <v>21</v>
      </c>
      <c r="Q315" s="52" t="s">
        <v>21</v>
      </c>
      <c r="R315" s="93" t="s">
        <v>21</v>
      </c>
      <c r="S315" s="70" t="s">
        <v>21</v>
      </c>
      <c r="T315" s="62" t="str">
        <f t="shared" si="249"/>
        <v/>
      </c>
      <c r="V315" s="113">
        <v>1.1035318999999999</v>
      </c>
      <c r="W315" s="71">
        <v>2.7871697499999999</v>
      </c>
      <c r="X315" s="71">
        <v>4.20723249</v>
      </c>
      <c r="Y315" s="71">
        <v>5.3544806000000005</v>
      </c>
      <c r="Z315" s="114">
        <v>6.6471420999999999</v>
      </c>
      <c r="AB315" s="72" t="s">
        <v>21</v>
      </c>
      <c r="AC315" s="70"/>
      <c r="AD315" s="70">
        <v>6.3541223258540572E-2</v>
      </c>
      <c r="AE315" s="70" t="s">
        <v>21</v>
      </c>
      <c r="AF315" s="62" t="s">
        <v>21</v>
      </c>
      <c r="AG315" s="70" t="s">
        <v>21</v>
      </c>
      <c r="AH315" s="70"/>
      <c r="AI315" s="70">
        <v>3.4367693358540556E-2</v>
      </c>
      <c r="AJ315" s="70" t="s">
        <v>21</v>
      </c>
      <c r="AK315" s="62" t="s">
        <v>21</v>
      </c>
    </row>
    <row r="316" spans="1:38" x14ac:dyDescent="0.35">
      <c r="B316" s="56" t="s">
        <v>283</v>
      </c>
      <c r="C316" s="52" t="s">
        <v>232</v>
      </c>
      <c r="D316" s="66" t="s">
        <v>195</v>
      </c>
      <c r="E316" s="66" t="s">
        <v>268</v>
      </c>
      <c r="F316" s="73" t="str">
        <f t="shared" si="216"/>
        <v/>
      </c>
      <c r="G316" s="75" t="str">
        <f t="shared" si="217"/>
        <v/>
      </c>
      <c r="H316" s="75">
        <f t="shared" si="218"/>
        <v>6.8126081591983662E-2</v>
      </c>
      <c r="I316" s="75" t="str">
        <f t="shared" si="219"/>
        <v/>
      </c>
      <c r="J316" s="63" t="str">
        <f t="shared" si="220"/>
        <v/>
      </c>
      <c r="K316" s="75" t="str">
        <f t="shared" si="221"/>
        <v/>
      </c>
      <c r="L316" s="75" t="str">
        <f t="shared" si="222"/>
        <v/>
      </c>
      <c r="M316" s="75">
        <f t="shared" si="223"/>
        <v>3.792162319198368E-2</v>
      </c>
      <c r="N316" s="75" t="str">
        <f t="shared" si="224"/>
        <v/>
      </c>
      <c r="O316" s="63" t="str">
        <f t="shared" si="225"/>
        <v/>
      </c>
      <c r="P316" s="56" t="s">
        <v>639</v>
      </c>
      <c r="Q316" s="66" t="s">
        <v>640</v>
      </c>
      <c r="R316" s="95">
        <v>47560</v>
      </c>
      <c r="S316" s="75">
        <v>6.4381159999999993E-2</v>
      </c>
      <c r="T316" s="63">
        <f t="shared" si="226"/>
        <v>3.7449215919836687E-3</v>
      </c>
      <c r="V316" s="115">
        <v>1.0920315700000001</v>
      </c>
      <c r="W316" s="107">
        <v>2.6924584</v>
      </c>
      <c r="X316" s="107">
        <v>3.9861019600000001</v>
      </c>
      <c r="Y316" s="107">
        <v>5.0117063699999997</v>
      </c>
      <c r="Z316" s="116">
        <v>6.11237005</v>
      </c>
      <c r="AB316" s="73" t="s">
        <v>21</v>
      </c>
      <c r="AC316" s="75"/>
      <c r="AD316" s="75">
        <v>6.8126081591983662E-2</v>
      </c>
      <c r="AE316" s="75" t="s">
        <v>21</v>
      </c>
      <c r="AF316" s="63" t="s">
        <v>21</v>
      </c>
      <c r="AG316" s="75" t="s">
        <v>21</v>
      </c>
      <c r="AH316" s="75"/>
      <c r="AI316" s="75">
        <v>3.792162319198368E-2</v>
      </c>
      <c r="AJ316" s="75" t="s">
        <v>21</v>
      </c>
      <c r="AK316" s="63" t="s">
        <v>21</v>
      </c>
    </row>
    <row r="317" spans="1:38" x14ac:dyDescent="0.35">
      <c r="B317" s="65"/>
      <c r="C317" s="65"/>
      <c r="D317" s="65"/>
      <c r="E317" s="65"/>
      <c r="P317" s="65"/>
      <c r="Q317" s="65"/>
      <c r="R317" s="65"/>
      <c r="S317" s="65"/>
      <c r="V317" s="65"/>
      <c r="W317" s="65"/>
      <c r="X317" s="65"/>
      <c r="Y317" s="65"/>
      <c r="Z317" s="65"/>
      <c r="AB317" s="65"/>
      <c r="AC317" s="65"/>
      <c r="AD317" s="65"/>
      <c r="AE317" s="65"/>
      <c r="AF317" s="65"/>
      <c r="AG317" s="65"/>
      <c r="AH317" s="65"/>
      <c r="AI317" s="65"/>
      <c r="AJ317" s="65"/>
      <c r="AK317" s="65"/>
    </row>
    <row r="318" spans="1:38" ht="15.5" x14ac:dyDescent="0.35">
      <c r="B318" s="121" t="s">
        <v>284</v>
      </c>
      <c r="C318" s="52"/>
      <c r="D318" s="52"/>
      <c r="E318" s="52"/>
      <c r="P318" s="52"/>
      <c r="Q318" s="52"/>
      <c r="R318" s="52"/>
      <c r="S318" s="52"/>
      <c r="V318" s="52"/>
      <c r="W318" s="52"/>
      <c r="X318" s="52"/>
      <c r="Y318" s="52"/>
      <c r="Z318" s="52"/>
      <c r="AB318" s="52"/>
      <c r="AC318" s="52"/>
      <c r="AD318" s="52"/>
      <c r="AE318" s="52"/>
      <c r="AF318" s="52"/>
      <c r="AG318" s="52"/>
      <c r="AH318" s="52"/>
      <c r="AI318" s="52"/>
      <c r="AJ318" s="52"/>
      <c r="AK318" s="52"/>
    </row>
    <row r="319" spans="1:38" x14ac:dyDescent="0.35">
      <c r="B319" s="84" t="s">
        <v>5</v>
      </c>
      <c r="C319" s="83" t="s">
        <v>6</v>
      </c>
      <c r="D319" s="83" t="s">
        <v>7</v>
      </c>
      <c r="E319" s="83" t="s">
        <v>8</v>
      </c>
      <c r="F319" s="82" t="s">
        <v>9</v>
      </c>
      <c r="G319" s="81" t="s">
        <v>10</v>
      </c>
      <c r="H319" s="81" t="s">
        <v>11</v>
      </c>
      <c r="I319" s="81" t="s">
        <v>12</v>
      </c>
      <c r="J319" s="80" t="s">
        <v>13</v>
      </c>
      <c r="K319" s="82" t="s">
        <v>9</v>
      </c>
      <c r="L319" s="81" t="s">
        <v>10</v>
      </c>
      <c r="M319" s="81" t="s">
        <v>11</v>
      </c>
      <c r="N319" s="81" t="s">
        <v>12</v>
      </c>
      <c r="O319" s="80" t="s">
        <v>13</v>
      </c>
      <c r="P319" s="82" t="s">
        <v>14</v>
      </c>
      <c r="Q319" s="81" t="s">
        <v>15</v>
      </c>
      <c r="R319" s="81" t="s">
        <v>16</v>
      </c>
      <c r="S319" s="81" t="s">
        <v>17</v>
      </c>
      <c r="T319" s="57" t="s">
        <v>18</v>
      </c>
      <c r="U319" s="52"/>
      <c r="V319" s="109" t="s">
        <v>9</v>
      </c>
      <c r="W319" s="105" t="s">
        <v>10</v>
      </c>
      <c r="X319" s="105" t="s">
        <v>11</v>
      </c>
      <c r="Y319" s="105" t="s">
        <v>12</v>
      </c>
      <c r="Z319" s="110" t="s">
        <v>13</v>
      </c>
      <c r="AA319" s="52"/>
      <c r="AB319" s="82" t="s">
        <v>9</v>
      </c>
      <c r="AC319" s="81" t="s">
        <v>10</v>
      </c>
      <c r="AD319" s="81" t="s">
        <v>11</v>
      </c>
      <c r="AE319" s="81" t="s">
        <v>12</v>
      </c>
      <c r="AF319" s="80" t="s">
        <v>13</v>
      </c>
      <c r="AG319" s="82" t="s">
        <v>9</v>
      </c>
      <c r="AH319" s="81" t="s">
        <v>10</v>
      </c>
      <c r="AI319" s="81" t="s">
        <v>11</v>
      </c>
      <c r="AJ319" s="81" t="s">
        <v>12</v>
      </c>
      <c r="AK319" s="80" t="s">
        <v>13</v>
      </c>
    </row>
    <row r="320" spans="1:38" x14ac:dyDescent="0.35">
      <c r="B320" s="54" t="s">
        <v>641</v>
      </c>
      <c r="C320" s="52" t="s">
        <v>232</v>
      </c>
      <c r="D320" s="52" t="s">
        <v>642</v>
      </c>
      <c r="E320" s="52" t="s">
        <v>643</v>
      </c>
      <c r="F320" s="72">
        <f>IF(ISNUMBER(AB320),AB320-((C$4-C$3)/V320),"")</f>
        <v>2.5044429895427871E-2</v>
      </c>
      <c r="G320" s="59">
        <f>IF(ISNUMBER(AC320),AC320-((D$4-D$3)/W320),"")</f>
        <v>3.2479663582806885E-2</v>
      </c>
      <c r="H320" s="59">
        <f>IF(ISNUMBER(AD320),AD320-((E$4-E$3)/X320),"")</f>
        <v>3.8255736776451874E-2</v>
      </c>
      <c r="I320" s="59">
        <f>IF(ISNUMBER(AE320),AE320-((F$4-F$3)/Y320),"")</f>
        <v>4.0948857910347136E-2</v>
      </c>
      <c r="J320" s="62">
        <f>IF(ISNUMBER(AF320),AF320-((G$4-G$3)/Z320),"")</f>
        <v>4.3662159552893834E-2</v>
      </c>
      <c r="K320" s="59" t="str">
        <f>IF(ISNUMBER(AG320),IF(AG320-((C$4-C$3)/V320)&lt;0,"",AG320-((C$4-C$3)/V320)),"")</f>
        <v/>
      </c>
      <c r="L320" s="59">
        <f>IF(ISNUMBER(AH320),IF(AH320-((D$4-D$3)/W320)&lt;0,"",AH320-((D$4-D$3)/W320)),"")</f>
        <v>4.8269689828068854E-3</v>
      </c>
      <c r="M320" s="59">
        <f>IF(ISNUMBER(AI320),IF(AI320-((E$4-E$3)/X320)&lt;0,"",AI320-((E$4-E$3)/X320)),"")</f>
        <v>1.0070530976451874E-2</v>
      </c>
      <c r="N320" s="59">
        <f>IF(ISNUMBER(AJ320),IF(AJ320-((F$4-F$3)/Y320)&lt;0,"",AJ320-((F$4-F$3)/Y320)),"")</f>
        <v>1.2002738610347142E-2</v>
      </c>
      <c r="O320" s="62">
        <f>IF(ISNUMBER(AK320),IF(AK320-((G$4-G$3)/Z320)&lt;0,"",AK320-((G$4-G$3)/Z320)),"")</f>
        <v>1.3509365952893836E-2</v>
      </c>
      <c r="P320" s="54" t="s">
        <v>644</v>
      </c>
      <c r="Q320" s="52" t="s">
        <v>645</v>
      </c>
      <c r="R320" s="93">
        <v>47545</v>
      </c>
      <c r="S320" s="70">
        <v>3.1448990000000003E-2</v>
      </c>
      <c r="T320" s="62">
        <f t="shared" ref="T320:T325" si="250">IF(S320="","",H320-S320)</f>
        <v>6.8067467764518705E-3</v>
      </c>
      <c r="U320" s="52"/>
      <c r="V320" s="113">
        <v>1.1284723000000001</v>
      </c>
      <c r="W320" s="71">
        <v>2.9219258099999998</v>
      </c>
      <c r="X320" s="71">
        <v>4.5306631600000005</v>
      </c>
      <c r="Y320" s="71">
        <v>5.9414400399999998</v>
      </c>
      <c r="Z320" s="114">
        <v>7.7531199300000004</v>
      </c>
      <c r="AA320" s="52"/>
      <c r="AB320" s="72">
        <v>2.5044429895427871E-2</v>
      </c>
      <c r="AC320" s="70">
        <v>3.2479663582806885E-2</v>
      </c>
      <c r="AD320" s="70">
        <v>3.8255736776451874E-2</v>
      </c>
      <c r="AE320" s="70">
        <v>4.0948857910347136E-2</v>
      </c>
      <c r="AF320" s="62">
        <v>4.3662159552893834E-2</v>
      </c>
      <c r="AG320" s="70" t="s">
        <v>21</v>
      </c>
      <c r="AH320" s="70">
        <v>4.8269689828068854E-3</v>
      </c>
      <c r="AI320" s="70">
        <v>1.0070530976451874E-2</v>
      </c>
      <c r="AJ320" s="70">
        <v>1.2002738610347142E-2</v>
      </c>
      <c r="AK320" s="62">
        <v>1.3509365952893836E-2</v>
      </c>
    </row>
    <row r="321" spans="2:37" x14ac:dyDescent="0.35">
      <c r="B321" s="54" t="s">
        <v>646</v>
      </c>
      <c r="C321" s="52" t="s">
        <v>232</v>
      </c>
      <c r="D321" s="52" t="s">
        <v>647</v>
      </c>
      <c r="E321" s="52" t="s">
        <v>264</v>
      </c>
      <c r="F321" s="72">
        <f t="shared" ref="F321:F325" si="251">IF(ISNUMBER(AB321),AB321-((C$4-C$3)/V321),"")</f>
        <v>2.5879353379605178E-2</v>
      </c>
      <c r="G321" s="59">
        <f t="shared" ref="G321:G325" si="252">IF(ISNUMBER(AC321),AC321-((D$4-D$3)/W321),"")</f>
        <v>3.3064878834910175E-2</v>
      </c>
      <c r="H321" s="59">
        <f t="shared" ref="H321:H325" si="253">IF(ISNUMBER(AD321),AD321-((E$4-E$3)/X321),"")</f>
        <v>3.8549574851937371E-2</v>
      </c>
      <c r="I321" s="59">
        <f t="shared" ref="I321:I325" si="254">IF(ISNUMBER(AE321),AE321-((F$4-F$3)/Y321),"")</f>
        <v>4.1087938987620504E-2</v>
      </c>
      <c r="J321" s="62">
        <f t="shared" ref="J321:J325" si="255">IF(ISNUMBER(AF321),AF321-((G$4-G$3)/Z321),"")</f>
        <v>4.3855944962505632E-2</v>
      </c>
      <c r="K321" s="59" t="str">
        <f t="shared" ref="K321:K325" si="256">IF(ISNUMBER(AG321),IF(AG321-((C$4-C$3)/V321)&lt;0,"",AG321-((C$4-C$3)/V321)),"")</f>
        <v/>
      </c>
      <c r="L321" s="59">
        <f t="shared" ref="L321:L325" si="257">IF(ISNUMBER(AH321),IF(AH321-((D$4-D$3)/W321)&lt;0,"",AH321-((D$4-D$3)/W321)),"")</f>
        <v>5.3929015349101737E-3</v>
      </c>
      <c r="M321" s="59">
        <f t="shared" ref="M321:M325" si="258">IF(ISNUMBER(AI321),IF(AI321-((E$4-E$3)/X321)&lt;0,"",AI321-((E$4-E$3)/X321)),"")</f>
        <v>1.0354019551937365E-2</v>
      </c>
      <c r="N321" s="59">
        <f t="shared" ref="N321:N325" si="259">IF(ISNUMBER(AJ321),IF(AJ321-((F$4-F$3)/Y321)&lt;0,"",AJ321-((F$4-F$3)/Y321)),"")</f>
        <v>1.2136189587620508E-2</v>
      </c>
      <c r="O321" s="62">
        <f t="shared" ref="O321:O325" si="260">IF(ISNUMBER(AK321),IF(AK321-((G$4-G$3)/Z321)&lt;0,"",AK321-((G$4-G$3)/Z321)),"")</f>
        <v>1.3694532162505636E-2</v>
      </c>
      <c r="P321" s="54" t="s">
        <v>21</v>
      </c>
      <c r="Q321" s="52" t="s">
        <v>21</v>
      </c>
      <c r="R321" s="93" t="s">
        <v>21</v>
      </c>
      <c r="S321" s="70" t="s">
        <v>21</v>
      </c>
      <c r="T321" s="62" t="str">
        <f t="shared" si="250"/>
        <v/>
      </c>
      <c r="U321" s="52"/>
      <c r="V321" s="113">
        <v>1.1268221</v>
      </c>
      <c r="W321" s="71">
        <v>2.9149462900000001</v>
      </c>
      <c r="X321" s="71">
        <v>4.5192717299999998</v>
      </c>
      <c r="Y321" s="71">
        <v>5.9286483700000003</v>
      </c>
      <c r="Z321" s="114">
        <v>7.7362697499999991</v>
      </c>
      <c r="AA321" s="52"/>
      <c r="AB321" s="72">
        <v>2.5879353379605178E-2</v>
      </c>
      <c r="AC321" s="70">
        <v>3.3064878834910175E-2</v>
      </c>
      <c r="AD321" s="70">
        <v>3.8549574851937371E-2</v>
      </c>
      <c r="AE321" s="70">
        <v>4.1087938987620504E-2</v>
      </c>
      <c r="AF321" s="62">
        <v>4.3855944962505632E-2</v>
      </c>
      <c r="AG321" s="70" t="s">
        <v>21</v>
      </c>
      <c r="AH321" s="70">
        <v>5.3929015349101737E-3</v>
      </c>
      <c r="AI321" s="70">
        <v>1.0354019551937365E-2</v>
      </c>
      <c r="AJ321" s="70">
        <v>1.2136189587620508E-2</v>
      </c>
      <c r="AK321" s="62">
        <v>1.3694532162505636E-2</v>
      </c>
    </row>
    <row r="322" spans="2:37" x14ac:dyDescent="0.35">
      <c r="B322" s="54" t="s">
        <v>287</v>
      </c>
      <c r="C322" s="52" t="s">
        <v>232</v>
      </c>
      <c r="D322" s="52" t="s">
        <v>285</v>
      </c>
      <c r="E322" s="52" t="s">
        <v>179</v>
      </c>
      <c r="F322" s="72">
        <f t="shared" si="251"/>
        <v>2.4043742053179176E-2</v>
      </c>
      <c r="G322" s="59">
        <f t="shared" si="252"/>
        <v>3.1145928396202057E-2</v>
      </c>
      <c r="H322" s="59">
        <f t="shared" si="253"/>
        <v>3.6105220022358775E-2</v>
      </c>
      <c r="I322" s="59">
        <f t="shared" si="254"/>
        <v>3.9210821038154875E-2</v>
      </c>
      <c r="J322" s="62">
        <f t="shared" si="255"/>
        <v>4.229031875436174E-2</v>
      </c>
      <c r="K322" s="59" t="str">
        <f t="shared" si="256"/>
        <v/>
      </c>
      <c r="L322" s="59">
        <f t="shared" si="257"/>
        <v>3.5351181962020545E-3</v>
      </c>
      <c r="M322" s="59">
        <f t="shared" si="258"/>
        <v>7.9962262223587741E-3</v>
      </c>
      <c r="N322" s="59">
        <f t="shared" si="259"/>
        <v>1.0329139938154871E-2</v>
      </c>
      <c r="O322" s="62">
        <f t="shared" si="260"/>
        <v>1.2184512954361751E-2</v>
      </c>
      <c r="P322" s="54" t="s">
        <v>648</v>
      </c>
      <c r="Q322" s="52" t="s">
        <v>649</v>
      </c>
      <c r="R322" s="93" t="s">
        <v>32</v>
      </c>
      <c r="S322" s="70">
        <v>3.2308129999999997E-2</v>
      </c>
      <c r="T322" s="62">
        <f t="shared" si="250"/>
        <v>3.7970900223587775E-3</v>
      </c>
      <c r="U322" s="52"/>
      <c r="V322" s="113">
        <v>1.1304837000000001</v>
      </c>
      <c r="W322" s="71">
        <v>2.9349410900000001</v>
      </c>
      <c r="X322" s="71">
        <v>4.57059105</v>
      </c>
      <c r="Y322" s="71">
        <v>6.0087218199999999</v>
      </c>
      <c r="Z322" s="114">
        <v>7.8560423799999999</v>
      </c>
      <c r="AA322" s="52"/>
      <c r="AB322" s="72">
        <v>2.4043742053179176E-2</v>
      </c>
      <c r="AC322" s="70">
        <v>3.1145928396202057E-2</v>
      </c>
      <c r="AD322" s="70">
        <v>3.6105220022358775E-2</v>
      </c>
      <c r="AE322" s="70">
        <v>3.9210821038154875E-2</v>
      </c>
      <c r="AF322" s="62">
        <v>4.229031875436174E-2</v>
      </c>
      <c r="AG322" s="70" t="s">
        <v>21</v>
      </c>
      <c r="AH322" s="70">
        <v>3.5351181962020545E-3</v>
      </c>
      <c r="AI322" s="70">
        <v>7.9962262223587741E-3</v>
      </c>
      <c r="AJ322" s="70">
        <v>1.0329139938154871E-2</v>
      </c>
      <c r="AK322" s="62">
        <v>1.2184512954361751E-2</v>
      </c>
    </row>
    <row r="323" spans="2:37" s="52" customFormat="1" x14ac:dyDescent="0.35">
      <c r="B323" s="54" t="s">
        <v>650</v>
      </c>
      <c r="C323" s="52" t="s">
        <v>232</v>
      </c>
      <c r="D323" s="52" t="s">
        <v>642</v>
      </c>
      <c r="E323" s="52" t="s">
        <v>651</v>
      </c>
      <c r="F323" s="72">
        <f t="shared" ref="F323" si="261">IF(ISNUMBER(AB323),AB323-((C$4-C$3)/V323),"")</f>
        <v>2.563718378678435E-2</v>
      </c>
      <c r="G323" s="59">
        <f t="shared" ref="G323" si="262">IF(ISNUMBER(AC323),AC323-((D$4-D$3)/W323),"")</f>
        <v>3.4284796988024696E-2</v>
      </c>
      <c r="H323" s="59">
        <f t="shared" ref="H323" si="263">IF(ISNUMBER(AD323),AD323-((E$4-E$3)/X323),"")</f>
        <v>3.9930686111783062E-2</v>
      </c>
      <c r="I323" s="59">
        <f t="shared" ref="I323" si="264">IF(ISNUMBER(AE323),AE323-((F$4-F$3)/Y323),"")</f>
        <v>4.3444182616202462E-2</v>
      </c>
      <c r="J323" s="62">
        <f t="shared" ref="J323" si="265">IF(ISNUMBER(AF323),AF323-((G$4-G$3)/Z323),"")</f>
        <v>4.7461537265006626E-2</v>
      </c>
      <c r="K323" s="59" t="str">
        <f t="shared" ref="K323" si="266">IF(ISNUMBER(AG323),IF(AG323-((C$4-C$3)/V323)&lt;0,"",AG323-((C$4-C$3)/V323)),"")</f>
        <v/>
      </c>
      <c r="L323" s="59">
        <f t="shared" ref="L323" si="267">IF(ISNUMBER(AH323),IF(AH323-((D$4-D$3)/W323)&lt;0,"",AH323-((D$4-D$3)/W323)),"")</f>
        <v>6.56330598802469E-3</v>
      </c>
      <c r="M323" s="59">
        <f t="shared" ref="M323" si="268">IF(ISNUMBER(AI323),IF(AI323-((E$4-E$3)/X323)&lt;0,"",AI323-((E$4-E$3)/X323)),"")</f>
        <v>1.1677029711783062E-2</v>
      </c>
      <c r="N323" s="59">
        <f t="shared" ref="N323" si="269">IF(ISNUMBER(AJ323),IF(AJ323-((F$4-F$3)/Y323)&lt;0,"",AJ323-((F$4-F$3)/Y323)),"")</f>
        <v>1.4390575916202464E-2</v>
      </c>
      <c r="O323" s="62">
        <f t="shared" ref="O323" si="270">IF(ISNUMBER(AK323),IF(AK323-((G$4-G$3)/Z323)&lt;0,"",AK323-((G$4-G$3)/Z323)),"")</f>
        <v>1.7160581565006616E-2</v>
      </c>
      <c r="P323" s="54" t="s">
        <v>652</v>
      </c>
      <c r="Q323" s="52" t="s">
        <v>653</v>
      </c>
      <c r="R323" s="93">
        <v>47651</v>
      </c>
      <c r="S323" s="70">
        <v>3.3222500000000002E-2</v>
      </c>
      <c r="T323" s="62">
        <f t="shared" si="250"/>
        <v>6.7081861117830599E-3</v>
      </c>
      <c r="V323" s="113">
        <v>1.1273558299999999</v>
      </c>
      <c r="W323" s="71">
        <v>2.9090486799999997</v>
      </c>
      <c r="X323" s="71">
        <v>4.49662541</v>
      </c>
      <c r="Y323" s="71">
        <v>5.8701890900000002</v>
      </c>
      <c r="Z323" s="114">
        <v>7.5787907299999997</v>
      </c>
      <c r="AB323" s="72">
        <v>2.563718378678435E-2</v>
      </c>
      <c r="AC323" s="70">
        <v>3.4284796988024696E-2</v>
      </c>
      <c r="AD323" s="70">
        <v>3.9930686111783062E-2</v>
      </c>
      <c r="AE323" s="70">
        <v>4.3444182616202462E-2</v>
      </c>
      <c r="AF323" s="62">
        <v>4.7461537265006626E-2</v>
      </c>
      <c r="AG323" s="70" t="s">
        <v>21</v>
      </c>
      <c r="AH323" s="70">
        <v>6.56330598802469E-3</v>
      </c>
      <c r="AI323" s="70">
        <v>1.1677029711783062E-2</v>
      </c>
      <c r="AJ323" s="70">
        <v>1.4390575916202464E-2</v>
      </c>
      <c r="AK323" s="62">
        <v>1.7160581565006616E-2</v>
      </c>
    </row>
    <row r="324" spans="2:37" x14ac:dyDescent="0.35">
      <c r="B324" s="54" t="s">
        <v>654</v>
      </c>
      <c r="C324" s="52" t="s">
        <v>232</v>
      </c>
      <c r="D324" s="52" t="s">
        <v>642</v>
      </c>
      <c r="E324" s="52" t="s">
        <v>643</v>
      </c>
      <c r="F324" s="72">
        <f t="shared" si="251"/>
        <v>2.6260276703256105E-2</v>
      </c>
      <c r="G324" s="59">
        <f t="shared" si="252"/>
        <v>3.4508528829560674E-2</v>
      </c>
      <c r="H324" s="59">
        <f t="shared" si="253"/>
        <v>4.033844130691347E-2</v>
      </c>
      <c r="I324" s="59">
        <f t="shared" si="254"/>
        <v>4.3140018201583356E-2</v>
      </c>
      <c r="J324" s="62">
        <f t="shared" si="255"/>
        <v>4.649609221366776E-2</v>
      </c>
      <c r="K324" s="59" t="str">
        <f t="shared" si="256"/>
        <v/>
      </c>
      <c r="L324" s="59">
        <f t="shared" si="257"/>
        <v>6.781638629560674E-3</v>
      </c>
      <c r="M324" s="59">
        <f t="shared" si="258"/>
        <v>1.2069827206913474E-2</v>
      </c>
      <c r="N324" s="59">
        <f t="shared" si="259"/>
        <v>1.4101672301583358E-2</v>
      </c>
      <c r="O324" s="62">
        <f t="shared" si="260"/>
        <v>1.6233311013667762E-2</v>
      </c>
      <c r="P324" s="54" t="s">
        <v>655</v>
      </c>
      <c r="Q324" s="52" t="s">
        <v>656</v>
      </c>
      <c r="R324" s="93">
        <v>47599</v>
      </c>
      <c r="S324" s="70">
        <v>3.2338559999999995E-2</v>
      </c>
      <c r="T324" s="62">
        <f t="shared" si="250"/>
        <v>7.9998813069134742E-3</v>
      </c>
      <c r="U324" s="52"/>
      <c r="V324" s="113">
        <v>1.12609322</v>
      </c>
      <c r="W324" s="71">
        <v>2.9044951600000002</v>
      </c>
      <c r="X324" s="71">
        <v>4.4874329599999996</v>
      </c>
      <c r="Y324" s="71">
        <v>5.8645682099999998</v>
      </c>
      <c r="Z324" s="114">
        <v>7.6020200999999998</v>
      </c>
      <c r="AA324" s="52"/>
      <c r="AB324" s="72">
        <v>2.6260276703256105E-2</v>
      </c>
      <c r="AC324" s="70">
        <v>3.4508528829560674E-2</v>
      </c>
      <c r="AD324" s="70">
        <v>4.033844130691347E-2</v>
      </c>
      <c r="AE324" s="70">
        <v>4.3140018201583356E-2</v>
      </c>
      <c r="AF324" s="62">
        <v>4.649609221366776E-2</v>
      </c>
      <c r="AG324" s="70" t="s">
        <v>21</v>
      </c>
      <c r="AH324" s="70">
        <v>6.781638629560674E-3</v>
      </c>
      <c r="AI324" s="70">
        <v>1.2069827206913474E-2</v>
      </c>
      <c r="AJ324" s="70">
        <v>1.4101672301583358E-2</v>
      </c>
      <c r="AK324" s="62">
        <v>1.6233311013667762E-2</v>
      </c>
    </row>
    <row r="325" spans="2:37" x14ac:dyDescent="0.35">
      <c r="B325" s="56" t="s">
        <v>657</v>
      </c>
      <c r="C325" s="66" t="s">
        <v>232</v>
      </c>
      <c r="D325" s="66" t="s">
        <v>642</v>
      </c>
      <c r="E325" s="66" t="s">
        <v>658</v>
      </c>
      <c r="F325" s="73">
        <f t="shared" si="251"/>
        <v>2.6478274386102021E-2</v>
      </c>
      <c r="G325" s="75">
        <f t="shared" si="252"/>
        <v>3.5263264498184801E-2</v>
      </c>
      <c r="H325" s="75">
        <f t="shared" si="253"/>
        <v>4.0751279168056022E-2</v>
      </c>
      <c r="I325" s="75">
        <f t="shared" si="254"/>
        <v>4.3750648037538468E-2</v>
      </c>
      <c r="J325" s="63">
        <f t="shared" si="255"/>
        <v>4.6965900184132936E-2</v>
      </c>
      <c r="K325" s="75" t="str">
        <f t="shared" si="256"/>
        <v/>
      </c>
      <c r="L325" s="75">
        <f t="shared" si="257"/>
        <v>7.5086447981848013E-3</v>
      </c>
      <c r="M325" s="75">
        <f t="shared" si="258"/>
        <v>1.2466395168056013E-2</v>
      </c>
      <c r="N325" s="75">
        <f t="shared" si="259"/>
        <v>1.4685552537538464E-2</v>
      </c>
      <c r="O325" s="63">
        <f t="shared" si="260"/>
        <v>1.6684868684132947E-2</v>
      </c>
      <c r="P325" s="56" t="s">
        <v>659</v>
      </c>
      <c r="Q325" s="66" t="s">
        <v>660</v>
      </c>
      <c r="R325" s="95">
        <v>47490</v>
      </c>
      <c r="S325" s="75">
        <v>3.2818699999999999E-2</v>
      </c>
      <c r="T325" s="63">
        <f t="shared" si="250"/>
        <v>7.9325791680560226E-3</v>
      </c>
      <c r="U325" s="52"/>
      <c r="V325" s="115">
        <v>1.1255646799999999</v>
      </c>
      <c r="W325" s="107">
        <v>2.8986577900000001</v>
      </c>
      <c r="X325" s="107">
        <v>4.4752986400000001</v>
      </c>
      <c r="Y325" s="107">
        <v>5.8436666900000001</v>
      </c>
      <c r="Z325" s="116">
        <v>7.5671370800000002</v>
      </c>
      <c r="AA325" s="52"/>
      <c r="AB325" s="73">
        <v>2.6478274386102021E-2</v>
      </c>
      <c r="AC325" s="75">
        <v>3.5263264498184801E-2</v>
      </c>
      <c r="AD325" s="75">
        <v>4.0751279168056022E-2</v>
      </c>
      <c r="AE325" s="75">
        <v>4.3750648037538468E-2</v>
      </c>
      <c r="AF325" s="63">
        <v>4.6965900184132936E-2</v>
      </c>
      <c r="AG325" s="75" t="s">
        <v>21</v>
      </c>
      <c r="AH325" s="75">
        <v>7.5086447981848013E-3</v>
      </c>
      <c r="AI325" s="75">
        <v>1.2466395168056013E-2</v>
      </c>
      <c r="AJ325" s="75">
        <v>1.4685552537538464E-2</v>
      </c>
      <c r="AK325" s="63">
        <v>1.6684868684132947E-2</v>
      </c>
    </row>
    <row r="326" spans="2:37" x14ac:dyDescent="0.35">
      <c r="B326" s="52"/>
      <c r="C326" s="52"/>
      <c r="D326" s="52"/>
      <c r="E326" s="52"/>
      <c r="P326" s="52"/>
      <c r="Q326" s="52"/>
      <c r="R326" s="52"/>
      <c r="S326" s="52"/>
      <c r="V326" s="52"/>
      <c r="W326" s="52"/>
      <c r="X326" s="52"/>
      <c r="Y326" s="52"/>
      <c r="Z326" s="52"/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</row>
    <row r="327" spans="2:37" x14ac:dyDescent="0.35">
      <c r="B327" s="52"/>
      <c r="C327" s="52"/>
      <c r="D327" s="52"/>
      <c r="E327" s="52"/>
      <c r="P327" s="52"/>
      <c r="Q327" s="52"/>
      <c r="R327" s="52"/>
      <c r="S327" s="52"/>
      <c r="V327" s="52"/>
      <c r="W327" s="52"/>
      <c r="X327" s="52"/>
      <c r="Y327" s="52"/>
      <c r="Z327" s="52"/>
      <c r="AB327" s="52"/>
      <c r="AC327" s="52"/>
      <c r="AD327" s="52"/>
      <c r="AE327" s="52"/>
      <c r="AF327" s="52"/>
      <c r="AG327" s="52"/>
      <c r="AH327" s="52"/>
      <c r="AI327" s="52"/>
      <c r="AJ327" s="52"/>
      <c r="AK327" s="52"/>
    </row>
    <row r="328" spans="2:37" x14ac:dyDescent="0.35">
      <c r="B328" s="52"/>
      <c r="C328" s="52"/>
      <c r="D328" s="52"/>
      <c r="E328" s="52"/>
      <c r="P328" s="52"/>
      <c r="Q328" s="52"/>
      <c r="R328" s="52"/>
      <c r="S328" s="52"/>
      <c r="V328" s="52"/>
      <c r="W328" s="52"/>
      <c r="X328" s="52"/>
      <c r="Y328" s="52"/>
      <c r="Z328" s="52"/>
      <c r="AB328" s="52"/>
      <c r="AC328" s="52"/>
      <c r="AD328" s="52"/>
      <c r="AE328" s="52"/>
      <c r="AF328" s="52"/>
      <c r="AG328" s="52"/>
      <c r="AH328" s="52"/>
      <c r="AI328" s="52"/>
      <c r="AJ328" s="52"/>
      <c r="AK328" s="52"/>
    </row>
  </sheetData>
  <mergeCells count="10">
    <mergeCell ref="AG8:AK8"/>
    <mergeCell ref="F9:J9"/>
    <mergeCell ref="K9:O9"/>
    <mergeCell ref="AB9:AF9"/>
    <mergeCell ref="AG9:AK9"/>
    <mergeCell ref="V19:Z19"/>
    <mergeCell ref="V10:Z10"/>
    <mergeCell ref="F8:J8"/>
    <mergeCell ref="K8:O8"/>
    <mergeCell ref="AB8:AF8"/>
  </mergeCells>
  <conditionalFormatting sqref="F31">
    <cfRule type="colorScale" priority="431">
      <colorScale>
        <cfvo type="min"/>
        <cfvo type="max"/>
        <color rgb="FFFFEF9C"/>
        <color rgb="FF63BE7B"/>
      </colorScale>
    </cfRule>
  </conditionalFormatting>
  <conditionalFormatting sqref="F12:J17">
    <cfRule type="colorScale" priority="442">
      <colorScale>
        <cfvo type="min"/>
        <cfvo type="max"/>
        <color rgb="FFFFEF9C"/>
        <color rgb="FF63BE7B"/>
      </colorScale>
    </cfRule>
  </conditionalFormatting>
  <conditionalFormatting sqref="F21:J27">
    <cfRule type="colorScale" priority="346">
      <colorScale>
        <cfvo type="min"/>
        <cfvo type="max"/>
        <color rgb="FFFFEF9C"/>
        <color rgb="FF63BE7B"/>
      </colorScale>
    </cfRule>
  </conditionalFormatting>
  <conditionalFormatting sqref="F31:J70 F72:J78 F80:J110">
    <cfRule type="colorScale" priority="437">
      <colorScale>
        <cfvo type="min"/>
        <cfvo type="max"/>
        <color rgb="FFFFEF9C"/>
        <color rgb="FF63BE7B"/>
      </colorScale>
    </cfRule>
  </conditionalFormatting>
  <conditionalFormatting sqref="F31:J70 F72:J78">
    <cfRule type="colorScale" priority="1114">
      <colorScale>
        <cfvo type="min"/>
        <cfvo type="max"/>
        <color rgb="FFFFEF9C"/>
        <color rgb="FF63BE7B"/>
      </colorScale>
    </cfRule>
  </conditionalFormatting>
  <conditionalFormatting sqref="F31:J70 F72:J110">
    <cfRule type="colorScale" priority="1117">
      <colorScale>
        <cfvo type="min"/>
        <cfvo type="max"/>
        <color rgb="FFFFEF9C"/>
        <color rgb="FF63BE7B"/>
      </colorScale>
    </cfRule>
  </conditionalFormatting>
  <conditionalFormatting sqref="F32:J50 G31:J31 F52:J70 F72:J78 F80:J110">
    <cfRule type="colorScale" priority="436">
      <colorScale>
        <cfvo type="min"/>
        <cfvo type="max"/>
        <color rgb="FFFFEF9C"/>
        <color rgb="FF63BE7B"/>
      </colorScale>
    </cfRule>
  </conditionalFormatting>
  <conditionalFormatting sqref="F45:J53 F290:J316">
    <cfRule type="cellIs" dxfId="67" priority="433" operator="lessThan">
      <formula>0</formula>
    </cfRule>
  </conditionalFormatting>
  <conditionalFormatting sqref="F51:J51">
    <cfRule type="colorScale" priority="432">
      <colorScale>
        <cfvo type="min"/>
        <cfvo type="max"/>
        <color rgb="FFFFEF9C"/>
        <color rgb="FF63BE7B"/>
      </colorScale>
    </cfRule>
  </conditionalFormatting>
  <conditionalFormatting sqref="F55:J60 F62:J65 F73:J75 F77:J78 F80:J98">
    <cfRule type="cellIs" dxfId="66" priority="435" operator="lessThan">
      <formula>0</formula>
    </cfRule>
  </conditionalFormatting>
  <conditionalFormatting sqref="F67:J71">
    <cfRule type="cellIs" dxfId="65" priority="65" operator="lessThan">
      <formula>0</formula>
    </cfRule>
  </conditionalFormatting>
  <conditionalFormatting sqref="F71:J71">
    <cfRule type="colorScale" priority="66">
      <colorScale>
        <cfvo type="min"/>
        <cfvo type="max"/>
        <color rgb="FFFFEF9C"/>
        <color rgb="FF63BE7B"/>
      </colorScale>
    </cfRule>
    <cfRule type="colorScale" priority="70">
      <colorScale>
        <cfvo type="min"/>
        <cfvo type="max"/>
        <color rgb="FFFFEF9C"/>
        <color rgb="FF63BE7B"/>
      </colorScale>
    </cfRule>
    <cfRule type="colorScale" priority="68">
      <colorScale>
        <cfvo type="min"/>
        <cfvo type="max"/>
        <color rgb="FFFFEF9C"/>
        <color rgb="FF63BE7B"/>
      </colorScale>
    </cfRule>
    <cfRule type="colorScale" priority="67">
      <colorScale>
        <cfvo type="min"/>
        <cfvo type="max"/>
        <color rgb="FFFFEF9C"/>
        <color rgb="FF63BE7B"/>
      </colorScale>
    </cfRule>
  </conditionalFormatting>
  <conditionalFormatting sqref="F79:J79">
    <cfRule type="colorScale" priority="430">
      <colorScale>
        <cfvo type="min"/>
        <cfvo type="max"/>
        <color rgb="FFFFEF9C"/>
        <color rgb="FF63BE7B"/>
      </colorScale>
    </cfRule>
    <cfRule type="colorScale" priority="429">
      <colorScale>
        <cfvo type="min"/>
        <cfvo type="max"/>
        <color rgb="FFFFEF9C"/>
        <color rgb="FF63BE7B"/>
      </colorScale>
    </cfRule>
    <cfRule type="colorScale" priority="428">
      <colorScale>
        <cfvo type="min"/>
        <cfvo type="max"/>
        <color rgb="FFFFEF9C"/>
        <color rgb="FF63BE7B"/>
      </colorScale>
    </cfRule>
  </conditionalFormatting>
  <conditionalFormatting sqref="F111:J113">
    <cfRule type="colorScale" priority="591">
      <colorScale>
        <cfvo type="min"/>
        <cfvo type="max"/>
        <color rgb="FFFFEF9C"/>
        <color rgb="FF63BE7B"/>
      </colorScale>
    </cfRule>
  </conditionalFormatting>
  <conditionalFormatting sqref="F114:J114">
    <cfRule type="colorScale" priority="507">
      <colorScale>
        <cfvo type="min"/>
        <cfvo type="max"/>
        <color rgb="FFFFEF9C"/>
        <color rgb="FF63BE7B"/>
      </colorScale>
    </cfRule>
    <cfRule type="colorScale" priority="508">
      <colorScale>
        <cfvo type="min"/>
        <cfvo type="max"/>
        <color rgb="FFFFEF9C"/>
        <color rgb="FF63BE7B"/>
      </colorScale>
    </cfRule>
    <cfRule type="colorScale" priority="511">
      <colorScale>
        <cfvo type="min"/>
        <cfvo type="max"/>
        <color rgb="FFFFEF9C"/>
        <color rgb="FF63BE7B"/>
      </colorScale>
    </cfRule>
  </conditionalFormatting>
  <conditionalFormatting sqref="F115:J134 F136:J138">
    <cfRule type="cellIs" dxfId="64" priority="415" operator="lessThan">
      <formula>0</formula>
    </cfRule>
  </conditionalFormatting>
  <conditionalFormatting sqref="F115:J134">
    <cfRule type="colorScale" priority="417">
      <colorScale>
        <cfvo type="min"/>
        <cfvo type="max"/>
        <color rgb="FFFFEF9C"/>
        <color rgb="FF63BE7B"/>
      </colorScale>
    </cfRule>
    <cfRule type="colorScale" priority="416">
      <colorScale>
        <cfvo type="min"/>
        <cfvo type="max"/>
        <color rgb="FFFFEF9C"/>
        <color rgb="FF63BE7B"/>
      </colorScale>
    </cfRule>
  </conditionalFormatting>
  <conditionalFormatting sqref="F115:J138">
    <cfRule type="colorScale" priority="419">
      <colorScale>
        <cfvo type="min"/>
        <cfvo type="max"/>
        <color rgb="FFFFEF9C"/>
        <color rgb="FF63BE7B"/>
      </colorScale>
    </cfRule>
  </conditionalFormatting>
  <conditionalFormatting sqref="F135:J135">
    <cfRule type="colorScale" priority="414">
      <colorScale>
        <cfvo type="min"/>
        <cfvo type="max"/>
        <color rgb="FFFFEF9C"/>
        <color rgb="FF63BE7B"/>
      </colorScale>
    </cfRule>
    <cfRule type="colorScale" priority="413">
      <colorScale>
        <cfvo type="min"/>
        <cfvo type="max"/>
        <color rgb="FFFFEF9C"/>
        <color rgb="FF63BE7B"/>
      </colorScale>
    </cfRule>
  </conditionalFormatting>
  <conditionalFormatting sqref="F136:J138">
    <cfRule type="colorScale" priority="418">
      <colorScale>
        <cfvo type="min"/>
        <cfvo type="max"/>
        <color rgb="FFFFEF9C"/>
        <color rgb="FF63BE7B"/>
      </colorScale>
    </cfRule>
  </conditionalFormatting>
  <conditionalFormatting sqref="F142:J142">
    <cfRule type="colorScale" priority="400">
      <colorScale>
        <cfvo type="min"/>
        <cfvo type="max"/>
        <color rgb="FFFFEF9C"/>
        <color rgb="FF63BE7B"/>
      </colorScale>
    </cfRule>
    <cfRule type="colorScale" priority="399">
      <colorScale>
        <cfvo type="min"/>
        <cfvo type="max"/>
        <color rgb="FFFFEF9C"/>
        <color rgb="FF63BE7B"/>
      </colorScale>
    </cfRule>
  </conditionalFormatting>
  <conditionalFormatting sqref="F143:J258 F260:J276 F320:J325">
    <cfRule type="cellIs" dxfId="63" priority="590" operator="lessThan">
      <formula>0</formula>
    </cfRule>
  </conditionalFormatting>
  <conditionalFormatting sqref="F143:J258">
    <cfRule type="colorScale" priority="941">
      <colorScale>
        <cfvo type="min"/>
        <cfvo type="max"/>
        <color rgb="FFFFEF9C"/>
        <color rgb="FF63BE7B"/>
      </colorScale>
    </cfRule>
  </conditionalFormatting>
  <conditionalFormatting sqref="F259:J259">
    <cfRule type="colorScale" priority="398">
      <colorScale>
        <cfvo type="min"/>
        <cfvo type="max"/>
        <color rgb="FFFFEF9C"/>
        <color rgb="FF63BE7B"/>
      </colorScale>
    </cfRule>
    <cfRule type="colorScale" priority="397">
      <colorScale>
        <cfvo type="min"/>
        <cfvo type="max"/>
        <color rgb="FFFFEF9C"/>
        <color rgb="FF63BE7B"/>
      </colorScale>
    </cfRule>
  </conditionalFormatting>
  <conditionalFormatting sqref="F260:J276">
    <cfRule type="colorScale" priority="1075">
      <colorScale>
        <cfvo type="min"/>
        <cfvo type="max"/>
        <color rgb="FFFFEF9C"/>
        <color rgb="FF63BE7B"/>
      </colorScale>
    </cfRule>
  </conditionalFormatting>
  <conditionalFormatting sqref="F280:J286">
    <cfRule type="colorScale" priority="394">
      <colorScale>
        <cfvo type="min"/>
        <cfvo type="max"/>
        <color rgb="FFFFEF9C"/>
        <color rgb="FF63BE7B"/>
      </colorScale>
    </cfRule>
    <cfRule type="cellIs" dxfId="62" priority="393" operator="lessThan">
      <formula>0</formula>
    </cfRule>
  </conditionalFormatting>
  <conditionalFormatting sqref="F300:J310">
    <cfRule type="colorScale" priority="1136">
      <colorScale>
        <cfvo type="min"/>
        <cfvo type="max"/>
        <color rgb="FFFFEF9C"/>
        <color rgb="FF63BE7B"/>
      </colorScale>
    </cfRule>
  </conditionalFormatting>
  <conditionalFormatting sqref="F311:J316 F290:J299">
    <cfRule type="colorScale" priority="388">
      <colorScale>
        <cfvo type="min"/>
        <cfvo type="max"/>
        <color rgb="FFFFEF9C"/>
        <color rgb="FF63BE7B"/>
      </colorScale>
    </cfRule>
  </conditionalFormatting>
  <conditionalFormatting sqref="F320:J325">
    <cfRule type="colorScale" priority="829">
      <colorScale>
        <cfvo type="min"/>
        <cfvo type="max"/>
        <color rgb="FFFFEF9C"/>
        <color rgb="FF63BE7B"/>
      </colorScale>
    </cfRule>
  </conditionalFormatting>
  <conditionalFormatting sqref="G31:J31 F32:J39 F41:J43 F100:J112">
    <cfRule type="cellIs" dxfId="61" priority="434" operator="lessThan">
      <formula>0</formula>
    </cfRule>
  </conditionalFormatting>
  <conditionalFormatting sqref="K12:O17">
    <cfRule type="colorScale" priority="441">
      <colorScale>
        <cfvo type="min"/>
        <cfvo type="max"/>
        <color theme="0"/>
        <color theme="8" tint="0.39997558519241921"/>
      </colorScale>
    </cfRule>
  </conditionalFormatting>
  <conditionalFormatting sqref="K21:O27">
    <cfRule type="colorScale" priority="345">
      <colorScale>
        <cfvo type="min"/>
        <cfvo type="max"/>
        <color theme="0"/>
        <color theme="8" tint="0.39997558519241921"/>
      </colorScale>
    </cfRule>
  </conditionalFormatting>
  <conditionalFormatting sqref="K31:O70 K72:O110">
    <cfRule type="colorScale" priority="1115">
      <colorScale>
        <cfvo type="min"/>
        <cfvo type="max"/>
        <color theme="0"/>
        <color theme="8" tint="0.39997558519241921"/>
      </colorScale>
    </cfRule>
  </conditionalFormatting>
  <conditionalFormatting sqref="K71:O71">
    <cfRule type="colorScale" priority="69">
      <colorScale>
        <cfvo type="min"/>
        <cfvo type="max"/>
        <color theme="0"/>
        <color theme="8" tint="0.39997558519241921"/>
      </colorScale>
    </cfRule>
  </conditionalFormatting>
  <conditionalFormatting sqref="K115:O138">
    <cfRule type="colorScale" priority="412">
      <colorScale>
        <cfvo type="min"/>
        <cfvo type="max"/>
        <color theme="0"/>
        <color theme="8" tint="0.39997558519241921"/>
      </colorScale>
    </cfRule>
  </conditionalFormatting>
  <conditionalFormatting sqref="K143:O258">
    <cfRule type="colorScale" priority="943">
      <colorScale>
        <cfvo type="min"/>
        <cfvo type="max"/>
        <color theme="0"/>
        <color theme="8" tint="0.39997558519241921"/>
      </colorScale>
    </cfRule>
  </conditionalFormatting>
  <conditionalFormatting sqref="K260:O276">
    <cfRule type="colorScale" priority="1076">
      <colorScale>
        <cfvo type="min"/>
        <cfvo type="max"/>
        <color theme="0"/>
        <color theme="8" tint="0.39997558519241921"/>
      </colorScale>
    </cfRule>
  </conditionalFormatting>
  <conditionalFormatting sqref="K280:O286">
    <cfRule type="colorScale" priority="392">
      <colorScale>
        <cfvo type="min"/>
        <cfvo type="max"/>
        <color theme="0"/>
        <color theme="8" tint="0.39997558519241921"/>
      </colorScale>
    </cfRule>
  </conditionalFormatting>
  <conditionalFormatting sqref="K290:O316">
    <cfRule type="colorScale" priority="1139">
      <colorScale>
        <cfvo type="min"/>
        <cfvo type="max"/>
        <color theme="0"/>
        <color theme="8" tint="0.39997558519241921"/>
      </colorScale>
    </cfRule>
  </conditionalFormatting>
  <conditionalFormatting sqref="K320:O325">
    <cfRule type="colorScale" priority="831">
      <colorScale>
        <cfvo type="min"/>
        <cfvo type="max"/>
        <color theme="0"/>
        <color theme="8" tint="0.39997558519241921"/>
      </colorScale>
    </cfRule>
  </conditionalFormatting>
  <conditionalFormatting sqref="T31:T110">
    <cfRule type="colorScale" priority="1122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14">
    <cfRule type="colorScale" priority="3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15:T138">
    <cfRule type="colorScale" priority="359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16:T134">
    <cfRule type="colorScale" priority="3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5">
    <cfRule type="colorScale" priority="3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6:T138">
    <cfRule type="colorScale" priority="3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9:T140">
    <cfRule type="colorScale" priority="3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42">
    <cfRule type="colorScale" priority="3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43:T276">
    <cfRule type="colorScale" priority="1078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44:T258">
    <cfRule type="colorScale" priority="9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59">
    <cfRule type="colorScale" priority="3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60:T276">
    <cfRule type="colorScale" priority="10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78">
    <cfRule type="colorScale" priority="3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80:T286">
    <cfRule type="colorScale" priority="357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288">
    <cfRule type="colorScale" priority="3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90 T311 T292:T299">
    <cfRule type="colorScale" priority="3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91:T316">
    <cfRule type="colorScale" priority="1141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292:T316">
    <cfRule type="colorScale" priority="11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00:T304">
    <cfRule type="colorScale" priority="11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05:T310">
    <cfRule type="colorScale" priority="3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2">
    <cfRule type="colorScale" priority="3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3:T314">
    <cfRule type="colorScale" priority="3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5">
    <cfRule type="colorScale" priority="3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6">
    <cfRule type="colorScale" priority="3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20:T325">
    <cfRule type="colorScale" priority="833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AB31">
    <cfRule type="colorScale" priority="34">
      <colorScale>
        <cfvo type="min"/>
        <cfvo type="max"/>
        <color rgb="FFFFEF9C"/>
        <color rgb="FF63BE7B"/>
      </colorScale>
    </cfRule>
  </conditionalFormatting>
  <conditionalFormatting sqref="AB12:AF17">
    <cfRule type="colorScale" priority="38">
      <colorScale>
        <cfvo type="min"/>
        <cfvo type="max"/>
        <color rgb="FFFFEF9C"/>
        <color rgb="FF63BE7B"/>
      </colorScale>
    </cfRule>
  </conditionalFormatting>
  <conditionalFormatting sqref="AB21:AF26">
    <cfRule type="colorScale" priority="5">
      <colorScale>
        <cfvo type="min"/>
        <cfvo type="max"/>
        <color rgb="FFFFEF9C"/>
        <color rgb="FF63BE7B"/>
      </colorScale>
    </cfRule>
  </conditionalFormatting>
  <conditionalFormatting sqref="AB31:AF39 AB41:AF43 AB100:AF112">
    <cfRule type="cellIs" dxfId="60" priority="37" operator="lessThan">
      <formula>0</formula>
    </cfRule>
  </conditionalFormatting>
  <conditionalFormatting sqref="AB31:AF110">
    <cfRule type="colorScale" priority="56">
      <colorScale>
        <cfvo type="min"/>
        <cfvo type="max"/>
        <color rgb="FFFFEF9C"/>
        <color rgb="FF63BE7B"/>
      </colorScale>
    </cfRule>
  </conditionalFormatting>
  <conditionalFormatting sqref="AB45:AF53">
    <cfRule type="cellIs" dxfId="59" priority="36" operator="lessThan">
      <formula>0</formula>
    </cfRule>
  </conditionalFormatting>
  <conditionalFormatting sqref="AB51:AF51">
    <cfRule type="colorScale" priority="35">
      <colorScale>
        <cfvo type="min"/>
        <cfvo type="max"/>
        <color rgb="FFFFEF9C"/>
        <color rgb="FF63BE7B"/>
      </colorScale>
    </cfRule>
  </conditionalFormatting>
  <conditionalFormatting sqref="AB55:AF60 AB62:AF65 AB67:AF71 AB73:AF75 AB77:AF78 AB80:AF98 AB115:AF134 AB136:AF138 AB143:AF258 AB260:AF276 AB320:AF325">
    <cfRule type="cellIs" dxfId="58" priority="39" operator="lessThan">
      <formula>0</formula>
    </cfRule>
  </conditionalFormatting>
  <conditionalFormatting sqref="AB79:AF79">
    <cfRule type="colorScale" priority="21">
      <colorScale>
        <cfvo type="min"/>
        <cfvo type="max"/>
        <color rgb="FFFFEF9C"/>
        <color rgb="FF63BE7B"/>
      </colorScale>
    </cfRule>
    <cfRule type="colorScale" priority="22">
      <colorScale>
        <cfvo type="min"/>
        <cfvo type="max"/>
        <color rgb="FFFFEF9C"/>
        <color rgb="FF63BE7B"/>
      </colorScale>
    </cfRule>
    <cfRule type="colorScale" priority="23">
      <colorScale>
        <cfvo type="min"/>
        <cfvo type="max"/>
        <color rgb="FFFFEF9C"/>
        <color rgb="FF63BE7B"/>
      </colorScale>
    </cfRule>
  </conditionalFormatting>
  <conditionalFormatting sqref="AB80:AF110 AB31:AF78">
    <cfRule type="colorScale" priority="42">
      <colorScale>
        <cfvo type="min"/>
        <cfvo type="max"/>
        <color rgb="FFFFEF9C"/>
        <color rgb="FF63BE7B"/>
      </colorScale>
    </cfRule>
  </conditionalFormatting>
  <conditionalFormatting sqref="AB80:AF110 AB52:AF78 AB31:AF50">
    <cfRule type="colorScale" priority="41">
      <colorScale>
        <cfvo type="min"/>
        <cfvo type="max"/>
        <color rgb="FFFFEF9C"/>
        <color rgb="FF63BE7B"/>
      </colorScale>
    </cfRule>
  </conditionalFormatting>
  <conditionalFormatting sqref="AB80:AF134 AB31:AF78">
    <cfRule type="colorScale" priority="43">
      <colorScale>
        <cfvo type="min"/>
        <cfvo type="max"/>
        <color rgb="FFFFEF9C"/>
        <color rgb="FF63BE7B"/>
      </colorScale>
    </cfRule>
  </conditionalFormatting>
  <conditionalFormatting sqref="AB114:AF114">
    <cfRule type="colorScale" priority="33">
      <colorScale>
        <cfvo type="min"/>
        <cfvo type="max"/>
        <color rgb="FFFFEF9C"/>
        <color rgb="FF63BE7B"/>
      </colorScale>
    </cfRule>
    <cfRule type="colorScale" priority="32">
      <colorScale>
        <cfvo type="min"/>
        <cfvo type="max"/>
        <color rgb="FFFFEF9C"/>
        <color rgb="FF63BE7B"/>
      </colorScale>
    </cfRule>
  </conditionalFormatting>
  <conditionalFormatting sqref="AB115:AF134">
    <cfRule type="colorScale" priority="40">
      <colorScale>
        <cfvo type="min"/>
        <cfvo type="max"/>
        <color rgb="FFFFEF9C"/>
        <color rgb="FF63BE7B"/>
      </colorScale>
    </cfRule>
  </conditionalFormatting>
  <conditionalFormatting sqref="AB115:AF138">
    <cfRule type="colorScale" priority="45">
      <colorScale>
        <cfvo type="min"/>
        <cfvo type="max"/>
        <color rgb="FFFFEF9C"/>
        <color rgb="FF63BE7B"/>
      </colorScale>
    </cfRule>
  </conditionalFormatting>
  <conditionalFormatting sqref="AB135:AF135">
    <cfRule type="colorScale" priority="31">
      <colorScale>
        <cfvo type="min"/>
        <cfvo type="max"/>
        <color rgb="FFFFEF9C"/>
        <color rgb="FF63BE7B"/>
      </colorScale>
    </cfRule>
    <cfRule type="colorScale" priority="30">
      <colorScale>
        <cfvo type="min"/>
        <cfvo type="max"/>
        <color rgb="FFFFEF9C"/>
        <color rgb="FF63BE7B"/>
      </colorScale>
    </cfRule>
  </conditionalFormatting>
  <conditionalFormatting sqref="AB136:AF138">
    <cfRule type="colorScale" priority="44">
      <colorScale>
        <cfvo type="min"/>
        <cfvo type="max"/>
        <color rgb="FFFFEF9C"/>
        <color rgb="FF63BE7B"/>
      </colorScale>
    </cfRule>
  </conditionalFormatting>
  <conditionalFormatting sqref="AB142:AF142">
    <cfRule type="colorScale" priority="29">
      <colorScale>
        <cfvo type="min"/>
        <cfvo type="max"/>
        <color rgb="FFFFEF9C"/>
        <color rgb="FF63BE7B"/>
      </colorScale>
    </cfRule>
    <cfRule type="colorScale" priority="28">
      <colorScale>
        <cfvo type="min"/>
        <cfvo type="max"/>
        <color rgb="FFFFEF9C"/>
        <color rgb="FF63BE7B"/>
      </colorScale>
    </cfRule>
  </conditionalFormatting>
  <conditionalFormatting sqref="AB143:AF258">
    <cfRule type="colorScale" priority="53">
      <colorScale>
        <cfvo type="min"/>
        <cfvo type="max"/>
        <color rgb="FFFFEF9C"/>
        <color rgb="FF63BE7B"/>
      </colorScale>
    </cfRule>
  </conditionalFormatting>
  <conditionalFormatting sqref="AB259:AF259">
    <cfRule type="colorScale" priority="27">
      <colorScale>
        <cfvo type="min"/>
        <cfvo type="max"/>
        <color rgb="FFFFEF9C"/>
        <color rgb="FF63BE7B"/>
      </colorScale>
    </cfRule>
    <cfRule type="colorScale" priority="26">
      <colorScale>
        <cfvo type="min"/>
        <cfvo type="max"/>
        <color rgb="FFFFEF9C"/>
        <color rgb="FF63BE7B"/>
      </colorScale>
    </cfRule>
  </conditionalFormatting>
  <conditionalFormatting sqref="AB260:AF276">
    <cfRule type="colorScale" priority="57">
      <colorScale>
        <cfvo type="min"/>
        <cfvo type="max"/>
        <color rgb="FFFFEF9C"/>
        <color rgb="FF63BE7B"/>
      </colorScale>
    </cfRule>
  </conditionalFormatting>
  <conditionalFormatting sqref="AB280:AF280 AB282:AF286">
    <cfRule type="colorScale" priority="25">
      <colorScale>
        <cfvo type="min"/>
        <cfvo type="max"/>
        <color rgb="FFFFEF9C"/>
        <color rgb="FF63BE7B"/>
      </colorScale>
    </cfRule>
  </conditionalFormatting>
  <conditionalFormatting sqref="AB280:AF286">
    <cfRule type="cellIs" dxfId="57" priority="7" operator="lessThan">
      <formula>0</formula>
    </cfRule>
  </conditionalFormatting>
  <conditionalFormatting sqref="AB281:AF281">
    <cfRule type="colorScale" priority="8">
      <colorScale>
        <cfvo type="min"/>
        <cfvo type="max"/>
        <color rgb="FFFFEF9C"/>
        <color rgb="FF63BE7B"/>
      </colorScale>
    </cfRule>
  </conditionalFormatting>
  <conditionalFormatting sqref="AB290:AF299">
    <cfRule type="colorScale" priority="46">
      <colorScale>
        <cfvo type="min"/>
        <cfvo type="max"/>
        <color rgb="FFFFEF9C"/>
        <color rgb="FF63BE7B"/>
      </colorScale>
    </cfRule>
  </conditionalFormatting>
  <conditionalFormatting sqref="AB290:AF316">
    <cfRule type="cellIs" dxfId="56" priority="1" operator="lessThan">
      <formula>0</formula>
    </cfRule>
  </conditionalFormatting>
  <conditionalFormatting sqref="AB300:AF303">
    <cfRule type="colorScale" priority="48">
      <colorScale>
        <cfvo type="min"/>
        <cfvo type="max"/>
        <color rgb="FFFFEF9C"/>
        <color rgb="FF63BE7B"/>
      </colorScale>
    </cfRule>
  </conditionalFormatting>
  <conditionalFormatting sqref="AB304:AF310">
    <cfRule type="colorScale" priority="16">
      <colorScale>
        <cfvo type="min"/>
        <cfvo type="max"/>
        <color rgb="FFFFEF9C"/>
        <color rgb="FF63BE7B"/>
      </colorScale>
    </cfRule>
  </conditionalFormatting>
  <conditionalFormatting sqref="AB311:AF311">
    <cfRule type="colorScale" priority="2">
      <colorScale>
        <cfvo type="min"/>
        <cfvo type="max"/>
        <color rgb="FFFFEF9C"/>
        <color rgb="FF63BE7B"/>
      </colorScale>
    </cfRule>
  </conditionalFormatting>
  <conditionalFormatting sqref="AB312:AF315">
    <cfRule type="colorScale" priority="13">
      <colorScale>
        <cfvo type="min"/>
        <cfvo type="max"/>
        <color rgb="FFFFEF9C"/>
        <color rgb="FF63BE7B"/>
      </colorScale>
    </cfRule>
  </conditionalFormatting>
  <conditionalFormatting sqref="AB316:AF316">
    <cfRule type="colorScale" priority="10">
      <colorScale>
        <cfvo type="min"/>
        <cfvo type="max"/>
        <color rgb="FFFFEF9C"/>
        <color rgb="FF63BE7B"/>
      </colorScale>
    </cfRule>
  </conditionalFormatting>
  <conditionalFormatting sqref="AB320:AF325">
    <cfRule type="colorScale" priority="50">
      <colorScale>
        <cfvo type="min"/>
        <cfvo type="max"/>
        <color rgb="FFFFEF9C"/>
        <color rgb="FF63BE7B"/>
      </colorScale>
    </cfRule>
  </conditionalFormatting>
  <conditionalFormatting sqref="AC290:AD316">
    <cfRule type="colorScale" priority="49">
      <colorScale>
        <cfvo type="min"/>
        <cfvo type="max"/>
        <color rgb="FFFFEF9C"/>
        <color rgb="FF63BE7B"/>
      </colorScale>
    </cfRule>
  </conditionalFormatting>
  <conditionalFormatting sqref="AC320:AD325">
    <cfRule type="colorScale" priority="52">
      <colorScale>
        <cfvo type="min"/>
        <cfvo type="max"/>
        <color rgb="FFFFEF9C"/>
        <color rgb="FF63BE7B"/>
      </colorScale>
    </cfRule>
  </conditionalFormatting>
  <conditionalFormatting sqref="AG12:AK17">
    <cfRule type="colorScale" priority="20">
      <colorScale>
        <cfvo type="min"/>
        <cfvo type="max"/>
        <color theme="0"/>
        <color theme="8" tint="0.39997558519241921"/>
      </colorScale>
    </cfRule>
  </conditionalFormatting>
  <conditionalFormatting sqref="AG21:AK26">
    <cfRule type="colorScale" priority="4">
      <colorScale>
        <cfvo type="min"/>
        <cfvo type="max"/>
        <color theme="0"/>
        <color theme="8" tint="0.39997558519241921"/>
      </colorScale>
    </cfRule>
  </conditionalFormatting>
  <conditionalFormatting sqref="AG31:AK110">
    <cfRule type="colorScale" priority="55">
      <colorScale>
        <cfvo type="min"/>
        <cfvo type="max"/>
        <color theme="0"/>
        <color theme="8" tint="0.39997558519241921"/>
      </colorScale>
    </cfRule>
  </conditionalFormatting>
  <conditionalFormatting sqref="AG115:AK138">
    <cfRule type="colorScale" priority="19">
      <colorScale>
        <cfvo type="min"/>
        <cfvo type="max"/>
        <color theme="0"/>
        <color theme="8" tint="0.39997558519241921"/>
      </colorScale>
    </cfRule>
  </conditionalFormatting>
  <conditionalFormatting sqref="AG143:AK258">
    <cfRule type="colorScale" priority="54">
      <colorScale>
        <cfvo type="min"/>
        <cfvo type="max"/>
        <color theme="0"/>
        <color theme="8" tint="0.39997558519241921"/>
      </colorScale>
    </cfRule>
  </conditionalFormatting>
  <conditionalFormatting sqref="AG260:AK276">
    <cfRule type="colorScale" priority="58">
      <colorScale>
        <cfvo type="min"/>
        <cfvo type="max"/>
        <color theme="0"/>
        <color theme="8" tint="0.39997558519241921"/>
      </colorScale>
    </cfRule>
  </conditionalFormatting>
  <conditionalFormatting sqref="AG280:AK280 AG282:AK286">
    <cfRule type="colorScale" priority="18">
      <colorScale>
        <cfvo type="min"/>
        <cfvo type="max"/>
        <color theme="0"/>
        <color theme="8" tint="0.39997558519241921"/>
      </colorScale>
    </cfRule>
  </conditionalFormatting>
  <conditionalFormatting sqref="AG281:AK281">
    <cfRule type="colorScale" priority="6">
      <colorScale>
        <cfvo type="min"/>
        <cfvo type="max"/>
        <color theme="0"/>
        <color theme="8" tint="0.39997558519241921"/>
      </colorScale>
    </cfRule>
  </conditionalFormatting>
  <conditionalFormatting sqref="AG290:AK303">
    <cfRule type="colorScale" priority="47">
      <colorScale>
        <cfvo type="min"/>
        <cfvo type="max"/>
        <color theme="0"/>
        <color theme="8" tint="0.39997558519241921"/>
      </colorScale>
    </cfRule>
  </conditionalFormatting>
  <conditionalFormatting sqref="AG304:AK310">
    <cfRule type="colorScale" priority="17">
      <colorScale>
        <cfvo type="min"/>
        <cfvo type="max"/>
        <color theme="0"/>
        <color theme="8" tint="0.39997558519241921"/>
      </colorScale>
    </cfRule>
  </conditionalFormatting>
  <conditionalFormatting sqref="AG311:AK311">
    <cfRule type="colorScale" priority="3">
      <colorScale>
        <cfvo type="min"/>
        <cfvo type="max"/>
        <color theme="0"/>
        <color theme="8" tint="0.39997558519241921"/>
      </colorScale>
    </cfRule>
  </conditionalFormatting>
  <conditionalFormatting sqref="AG312:AK315">
    <cfRule type="colorScale" priority="14">
      <colorScale>
        <cfvo type="min"/>
        <cfvo type="max"/>
        <color theme="0"/>
        <color theme="8" tint="0.39997558519241921"/>
      </colorScale>
    </cfRule>
  </conditionalFormatting>
  <conditionalFormatting sqref="AG316:AK316">
    <cfRule type="colorScale" priority="11">
      <colorScale>
        <cfvo type="min"/>
        <cfvo type="max"/>
        <color theme="0"/>
        <color theme="8" tint="0.39997558519241921"/>
      </colorScale>
    </cfRule>
  </conditionalFormatting>
  <conditionalFormatting sqref="AG320:AK325">
    <cfRule type="colorScale" priority="51">
      <colorScale>
        <cfvo type="min"/>
        <cfvo type="max"/>
        <color theme="0"/>
        <color theme="8" tint="0.39997558519241921"/>
      </colorScale>
    </cfRule>
  </conditionalFormatting>
  <pageMargins left="0.7" right="0.7" top="0.75" bottom="0.75" header="0.3" footer="0.3"/>
  <pageSetup orientation="portrait" r:id="rId1"/>
  <headerFooter>
    <oddFooter>&amp;C&amp;1#&amp;"Calibri"&amp;10&amp;K000000 For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93346-4B66-4871-AE13-9F6A6701FF08}">
  <sheetPr>
    <tabColor theme="7" tint="0.39997558519241921"/>
  </sheetPr>
  <dimension ref="B2:AK325"/>
  <sheetViews>
    <sheetView showGridLines="0" zoomScale="85" zoomScaleNormal="85" workbookViewId="0">
      <selection activeCell="B5" sqref="B5"/>
    </sheetView>
  </sheetViews>
  <sheetFormatPr defaultRowHeight="14.5" x14ac:dyDescent="0.35"/>
  <cols>
    <col min="1" max="1" width="8.7265625" style="52"/>
    <col min="2" max="2" width="76" style="52" bestFit="1" customWidth="1"/>
    <col min="3" max="3" width="16.1796875" style="52" bestFit="1" customWidth="1"/>
    <col min="4" max="4" width="24" style="52" bestFit="1" customWidth="1"/>
    <col min="5" max="5" width="21" style="52" bestFit="1" customWidth="1"/>
    <col min="6" max="7" width="7.81640625" style="52" bestFit="1" customWidth="1"/>
    <col min="8" max="10" width="7.1796875" style="52" bestFit="1" customWidth="1"/>
    <col min="11" max="11" width="6.81640625" style="52" bestFit="1" customWidth="1"/>
    <col min="12" max="15" width="6.1796875" style="52" bestFit="1" customWidth="1"/>
    <col min="16" max="16" width="15.26953125" style="52" bestFit="1" customWidth="1"/>
    <col min="17" max="17" width="22.1796875" style="52" bestFit="1" customWidth="1"/>
    <col min="18" max="18" width="13.7265625" style="52" bestFit="1" customWidth="1"/>
    <col min="19" max="19" width="9.54296875" style="52" bestFit="1" customWidth="1"/>
    <col min="20" max="20" width="19.81640625" style="52" bestFit="1" customWidth="1"/>
    <col min="21" max="21" width="8.7265625" style="52"/>
    <col min="22" max="26" width="4.7265625" style="52" hidden="1" customWidth="1"/>
    <col min="27" max="27" width="0" style="52" hidden="1" customWidth="1"/>
    <col min="28" max="31" width="6.1796875" style="52" hidden="1" customWidth="1"/>
    <col min="32" max="32" width="7.26953125" style="52" hidden="1" customWidth="1"/>
    <col min="33" max="37" width="6.1796875" style="52" hidden="1" customWidth="1"/>
    <col min="38" max="16384" width="8.7265625" style="52"/>
  </cols>
  <sheetData>
    <row r="2" spans="2:37" ht="15" thickBot="1" x14ac:dyDescent="0.4">
      <c r="C2" s="129" t="s">
        <v>9</v>
      </c>
      <c r="D2" s="129" t="s">
        <v>10</v>
      </c>
      <c r="E2" s="129" t="s">
        <v>11</v>
      </c>
      <c r="F2" s="129" t="s">
        <v>12</v>
      </c>
      <c r="G2" s="129" t="s">
        <v>13</v>
      </c>
    </row>
    <row r="3" spans="2:37" ht="17.5" thickBot="1" x14ac:dyDescent="0.45">
      <c r="B3" s="51" t="s">
        <v>218</v>
      </c>
      <c r="C3" s="128">
        <f>C4</f>
        <v>0.998</v>
      </c>
      <c r="D3" s="130">
        <f>D4</f>
        <v>0.99399999999999999</v>
      </c>
      <c r="E3" s="130">
        <f>E4</f>
        <v>0.99399999999999999</v>
      </c>
      <c r="F3" s="130">
        <f>F4</f>
        <v>0.99399999999999999</v>
      </c>
      <c r="G3" s="130">
        <f>G4</f>
        <v>0.99399999999999999</v>
      </c>
    </row>
    <row r="4" spans="2:37" x14ac:dyDescent="0.35">
      <c r="B4" s="52" t="s">
        <v>217</v>
      </c>
      <c r="C4" s="131">
        <v>0.998</v>
      </c>
      <c r="D4" s="131">
        <v>0.99399999999999999</v>
      </c>
      <c r="E4" s="131">
        <v>0.99399999999999999</v>
      </c>
      <c r="F4" s="131">
        <v>0.99399999999999999</v>
      </c>
      <c r="G4" s="131">
        <v>0.99399999999999999</v>
      </c>
    </row>
    <row r="8" spans="2:37" x14ac:dyDescent="0.35">
      <c r="F8" s="158" t="s">
        <v>220</v>
      </c>
      <c r="G8" s="159"/>
      <c r="H8" s="159"/>
      <c r="I8" s="159"/>
      <c r="J8" s="160"/>
      <c r="K8" s="158" t="s">
        <v>219</v>
      </c>
      <c r="L8" s="159"/>
      <c r="M8" s="159"/>
      <c r="N8" s="159"/>
      <c r="O8" s="160"/>
      <c r="AB8" s="158" t="s">
        <v>220</v>
      </c>
      <c r="AC8" s="159"/>
      <c r="AD8" s="159"/>
      <c r="AE8" s="159"/>
      <c r="AF8" s="160"/>
      <c r="AG8" s="158" t="s">
        <v>221</v>
      </c>
      <c r="AH8" s="159"/>
      <c r="AI8" s="159"/>
      <c r="AJ8" s="159"/>
      <c r="AK8" s="160"/>
    </row>
    <row r="9" spans="2:37" x14ac:dyDescent="0.35">
      <c r="F9" s="155" t="s">
        <v>1</v>
      </c>
      <c r="G9" s="156"/>
      <c r="H9" s="156"/>
      <c r="I9" s="156"/>
      <c r="J9" s="157"/>
      <c r="K9" s="155" t="s">
        <v>2</v>
      </c>
      <c r="L9" s="156"/>
      <c r="M9" s="156"/>
      <c r="N9" s="156"/>
      <c r="O9" s="157"/>
      <c r="AB9" s="155" t="s">
        <v>1</v>
      </c>
      <c r="AC9" s="156"/>
      <c r="AD9" s="156"/>
      <c r="AE9" s="156"/>
      <c r="AF9" s="157"/>
      <c r="AG9" s="155" t="s">
        <v>2</v>
      </c>
      <c r="AH9" s="156"/>
      <c r="AI9" s="156"/>
      <c r="AJ9" s="156"/>
      <c r="AK9" s="157"/>
    </row>
    <row r="10" spans="2:37" ht="15.5" x14ac:dyDescent="0.35">
      <c r="B10" s="121" t="s">
        <v>3</v>
      </c>
      <c r="C10" s="122"/>
      <c r="D10" s="122"/>
      <c r="E10" s="122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Q10" s="125"/>
      <c r="R10" s="125"/>
      <c r="S10" s="125"/>
      <c r="T10" s="125"/>
      <c r="V10" s="155" t="s">
        <v>215</v>
      </c>
      <c r="W10" s="156"/>
      <c r="X10" s="156"/>
      <c r="Y10" s="156"/>
      <c r="Z10" s="157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</row>
    <row r="11" spans="2:37" x14ac:dyDescent="0.35">
      <c r="B11" s="84" t="s">
        <v>5</v>
      </c>
      <c r="C11" s="83" t="s">
        <v>6</v>
      </c>
      <c r="D11" s="83" t="s">
        <v>7</v>
      </c>
      <c r="E11" s="83" t="s">
        <v>8</v>
      </c>
      <c r="F11" s="82" t="s">
        <v>9</v>
      </c>
      <c r="G11" s="81" t="s">
        <v>10</v>
      </c>
      <c r="H11" s="81" t="s">
        <v>11</v>
      </c>
      <c r="I11" s="81" t="s">
        <v>12</v>
      </c>
      <c r="J11" s="80" t="s">
        <v>13</v>
      </c>
      <c r="K11" s="82" t="s">
        <v>9</v>
      </c>
      <c r="L11" s="81" t="s">
        <v>10</v>
      </c>
      <c r="M11" s="81" t="s">
        <v>11</v>
      </c>
      <c r="N11" s="81" t="s">
        <v>12</v>
      </c>
      <c r="O11" s="80" t="s">
        <v>13</v>
      </c>
      <c r="P11" s="69" t="s">
        <v>14</v>
      </c>
      <c r="Q11" s="57" t="s">
        <v>15</v>
      </c>
      <c r="R11" s="57" t="s">
        <v>16</v>
      </c>
      <c r="S11" s="57" t="s">
        <v>216</v>
      </c>
      <c r="T11" s="57" t="s">
        <v>18</v>
      </c>
      <c r="V11" s="109" t="s">
        <v>9</v>
      </c>
      <c r="W11" s="105" t="s">
        <v>10</v>
      </c>
      <c r="X11" s="105" t="s">
        <v>11</v>
      </c>
      <c r="Y11" s="105" t="s">
        <v>12</v>
      </c>
      <c r="Z11" s="110" t="s">
        <v>13</v>
      </c>
      <c r="AB11" s="82" t="s">
        <v>9</v>
      </c>
      <c r="AC11" s="81" t="s">
        <v>10</v>
      </c>
      <c r="AD11" s="81" t="s">
        <v>11</v>
      </c>
      <c r="AE11" s="81" t="s">
        <v>12</v>
      </c>
      <c r="AF11" s="80" t="s">
        <v>13</v>
      </c>
      <c r="AG11" s="82" t="s">
        <v>9</v>
      </c>
      <c r="AH11" s="81" t="s">
        <v>10</v>
      </c>
      <c r="AI11" s="81" t="s">
        <v>11</v>
      </c>
      <c r="AJ11" s="81" t="s">
        <v>12</v>
      </c>
      <c r="AK11" s="80" t="s">
        <v>13</v>
      </c>
    </row>
    <row r="12" spans="2:37" x14ac:dyDescent="0.35">
      <c r="B12" s="55" t="s">
        <v>19</v>
      </c>
      <c r="C12" s="123"/>
      <c r="D12" s="11" t="s">
        <v>20</v>
      </c>
      <c r="E12" s="123"/>
      <c r="F12" s="74" t="str">
        <f t="shared" ref="F12:J17" si="0">IF(ISNUMBER(AB12),AB12-((C$4-C$3)/V12),"")</f>
        <v/>
      </c>
      <c r="G12" s="79">
        <f t="shared" si="0"/>
        <v>4.4023136069320887E-2</v>
      </c>
      <c r="H12" s="79">
        <f t="shared" si="0"/>
        <v>4.9476380523429613E-2</v>
      </c>
      <c r="I12" s="79">
        <f t="shared" si="0"/>
        <v>5.3742628853371319E-2</v>
      </c>
      <c r="J12" s="61">
        <f t="shared" si="0"/>
        <v>5.8084006882631253E-2</v>
      </c>
      <c r="K12" s="88" t="str">
        <f t="shared" ref="K12:O17" si="1">IF(ISNUMBER(AG12),IF(AG12-((C$4-C$3)/V12)&lt;0,"",AG12-((C$4-C$3)/V12)),"")</f>
        <v/>
      </c>
      <c r="L12" s="86">
        <f t="shared" si="1"/>
        <v>7.2950865693208952E-3</v>
      </c>
      <c r="M12" s="86">
        <f t="shared" si="1"/>
        <v>1.2171281623429614E-2</v>
      </c>
      <c r="N12" s="86">
        <f t="shared" si="1"/>
        <v>1.5440011453371318E-2</v>
      </c>
      <c r="O12" s="89">
        <f t="shared" si="1"/>
        <v>1.8444675382631254E-2</v>
      </c>
      <c r="P12" s="15"/>
      <c r="Q12" s="132"/>
      <c r="R12" s="132"/>
      <c r="S12" s="132"/>
      <c r="T12" s="16"/>
      <c r="V12" s="17">
        <v>1.11062455</v>
      </c>
      <c r="W12" s="18">
        <v>2.8580098399999998</v>
      </c>
      <c r="X12" s="18">
        <v>4.3982281700000003</v>
      </c>
      <c r="Y12" s="18">
        <v>5.7146113500000002</v>
      </c>
      <c r="Z12" s="19">
        <v>7.3324319099999995</v>
      </c>
      <c r="AB12" s="74"/>
      <c r="AC12" s="79">
        <v>4.4023136069320887E-2</v>
      </c>
      <c r="AD12" s="79">
        <v>4.9476380523429613E-2</v>
      </c>
      <c r="AE12" s="79">
        <v>5.3742628853371319E-2</v>
      </c>
      <c r="AF12" s="61">
        <v>5.8084006882631253E-2</v>
      </c>
      <c r="AG12" s="74"/>
      <c r="AH12" s="79">
        <v>7.2950865693208952E-3</v>
      </c>
      <c r="AI12" s="79">
        <v>1.2171281623429614E-2</v>
      </c>
      <c r="AJ12" s="79">
        <v>1.5440011453371318E-2</v>
      </c>
      <c r="AK12" s="61">
        <v>1.8444675382631254E-2</v>
      </c>
    </row>
    <row r="13" spans="2:37" x14ac:dyDescent="0.35">
      <c r="B13" s="54" t="s">
        <v>22</v>
      </c>
      <c r="C13" s="122"/>
      <c r="D13" s="20" t="s">
        <v>23</v>
      </c>
      <c r="E13" s="122"/>
      <c r="F13" s="72">
        <f t="shared" si="0"/>
        <v>3.8017453932628606E-2</v>
      </c>
      <c r="G13" s="70">
        <f t="shared" si="0"/>
        <v>4.3854035634139366E-2</v>
      </c>
      <c r="H13" s="70">
        <f t="shared" si="0"/>
        <v>4.965810877724202E-2</v>
      </c>
      <c r="I13" s="70">
        <f t="shared" si="0"/>
        <v>5.3940527172642805E-2</v>
      </c>
      <c r="J13" s="62">
        <f t="shared" si="0"/>
        <v>5.824064470259304E-2</v>
      </c>
      <c r="K13" s="85">
        <f t="shared" si="1"/>
        <v>3.8850493262860848E-4</v>
      </c>
      <c r="L13" s="67">
        <f t="shared" si="1"/>
        <v>7.106590734139372E-3</v>
      </c>
      <c r="M13" s="67">
        <f t="shared" si="1"/>
        <v>1.2316765577242024E-2</v>
      </c>
      <c r="N13" s="67">
        <f t="shared" si="1"/>
        <v>1.5603153972642794E-2</v>
      </c>
      <c r="O13" s="90">
        <f t="shared" si="1"/>
        <v>1.8573017802593034E-2</v>
      </c>
      <c r="P13" s="24"/>
      <c r="Q13" s="25"/>
      <c r="R13" s="25"/>
      <c r="S13" s="25"/>
      <c r="T13" s="26"/>
      <c r="V13" s="27">
        <v>1.11501297</v>
      </c>
      <c r="W13" s="28">
        <v>2.86184694</v>
      </c>
      <c r="X13" s="28">
        <v>4.3940738700000006</v>
      </c>
      <c r="Y13" s="28">
        <v>5.6998341199999993</v>
      </c>
      <c r="Z13" s="29">
        <v>7.3012165000000007</v>
      </c>
      <c r="AB13" s="72">
        <v>3.8017453932628606E-2</v>
      </c>
      <c r="AC13" s="70">
        <v>4.3854035634139366E-2</v>
      </c>
      <c r="AD13" s="70">
        <v>4.965810877724202E-2</v>
      </c>
      <c r="AE13" s="70">
        <v>5.3940527172642805E-2</v>
      </c>
      <c r="AF13" s="62">
        <v>5.824064470259304E-2</v>
      </c>
      <c r="AG13" s="72">
        <v>3.8850493262860848E-4</v>
      </c>
      <c r="AH13" s="70">
        <v>7.106590734139372E-3</v>
      </c>
      <c r="AI13" s="70">
        <v>1.2316765577242024E-2</v>
      </c>
      <c r="AJ13" s="70">
        <v>1.5603153972642794E-2</v>
      </c>
      <c r="AK13" s="62">
        <v>1.8573017802593034E-2</v>
      </c>
    </row>
    <row r="14" spans="2:37" x14ac:dyDescent="0.35">
      <c r="B14" s="55" t="s">
        <v>24</v>
      </c>
      <c r="C14" s="123"/>
      <c r="D14" s="11" t="s">
        <v>20</v>
      </c>
      <c r="E14" s="123"/>
      <c r="F14" s="74">
        <f t="shared" si="0"/>
        <v>6.2740831115374568E-2</v>
      </c>
      <c r="G14" s="79">
        <f t="shared" si="0"/>
        <v>7.0004640845385088E-2</v>
      </c>
      <c r="H14" s="79">
        <f t="shared" si="0"/>
        <v>7.8243902400498194E-2</v>
      </c>
      <c r="I14" s="79" t="str">
        <f t="shared" si="0"/>
        <v/>
      </c>
      <c r="J14" s="61" t="str">
        <f t="shared" si="0"/>
        <v/>
      </c>
      <c r="K14" s="88">
        <f t="shared" si="1"/>
        <v>2.4043128315374581E-2</v>
      </c>
      <c r="L14" s="86">
        <f t="shared" si="1"/>
        <v>3.1795162445385092E-2</v>
      </c>
      <c r="M14" s="86">
        <f t="shared" si="1"/>
        <v>3.9155248300498199E-2</v>
      </c>
      <c r="N14" s="86" t="str">
        <f t="shared" si="1"/>
        <v/>
      </c>
      <c r="O14" s="89" t="str">
        <f t="shared" si="1"/>
        <v/>
      </c>
      <c r="P14" s="15"/>
      <c r="Q14" s="132"/>
      <c r="R14" s="132"/>
      <c r="S14" s="132"/>
      <c r="T14" s="16"/>
      <c r="V14" s="17">
        <v>1.0784823000000001</v>
      </c>
      <c r="W14" s="18">
        <v>2.6662056299999999</v>
      </c>
      <c r="X14" s="18">
        <v>3.9536605799999998</v>
      </c>
      <c r="Y14" s="18">
        <v>4.9855123099999998</v>
      </c>
      <c r="Z14" s="19">
        <v>6.1781157799999997</v>
      </c>
      <c r="AB14" s="74">
        <v>6.2740831115374568E-2</v>
      </c>
      <c r="AC14" s="79">
        <v>7.0004640845385088E-2</v>
      </c>
      <c r="AD14" s="79">
        <v>7.8243902400498194E-2</v>
      </c>
      <c r="AE14" s="79"/>
      <c r="AF14" s="61"/>
      <c r="AG14" s="74">
        <v>2.4043128315374581E-2</v>
      </c>
      <c r="AH14" s="79">
        <v>3.1795162445385092E-2</v>
      </c>
      <c r="AI14" s="79">
        <v>3.9155248300498199E-2</v>
      </c>
      <c r="AJ14" s="79"/>
      <c r="AK14" s="61"/>
    </row>
    <row r="15" spans="2:37" x14ac:dyDescent="0.35">
      <c r="B15" s="56" t="s">
        <v>25</v>
      </c>
      <c r="C15" s="124"/>
      <c r="D15" s="20" t="s">
        <v>23</v>
      </c>
      <c r="E15" s="124"/>
      <c r="F15" s="73">
        <f t="shared" si="0"/>
        <v>4.9841662549552683E-2</v>
      </c>
      <c r="G15" s="75">
        <f t="shared" si="0"/>
        <v>6.5294066052170002E-2</v>
      </c>
      <c r="H15" s="75">
        <f t="shared" si="0"/>
        <v>7.8201878323050755E-2</v>
      </c>
      <c r="I15" s="75">
        <f t="shared" si="0"/>
        <v>8.4192297576634573E-2</v>
      </c>
      <c r="J15" s="63">
        <f t="shared" si="0"/>
        <v>9.0297486026994431E-2</v>
      </c>
      <c r="K15" s="91">
        <f t="shared" si="1"/>
        <v>1.1705497749552695E-2</v>
      </c>
      <c r="L15" s="87">
        <f t="shared" si="1"/>
        <v>2.7264073652170009E-2</v>
      </c>
      <c r="M15" s="87">
        <f t="shared" si="1"/>
        <v>3.8851829123050755E-2</v>
      </c>
      <c r="N15" s="87">
        <f t="shared" si="1"/>
        <v>4.3677540376634585E-2</v>
      </c>
      <c r="O15" s="92">
        <f t="shared" si="1"/>
        <v>4.8336216326994426E-2</v>
      </c>
      <c r="P15" s="33"/>
      <c r="Q15" s="133"/>
      <c r="R15" s="133"/>
      <c r="S15" s="133"/>
      <c r="T15" s="34"/>
      <c r="V15" s="27">
        <v>1.0708171500000001</v>
      </c>
      <c r="W15" s="28">
        <v>2.6627576100000003</v>
      </c>
      <c r="X15" s="28">
        <v>3.9068649099999999</v>
      </c>
      <c r="Y15" s="28">
        <v>4.8487798800000004</v>
      </c>
      <c r="Z15" s="29">
        <v>5.84969289</v>
      </c>
      <c r="AB15" s="73">
        <v>4.9841662549552683E-2</v>
      </c>
      <c r="AC15" s="75">
        <v>6.5294066052170002E-2</v>
      </c>
      <c r="AD15" s="75">
        <v>7.8201878323050755E-2</v>
      </c>
      <c r="AE15" s="75">
        <v>8.4192297576634573E-2</v>
      </c>
      <c r="AF15" s="63">
        <v>9.0297486026994431E-2</v>
      </c>
      <c r="AG15" s="73">
        <v>1.1705497749552695E-2</v>
      </c>
      <c r="AH15" s="75">
        <v>2.7264073652170009E-2</v>
      </c>
      <c r="AI15" s="75">
        <v>3.8851829123050755E-2</v>
      </c>
      <c r="AJ15" s="75">
        <v>4.3677540376634585E-2</v>
      </c>
      <c r="AK15" s="63">
        <v>4.8336216326994426E-2</v>
      </c>
    </row>
    <row r="16" spans="2:37" x14ac:dyDescent="0.35">
      <c r="B16" s="54" t="s">
        <v>26</v>
      </c>
      <c r="C16" s="122"/>
      <c r="D16" s="11" t="s">
        <v>23</v>
      </c>
      <c r="E16" s="122"/>
      <c r="F16" s="72">
        <f t="shared" si="0"/>
        <v>3.8272933293087577E-2</v>
      </c>
      <c r="G16" s="70">
        <f t="shared" si="0"/>
        <v>4.407924664024785E-2</v>
      </c>
      <c r="H16" s="70">
        <f t="shared" si="0"/>
        <v>5.0317357690092886E-2</v>
      </c>
      <c r="I16" s="70" t="str">
        <f t="shared" si="0"/>
        <v/>
      </c>
      <c r="J16" s="62" t="str">
        <f t="shared" si="0"/>
        <v/>
      </c>
      <c r="K16" s="85">
        <f t="shared" si="1"/>
        <v>6.3465609308758011E-4</v>
      </c>
      <c r="L16" s="67">
        <f t="shared" si="1"/>
        <v>7.3263374402478543E-3</v>
      </c>
      <c r="M16" s="67">
        <f t="shared" si="1"/>
        <v>1.2945766590092887E-2</v>
      </c>
      <c r="N16" s="67" t="str">
        <f t="shared" si="1"/>
        <v/>
      </c>
      <c r="O16" s="90" t="str">
        <f t="shared" si="1"/>
        <v/>
      </c>
      <c r="P16" s="24"/>
      <c r="Q16" s="25"/>
      <c r="R16" s="25"/>
      <c r="S16" s="25"/>
      <c r="T16" s="26"/>
      <c r="V16" s="17">
        <v>1.1040885300000001</v>
      </c>
      <c r="W16" s="18">
        <v>2.8253561</v>
      </c>
      <c r="X16" s="18">
        <v>4.3483261199999994</v>
      </c>
      <c r="Y16" s="18">
        <v>5.6218750900000005</v>
      </c>
      <c r="Z16" s="19">
        <v>7.1402587399999993</v>
      </c>
      <c r="AB16" s="72">
        <v>3.8272933293087577E-2</v>
      </c>
      <c r="AC16" s="70">
        <v>4.407924664024785E-2</v>
      </c>
      <c r="AD16" s="70">
        <v>5.0317357690092886E-2</v>
      </c>
      <c r="AE16" s="70"/>
      <c r="AF16" s="62"/>
      <c r="AG16" s="72">
        <v>6.3465609308758011E-4</v>
      </c>
      <c r="AH16" s="70">
        <v>7.3263374402478543E-3</v>
      </c>
      <c r="AI16" s="70">
        <v>1.2945766590092887E-2</v>
      </c>
      <c r="AJ16" s="70"/>
      <c r="AK16" s="62"/>
    </row>
    <row r="17" spans="2:37" x14ac:dyDescent="0.35">
      <c r="B17" s="56" t="s">
        <v>27</v>
      </c>
      <c r="C17" s="124"/>
      <c r="D17" s="35" t="s">
        <v>23</v>
      </c>
      <c r="E17" s="124"/>
      <c r="F17" s="73" t="str">
        <f t="shared" si="0"/>
        <v/>
      </c>
      <c r="G17" s="75">
        <f t="shared" si="0"/>
        <v>4.674764546541748E-2</v>
      </c>
      <c r="H17" s="75">
        <f t="shared" si="0"/>
        <v>5.5104507516637868E-2</v>
      </c>
      <c r="I17" s="75" t="str">
        <f t="shared" si="0"/>
        <v/>
      </c>
      <c r="J17" s="63">
        <f t="shared" si="0"/>
        <v>7.079711665836709E-2</v>
      </c>
      <c r="K17" s="91" t="str">
        <f t="shared" si="1"/>
        <v/>
      </c>
      <c r="L17" s="87">
        <f t="shared" si="1"/>
        <v>9.9235337654174811E-3</v>
      </c>
      <c r="M17" s="87">
        <f t="shared" si="1"/>
        <v>1.7574660616637872E-2</v>
      </c>
      <c r="N17" s="87" t="str">
        <f t="shared" si="1"/>
        <v/>
      </c>
      <c r="O17" s="92">
        <f t="shared" si="1"/>
        <v>3.0561091358367098E-2</v>
      </c>
      <c r="P17" s="33"/>
      <c r="Q17" s="133"/>
      <c r="R17" s="133"/>
      <c r="S17" s="133"/>
      <c r="T17" s="34"/>
      <c r="V17" s="36">
        <v>1.1004231499999999</v>
      </c>
      <c r="W17" s="37">
        <v>2.8071467800000001</v>
      </c>
      <c r="X17" s="37">
        <v>4.3077624600000002</v>
      </c>
      <c r="Y17" s="37">
        <v>5.5394182199999999</v>
      </c>
      <c r="Z17" s="38">
        <v>6.9670829599999999</v>
      </c>
      <c r="AB17" s="73"/>
      <c r="AC17" s="75">
        <v>4.674764546541748E-2</v>
      </c>
      <c r="AD17" s="75">
        <v>5.5104507516637868E-2</v>
      </c>
      <c r="AE17" s="75"/>
      <c r="AF17" s="63">
        <v>7.079711665836709E-2</v>
      </c>
      <c r="AG17" s="73"/>
      <c r="AH17" s="75">
        <v>9.9235337654174811E-3</v>
      </c>
      <c r="AI17" s="75">
        <v>1.7574660616637872E-2</v>
      </c>
      <c r="AJ17" s="75"/>
      <c r="AK17" s="63">
        <v>3.0561091358367098E-2</v>
      </c>
    </row>
    <row r="18" spans="2:37" x14ac:dyDescent="0.35">
      <c r="C18" s="122"/>
      <c r="D18" s="122"/>
      <c r="E18" s="122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V18" s="40"/>
      <c r="W18" s="40"/>
      <c r="X18" s="40"/>
      <c r="Y18" s="40"/>
      <c r="Z18" s="40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</row>
    <row r="19" spans="2:37" ht="15.5" x14ac:dyDescent="0.35">
      <c r="B19" s="121" t="s">
        <v>223</v>
      </c>
      <c r="C19" s="122"/>
      <c r="D19" s="122"/>
      <c r="E19" s="122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Q19" s="125"/>
      <c r="R19" s="125"/>
      <c r="T19" s="125"/>
      <c r="V19" s="155" t="s">
        <v>215</v>
      </c>
      <c r="W19" s="156"/>
      <c r="X19" s="156"/>
      <c r="Y19" s="156"/>
      <c r="Z19" s="157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</row>
    <row r="20" spans="2:37" x14ac:dyDescent="0.35">
      <c r="B20" s="84" t="s">
        <v>5</v>
      </c>
      <c r="C20" s="83" t="s">
        <v>6</v>
      </c>
      <c r="D20" s="83" t="s">
        <v>7</v>
      </c>
      <c r="E20" s="83" t="s">
        <v>8</v>
      </c>
      <c r="F20" s="82" t="s">
        <v>9</v>
      </c>
      <c r="G20" s="81" t="s">
        <v>10</v>
      </c>
      <c r="H20" s="81" t="s">
        <v>11</v>
      </c>
      <c r="I20" s="81" t="s">
        <v>12</v>
      </c>
      <c r="J20" s="80" t="s">
        <v>13</v>
      </c>
      <c r="K20" s="82" t="s">
        <v>9</v>
      </c>
      <c r="L20" s="81" t="s">
        <v>10</v>
      </c>
      <c r="M20" s="81" t="s">
        <v>11</v>
      </c>
      <c r="N20" s="81" t="s">
        <v>12</v>
      </c>
      <c r="O20" s="80" t="s">
        <v>13</v>
      </c>
      <c r="P20" s="69" t="s">
        <v>14</v>
      </c>
      <c r="Q20" s="57" t="s">
        <v>15</v>
      </c>
      <c r="R20" s="57" t="s">
        <v>16</v>
      </c>
      <c r="S20" s="57" t="s">
        <v>216</v>
      </c>
      <c r="T20" s="57" t="s">
        <v>18</v>
      </c>
      <c r="V20" s="109" t="s">
        <v>9</v>
      </c>
      <c r="W20" s="105" t="s">
        <v>10</v>
      </c>
      <c r="X20" s="105" t="s">
        <v>11</v>
      </c>
      <c r="Y20" s="105" t="s">
        <v>12</v>
      </c>
      <c r="Z20" s="110" t="s">
        <v>13</v>
      </c>
      <c r="AB20" s="82" t="s">
        <v>9</v>
      </c>
      <c r="AC20" s="81" t="s">
        <v>10</v>
      </c>
      <c r="AD20" s="81" t="s">
        <v>11</v>
      </c>
      <c r="AE20" s="81" t="s">
        <v>12</v>
      </c>
      <c r="AF20" s="80" t="s">
        <v>13</v>
      </c>
      <c r="AG20" s="82" t="s">
        <v>9</v>
      </c>
      <c r="AH20" s="81" t="s">
        <v>10</v>
      </c>
      <c r="AI20" s="81" t="s">
        <v>11</v>
      </c>
      <c r="AJ20" s="81" t="s">
        <v>12</v>
      </c>
      <c r="AK20" s="80" t="s">
        <v>13</v>
      </c>
    </row>
    <row r="21" spans="2:37" x14ac:dyDescent="0.35">
      <c r="B21" s="55" t="s">
        <v>19</v>
      </c>
      <c r="C21" s="123"/>
      <c r="D21" s="11" t="s">
        <v>20</v>
      </c>
      <c r="E21" s="123"/>
      <c r="F21" s="74" t="str">
        <f t="shared" ref="F21:J26" si="2">IF(ISNUMBER(AB21),AB21-((C$4-C$3)/V21),"")</f>
        <v/>
      </c>
      <c r="G21" s="79">
        <f t="shared" si="2"/>
        <v>4.6650402236080413E-2</v>
      </c>
      <c r="H21" s="79">
        <f t="shared" si="2"/>
        <v>5.2951529155571962E-2</v>
      </c>
      <c r="I21" s="79">
        <f t="shared" si="2"/>
        <v>5.7824945279125753E-2</v>
      </c>
      <c r="J21" s="61">
        <f t="shared" si="2"/>
        <v>6.2564869051006361E-2</v>
      </c>
      <c r="K21" s="88" t="str">
        <f t="shared" ref="K21:O26" si="3">IF(ISNUMBER(AG21),IF(AG21-((C$4-C$3)/V21)&lt;0,"",AG21-((C$4-C$3)/V21)),"")</f>
        <v/>
      </c>
      <c r="L21" s="86">
        <f t="shared" si="3"/>
        <v>9.8867397360804139E-3</v>
      </c>
      <c r="M21" s="86">
        <f t="shared" si="3"/>
        <v>1.5583992255571961E-2</v>
      </c>
      <c r="N21" s="86">
        <f t="shared" si="3"/>
        <v>1.9437090779125754E-2</v>
      </c>
      <c r="O21" s="89">
        <f t="shared" si="3"/>
        <v>2.280208025100636E-2</v>
      </c>
      <c r="P21" s="15"/>
      <c r="Q21" s="132"/>
      <c r="R21" s="132"/>
      <c r="S21" s="132"/>
      <c r="T21" s="16"/>
      <c r="V21" s="17">
        <v>1.11062455</v>
      </c>
      <c r="W21" s="18">
        <v>2.8580098399999998</v>
      </c>
      <c r="X21" s="18">
        <v>4.3982281700000003</v>
      </c>
      <c r="Y21" s="18">
        <v>5.7146113500000002</v>
      </c>
      <c r="Z21" s="19">
        <v>7.3324319099999995</v>
      </c>
      <c r="AB21" s="74"/>
      <c r="AC21" s="79">
        <v>4.6650402236080413E-2</v>
      </c>
      <c r="AD21" s="79">
        <v>5.2951529155571962E-2</v>
      </c>
      <c r="AE21" s="79">
        <v>5.7824945279125753E-2</v>
      </c>
      <c r="AF21" s="61">
        <v>6.2564869051006361E-2</v>
      </c>
      <c r="AG21" s="74"/>
      <c r="AH21" s="79">
        <v>9.8867397360804139E-3</v>
      </c>
      <c r="AI21" s="79">
        <v>1.5583992255571961E-2</v>
      </c>
      <c r="AJ21" s="79">
        <v>1.9437090779125754E-2</v>
      </c>
      <c r="AK21" s="61">
        <v>2.280208025100636E-2</v>
      </c>
    </row>
    <row r="22" spans="2:37" x14ac:dyDescent="0.35">
      <c r="B22" s="54" t="s">
        <v>22</v>
      </c>
      <c r="C22" s="122"/>
      <c r="D22" s="20" t="s">
        <v>23</v>
      </c>
      <c r="E22" s="122"/>
      <c r="F22" s="72">
        <f t="shared" si="2"/>
        <v>3.8725893127045018E-2</v>
      </c>
      <c r="G22" s="70">
        <f t="shared" si="2"/>
        <v>4.6626756490211599E-2</v>
      </c>
      <c r="H22" s="70">
        <f t="shared" si="2"/>
        <v>5.340362716685957E-2</v>
      </c>
      <c r="I22" s="70">
        <f t="shared" si="2"/>
        <v>5.827341239165585E-2</v>
      </c>
      <c r="J22" s="62">
        <f t="shared" si="2"/>
        <v>6.2921146180581464E-2</v>
      </c>
      <c r="K22" s="85">
        <f t="shared" si="3"/>
        <v>1.0823304270450229E-3</v>
      </c>
      <c r="L22" s="67">
        <f t="shared" si="3"/>
        <v>9.8392500902116029E-3</v>
      </c>
      <c r="M22" s="67">
        <f t="shared" si="3"/>
        <v>1.5989622966859574E-2</v>
      </c>
      <c r="N22" s="67">
        <f t="shared" si="3"/>
        <v>1.983578109165585E-2</v>
      </c>
      <c r="O22" s="90">
        <f t="shared" si="3"/>
        <v>2.3115336880581469E-2</v>
      </c>
      <c r="P22" s="24"/>
      <c r="Q22" s="25"/>
      <c r="R22" s="25"/>
      <c r="S22" s="25"/>
      <c r="T22" s="26"/>
      <c r="V22" s="27">
        <v>1.11501297</v>
      </c>
      <c r="W22" s="28">
        <v>2.86184694</v>
      </c>
      <c r="X22" s="28">
        <v>4.3940738700000006</v>
      </c>
      <c r="Y22" s="28">
        <v>5.6998341199999993</v>
      </c>
      <c r="Z22" s="29">
        <v>7.3012165000000007</v>
      </c>
      <c r="AB22" s="72">
        <v>3.8725893127045018E-2</v>
      </c>
      <c r="AC22" s="70">
        <v>4.6626756490211599E-2</v>
      </c>
      <c r="AD22" s="70">
        <v>5.340362716685957E-2</v>
      </c>
      <c r="AE22" s="70">
        <v>5.827341239165585E-2</v>
      </c>
      <c r="AF22" s="62">
        <v>6.2921146180581464E-2</v>
      </c>
      <c r="AG22" s="72">
        <v>1.0823304270450229E-3</v>
      </c>
      <c r="AH22" s="70">
        <v>9.8392500902116029E-3</v>
      </c>
      <c r="AI22" s="70">
        <v>1.5989622966859574E-2</v>
      </c>
      <c r="AJ22" s="70">
        <v>1.983578109165585E-2</v>
      </c>
      <c r="AK22" s="62">
        <v>2.3115336880581469E-2</v>
      </c>
    </row>
    <row r="23" spans="2:37" x14ac:dyDescent="0.35">
      <c r="B23" s="55" t="s">
        <v>24</v>
      </c>
      <c r="C23" s="123"/>
      <c r="D23" s="11" t="s">
        <v>20</v>
      </c>
      <c r="E23" s="123"/>
      <c r="F23" s="74">
        <f t="shared" si="2"/>
        <v>6.892761027456884E-2</v>
      </c>
      <c r="G23" s="79">
        <f t="shared" si="2"/>
        <v>7.7729122579924342E-2</v>
      </c>
      <c r="H23" s="79">
        <f>IF(ISNUMBER(AD23),AD23-((E$4-E$3)/X23),"")</f>
        <v>8.6546322717215518E-2</v>
      </c>
      <c r="I23" s="79" t="str">
        <f>IF(ISNUMBER(AE23),AE23-((F$4-F$3)/Y23),"")</f>
        <v/>
      </c>
      <c r="J23" s="61" t="str">
        <f>IF(ISNUMBER(AF23),AF23-((G$4-G$3)/Z23),"")</f>
        <v/>
      </c>
      <c r="K23" s="88">
        <f>IF(ISNUMBER(AG23),IF(AG23-((C$4-C$3)/V23)&lt;0,"",AG23-((C$4-C$3)/V23)),"")</f>
        <v>2.9948960574568841E-2</v>
      </c>
      <c r="L23" s="86">
        <f>IF(ISNUMBER(AH23),IF(AH23-((D$4-D$3)/W23)&lt;0,"",AH23-((D$4-D$3)/W23)),"")</f>
        <v>3.9142457779924339E-2</v>
      </c>
      <c r="M23" s="86">
        <f t="shared" si="3"/>
        <v>4.699527181721553E-2</v>
      </c>
      <c r="N23" s="86" t="str">
        <f t="shared" si="3"/>
        <v/>
      </c>
      <c r="O23" s="89" t="str">
        <f t="shared" si="3"/>
        <v/>
      </c>
      <c r="P23" s="15"/>
      <c r="Q23" s="132"/>
      <c r="R23" s="132"/>
      <c r="S23" s="132"/>
      <c r="T23" s="16"/>
      <c r="V23" s="17">
        <v>1.0784823000000001</v>
      </c>
      <c r="W23" s="18">
        <v>2.6662056299999999</v>
      </c>
      <c r="X23" s="18">
        <v>3.9536605799999998</v>
      </c>
      <c r="Y23" s="18">
        <v>4.9855123099999998</v>
      </c>
      <c r="Z23" s="19">
        <v>6.1781157799999997</v>
      </c>
      <c r="AB23" s="74">
        <v>6.892761027456884E-2</v>
      </c>
      <c r="AC23" s="79">
        <v>7.7729122579924342E-2</v>
      </c>
      <c r="AD23" s="79">
        <v>8.6546322717215518E-2</v>
      </c>
      <c r="AE23" s="79"/>
      <c r="AF23" s="61"/>
      <c r="AG23" s="74">
        <v>2.9948960574568841E-2</v>
      </c>
      <c r="AH23" s="79">
        <v>3.9142457779924339E-2</v>
      </c>
      <c r="AI23" s="79">
        <v>4.699527181721553E-2</v>
      </c>
      <c r="AJ23" s="79"/>
      <c r="AK23" s="61"/>
    </row>
    <row r="24" spans="2:37" x14ac:dyDescent="0.35">
      <c r="B24" s="56" t="s">
        <v>25</v>
      </c>
      <c r="C24" s="124"/>
      <c r="D24" s="20" t="s">
        <v>23</v>
      </c>
      <c r="E24" s="124"/>
      <c r="F24" s="73">
        <f t="shared" si="2"/>
        <v>5.4513613479525658E-2</v>
      </c>
      <c r="G24" s="75">
        <f t="shared" si="2"/>
        <v>7.4491809153869326E-2</v>
      </c>
      <c r="H24" s="75">
        <f t="shared" si="2"/>
        <v>8.9576306431142755E-2</v>
      </c>
      <c r="I24" s="75">
        <f t="shared" si="2"/>
        <v>9.5472631045131665E-2</v>
      </c>
      <c r="J24" s="63">
        <f t="shared" si="2"/>
        <v>0.10067825913503765</v>
      </c>
      <c r="K24" s="91">
        <f t="shared" si="3"/>
        <v>1.6192754979525659E-2</v>
      </c>
      <c r="L24" s="87">
        <f t="shared" si="3"/>
        <v>3.5972361553869334E-2</v>
      </c>
      <c r="M24" s="87">
        <f t="shared" si="3"/>
        <v>4.9441625531142772E-2</v>
      </c>
      <c r="N24" s="87">
        <f t="shared" si="3"/>
        <v>5.4104554745131657E-2</v>
      </c>
      <c r="O24" s="92">
        <f t="shared" si="3"/>
        <v>5.7832356335037659E-2</v>
      </c>
      <c r="P24" s="33"/>
      <c r="Q24" s="133"/>
      <c r="R24" s="133"/>
      <c r="S24" s="133"/>
      <c r="T24" s="34"/>
      <c r="V24" s="27">
        <v>1.0708171500000001</v>
      </c>
      <c r="W24" s="28">
        <v>2.6627576100000003</v>
      </c>
      <c r="X24" s="28">
        <v>3.9068649099999999</v>
      </c>
      <c r="Y24" s="28">
        <v>4.8487798800000004</v>
      </c>
      <c r="Z24" s="29">
        <v>5.84969289</v>
      </c>
      <c r="AB24" s="73">
        <v>5.4513613479525658E-2</v>
      </c>
      <c r="AC24" s="75">
        <v>7.4491809153869326E-2</v>
      </c>
      <c r="AD24" s="75">
        <v>8.9576306431142755E-2</v>
      </c>
      <c r="AE24" s="75">
        <v>9.5472631045131665E-2</v>
      </c>
      <c r="AF24" s="63">
        <v>0.10067825913503765</v>
      </c>
      <c r="AG24" s="73">
        <v>1.6192754979525659E-2</v>
      </c>
      <c r="AH24" s="75">
        <v>3.5972361553869334E-2</v>
      </c>
      <c r="AI24" s="75">
        <v>4.9441625531142772E-2</v>
      </c>
      <c r="AJ24" s="75">
        <v>5.4104554745131657E-2</v>
      </c>
      <c r="AK24" s="63">
        <v>5.7832356335037659E-2</v>
      </c>
    </row>
    <row r="25" spans="2:37" x14ac:dyDescent="0.35">
      <c r="B25" s="54" t="s">
        <v>26</v>
      </c>
      <c r="C25" s="122"/>
      <c r="D25" s="11" t="s">
        <v>23</v>
      </c>
      <c r="E25" s="122"/>
      <c r="F25" s="72">
        <f t="shared" si="2"/>
        <v>3.9089805418047831E-2</v>
      </c>
      <c r="G25" s="70">
        <f t="shared" si="2"/>
        <v>4.6928283439638681E-2</v>
      </c>
      <c r="H25" s="70">
        <f t="shared" si="2"/>
        <v>5.421510702912366E-2</v>
      </c>
      <c r="I25" s="70" t="str">
        <f t="shared" si="2"/>
        <v/>
      </c>
      <c r="J25" s="62" t="str">
        <f t="shared" si="2"/>
        <v/>
      </c>
      <c r="K25" s="85">
        <f t="shared" si="3"/>
        <v>1.4344463180478335E-3</v>
      </c>
      <c r="L25" s="67">
        <f t="shared" si="3"/>
        <v>1.0133217239638692E-2</v>
      </c>
      <c r="M25" s="67">
        <f t="shared" si="3"/>
        <v>1.6764853629123659E-2</v>
      </c>
      <c r="N25" s="67" t="str">
        <f t="shared" si="3"/>
        <v/>
      </c>
      <c r="O25" s="90" t="str">
        <f t="shared" si="3"/>
        <v/>
      </c>
      <c r="P25" s="24"/>
      <c r="Q25" s="25"/>
      <c r="R25" s="25"/>
      <c r="S25" s="25"/>
      <c r="T25" s="26"/>
      <c r="V25" s="17">
        <v>1.1040885300000001</v>
      </c>
      <c r="W25" s="18">
        <v>2.8253561</v>
      </c>
      <c r="X25" s="18">
        <v>4.3483261199999994</v>
      </c>
      <c r="Y25" s="18">
        <v>5.6218750900000005</v>
      </c>
      <c r="Z25" s="19">
        <v>7.1402587399999993</v>
      </c>
      <c r="AB25" s="72">
        <v>3.9089805418047831E-2</v>
      </c>
      <c r="AC25" s="70">
        <v>4.6928283439638681E-2</v>
      </c>
      <c r="AD25" s="70">
        <v>5.421510702912366E-2</v>
      </c>
      <c r="AE25" s="70"/>
      <c r="AF25" s="62"/>
      <c r="AG25" s="72">
        <v>1.4344463180478335E-3</v>
      </c>
      <c r="AH25" s="70">
        <v>1.0133217239638692E-2</v>
      </c>
      <c r="AI25" s="70">
        <v>1.6764853629123659E-2</v>
      </c>
      <c r="AJ25" s="70"/>
      <c r="AK25" s="62"/>
    </row>
    <row r="26" spans="2:37" x14ac:dyDescent="0.35">
      <c r="B26" s="56" t="s">
        <v>27</v>
      </c>
      <c r="C26" s="124"/>
      <c r="D26" s="35" t="s">
        <v>23</v>
      </c>
      <c r="E26" s="124"/>
      <c r="F26" s="73" t="str">
        <f t="shared" si="2"/>
        <v/>
      </c>
      <c r="G26" s="75">
        <f t="shared" si="2"/>
        <v>4.8803563573414775E-2</v>
      </c>
      <c r="H26" s="75">
        <f t="shared" si="2"/>
        <v>5.7839422062070892E-2</v>
      </c>
      <c r="I26" s="75" t="str">
        <f t="shared" si="2"/>
        <v/>
      </c>
      <c r="J26" s="63">
        <f t="shared" si="2"/>
        <v>7.4657091286974508E-2</v>
      </c>
      <c r="K26" s="91" t="str">
        <f t="shared" si="3"/>
        <v/>
      </c>
      <c r="L26" s="87">
        <f t="shared" si="3"/>
        <v>1.1951877473414779E-2</v>
      </c>
      <c r="M26" s="87">
        <f t="shared" si="3"/>
        <v>2.0251008262070897E-2</v>
      </c>
      <c r="N26" s="87" t="str">
        <f t="shared" si="3"/>
        <v/>
      </c>
      <c r="O26" s="92">
        <f t="shared" si="3"/>
        <v>3.4281519686974522E-2</v>
      </c>
      <c r="P26" s="33"/>
      <c r="Q26" s="133"/>
      <c r="R26" s="133"/>
      <c r="S26" s="133"/>
      <c r="T26" s="34"/>
      <c r="V26" s="36">
        <v>1.1004231499999999</v>
      </c>
      <c r="W26" s="37">
        <v>2.8071467800000001</v>
      </c>
      <c r="X26" s="37">
        <v>4.3077624600000002</v>
      </c>
      <c r="Y26" s="37">
        <v>5.5394182199999999</v>
      </c>
      <c r="Z26" s="38">
        <v>6.9670829599999999</v>
      </c>
      <c r="AB26" s="73"/>
      <c r="AC26" s="75">
        <v>4.8803563573414775E-2</v>
      </c>
      <c r="AD26" s="75">
        <v>5.7839422062070892E-2</v>
      </c>
      <c r="AE26" s="75"/>
      <c r="AF26" s="63">
        <v>7.4657091286974508E-2</v>
      </c>
      <c r="AG26" s="73"/>
      <c r="AH26" s="75">
        <v>1.1951877473414779E-2</v>
      </c>
      <c r="AI26" s="75">
        <v>2.0251008262070897E-2</v>
      </c>
      <c r="AJ26" s="75"/>
      <c r="AK26" s="63">
        <v>3.4281519686974522E-2</v>
      </c>
    </row>
    <row r="27" spans="2:37" x14ac:dyDescent="0.35">
      <c r="C27" s="122"/>
      <c r="D27" s="122"/>
      <c r="E27" s="122"/>
      <c r="F27" s="59"/>
      <c r="G27" s="59"/>
      <c r="H27" s="59"/>
      <c r="I27" s="59"/>
      <c r="J27" s="59"/>
      <c r="K27" s="67"/>
      <c r="L27" s="67"/>
      <c r="M27" s="67"/>
      <c r="N27" s="67"/>
      <c r="O27" s="67"/>
      <c r="P27" s="126"/>
      <c r="Q27" s="126"/>
      <c r="R27" s="126"/>
      <c r="S27" s="126"/>
      <c r="T27" s="134"/>
      <c r="V27" s="40"/>
      <c r="W27" s="40"/>
      <c r="X27" s="40"/>
      <c r="Y27" s="40"/>
      <c r="Z27" s="40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</row>
    <row r="28" spans="2:37" ht="15.5" x14ac:dyDescent="0.35">
      <c r="B28" s="121" t="s">
        <v>28</v>
      </c>
      <c r="C28" s="122"/>
      <c r="D28" s="122"/>
      <c r="E28" s="122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V28" s="40"/>
      <c r="W28" s="40"/>
      <c r="X28" s="40"/>
      <c r="Y28" s="40"/>
      <c r="Z28" s="40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</row>
    <row r="29" spans="2:37" x14ac:dyDescent="0.35">
      <c r="B29" s="84" t="s">
        <v>5</v>
      </c>
      <c r="C29" s="83" t="s">
        <v>6</v>
      </c>
      <c r="D29" s="83" t="s">
        <v>7</v>
      </c>
      <c r="E29" s="83" t="s">
        <v>8</v>
      </c>
      <c r="F29" s="82" t="s">
        <v>9</v>
      </c>
      <c r="G29" s="81" t="s">
        <v>10</v>
      </c>
      <c r="H29" s="81" t="s">
        <v>11</v>
      </c>
      <c r="I29" s="81" t="s">
        <v>12</v>
      </c>
      <c r="J29" s="80" t="s">
        <v>13</v>
      </c>
      <c r="K29" s="82" t="s">
        <v>9</v>
      </c>
      <c r="L29" s="81" t="s">
        <v>10</v>
      </c>
      <c r="M29" s="81" t="s">
        <v>11</v>
      </c>
      <c r="N29" s="81" t="s">
        <v>12</v>
      </c>
      <c r="O29" s="80" t="s">
        <v>13</v>
      </c>
      <c r="P29" s="69" t="s">
        <v>14</v>
      </c>
      <c r="Q29" s="57" t="s">
        <v>15</v>
      </c>
      <c r="R29" s="57" t="s">
        <v>16</v>
      </c>
      <c r="S29" s="57" t="s">
        <v>216</v>
      </c>
      <c r="T29" s="57" t="s">
        <v>18</v>
      </c>
      <c r="V29" s="109" t="s">
        <v>9</v>
      </c>
      <c r="W29" s="105" t="s">
        <v>10</v>
      </c>
      <c r="X29" s="105" t="s">
        <v>11</v>
      </c>
      <c r="Y29" s="105" t="s">
        <v>12</v>
      </c>
      <c r="Z29" s="110" t="s">
        <v>13</v>
      </c>
      <c r="AB29" s="82" t="s">
        <v>9</v>
      </c>
      <c r="AC29" s="81" t="s">
        <v>10</v>
      </c>
      <c r="AD29" s="81" t="s">
        <v>11</v>
      </c>
      <c r="AE29" s="81" t="s">
        <v>12</v>
      </c>
      <c r="AF29" s="80" t="s">
        <v>13</v>
      </c>
      <c r="AG29" s="82" t="s">
        <v>9</v>
      </c>
      <c r="AH29" s="81" t="s">
        <v>10</v>
      </c>
      <c r="AI29" s="81" t="s">
        <v>11</v>
      </c>
      <c r="AJ29" s="81" t="s">
        <v>12</v>
      </c>
      <c r="AK29" s="80" t="s">
        <v>13</v>
      </c>
    </row>
    <row r="30" spans="2:37" x14ac:dyDescent="0.35">
      <c r="B30" s="78" t="s">
        <v>416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6"/>
      <c r="P30" s="78"/>
      <c r="Q30" s="77"/>
      <c r="R30" s="77"/>
      <c r="S30" s="77"/>
      <c r="T30" s="76"/>
      <c r="V30" s="111"/>
      <c r="W30" s="106"/>
      <c r="X30" s="106"/>
      <c r="Y30" s="106"/>
      <c r="Z30" s="112"/>
      <c r="AB30" s="77"/>
      <c r="AC30" s="77"/>
      <c r="AD30" s="77"/>
      <c r="AE30" s="77"/>
      <c r="AF30" s="77"/>
      <c r="AG30" s="77"/>
      <c r="AH30" s="77"/>
      <c r="AI30" s="77"/>
      <c r="AJ30" s="77"/>
      <c r="AK30" s="76"/>
    </row>
    <row r="31" spans="2:37" x14ac:dyDescent="0.35">
      <c r="B31" s="55" t="s">
        <v>29</v>
      </c>
      <c r="C31" s="52" t="s">
        <v>30</v>
      </c>
      <c r="D31" s="52" t="s">
        <v>31</v>
      </c>
      <c r="E31" s="52" t="s">
        <v>417</v>
      </c>
      <c r="F31" s="88">
        <f>IF(ISNUMBER(AB31),AB31-((C$4-C$3)/V31),"")</f>
        <v>3.71650675904205E-2</v>
      </c>
      <c r="G31" s="59">
        <f>IF(ISNUMBER(AC31),AC31-((D$4-D$3)/W31),"")</f>
        <v>4.1384129510110133E-2</v>
      </c>
      <c r="H31" s="70">
        <f>IF(ISNUMBER(AD31),AD31-((E$4-E$3)/X31),"")</f>
        <v>4.6938659130634698E-2</v>
      </c>
      <c r="I31" s="70">
        <f>IF(ISNUMBER(AE31),AE31-((F$4-F$3)/Y31),"")</f>
        <v>5.0267012492058623E-2</v>
      </c>
      <c r="J31" s="62">
        <f>IF(ISNUMBER(AF31),AF31-((G$4-G$3)/Z31),"")</f>
        <v>5.3327994530973838E-2</v>
      </c>
      <c r="K31" s="72" t="str">
        <f>IF(ISNUMBER(AG31),IF(AG31-((C$4-C$3)/V31)&lt;0,"",AG31-((C$4-C$3)/V31)),"")</f>
        <v/>
      </c>
      <c r="L31" s="59">
        <f>IF(ISNUMBER(AH31),IF(AH31-((D$4-D$3)/W31)&lt;0,"",AH31-((D$4-D$3)/W31)),"")</f>
        <v>4.7056589101101363E-3</v>
      </c>
      <c r="M31" s="70">
        <f>IF(ISNUMBER(AI31),IF(AI31-((E$4-E$3)/X31)&lt;0,"",AI31-((E$4-E$3)/X31)),"")</f>
        <v>9.7172878306346997E-3</v>
      </c>
      <c r="N31" s="70">
        <f>IF(ISNUMBER(AJ31),IF(AJ31-((F$4-F$3)/Y31)&lt;0,"",AJ31-((F$4-F$3)/Y31)),"")</f>
        <v>1.2073802292058625E-2</v>
      </c>
      <c r="O31" s="62">
        <f>IF(ISNUMBER(AK31),IF(AK31-((G$4-G$3)/Z31)&lt;0,"",AK31-((G$4-G$3)/Z31)),"")</f>
        <v>1.3816565330973831E-2</v>
      </c>
      <c r="P31" s="54" t="s">
        <v>418</v>
      </c>
      <c r="Q31" s="52" t="s">
        <v>419</v>
      </c>
      <c r="R31" s="93" t="s">
        <v>32</v>
      </c>
      <c r="S31" s="70">
        <v>5.1674089999999999E-2</v>
      </c>
      <c r="T31" s="62">
        <f>IF(S31="","",H31-S31)</f>
        <v>-4.7354308693653008E-3</v>
      </c>
      <c r="V31" s="113">
        <v>1.1149594199999999</v>
      </c>
      <c r="W31" s="71">
        <v>2.87330211</v>
      </c>
      <c r="X31" s="71">
        <v>4.4350127000000006</v>
      </c>
      <c r="Y31" s="71">
        <v>5.7861477699999995</v>
      </c>
      <c r="Z31" s="114">
        <v>7.4819803299999998</v>
      </c>
      <c r="AB31" s="74">
        <v>3.71650675904205E-2</v>
      </c>
      <c r="AC31" s="70">
        <v>4.1384129510110133E-2</v>
      </c>
      <c r="AD31" s="70">
        <v>4.6938659130634698E-2</v>
      </c>
      <c r="AE31" s="70">
        <v>5.0267012492058623E-2</v>
      </c>
      <c r="AF31" s="62">
        <v>5.3327994530973838E-2</v>
      </c>
      <c r="AG31" s="72" t="s">
        <v>21</v>
      </c>
      <c r="AH31" s="70">
        <v>4.7056589101101363E-3</v>
      </c>
      <c r="AI31" s="70">
        <v>9.7172878306346997E-3</v>
      </c>
      <c r="AJ31" s="70">
        <v>1.2073802292058625E-2</v>
      </c>
      <c r="AK31" s="62">
        <v>1.3816565330973831E-2</v>
      </c>
    </row>
    <row r="32" spans="2:37" x14ac:dyDescent="0.35">
      <c r="B32" s="54" t="s">
        <v>29</v>
      </c>
      <c r="C32" s="52" t="s">
        <v>33</v>
      </c>
      <c r="D32" s="52" t="s">
        <v>31</v>
      </c>
      <c r="E32" s="52" t="s">
        <v>34</v>
      </c>
      <c r="F32" s="72">
        <f t="shared" ref="F32:J89" si="4">IF(ISNUMBER(AB32),AB32-((C$4-C$3)/V32),"")</f>
        <v>3.7519680753353483E-2</v>
      </c>
      <c r="G32" s="59">
        <f t="shared" si="4"/>
        <v>4.3134854948948212E-2</v>
      </c>
      <c r="H32" s="70">
        <f t="shared" si="4"/>
        <v>4.9965990445940536E-2</v>
      </c>
      <c r="I32" s="70">
        <f t="shared" si="4"/>
        <v>5.4150702238148052E-2</v>
      </c>
      <c r="J32" s="62">
        <f t="shared" si="4"/>
        <v>5.7725055179136626E-2</v>
      </c>
      <c r="K32" s="72" t="str">
        <f t="shared" ref="K32:O89" si="5">IF(ISNUMBER(AG32),IF(AG32-((C$4-C$3)/V32)&lt;0,"",AG32-((C$4-C$3)/V32)),"")</f>
        <v/>
      </c>
      <c r="L32" s="59">
        <f t="shared" si="5"/>
        <v>6.3755532489482136E-3</v>
      </c>
      <c r="M32" s="70">
        <f t="shared" si="5"/>
        <v>1.2596282845940547E-2</v>
      </c>
      <c r="N32" s="70">
        <f t="shared" si="5"/>
        <v>1.5766665638148051E-2</v>
      </c>
      <c r="O32" s="62">
        <f t="shared" si="5"/>
        <v>1.8023440979136628E-2</v>
      </c>
      <c r="P32" s="54" t="s">
        <v>21</v>
      </c>
      <c r="Q32" s="52" t="s">
        <v>21</v>
      </c>
      <c r="R32" s="93" t="s">
        <v>21</v>
      </c>
      <c r="S32" s="70" t="s">
        <v>21</v>
      </c>
      <c r="T32" s="62" t="str">
        <f t="shared" ref="T32:T110" si="6">IF(S32="","",H32-S32)</f>
        <v/>
      </c>
      <c r="V32" s="113">
        <v>1.11431334</v>
      </c>
      <c r="W32" s="71">
        <v>2.8613519300000001</v>
      </c>
      <c r="X32" s="71">
        <v>4.3897899200000001</v>
      </c>
      <c r="Y32" s="71">
        <v>5.6839228300000002</v>
      </c>
      <c r="Z32" s="114">
        <v>7.2684430300000002</v>
      </c>
      <c r="AB32" s="72">
        <v>3.7519680753353483E-2</v>
      </c>
      <c r="AC32" s="70">
        <v>4.3134854948948212E-2</v>
      </c>
      <c r="AD32" s="70">
        <v>4.9965990445940536E-2</v>
      </c>
      <c r="AE32" s="70">
        <v>5.4150702238148052E-2</v>
      </c>
      <c r="AF32" s="62">
        <v>5.7725055179136626E-2</v>
      </c>
      <c r="AG32" s="72" t="s">
        <v>21</v>
      </c>
      <c r="AH32" s="70">
        <v>6.3755532489482136E-3</v>
      </c>
      <c r="AI32" s="70">
        <v>1.2596282845940547E-2</v>
      </c>
      <c r="AJ32" s="70">
        <v>1.5766665638148051E-2</v>
      </c>
      <c r="AK32" s="62">
        <v>1.8023440979136628E-2</v>
      </c>
    </row>
    <row r="33" spans="2:37" x14ac:dyDescent="0.35">
      <c r="B33" s="56" t="s">
        <v>29</v>
      </c>
      <c r="C33" s="66" t="s">
        <v>35</v>
      </c>
      <c r="D33" s="66" t="s">
        <v>31</v>
      </c>
      <c r="E33" s="66" t="s">
        <v>338</v>
      </c>
      <c r="F33" s="73">
        <f t="shared" si="4"/>
        <v>3.8342557624647298E-2</v>
      </c>
      <c r="G33" s="75">
        <f t="shared" si="4"/>
        <v>4.5386700683816901E-2</v>
      </c>
      <c r="H33" s="75">
        <f t="shared" si="4"/>
        <v>5.3592649095949296E-2</v>
      </c>
      <c r="I33" s="75">
        <f t="shared" si="4"/>
        <v>5.8721366595852559E-2</v>
      </c>
      <c r="J33" s="63">
        <f t="shared" si="4"/>
        <v>6.3114856924052998E-2</v>
      </c>
      <c r="K33" s="73">
        <f t="shared" si="5"/>
        <v>6.6568502464730075E-4</v>
      </c>
      <c r="L33" s="75">
        <f t="shared" si="5"/>
        <v>8.5678346838169023E-3</v>
      </c>
      <c r="M33" s="75">
        <f t="shared" si="5"/>
        <v>1.6115032095949295E-2</v>
      </c>
      <c r="N33" s="75">
        <f t="shared" si="5"/>
        <v>2.0182843995852563E-2</v>
      </c>
      <c r="O33" s="63">
        <f t="shared" si="5"/>
        <v>2.3214885724052996E-2</v>
      </c>
      <c r="P33" s="54" t="s">
        <v>21</v>
      </c>
      <c r="Q33" s="52" t="s">
        <v>21</v>
      </c>
      <c r="R33" s="93" t="s">
        <v>21</v>
      </c>
      <c r="S33" s="70" t="s">
        <v>21</v>
      </c>
      <c r="T33" s="62" t="str">
        <f t="shared" si="6"/>
        <v/>
      </c>
      <c r="V33" s="115">
        <v>1.1141570599999999</v>
      </c>
      <c r="W33" s="107">
        <v>2.8571017300000001</v>
      </c>
      <c r="X33" s="107">
        <v>4.3736548800000001</v>
      </c>
      <c r="Y33" s="107">
        <v>5.6469979400000003</v>
      </c>
      <c r="Z33" s="116">
        <v>7.1861846300000005</v>
      </c>
      <c r="AB33" s="73">
        <v>3.8342557624647298E-2</v>
      </c>
      <c r="AC33" s="75">
        <v>4.5386700683816901E-2</v>
      </c>
      <c r="AD33" s="75">
        <v>5.3592649095949296E-2</v>
      </c>
      <c r="AE33" s="75">
        <v>5.8721366595852559E-2</v>
      </c>
      <c r="AF33" s="63">
        <v>6.3114856924052998E-2</v>
      </c>
      <c r="AG33" s="73">
        <v>6.6568502464730075E-4</v>
      </c>
      <c r="AH33" s="75">
        <v>8.5678346838169023E-3</v>
      </c>
      <c r="AI33" s="75">
        <v>1.6115032095949295E-2</v>
      </c>
      <c r="AJ33" s="75">
        <v>2.0182843995852563E-2</v>
      </c>
      <c r="AK33" s="63">
        <v>2.3214885724052996E-2</v>
      </c>
    </row>
    <row r="34" spans="2:37" x14ac:dyDescent="0.35">
      <c r="B34" s="54" t="s">
        <v>37</v>
      </c>
      <c r="C34" s="52" t="s">
        <v>30</v>
      </c>
      <c r="D34" s="52" t="s">
        <v>31</v>
      </c>
      <c r="E34" s="52" t="s">
        <v>338</v>
      </c>
      <c r="F34" s="72">
        <f t="shared" si="4"/>
        <v>3.7642603681284484E-2</v>
      </c>
      <c r="G34" s="59">
        <f t="shared" si="4"/>
        <v>4.2291400617269527E-2</v>
      </c>
      <c r="H34" s="70">
        <f t="shared" si="4"/>
        <v>4.7586208120817895E-2</v>
      </c>
      <c r="I34" s="70">
        <f t="shared" si="4"/>
        <v>5.0951631648681626E-2</v>
      </c>
      <c r="J34" s="62">
        <f t="shared" si="4"/>
        <v>5.3979617352846537E-2</v>
      </c>
      <c r="K34" s="72" t="str">
        <f t="shared" si="5"/>
        <v/>
      </c>
      <c r="L34" s="59">
        <f t="shared" si="5"/>
        <v>5.5721197172695341E-3</v>
      </c>
      <c r="M34" s="70">
        <f t="shared" si="5"/>
        <v>1.0333930920817894E-2</v>
      </c>
      <c r="N34" s="70">
        <f t="shared" si="5"/>
        <v>1.2725391848681621E-2</v>
      </c>
      <c r="O34" s="62">
        <f t="shared" si="5"/>
        <v>1.4440257452846524E-2</v>
      </c>
      <c r="P34" s="55" t="s">
        <v>21</v>
      </c>
      <c r="Q34" s="65" t="s">
        <v>21</v>
      </c>
      <c r="R34" s="99" t="s">
        <v>21</v>
      </c>
      <c r="S34" s="79" t="s">
        <v>21</v>
      </c>
      <c r="T34" s="61" t="str">
        <f t="shared" si="6"/>
        <v/>
      </c>
      <c r="V34" s="113">
        <v>1.1140661300000001</v>
      </c>
      <c r="W34" s="71">
        <v>2.8661206099999998</v>
      </c>
      <c r="X34" s="71">
        <v>4.4197632999999996</v>
      </c>
      <c r="Y34" s="71">
        <v>5.7612569699999998</v>
      </c>
      <c r="Z34" s="114">
        <v>7.4412038699999998</v>
      </c>
      <c r="AB34" s="72">
        <v>3.7642603681284484E-2</v>
      </c>
      <c r="AC34" s="70">
        <v>4.2291400617269527E-2</v>
      </c>
      <c r="AD34" s="70">
        <v>4.7586208120817895E-2</v>
      </c>
      <c r="AE34" s="70">
        <v>5.0951631648681626E-2</v>
      </c>
      <c r="AF34" s="62">
        <v>5.3979617352846537E-2</v>
      </c>
      <c r="AG34" s="72" t="s">
        <v>21</v>
      </c>
      <c r="AH34" s="70">
        <v>5.5721197172695341E-3</v>
      </c>
      <c r="AI34" s="70">
        <v>1.0333930920817894E-2</v>
      </c>
      <c r="AJ34" s="70">
        <v>1.2725391848681621E-2</v>
      </c>
      <c r="AK34" s="62">
        <v>1.4440257452846524E-2</v>
      </c>
    </row>
    <row r="35" spans="2:37" x14ac:dyDescent="0.35">
      <c r="B35" s="54" t="s">
        <v>37</v>
      </c>
      <c r="C35" s="52" t="s">
        <v>33</v>
      </c>
      <c r="D35" s="52" t="s">
        <v>31</v>
      </c>
      <c r="E35" s="52" t="s">
        <v>38</v>
      </c>
      <c r="F35" s="72">
        <f t="shared" si="4"/>
        <v>3.7938710477346892E-2</v>
      </c>
      <c r="G35" s="59">
        <f t="shared" si="4"/>
        <v>4.3269178996930467E-2</v>
      </c>
      <c r="H35" s="70">
        <f t="shared" si="4"/>
        <v>5.0021572505542226E-2</v>
      </c>
      <c r="I35" s="70">
        <f t="shared" si="4"/>
        <v>5.411151028504077E-2</v>
      </c>
      <c r="J35" s="62">
        <f t="shared" si="4"/>
        <v>5.7774365776568824E-2</v>
      </c>
      <c r="K35" s="72">
        <f t="shared" si="5"/>
        <v>2.7124347734688945E-4</v>
      </c>
      <c r="L35" s="59">
        <f t="shared" si="5"/>
        <v>6.5052342969304693E-3</v>
      </c>
      <c r="M35" s="70">
        <f t="shared" si="5"/>
        <v>1.2650013105542233E-2</v>
      </c>
      <c r="N35" s="70">
        <f t="shared" si="5"/>
        <v>1.5730067685040768E-2</v>
      </c>
      <c r="O35" s="62">
        <f t="shared" si="5"/>
        <v>1.8069323276568825E-2</v>
      </c>
      <c r="P35" s="54" t="s">
        <v>21</v>
      </c>
      <c r="Q35" s="52" t="s">
        <v>21</v>
      </c>
      <c r="R35" s="93" t="s">
        <v>21</v>
      </c>
      <c r="S35" s="70" t="s">
        <v>21</v>
      </c>
      <c r="T35" s="62" t="str">
        <f t="shared" si="6"/>
        <v/>
      </c>
      <c r="V35" s="113">
        <v>1.1135028</v>
      </c>
      <c r="W35" s="71">
        <v>2.8590983899999998</v>
      </c>
      <c r="X35" s="71">
        <v>4.3868445200000004</v>
      </c>
      <c r="Y35" s="71">
        <v>5.6816495900000001</v>
      </c>
      <c r="Z35" s="114">
        <v>7.2658531699999997</v>
      </c>
      <c r="AB35" s="72">
        <v>3.7938710477346892E-2</v>
      </c>
      <c r="AC35" s="70">
        <v>4.3269178996930467E-2</v>
      </c>
      <c r="AD35" s="70">
        <v>5.0021572505542226E-2</v>
      </c>
      <c r="AE35" s="70">
        <v>5.411151028504077E-2</v>
      </c>
      <c r="AF35" s="62">
        <v>5.7774365776568824E-2</v>
      </c>
      <c r="AG35" s="72">
        <v>2.7124347734688945E-4</v>
      </c>
      <c r="AH35" s="70">
        <v>6.5052342969304693E-3</v>
      </c>
      <c r="AI35" s="70">
        <v>1.2650013105542233E-2</v>
      </c>
      <c r="AJ35" s="70">
        <v>1.5730067685040768E-2</v>
      </c>
      <c r="AK35" s="62">
        <v>1.8069323276568825E-2</v>
      </c>
    </row>
    <row r="36" spans="2:37" x14ac:dyDescent="0.35">
      <c r="B36" s="56" t="s">
        <v>37</v>
      </c>
      <c r="C36" s="66" t="s">
        <v>35</v>
      </c>
      <c r="D36" s="66" t="s">
        <v>31</v>
      </c>
      <c r="E36" s="66" t="s">
        <v>39</v>
      </c>
      <c r="F36" s="73">
        <f t="shared" si="4"/>
        <v>3.8376572619555717E-2</v>
      </c>
      <c r="G36" s="75">
        <f t="shared" si="4"/>
        <v>4.554694891032357E-2</v>
      </c>
      <c r="H36" s="75">
        <f t="shared" si="4"/>
        <v>5.368494102092785E-2</v>
      </c>
      <c r="I36" s="75">
        <f t="shared" si="4"/>
        <v>5.8724184035243897E-2</v>
      </c>
      <c r="J36" s="63">
        <f t="shared" si="4"/>
        <v>6.3204134129848558E-2</v>
      </c>
      <c r="K36" s="73">
        <f t="shared" si="5"/>
        <v>7.1133441955571752E-4</v>
      </c>
      <c r="L36" s="75">
        <f t="shared" si="5"/>
        <v>8.7272148103235744E-3</v>
      </c>
      <c r="M36" s="75">
        <f t="shared" si="5"/>
        <v>1.6206988920927846E-2</v>
      </c>
      <c r="N36" s="75">
        <f t="shared" si="5"/>
        <v>2.0188854635243884E-2</v>
      </c>
      <c r="O36" s="63">
        <f t="shared" si="5"/>
        <v>2.3301637029848551E-2</v>
      </c>
      <c r="P36" s="56" t="s">
        <v>21</v>
      </c>
      <c r="Q36" s="66" t="s">
        <v>21</v>
      </c>
      <c r="R36" s="95" t="s">
        <v>21</v>
      </c>
      <c r="S36" s="75" t="s">
        <v>21</v>
      </c>
      <c r="T36" s="63" t="str">
        <f t="shared" si="6"/>
        <v/>
      </c>
      <c r="V36" s="115">
        <v>1.1140390899999999</v>
      </c>
      <c r="W36" s="107">
        <v>2.85611617</v>
      </c>
      <c r="X36" s="107">
        <v>4.3716618700000005</v>
      </c>
      <c r="Y36" s="107">
        <v>5.6448913899999997</v>
      </c>
      <c r="Z36" s="116">
        <v>7.1828872500000003</v>
      </c>
      <c r="AB36" s="73">
        <v>3.8376572619555717E-2</v>
      </c>
      <c r="AC36" s="75">
        <v>4.554694891032357E-2</v>
      </c>
      <c r="AD36" s="75">
        <v>5.368494102092785E-2</v>
      </c>
      <c r="AE36" s="75">
        <v>5.8724184035243897E-2</v>
      </c>
      <c r="AF36" s="63">
        <v>6.3204134129848558E-2</v>
      </c>
      <c r="AG36" s="73">
        <v>7.1133441955571752E-4</v>
      </c>
      <c r="AH36" s="75">
        <v>8.7272148103235744E-3</v>
      </c>
      <c r="AI36" s="75">
        <v>1.6206988920927846E-2</v>
      </c>
      <c r="AJ36" s="75">
        <v>2.0188854635243884E-2</v>
      </c>
      <c r="AK36" s="63">
        <v>2.3301637029848551E-2</v>
      </c>
    </row>
    <row r="37" spans="2:37" x14ac:dyDescent="0.35">
      <c r="B37" s="54" t="s">
        <v>40</v>
      </c>
      <c r="C37" s="52" t="s">
        <v>30</v>
      </c>
      <c r="D37" s="52" t="s">
        <v>31</v>
      </c>
      <c r="E37" s="52" t="s">
        <v>21</v>
      </c>
      <c r="F37" s="72">
        <f t="shared" si="4"/>
        <v>3.8014756149976993E-2</v>
      </c>
      <c r="G37" s="59">
        <f t="shared" si="4"/>
        <v>4.2386829065316697E-2</v>
      </c>
      <c r="H37" s="70">
        <f t="shared" si="4"/>
        <v>4.7949568927563434E-2</v>
      </c>
      <c r="I37" s="70">
        <f t="shared" si="4"/>
        <v>5.1693918793632727E-2</v>
      </c>
      <c r="J37" s="62">
        <f t="shared" si="4"/>
        <v>5.5206455868797855E-2</v>
      </c>
      <c r="K37" s="72">
        <f t="shared" si="5"/>
        <v>3.4243004997699163E-4</v>
      </c>
      <c r="L37" s="59">
        <f t="shared" si="5"/>
        <v>5.6629778653166964E-3</v>
      </c>
      <c r="M37" s="70">
        <f t="shared" si="5"/>
        <v>1.0679842027563433E-2</v>
      </c>
      <c r="N37" s="70">
        <f t="shared" si="5"/>
        <v>1.343206629363273E-2</v>
      </c>
      <c r="O37" s="62">
        <f t="shared" si="5"/>
        <v>1.5615540068797852E-2</v>
      </c>
      <c r="P37" s="54" t="s">
        <v>21</v>
      </c>
      <c r="Q37" s="52" t="s">
        <v>21</v>
      </c>
      <c r="R37" s="93" t="s">
        <v>21</v>
      </c>
      <c r="S37" s="70" t="s">
        <v>21</v>
      </c>
      <c r="T37" s="62" t="str">
        <f t="shared" si="6"/>
        <v/>
      </c>
      <c r="V37" s="113">
        <v>1.1133708100000002</v>
      </c>
      <c r="W37" s="71">
        <v>2.8643167000000003</v>
      </c>
      <c r="X37" s="71">
        <v>4.4142707200000002</v>
      </c>
      <c r="Y37" s="71">
        <v>5.7451104099999997</v>
      </c>
      <c r="Z37" s="114">
        <v>7.3940612000000003</v>
      </c>
      <c r="AB37" s="72">
        <v>3.8014756149976993E-2</v>
      </c>
      <c r="AC37" s="70">
        <v>4.2386829065316697E-2</v>
      </c>
      <c r="AD37" s="70">
        <v>4.7949568927563434E-2</v>
      </c>
      <c r="AE37" s="70">
        <v>5.1693918793632727E-2</v>
      </c>
      <c r="AF37" s="62">
        <v>5.5206455868797855E-2</v>
      </c>
      <c r="AG37" s="72">
        <v>3.4243004997699163E-4</v>
      </c>
      <c r="AH37" s="70">
        <v>5.6629778653166964E-3</v>
      </c>
      <c r="AI37" s="70">
        <v>1.0679842027563433E-2</v>
      </c>
      <c r="AJ37" s="70">
        <v>1.343206629363273E-2</v>
      </c>
      <c r="AK37" s="62">
        <v>1.5615540068797852E-2</v>
      </c>
    </row>
    <row r="38" spans="2:37" x14ac:dyDescent="0.35">
      <c r="B38" s="54" t="s">
        <v>40</v>
      </c>
      <c r="C38" s="52" t="s">
        <v>33</v>
      </c>
      <c r="D38" s="52" t="s">
        <v>31</v>
      </c>
      <c r="E38" s="52" t="s">
        <v>41</v>
      </c>
      <c r="F38" s="72">
        <f t="shared" si="4"/>
        <v>3.8306271858426388E-2</v>
      </c>
      <c r="G38" s="59">
        <f t="shared" si="4"/>
        <v>4.4095523391388176E-2</v>
      </c>
      <c r="H38" s="70">
        <f t="shared" si="4"/>
        <v>5.1378531450598487E-2</v>
      </c>
      <c r="I38" s="70">
        <f t="shared" si="4"/>
        <v>5.6008095922208151E-2</v>
      </c>
      <c r="J38" s="62">
        <f t="shared" si="4"/>
        <v>6.0078588710897468E-2</v>
      </c>
      <c r="K38" s="72">
        <f t="shared" si="5"/>
        <v>6.1954365842638998E-4</v>
      </c>
      <c r="L38" s="59">
        <f t="shared" si="5"/>
        <v>7.2904056913881809E-3</v>
      </c>
      <c r="M38" s="70">
        <f t="shared" si="5"/>
        <v>1.3934599350598485E-2</v>
      </c>
      <c r="N38" s="70">
        <f t="shared" si="5"/>
        <v>1.7523245322208152E-2</v>
      </c>
      <c r="O38" s="62">
        <f t="shared" si="5"/>
        <v>2.0245591710897466E-2</v>
      </c>
      <c r="P38" s="54" t="s">
        <v>420</v>
      </c>
      <c r="Q38" s="52" t="s">
        <v>421</v>
      </c>
      <c r="R38" s="93">
        <v>47729</v>
      </c>
      <c r="S38" s="70">
        <v>4.8106530000000002E-2</v>
      </c>
      <c r="T38" s="62">
        <f t="shared" si="6"/>
        <v>3.2720014505984857E-3</v>
      </c>
      <c r="V38" s="113">
        <v>1.1128384</v>
      </c>
      <c r="W38" s="71">
        <v>2.8528704</v>
      </c>
      <c r="X38" s="71">
        <v>4.3658999099999996</v>
      </c>
      <c r="Y38" s="71">
        <v>5.6338060600000004</v>
      </c>
      <c r="Z38" s="114">
        <v>7.1620708100000003</v>
      </c>
      <c r="AB38" s="72">
        <v>3.8306271858426388E-2</v>
      </c>
      <c r="AC38" s="70">
        <v>4.4095523391388176E-2</v>
      </c>
      <c r="AD38" s="70">
        <v>5.1378531450598487E-2</v>
      </c>
      <c r="AE38" s="70">
        <v>5.6008095922208151E-2</v>
      </c>
      <c r="AF38" s="62">
        <v>6.0078588710897468E-2</v>
      </c>
      <c r="AG38" s="72">
        <v>6.1954365842638998E-4</v>
      </c>
      <c r="AH38" s="70">
        <v>7.2904056913881809E-3</v>
      </c>
      <c r="AI38" s="70">
        <v>1.3934599350598485E-2</v>
      </c>
      <c r="AJ38" s="70">
        <v>1.7523245322208152E-2</v>
      </c>
      <c r="AK38" s="62">
        <v>2.0245591710897466E-2</v>
      </c>
    </row>
    <row r="39" spans="2:37" x14ac:dyDescent="0.35">
      <c r="B39" s="56" t="s">
        <v>40</v>
      </c>
      <c r="C39" s="66" t="s">
        <v>35</v>
      </c>
      <c r="D39" s="66" t="s">
        <v>31</v>
      </c>
      <c r="E39" s="66" t="s">
        <v>21</v>
      </c>
      <c r="F39" s="73">
        <f t="shared" si="4"/>
        <v>3.8747002057383594E-2</v>
      </c>
      <c r="G39" s="75">
        <f t="shared" si="4"/>
        <v>4.6487652519821329E-2</v>
      </c>
      <c r="H39" s="75">
        <f t="shared" si="4"/>
        <v>5.5349585092586931E-2</v>
      </c>
      <c r="I39" s="75">
        <f t="shared" si="4"/>
        <v>6.1195191147382186E-2</v>
      </c>
      <c r="J39" s="63">
        <f t="shared" si="4"/>
        <v>6.6190573243933445E-2</v>
      </c>
      <c r="K39" s="73">
        <f t="shared" si="5"/>
        <v>1.0656829573835883E-3</v>
      </c>
      <c r="L39" s="75">
        <f t="shared" si="5"/>
        <v>9.6268250198213202E-3</v>
      </c>
      <c r="M39" s="75">
        <f t="shared" si="5"/>
        <v>1.7788409192586927E-2</v>
      </c>
      <c r="N39" s="75">
        <f t="shared" si="5"/>
        <v>2.2524625547382198E-2</v>
      </c>
      <c r="O39" s="63">
        <f t="shared" si="5"/>
        <v>2.6129358743933441E-2</v>
      </c>
      <c r="P39" s="54" t="s">
        <v>21</v>
      </c>
      <c r="Q39" s="52" t="s">
        <v>21</v>
      </c>
      <c r="R39" s="93" t="s">
        <v>21</v>
      </c>
      <c r="S39" s="70" t="s">
        <v>21</v>
      </c>
      <c r="T39" s="62" t="str">
        <f t="shared" si="6"/>
        <v/>
      </c>
      <c r="V39" s="115">
        <v>1.11353342</v>
      </c>
      <c r="W39" s="107">
        <v>2.8508406600000002</v>
      </c>
      <c r="X39" s="107">
        <v>4.3522981500000002</v>
      </c>
      <c r="Y39" s="107">
        <v>5.5985861400000001</v>
      </c>
      <c r="Z39" s="116">
        <v>7.0801746900000007</v>
      </c>
      <c r="AB39" s="73">
        <v>3.8747002057383594E-2</v>
      </c>
      <c r="AC39" s="75">
        <v>4.6487652519821329E-2</v>
      </c>
      <c r="AD39" s="75">
        <v>5.5349585092586931E-2</v>
      </c>
      <c r="AE39" s="75">
        <v>6.1195191147382186E-2</v>
      </c>
      <c r="AF39" s="63">
        <v>6.6190573243933445E-2</v>
      </c>
      <c r="AG39" s="73">
        <v>1.0656829573835883E-3</v>
      </c>
      <c r="AH39" s="75">
        <v>9.6268250198213202E-3</v>
      </c>
      <c r="AI39" s="75">
        <v>1.7788409192586927E-2</v>
      </c>
      <c r="AJ39" s="75">
        <v>2.2524625547382198E-2</v>
      </c>
      <c r="AK39" s="63">
        <v>2.6129358743933441E-2</v>
      </c>
    </row>
    <row r="40" spans="2:37" x14ac:dyDescent="0.35">
      <c r="B40" s="78" t="s">
        <v>422</v>
      </c>
      <c r="C40" s="77"/>
      <c r="D40" s="77"/>
      <c r="E40" s="77"/>
      <c r="F40" s="77" t="str">
        <f t="shared" si="4"/>
        <v/>
      </c>
      <c r="G40" s="77" t="str">
        <f t="shared" si="4"/>
        <v/>
      </c>
      <c r="H40" s="77" t="str">
        <f t="shared" si="4"/>
        <v/>
      </c>
      <c r="I40" s="77" t="str">
        <f t="shared" si="4"/>
        <v/>
      </c>
      <c r="J40" s="77" t="str">
        <f t="shared" si="4"/>
        <v/>
      </c>
      <c r="K40" s="77" t="str">
        <f t="shared" si="5"/>
        <v/>
      </c>
      <c r="L40" s="77" t="str">
        <f t="shared" si="5"/>
        <v/>
      </c>
      <c r="M40" s="77" t="str">
        <f t="shared" si="5"/>
        <v/>
      </c>
      <c r="N40" s="77" t="str">
        <f t="shared" si="5"/>
        <v/>
      </c>
      <c r="O40" s="76" t="str">
        <f t="shared" si="5"/>
        <v/>
      </c>
      <c r="P40" s="78"/>
      <c r="Q40" s="77"/>
      <c r="R40" s="94"/>
      <c r="S40" s="77"/>
      <c r="T40" s="76" t="str">
        <f t="shared" si="6"/>
        <v/>
      </c>
      <c r="V40" s="111"/>
      <c r="W40" s="106"/>
      <c r="X40" s="106"/>
      <c r="Y40" s="106"/>
      <c r="Z40" s="112"/>
      <c r="AB40" s="77"/>
      <c r="AC40" s="77"/>
      <c r="AD40" s="77"/>
      <c r="AE40" s="77"/>
      <c r="AF40" s="77"/>
      <c r="AG40" s="77"/>
      <c r="AH40" s="77"/>
      <c r="AI40" s="77"/>
      <c r="AJ40" s="77"/>
      <c r="AK40" s="76"/>
    </row>
    <row r="41" spans="2:37" x14ac:dyDescent="0.35">
      <c r="B41" s="54" t="s">
        <v>42</v>
      </c>
      <c r="C41" s="52" t="s">
        <v>30</v>
      </c>
      <c r="D41" s="52" t="s">
        <v>43</v>
      </c>
      <c r="E41" s="52" t="s">
        <v>423</v>
      </c>
      <c r="F41" s="72">
        <f t="shared" si="4"/>
        <v>3.774309320114741E-2</v>
      </c>
      <c r="G41" s="59">
        <f t="shared" si="4"/>
        <v>4.2300702525150155E-2</v>
      </c>
      <c r="H41" s="70">
        <f t="shared" si="4"/>
        <v>4.8202117991756874E-2</v>
      </c>
      <c r="I41" s="70">
        <f t="shared" si="4"/>
        <v>5.1894219416265083E-2</v>
      </c>
      <c r="J41" s="62">
        <f t="shared" si="4"/>
        <v>5.5180901687677558E-2</v>
      </c>
      <c r="K41" s="72">
        <f t="shared" si="5"/>
        <v>8.0857501147417118E-5</v>
      </c>
      <c r="L41" s="59">
        <f t="shared" si="5"/>
        <v>5.5803154251501553E-3</v>
      </c>
      <c r="M41" s="70">
        <f t="shared" si="5"/>
        <v>1.0920181091756869E-2</v>
      </c>
      <c r="N41" s="70">
        <f t="shared" si="5"/>
        <v>1.3623319816265089E-2</v>
      </c>
      <c r="O41" s="62">
        <f t="shared" si="5"/>
        <v>1.5592897787677558E-2</v>
      </c>
      <c r="P41" s="54" t="s">
        <v>424</v>
      </c>
      <c r="Q41" s="52" t="s">
        <v>425</v>
      </c>
      <c r="R41" s="93" t="s">
        <v>32</v>
      </c>
      <c r="S41" s="70">
        <v>4.6257789999999993E-2</v>
      </c>
      <c r="T41" s="62">
        <f t="shared" si="6"/>
        <v>1.9443279917568806E-3</v>
      </c>
      <c r="V41" s="113">
        <v>1.1138873199999999</v>
      </c>
      <c r="W41" s="71">
        <v>2.86575537</v>
      </c>
      <c r="X41" s="71">
        <v>4.4132895799999998</v>
      </c>
      <c r="Y41" s="71">
        <v>5.7406777800000004</v>
      </c>
      <c r="Z41" s="114">
        <v>7.3893742900000001</v>
      </c>
      <c r="AB41" s="72">
        <v>3.774309320114741E-2</v>
      </c>
      <c r="AC41" s="70">
        <v>4.2300702525150155E-2</v>
      </c>
      <c r="AD41" s="70">
        <v>4.8202117991756874E-2</v>
      </c>
      <c r="AE41" s="70">
        <v>5.1894219416265083E-2</v>
      </c>
      <c r="AF41" s="62">
        <v>5.5180901687677558E-2</v>
      </c>
      <c r="AG41" s="72">
        <v>8.0857501147417118E-5</v>
      </c>
      <c r="AH41" s="70">
        <v>5.5803154251501553E-3</v>
      </c>
      <c r="AI41" s="70">
        <v>1.0920181091756869E-2</v>
      </c>
      <c r="AJ41" s="70">
        <v>1.3623319816265089E-2</v>
      </c>
      <c r="AK41" s="62">
        <v>1.5592897787677558E-2</v>
      </c>
    </row>
    <row r="42" spans="2:37" x14ac:dyDescent="0.35">
      <c r="B42" s="54" t="s">
        <v>42</v>
      </c>
      <c r="C42" s="52" t="s">
        <v>33</v>
      </c>
      <c r="D42" s="52" t="s">
        <v>43</v>
      </c>
      <c r="E42" s="52" t="s">
        <v>426</v>
      </c>
      <c r="F42" s="72">
        <f t="shared" si="4"/>
        <v>3.7625631454904052E-2</v>
      </c>
      <c r="G42" s="59">
        <f t="shared" si="4"/>
        <v>4.4209500831570402E-2</v>
      </c>
      <c r="H42" s="70">
        <f t="shared" si="4"/>
        <v>5.1526544826073058E-2</v>
      </c>
      <c r="I42" s="70">
        <f t="shared" si="4"/>
        <v>5.6387104826788367E-2</v>
      </c>
      <c r="J42" s="62">
        <f t="shared" si="4"/>
        <v>6.0425441861586326E-2</v>
      </c>
      <c r="K42" s="72" t="str">
        <f t="shared" si="5"/>
        <v/>
      </c>
      <c r="L42" s="59">
        <f t="shared" si="5"/>
        <v>7.4023387315704046E-3</v>
      </c>
      <c r="M42" s="70">
        <f t="shared" si="5"/>
        <v>1.4077382926073061E-2</v>
      </c>
      <c r="N42" s="70">
        <f t="shared" si="5"/>
        <v>1.7883569426788374E-2</v>
      </c>
      <c r="O42" s="62">
        <f t="shared" si="5"/>
        <v>2.0576185961586335E-2</v>
      </c>
      <c r="P42" s="54" t="s">
        <v>427</v>
      </c>
      <c r="Q42" s="52" t="s">
        <v>428</v>
      </c>
      <c r="R42" s="93" t="s">
        <v>32</v>
      </c>
      <c r="S42" s="70">
        <v>5.047194E-2</v>
      </c>
      <c r="T42" s="62">
        <f t="shared" si="6"/>
        <v>1.0546048260730578E-3</v>
      </c>
      <c r="V42" s="113">
        <v>1.1140676</v>
      </c>
      <c r="W42" s="71">
        <v>2.8542840300000001</v>
      </c>
      <c r="X42" s="71">
        <v>4.3653988900000007</v>
      </c>
      <c r="Y42" s="71">
        <v>5.6278866399999998</v>
      </c>
      <c r="Z42" s="114">
        <v>7.1467687200000007</v>
      </c>
      <c r="AB42" s="72">
        <v>3.7625631454904052E-2</v>
      </c>
      <c r="AC42" s="70">
        <v>4.4209500831570402E-2</v>
      </c>
      <c r="AD42" s="70">
        <v>5.1526544826073058E-2</v>
      </c>
      <c r="AE42" s="70">
        <v>5.6387104826788367E-2</v>
      </c>
      <c r="AF42" s="62">
        <v>6.0425441861586326E-2</v>
      </c>
      <c r="AG42" s="72" t="s">
        <v>21</v>
      </c>
      <c r="AH42" s="70">
        <v>7.4023387315704046E-3</v>
      </c>
      <c r="AI42" s="70">
        <v>1.4077382926073061E-2</v>
      </c>
      <c r="AJ42" s="70">
        <v>1.7883569426788374E-2</v>
      </c>
      <c r="AK42" s="62">
        <v>2.0576185961586335E-2</v>
      </c>
    </row>
    <row r="43" spans="2:37" x14ac:dyDescent="0.35">
      <c r="B43" s="54" t="s">
        <v>42</v>
      </c>
      <c r="C43" s="52" t="s">
        <v>35</v>
      </c>
      <c r="D43" s="52" t="s">
        <v>43</v>
      </c>
      <c r="E43" s="52" t="s">
        <v>429</v>
      </c>
      <c r="F43" s="72">
        <f t="shared" si="4"/>
        <v>3.9098490495509244E-2</v>
      </c>
      <c r="G43" s="59">
        <f t="shared" si="4"/>
        <v>4.7358303202093506E-2</v>
      </c>
      <c r="H43" s="70">
        <f t="shared" si="4"/>
        <v>5.6723023389091673E-2</v>
      </c>
      <c r="I43" s="70">
        <f t="shared" si="4"/>
        <v>6.2738781330978988E-2</v>
      </c>
      <c r="J43" s="62">
        <f t="shared" si="4"/>
        <v>6.8234184555597627E-2</v>
      </c>
      <c r="K43" s="72">
        <f t="shared" si="5"/>
        <v>1.3997390955092521E-3</v>
      </c>
      <c r="L43" s="59">
        <f t="shared" si="5"/>
        <v>1.0457487102093512E-2</v>
      </c>
      <c r="M43" s="70">
        <f t="shared" si="5"/>
        <v>1.9088512189091657E-2</v>
      </c>
      <c r="N43" s="70">
        <f t="shared" si="5"/>
        <v>2.3979680730978975E-2</v>
      </c>
      <c r="O43" s="62">
        <f t="shared" si="5"/>
        <v>2.8056548955597629E-2</v>
      </c>
      <c r="P43" s="54" t="s">
        <v>21</v>
      </c>
      <c r="Q43" s="52" t="s">
        <v>21</v>
      </c>
      <c r="R43" s="93" t="s">
        <v>21</v>
      </c>
      <c r="S43" s="70" t="s">
        <v>21</v>
      </c>
      <c r="T43" s="62" t="str">
        <f t="shared" si="6"/>
        <v/>
      </c>
      <c r="V43" s="113">
        <v>1.11306474</v>
      </c>
      <c r="W43" s="71">
        <v>2.8459736800000002</v>
      </c>
      <c r="X43" s="71">
        <v>4.3357729699999998</v>
      </c>
      <c r="Y43" s="71">
        <v>5.5651344700000003</v>
      </c>
      <c r="Z43" s="114">
        <v>7.0103917000000004</v>
      </c>
      <c r="AB43" s="72">
        <v>3.9098490495509244E-2</v>
      </c>
      <c r="AC43" s="70">
        <v>4.7358303202093506E-2</v>
      </c>
      <c r="AD43" s="70">
        <v>5.6723023389091673E-2</v>
      </c>
      <c r="AE43" s="70">
        <v>6.2738781330978988E-2</v>
      </c>
      <c r="AF43" s="62">
        <v>6.8234184555597627E-2</v>
      </c>
      <c r="AG43" s="72">
        <v>1.3997390955092521E-3</v>
      </c>
      <c r="AH43" s="70">
        <v>1.0457487102093512E-2</v>
      </c>
      <c r="AI43" s="70">
        <v>1.9088512189091657E-2</v>
      </c>
      <c r="AJ43" s="70">
        <v>2.3979680730978975E-2</v>
      </c>
      <c r="AK43" s="62">
        <v>2.8056548955597629E-2</v>
      </c>
    </row>
    <row r="44" spans="2:37" x14ac:dyDescent="0.35">
      <c r="B44" s="78" t="s">
        <v>45</v>
      </c>
      <c r="C44" s="77"/>
      <c r="D44" s="77"/>
      <c r="E44" s="77"/>
      <c r="F44" s="77" t="str">
        <f t="shared" si="4"/>
        <v/>
      </c>
      <c r="G44" s="77" t="str">
        <f t="shared" si="4"/>
        <v/>
      </c>
      <c r="H44" s="77" t="str">
        <f t="shared" si="4"/>
        <v/>
      </c>
      <c r="I44" s="77" t="str">
        <f t="shared" si="4"/>
        <v/>
      </c>
      <c r="J44" s="77" t="str">
        <f t="shared" si="4"/>
        <v/>
      </c>
      <c r="K44" s="77" t="str">
        <f t="shared" si="5"/>
        <v/>
      </c>
      <c r="L44" s="77" t="str">
        <f t="shared" si="5"/>
        <v/>
      </c>
      <c r="M44" s="77" t="str">
        <f t="shared" si="5"/>
        <v/>
      </c>
      <c r="N44" s="77" t="str">
        <f t="shared" si="5"/>
        <v/>
      </c>
      <c r="O44" s="76" t="str">
        <f t="shared" si="5"/>
        <v/>
      </c>
      <c r="P44" s="78"/>
      <c r="Q44" s="77"/>
      <c r="R44" s="94"/>
      <c r="S44" s="77"/>
      <c r="T44" s="76" t="str">
        <f t="shared" si="6"/>
        <v/>
      </c>
      <c r="V44" s="111"/>
      <c r="W44" s="106"/>
      <c r="X44" s="106"/>
      <c r="Y44" s="106"/>
      <c r="Z44" s="112"/>
      <c r="AB44" s="77"/>
      <c r="AC44" s="77"/>
      <c r="AD44" s="77"/>
      <c r="AE44" s="77"/>
      <c r="AF44" s="77"/>
      <c r="AG44" s="77"/>
      <c r="AH44" s="77"/>
      <c r="AI44" s="77"/>
      <c r="AJ44" s="77"/>
      <c r="AK44" s="76"/>
    </row>
    <row r="45" spans="2:37" x14ac:dyDescent="0.35">
      <c r="B45" s="55" t="s">
        <v>46</v>
      </c>
      <c r="C45" s="65" t="s">
        <v>30</v>
      </c>
      <c r="D45" s="65" t="s">
        <v>47</v>
      </c>
      <c r="E45" s="65" t="s">
        <v>430</v>
      </c>
      <c r="F45" s="74">
        <f t="shared" si="4"/>
        <v>3.7117064106169162E-2</v>
      </c>
      <c r="G45" s="79">
        <f t="shared" si="4"/>
        <v>4.2017294154374614E-2</v>
      </c>
      <c r="H45" s="79">
        <f t="shared" si="4"/>
        <v>4.7832410051580572E-2</v>
      </c>
      <c r="I45" s="79">
        <f t="shared" si="4"/>
        <v>5.186513509456351E-2</v>
      </c>
      <c r="J45" s="61">
        <f t="shared" si="4"/>
        <v>5.5568973726402592E-2</v>
      </c>
      <c r="K45" s="74" t="str">
        <f t="shared" si="5"/>
        <v/>
      </c>
      <c r="L45" s="79">
        <f t="shared" si="5"/>
        <v>5.3095481543746076E-3</v>
      </c>
      <c r="M45" s="79">
        <f t="shared" si="5"/>
        <v>1.0568299951580573E-2</v>
      </c>
      <c r="N45" s="79">
        <f t="shared" si="5"/>
        <v>1.3595664194563511E-2</v>
      </c>
      <c r="O45" s="61">
        <f t="shared" si="5"/>
        <v>1.59645817264026E-2</v>
      </c>
      <c r="P45" s="54" t="s">
        <v>431</v>
      </c>
      <c r="Q45" s="52" t="s">
        <v>432</v>
      </c>
      <c r="R45" s="93" t="s">
        <v>32</v>
      </c>
      <c r="S45" s="70">
        <v>4.2675229999999995E-2</v>
      </c>
      <c r="T45" s="62">
        <f t="shared" si="6"/>
        <v>5.1571800515805774E-3</v>
      </c>
      <c r="V45" s="117">
        <v>1.1150665200000001</v>
      </c>
      <c r="W45" s="60">
        <v>2.86957313</v>
      </c>
      <c r="X45" s="60">
        <v>4.42114808</v>
      </c>
      <c r="Y45" s="60">
        <v>5.7492642199999997</v>
      </c>
      <c r="Z45" s="118">
        <v>7.3877832899999998</v>
      </c>
      <c r="AB45" s="74">
        <v>3.7117064106169162E-2</v>
      </c>
      <c r="AC45" s="79">
        <v>4.2017294154374614E-2</v>
      </c>
      <c r="AD45" s="79">
        <v>4.7832410051580572E-2</v>
      </c>
      <c r="AE45" s="79">
        <v>5.186513509456351E-2</v>
      </c>
      <c r="AF45" s="61">
        <v>5.5568973726402592E-2</v>
      </c>
      <c r="AG45" s="74" t="s">
        <v>21</v>
      </c>
      <c r="AH45" s="79">
        <v>5.3095481543746076E-3</v>
      </c>
      <c r="AI45" s="79">
        <v>1.0568299951580573E-2</v>
      </c>
      <c r="AJ45" s="79">
        <v>1.3595664194563511E-2</v>
      </c>
      <c r="AK45" s="61">
        <v>1.59645817264026E-2</v>
      </c>
    </row>
    <row r="46" spans="2:37" x14ac:dyDescent="0.35">
      <c r="B46" s="54" t="s">
        <v>46</v>
      </c>
      <c r="C46" s="52" t="s">
        <v>33</v>
      </c>
      <c r="D46" s="52" t="s">
        <v>47</v>
      </c>
      <c r="E46" s="52" t="s">
        <v>433</v>
      </c>
      <c r="F46" s="72">
        <f t="shared" si="4"/>
        <v>3.7812146639958626E-2</v>
      </c>
      <c r="G46" s="59">
        <f t="shared" si="4"/>
        <v>4.3883627841376872E-2</v>
      </c>
      <c r="H46" s="70">
        <f t="shared" si="4"/>
        <v>5.1317023194773215E-2</v>
      </c>
      <c r="I46" s="70">
        <f t="shared" si="4"/>
        <v>5.594737879208652E-2</v>
      </c>
      <c r="J46" s="62">
        <f t="shared" si="4"/>
        <v>5.9749876159688409E-2</v>
      </c>
      <c r="K46" s="72">
        <f t="shared" si="5"/>
        <v>1.4483193995862807E-4</v>
      </c>
      <c r="L46" s="59">
        <f t="shared" si="5"/>
        <v>7.0882836413768725E-3</v>
      </c>
      <c r="M46" s="70">
        <f t="shared" si="5"/>
        <v>1.3876333894773215E-2</v>
      </c>
      <c r="N46" s="70">
        <f t="shared" si="5"/>
        <v>1.7466370192086533E-2</v>
      </c>
      <c r="O46" s="62">
        <f t="shared" si="5"/>
        <v>1.9937574659688404E-2</v>
      </c>
      <c r="P46" s="54" t="s">
        <v>21</v>
      </c>
      <c r="Q46" s="52" t="s">
        <v>21</v>
      </c>
      <c r="R46" s="93" t="s">
        <v>21</v>
      </c>
      <c r="S46" s="70" t="s">
        <v>21</v>
      </c>
      <c r="T46" s="62" t="str">
        <f t="shared" si="6"/>
        <v/>
      </c>
      <c r="V46" s="113">
        <v>1.1137716600000001</v>
      </c>
      <c r="W46" s="71">
        <v>2.8557998800000002</v>
      </c>
      <c r="X46" s="71">
        <v>4.3696663400000002</v>
      </c>
      <c r="Y46" s="71">
        <v>5.6380898699999999</v>
      </c>
      <c r="Z46" s="114">
        <v>7.1730648600000002</v>
      </c>
      <c r="AB46" s="72">
        <v>3.7812146639958626E-2</v>
      </c>
      <c r="AC46" s="70">
        <v>4.3883627841376872E-2</v>
      </c>
      <c r="AD46" s="70">
        <v>5.1317023194773215E-2</v>
      </c>
      <c r="AE46" s="70">
        <v>5.594737879208652E-2</v>
      </c>
      <c r="AF46" s="62">
        <v>5.9749876159688409E-2</v>
      </c>
      <c r="AG46" s="72">
        <v>1.4483193995862807E-4</v>
      </c>
      <c r="AH46" s="70">
        <v>7.0882836413768725E-3</v>
      </c>
      <c r="AI46" s="70">
        <v>1.3876333894773215E-2</v>
      </c>
      <c r="AJ46" s="70">
        <v>1.7466370192086533E-2</v>
      </c>
      <c r="AK46" s="62">
        <v>1.9937574659688404E-2</v>
      </c>
    </row>
    <row r="47" spans="2:37" x14ac:dyDescent="0.35">
      <c r="B47" s="56" t="s">
        <v>46</v>
      </c>
      <c r="C47" s="66" t="s">
        <v>35</v>
      </c>
      <c r="D47" s="66" t="s">
        <v>47</v>
      </c>
      <c r="E47" s="66" t="s">
        <v>21</v>
      </c>
      <c r="F47" s="73">
        <f t="shared" si="4"/>
        <v>3.8775444731708832E-2</v>
      </c>
      <c r="G47" s="75">
        <f t="shared" si="4"/>
        <v>4.6492606382505713E-2</v>
      </c>
      <c r="H47" s="75">
        <f t="shared" si="4"/>
        <v>5.5552706525203138E-2</v>
      </c>
      <c r="I47" s="75">
        <f t="shared" si="4"/>
        <v>6.1220254254184689E-2</v>
      </c>
      <c r="J47" s="63">
        <f t="shared" si="4"/>
        <v>6.622203774561107E-2</v>
      </c>
      <c r="K47" s="73">
        <f t="shared" si="5"/>
        <v>1.0798041317088315E-3</v>
      </c>
      <c r="L47" s="75">
        <f t="shared" si="5"/>
        <v>9.6254830825057112E-3</v>
      </c>
      <c r="M47" s="75">
        <f t="shared" si="5"/>
        <v>1.7976864425203142E-2</v>
      </c>
      <c r="N47" s="75">
        <f t="shared" si="5"/>
        <v>2.2544817354184697E-2</v>
      </c>
      <c r="O47" s="63">
        <f t="shared" si="5"/>
        <v>2.6155709445611075E-2</v>
      </c>
      <c r="P47" s="54" t="s">
        <v>21</v>
      </c>
      <c r="Q47" s="52" t="s">
        <v>21</v>
      </c>
      <c r="R47" s="93" t="s">
        <v>21</v>
      </c>
      <c r="S47" s="70" t="s">
        <v>21</v>
      </c>
      <c r="T47" s="62" t="str">
        <f t="shared" si="6"/>
        <v/>
      </c>
      <c r="V47" s="115">
        <v>1.1135653000000001</v>
      </c>
      <c r="W47" s="107">
        <v>2.8509033400000003</v>
      </c>
      <c r="X47" s="107">
        <v>4.3508703099999995</v>
      </c>
      <c r="Y47" s="107">
        <v>5.5966181800000001</v>
      </c>
      <c r="Z47" s="116">
        <v>7.0780715999999995</v>
      </c>
      <c r="AB47" s="73">
        <v>3.8775444731708832E-2</v>
      </c>
      <c r="AC47" s="75">
        <v>4.6492606382505713E-2</v>
      </c>
      <c r="AD47" s="75">
        <v>5.5552706525203138E-2</v>
      </c>
      <c r="AE47" s="75">
        <v>6.1220254254184689E-2</v>
      </c>
      <c r="AF47" s="63">
        <v>6.622203774561107E-2</v>
      </c>
      <c r="AG47" s="73">
        <v>1.0798041317088315E-3</v>
      </c>
      <c r="AH47" s="75">
        <v>9.6254830825057112E-3</v>
      </c>
      <c r="AI47" s="75">
        <v>1.7976864425203142E-2</v>
      </c>
      <c r="AJ47" s="75">
        <v>2.2544817354184697E-2</v>
      </c>
      <c r="AK47" s="63">
        <v>2.6155709445611075E-2</v>
      </c>
    </row>
    <row r="48" spans="2:37" x14ac:dyDescent="0.35">
      <c r="B48" s="54" t="s">
        <v>49</v>
      </c>
      <c r="C48" s="52" t="s">
        <v>30</v>
      </c>
      <c r="D48" s="52" t="s">
        <v>47</v>
      </c>
      <c r="E48" s="52" t="s">
        <v>356</v>
      </c>
      <c r="F48" s="72">
        <f t="shared" si="4"/>
        <v>3.6906276920286432E-2</v>
      </c>
      <c r="G48" s="59">
        <f t="shared" si="4"/>
        <v>4.1382862698417212E-2</v>
      </c>
      <c r="H48" s="70">
        <f t="shared" si="4"/>
        <v>4.7092588068414917E-2</v>
      </c>
      <c r="I48" s="70">
        <f t="shared" si="4"/>
        <v>5.0562749314632241E-2</v>
      </c>
      <c r="J48" s="62">
        <f t="shared" si="4"/>
        <v>5.4375196952522249E-2</v>
      </c>
      <c r="K48" s="72" t="str">
        <f t="shared" si="5"/>
        <v/>
      </c>
      <c r="L48" s="59">
        <f t="shared" si="5"/>
        <v>4.7038708984172162E-3</v>
      </c>
      <c r="M48" s="70">
        <f t="shared" si="5"/>
        <v>9.8638362684149127E-3</v>
      </c>
      <c r="N48" s="70">
        <f t="shared" si="5"/>
        <v>1.2355986514632239E-2</v>
      </c>
      <c r="O48" s="62">
        <f t="shared" si="5"/>
        <v>1.4819556652522249E-2</v>
      </c>
      <c r="P48" s="55" t="s">
        <v>434</v>
      </c>
      <c r="Q48" s="65" t="s">
        <v>435</v>
      </c>
      <c r="R48" s="99" t="s">
        <v>32</v>
      </c>
      <c r="S48" s="79">
        <v>4.5462290000000002E-2</v>
      </c>
      <c r="T48" s="61">
        <f t="shared" si="6"/>
        <v>1.6302980684149149E-3</v>
      </c>
      <c r="V48" s="113">
        <v>1.1154549499999999</v>
      </c>
      <c r="W48" s="71">
        <v>2.8741830900000003</v>
      </c>
      <c r="X48" s="71">
        <v>4.4342922200000006</v>
      </c>
      <c r="Y48" s="71">
        <v>5.7809760699999995</v>
      </c>
      <c r="Z48" s="114">
        <v>7.4515341499999996</v>
      </c>
      <c r="AB48" s="72">
        <v>3.6906276920286432E-2</v>
      </c>
      <c r="AC48" s="70">
        <v>4.1382862698417212E-2</v>
      </c>
      <c r="AD48" s="70">
        <v>4.7092588068414917E-2</v>
      </c>
      <c r="AE48" s="70">
        <v>5.0562749314632241E-2</v>
      </c>
      <c r="AF48" s="62">
        <v>5.4375196952522249E-2</v>
      </c>
      <c r="AG48" s="72" t="s">
        <v>21</v>
      </c>
      <c r="AH48" s="70">
        <v>4.7038708984172162E-3</v>
      </c>
      <c r="AI48" s="70">
        <v>9.8638362684149127E-3</v>
      </c>
      <c r="AJ48" s="70">
        <v>1.2355986514632239E-2</v>
      </c>
      <c r="AK48" s="62">
        <v>1.4819556652522249E-2</v>
      </c>
    </row>
    <row r="49" spans="2:37" x14ac:dyDescent="0.35">
      <c r="B49" s="54" t="s">
        <v>49</v>
      </c>
      <c r="C49" s="52" t="s">
        <v>33</v>
      </c>
      <c r="D49" s="52" t="s">
        <v>47</v>
      </c>
      <c r="E49" s="52" t="s">
        <v>274</v>
      </c>
      <c r="F49" s="72">
        <f t="shared" si="4"/>
        <v>3.733065746280291E-2</v>
      </c>
      <c r="G49" s="59">
        <f t="shared" si="4"/>
        <v>4.3353148889445144E-2</v>
      </c>
      <c r="H49" s="70">
        <f t="shared" si="4"/>
        <v>5.0375470735505176E-2</v>
      </c>
      <c r="I49" s="70">
        <f t="shared" si="4"/>
        <v>5.4742334620784996E-2</v>
      </c>
      <c r="J49" s="62">
        <f t="shared" si="4"/>
        <v>5.8829117779403195E-2</v>
      </c>
      <c r="K49" s="72" t="str">
        <f t="shared" si="5"/>
        <v/>
      </c>
      <c r="L49" s="59">
        <f t="shared" si="5"/>
        <v>6.5867272894451472E-3</v>
      </c>
      <c r="M49" s="70">
        <f t="shared" si="5"/>
        <v>1.2987018835505171E-2</v>
      </c>
      <c r="N49" s="70">
        <f t="shared" si="5"/>
        <v>1.6329103120784991E-2</v>
      </c>
      <c r="O49" s="62">
        <f t="shared" si="5"/>
        <v>1.9068047979403195E-2</v>
      </c>
      <c r="P49" s="54" t="s">
        <v>436</v>
      </c>
      <c r="Q49" s="52" t="s">
        <v>437</v>
      </c>
      <c r="R49" s="93" t="s">
        <v>32</v>
      </c>
      <c r="S49" s="70">
        <v>5.0112919999999998E-2</v>
      </c>
      <c r="T49" s="62">
        <f t="shared" si="6"/>
        <v>2.6255073550517788E-4</v>
      </c>
      <c r="V49" s="113">
        <v>1.11462423</v>
      </c>
      <c r="W49" s="71">
        <v>2.86052573</v>
      </c>
      <c r="X49" s="71">
        <v>4.3844226100000006</v>
      </c>
      <c r="Y49" s="71">
        <v>5.66996726</v>
      </c>
      <c r="Z49" s="114">
        <v>7.2282039100000004</v>
      </c>
      <c r="AB49" s="72">
        <v>3.733065746280291E-2</v>
      </c>
      <c r="AC49" s="70">
        <v>4.3353148889445144E-2</v>
      </c>
      <c r="AD49" s="70">
        <v>5.0375470735505176E-2</v>
      </c>
      <c r="AE49" s="70">
        <v>5.4742334620784996E-2</v>
      </c>
      <c r="AF49" s="62">
        <v>5.8829117779403195E-2</v>
      </c>
      <c r="AG49" s="72" t="s">
        <v>21</v>
      </c>
      <c r="AH49" s="70">
        <v>6.5867272894451472E-3</v>
      </c>
      <c r="AI49" s="70">
        <v>1.2987018835505171E-2</v>
      </c>
      <c r="AJ49" s="70">
        <v>1.6329103120784991E-2</v>
      </c>
      <c r="AK49" s="62">
        <v>1.9068047979403195E-2</v>
      </c>
    </row>
    <row r="50" spans="2:37" x14ac:dyDescent="0.35">
      <c r="B50" s="56" t="s">
        <v>49</v>
      </c>
      <c r="C50" s="66" t="s">
        <v>35</v>
      </c>
      <c r="D50" s="66" t="s">
        <v>47</v>
      </c>
      <c r="E50" s="66" t="s">
        <v>21</v>
      </c>
      <c r="F50" s="73">
        <f t="shared" si="4"/>
        <v>3.8459873175808762E-2</v>
      </c>
      <c r="G50" s="75">
        <f t="shared" si="4"/>
        <v>4.5643219113849408E-2</v>
      </c>
      <c r="H50" s="75">
        <f t="shared" si="4"/>
        <v>5.4179816722931165E-2</v>
      </c>
      <c r="I50" s="75">
        <f t="shared" si="4"/>
        <v>6.0030992251335971E-2</v>
      </c>
      <c r="J50" s="63">
        <f t="shared" si="4"/>
        <v>6.4941120603128066E-2</v>
      </c>
      <c r="K50" s="73">
        <f t="shared" si="5"/>
        <v>7.7524497580876151E-4</v>
      </c>
      <c r="L50" s="75">
        <f t="shared" si="5"/>
        <v>8.8120156138494082E-3</v>
      </c>
      <c r="M50" s="75">
        <f t="shared" si="5"/>
        <v>1.667248752293117E-2</v>
      </c>
      <c r="N50" s="75">
        <f t="shared" si="5"/>
        <v>2.1420932451335965E-2</v>
      </c>
      <c r="O50" s="63">
        <f t="shared" si="5"/>
        <v>2.4945206603128059E-2</v>
      </c>
      <c r="P50" s="56" t="s">
        <v>21</v>
      </c>
      <c r="Q50" s="66" t="s">
        <v>21</v>
      </c>
      <c r="R50" s="95" t="s">
        <v>21</v>
      </c>
      <c r="S50" s="75" t="s">
        <v>21</v>
      </c>
      <c r="T50" s="63" t="str">
        <f t="shared" si="6"/>
        <v/>
      </c>
      <c r="V50" s="115">
        <v>1.1140113</v>
      </c>
      <c r="W50" s="107">
        <v>2.8556534600000001</v>
      </c>
      <c r="X50" s="107">
        <v>4.3673423299999996</v>
      </c>
      <c r="Y50" s="107">
        <v>5.6266705699999999</v>
      </c>
      <c r="Z50" s="116">
        <v>7.1308633400000003</v>
      </c>
      <c r="AB50" s="73">
        <v>3.8459873175808762E-2</v>
      </c>
      <c r="AC50" s="75">
        <v>4.5643219113849408E-2</v>
      </c>
      <c r="AD50" s="75">
        <v>5.4179816722931165E-2</v>
      </c>
      <c r="AE50" s="75">
        <v>6.0030992251335971E-2</v>
      </c>
      <c r="AF50" s="63">
        <v>6.4941120603128066E-2</v>
      </c>
      <c r="AG50" s="73">
        <v>7.7524497580876151E-4</v>
      </c>
      <c r="AH50" s="75">
        <v>8.8120156138494082E-3</v>
      </c>
      <c r="AI50" s="75">
        <v>1.667248752293117E-2</v>
      </c>
      <c r="AJ50" s="75">
        <v>2.1420932451335965E-2</v>
      </c>
      <c r="AK50" s="63">
        <v>2.4945206603128059E-2</v>
      </c>
    </row>
    <row r="51" spans="2:37" x14ac:dyDescent="0.35">
      <c r="B51" s="55" t="s">
        <v>50</v>
      </c>
      <c r="C51" s="65" t="s">
        <v>30</v>
      </c>
      <c r="D51" s="65" t="s">
        <v>47</v>
      </c>
      <c r="E51" s="65" t="s">
        <v>179</v>
      </c>
      <c r="F51" s="74">
        <f t="shared" si="4"/>
        <v>3.6733994915813396E-2</v>
      </c>
      <c r="G51" s="79">
        <f t="shared" si="4"/>
        <v>4.1451477236523641E-2</v>
      </c>
      <c r="H51" s="79">
        <f t="shared" si="4"/>
        <v>4.7400583955372153E-2</v>
      </c>
      <c r="I51" s="79">
        <f t="shared" si="4"/>
        <v>5.1154159883908347E-2</v>
      </c>
      <c r="J51" s="61">
        <f t="shared" si="4"/>
        <v>5.4796387324654493E-2</v>
      </c>
      <c r="K51" s="74" t="str">
        <f t="shared" si="5"/>
        <v/>
      </c>
      <c r="L51" s="79">
        <f t="shared" si="5"/>
        <v>4.7701724365236415E-3</v>
      </c>
      <c r="M51" s="79">
        <f t="shared" si="5"/>
        <v>1.0158098755372153E-2</v>
      </c>
      <c r="N51" s="79">
        <f t="shared" si="5"/>
        <v>1.2920454483908347E-2</v>
      </c>
      <c r="O51" s="61">
        <f t="shared" si="5"/>
        <v>1.5226105324654491E-2</v>
      </c>
      <c r="P51" s="54" t="s">
        <v>438</v>
      </c>
      <c r="Q51" s="52" t="s">
        <v>439</v>
      </c>
      <c r="R51" s="93" t="s">
        <v>32</v>
      </c>
      <c r="S51" s="70">
        <v>4.4217599999999996E-2</v>
      </c>
      <c r="T51" s="62">
        <f t="shared" si="6"/>
        <v>3.1829839553721567E-3</v>
      </c>
      <c r="V51" s="117">
        <v>1.1157689399999999</v>
      </c>
      <c r="W51" s="60">
        <v>2.8743024099999999</v>
      </c>
      <c r="X51" s="60">
        <v>4.4311414100000004</v>
      </c>
      <c r="Y51" s="60">
        <v>5.7690979100000002</v>
      </c>
      <c r="Z51" s="118">
        <v>7.427222679999999</v>
      </c>
      <c r="AB51" s="74">
        <v>3.6733994915813396E-2</v>
      </c>
      <c r="AC51" s="79">
        <v>4.1451477236523641E-2</v>
      </c>
      <c r="AD51" s="79">
        <v>4.7400583955372153E-2</v>
      </c>
      <c r="AE51" s="79">
        <v>5.1154159883908347E-2</v>
      </c>
      <c r="AF51" s="61">
        <v>5.4796387324654493E-2</v>
      </c>
      <c r="AG51" s="74" t="s">
        <v>21</v>
      </c>
      <c r="AH51" s="79">
        <v>4.7701724365236415E-3</v>
      </c>
      <c r="AI51" s="79">
        <v>1.0158098755372153E-2</v>
      </c>
      <c r="AJ51" s="79">
        <v>1.2920454483908347E-2</v>
      </c>
      <c r="AK51" s="61">
        <v>1.5226105324654491E-2</v>
      </c>
    </row>
    <row r="52" spans="2:37" x14ac:dyDescent="0.35">
      <c r="B52" s="54" t="s">
        <v>50</v>
      </c>
      <c r="C52" s="52" t="s">
        <v>33</v>
      </c>
      <c r="D52" s="52" t="s">
        <v>47</v>
      </c>
      <c r="E52" s="52" t="s">
        <v>133</v>
      </c>
      <c r="F52" s="72">
        <f t="shared" si="4"/>
        <v>3.7568405446891481E-2</v>
      </c>
      <c r="G52" s="59">
        <f t="shared" si="4"/>
        <v>4.3576270991558627E-2</v>
      </c>
      <c r="H52" s="70">
        <f t="shared" si="4"/>
        <v>5.0796134712795052E-2</v>
      </c>
      <c r="I52" s="70">
        <f t="shared" si="4"/>
        <v>5.5530128936104775E-2</v>
      </c>
      <c r="J52" s="62">
        <f t="shared" si="4"/>
        <v>5.9324187665773784E-2</v>
      </c>
      <c r="K52" s="72" t="str">
        <f t="shared" si="5"/>
        <v/>
      </c>
      <c r="L52" s="59">
        <f t="shared" si="5"/>
        <v>6.7959438915586312E-3</v>
      </c>
      <c r="M52" s="70">
        <f t="shared" si="5"/>
        <v>1.3383297712795058E-2</v>
      </c>
      <c r="N52" s="70">
        <f t="shared" si="5"/>
        <v>1.7072112936104774E-2</v>
      </c>
      <c r="O52" s="62">
        <f t="shared" si="5"/>
        <v>1.9536493565773798E-2</v>
      </c>
      <c r="P52" s="54" t="s">
        <v>440</v>
      </c>
      <c r="Q52" s="52" t="s">
        <v>441</v>
      </c>
      <c r="R52" s="93" t="s">
        <v>32</v>
      </c>
      <c r="S52" s="70">
        <v>4.5076970000000001E-2</v>
      </c>
      <c r="T52" s="62">
        <f t="shared" si="6"/>
        <v>5.719164712795051E-3</v>
      </c>
      <c r="V52" s="113">
        <v>1.1142247700000001</v>
      </c>
      <c r="W52" s="71">
        <v>2.8584783599999999</v>
      </c>
      <c r="X52" s="71">
        <v>4.3779418400000001</v>
      </c>
      <c r="Y52" s="71">
        <v>5.6525192999999998</v>
      </c>
      <c r="Z52" s="114">
        <v>7.1970449500000004</v>
      </c>
      <c r="AB52" s="72">
        <v>3.7568405446891481E-2</v>
      </c>
      <c r="AC52" s="70">
        <v>4.3576270991558627E-2</v>
      </c>
      <c r="AD52" s="70">
        <v>5.0796134712795052E-2</v>
      </c>
      <c r="AE52" s="70">
        <v>5.5530128936104775E-2</v>
      </c>
      <c r="AF52" s="62">
        <v>5.9324187665773784E-2</v>
      </c>
      <c r="AG52" s="72" t="s">
        <v>21</v>
      </c>
      <c r="AH52" s="70">
        <v>6.7959438915586312E-3</v>
      </c>
      <c r="AI52" s="70">
        <v>1.3383297712795058E-2</v>
      </c>
      <c r="AJ52" s="70">
        <v>1.7072112936104774E-2</v>
      </c>
      <c r="AK52" s="62">
        <v>1.9536493565773798E-2</v>
      </c>
    </row>
    <row r="53" spans="2:37" x14ac:dyDescent="0.35">
      <c r="B53" s="56" t="s">
        <v>50</v>
      </c>
      <c r="C53" s="66" t="s">
        <v>35</v>
      </c>
      <c r="D53" s="66" t="s">
        <v>47</v>
      </c>
      <c r="E53" s="66" t="s">
        <v>21</v>
      </c>
      <c r="F53" s="73">
        <f t="shared" si="4"/>
        <v>3.8799069034187561E-2</v>
      </c>
      <c r="G53" s="75">
        <f t="shared" si="4"/>
        <v>4.6432289758590463E-2</v>
      </c>
      <c r="H53" s="75">
        <f t="shared" si="4"/>
        <v>5.5452419572652088E-2</v>
      </c>
      <c r="I53" s="75">
        <f t="shared" si="4"/>
        <v>6.1295396837612814E-2</v>
      </c>
      <c r="J53" s="63">
        <f t="shared" si="4"/>
        <v>6.6205532269662179E-2</v>
      </c>
      <c r="K53" s="73">
        <f t="shared" si="5"/>
        <v>1.1031572341875691E-3</v>
      </c>
      <c r="L53" s="75">
        <f t="shared" si="5"/>
        <v>9.5679959585904667E-3</v>
      </c>
      <c r="M53" s="75">
        <f t="shared" si="5"/>
        <v>1.7881834372652103E-2</v>
      </c>
      <c r="N53" s="75">
        <f t="shared" si="5"/>
        <v>2.2615833737612809E-2</v>
      </c>
      <c r="O53" s="63">
        <f t="shared" si="5"/>
        <v>2.6140973469662182E-2</v>
      </c>
      <c r="P53" s="54" t="s">
        <v>21</v>
      </c>
      <c r="Q53" s="52" t="s">
        <v>21</v>
      </c>
      <c r="R53" s="93" t="s">
        <v>21</v>
      </c>
      <c r="S53" s="70" t="s">
        <v>21</v>
      </c>
      <c r="T53" s="62" t="str">
        <f t="shared" si="6"/>
        <v/>
      </c>
      <c r="V53" s="115">
        <v>1.1135289099999999</v>
      </c>
      <c r="W53" s="107">
        <v>2.8511191</v>
      </c>
      <c r="X53" s="107">
        <v>4.3519424500000001</v>
      </c>
      <c r="Y53" s="107">
        <v>5.5970652599999999</v>
      </c>
      <c r="Z53" s="116">
        <v>7.0781691100000002</v>
      </c>
      <c r="AB53" s="73">
        <v>3.8799069034187561E-2</v>
      </c>
      <c r="AC53" s="75">
        <v>4.6432289758590463E-2</v>
      </c>
      <c r="AD53" s="75">
        <v>5.5452419572652088E-2</v>
      </c>
      <c r="AE53" s="75">
        <v>6.1295396837612814E-2</v>
      </c>
      <c r="AF53" s="63">
        <v>6.6205532269662179E-2</v>
      </c>
      <c r="AG53" s="73">
        <v>1.1031572341875691E-3</v>
      </c>
      <c r="AH53" s="75">
        <v>9.5679959585904667E-3</v>
      </c>
      <c r="AI53" s="75">
        <v>1.7881834372652103E-2</v>
      </c>
      <c r="AJ53" s="75">
        <v>2.2615833737612809E-2</v>
      </c>
      <c r="AK53" s="63">
        <v>2.6140973469662182E-2</v>
      </c>
    </row>
    <row r="54" spans="2:37" x14ac:dyDescent="0.35">
      <c r="B54" s="78" t="s">
        <v>51</v>
      </c>
      <c r="C54" s="77"/>
      <c r="D54" s="77"/>
      <c r="E54" s="77"/>
      <c r="F54" s="77" t="str">
        <f t="shared" si="4"/>
        <v/>
      </c>
      <c r="G54" s="77" t="str">
        <f t="shared" si="4"/>
        <v/>
      </c>
      <c r="H54" s="77" t="str">
        <f t="shared" si="4"/>
        <v/>
      </c>
      <c r="I54" s="77" t="str">
        <f t="shared" si="4"/>
        <v/>
      </c>
      <c r="J54" s="77" t="str">
        <f t="shared" si="4"/>
        <v/>
      </c>
      <c r="K54" s="77" t="str">
        <f t="shared" si="5"/>
        <v/>
      </c>
      <c r="L54" s="77" t="str">
        <f t="shared" si="5"/>
        <v/>
      </c>
      <c r="M54" s="77" t="str">
        <f t="shared" si="5"/>
        <v/>
      </c>
      <c r="N54" s="77" t="str">
        <f t="shared" si="5"/>
        <v/>
      </c>
      <c r="O54" s="76" t="str">
        <f t="shared" si="5"/>
        <v/>
      </c>
      <c r="P54" s="78"/>
      <c r="Q54" s="77"/>
      <c r="R54" s="94"/>
      <c r="S54" s="77"/>
      <c r="T54" s="76" t="str">
        <f t="shared" si="6"/>
        <v/>
      </c>
      <c r="V54" s="111"/>
      <c r="W54" s="106"/>
      <c r="X54" s="106"/>
      <c r="Y54" s="106"/>
      <c r="Z54" s="112"/>
      <c r="AB54" s="77"/>
      <c r="AC54" s="77"/>
      <c r="AD54" s="77"/>
      <c r="AE54" s="77"/>
      <c r="AF54" s="77"/>
      <c r="AG54" s="77"/>
      <c r="AH54" s="77"/>
      <c r="AI54" s="77"/>
      <c r="AJ54" s="77"/>
      <c r="AK54" s="76"/>
    </row>
    <row r="55" spans="2:37" x14ac:dyDescent="0.35">
      <c r="B55" s="55" t="s">
        <v>52</v>
      </c>
      <c r="C55" s="65" t="s">
        <v>30</v>
      </c>
      <c r="D55" s="65" t="s">
        <v>53</v>
      </c>
      <c r="E55" s="65" t="s">
        <v>57</v>
      </c>
      <c r="F55" s="74">
        <f t="shared" si="4"/>
        <v>3.7827686236642795E-2</v>
      </c>
      <c r="G55" s="79">
        <f t="shared" si="4"/>
        <v>4.21832431089776E-2</v>
      </c>
      <c r="H55" s="79">
        <f t="shared" si="4"/>
        <v>4.75844359976011E-2</v>
      </c>
      <c r="I55" s="79">
        <f t="shared" si="4"/>
        <v>5.1046320798179952E-2</v>
      </c>
      <c r="J55" s="61">
        <f t="shared" si="4"/>
        <v>5.4356841750240373E-2</v>
      </c>
      <c r="K55" s="74">
        <f t="shared" si="5"/>
        <v>1.6137893664279219E-4</v>
      </c>
      <c r="L55" s="79">
        <f t="shared" si="5"/>
        <v>5.4679232089776039E-3</v>
      </c>
      <c r="M55" s="79">
        <f t="shared" si="5"/>
        <v>1.0331606997601103E-2</v>
      </c>
      <c r="N55" s="79">
        <f t="shared" si="5"/>
        <v>1.2815102798179951E-2</v>
      </c>
      <c r="O55" s="61">
        <f t="shared" si="5"/>
        <v>1.4801005350240364E-2</v>
      </c>
      <c r="P55" s="54" t="s">
        <v>442</v>
      </c>
      <c r="Q55" s="52" t="s">
        <v>443</v>
      </c>
      <c r="R55" s="93" t="s">
        <v>32</v>
      </c>
      <c r="S55" s="70">
        <v>4.3660810000000001E-2</v>
      </c>
      <c r="T55" s="62">
        <f t="shared" si="6"/>
        <v>3.923625997601099E-3</v>
      </c>
      <c r="V55" s="117">
        <v>1.1137322599999999</v>
      </c>
      <c r="W55" s="60">
        <v>2.8662122399999999</v>
      </c>
      <c r="X55" s="60">
        <v>4.4201450500000004</v>
      </c>
      <c r="Y55" s="60">
        <v>5.7603010500000007</v>
      </c>
      <c r="Z55" s="118">
        <v>7.4310724700000002</v>
      </c>
      <c r="AB55" s="74">
        <v>3.7827686236642795E-2</v>
      </c>
      <c r="AC55" s="79">
        <v>4.21832431089776E-2</v>
      </c>
      <c r="AD55" s="79">
        <v>4.75844359976011E-2</v>
      </c>
      <c r="AE55" s="79">
        <v>5.1046320798179952E-2</v>
      </c>
      <c r="AF55" s="61">
        <v>5.4356841750240373E-2</v>
      </c>
      <c r="AG55" s="74">
        <v>1.6137893664279219E-4</v>
      </c>
      <c r="AH55" s="79">
        <v>5.4679232089776039E-3</v>
      </c>
      <c r="AI55" s="79">
        <v>1.0331606997601103E-2</v>
      </c>
      <c r="AJ55" s="79">
        <v>1.2815102798179951E-2</v>
      </c>
      <c r="AK55" s="61">
        <v>1.4801005350240364E-2</v>
      </c>
    </row>
    <row r="56" spans="2:37" x14ac:dyDescent="0.35">
      <c r="B56" s="54" t="s">
        <v>52</v>
      </c>
      <c r="C56" s="52" t="s">
        <v>33</v>
      </c>
      <c r="D56" s="52" t="s">
        <v>53</v>
      </c>
      <c r="E56" s="52" t="s">
        <v>58</v>
      </c>
      <c r="F56" s="72">
        <f t="shared" si="4"/>
        <v>3.8243662614344864E-2</v>
      </c>
      <c r="G56" s="59">
        <f t="shared" si="4"/>
        <v>4.3639214403066964E-2</v>
      </c>
      <c r="H56" s="70">
        <f t="shared" si="4"/>
        <v>5.0701423097771335E-2</v>
      </c>
      <c r="I56" s="70">
        <f t="shared" si="4"/>
        <v>5.4967751600774467E-2</v>
      </c>
      <c r="J56" s="62">
        <f t="shared" si="4"/>
        <v>5.8741995594129744E-2</v>
      </c>
      <c r="K56" s="72">
        <f t="shared" si="5"/>
        <v>5.5807431434486219E-4</v>
      </c>
      <c r="L56" s="59">
        <f t="shared" si="5"/>
        <v>6.8553506030669658E-3</v>
      </c>
      <c r="M56" s="70">
        <f t="shared" si="5"/>
        <v>1.3292874497771332E-2</v>
      </c>
      <c r="N56" s="70">
        <f t="shared" si="5"/>
        <v>1.6539478600774475E-2</v>
      </c>
      <c r="O56" s="62">
        <f t="shared" si="5"/>
        <v>1.8983324094129738E-2</v>
      </c>
      <c r="P56" s="54" t="s">
        <v>444</v>
      </c>
      <c r="Q56" s="52" t="s">
        <v>445</v>
      </c>
      <c r="R56" s="93" t="s">
        <v>32</v>
      </c>
      <c r="S56" s="70">
        <v>4.5634609999999999E-2</v>
      </c>
      <c r="T56" s="62">
        <f t="shared" si="6"/>
        <v>5.066813097771336E-3</v>
      </c>
      <c r="V56" s="113">
        <v>1.1129647899999999</v>
      </c>
      <c r="W56" s="71">
        <v>2.8558996900000002</v>
      </c>
      <c r="X56" s="71">
        <v>4.3763954299999996</v>
      </c>
      <c r="Y56" s="71">
        <v>5.65892149</v>
      </c>
      <c r="Z56" s="114">
        <v>7.2195382500000003</v>
      </c>
      <c r="AB56" s="72">
        <v>3.8243662614344864E-2</v>
      </c>
      <c r="AC56" s="70">
        <v>4.3639214403066964E-2</v>
      </c>
      <c r="AD56" s="70">
        <v>5.0701423097771335E-2</v>
      </c>
      <c r="AE56" s="70">
        <v>5.4967751600774467E-2</v>
      </c>
      <c r="AF56" s="62">
        <v>5.8741995594129744E-2</v>
      </c>
      <c r="AG56" s="72">
        <v>5.5807431434486219E-4</v>
      </c>
      <c r="AH56" s="70">
        <v>6.8553506030669658E-3</v>
      </c>
      <c r="AI56" s="70">
        <v>1.3292874497771332E-2</v>
      </c>
      <c r="AJ56" s="70">
        <v>1.6539478600774475E-2</v>
      </c>
      <c r="AK56" s="62">
        <v>1.8983324094129738E-2</v>
      </c>
    </row>
    <row r="57" spans="2:37" x14ac:dyDescent="0.35">
      <c r="B57" s="56" t="s">
        <v>52</v>
      </c>
      <c r="C57" s="66" t="s">
        <v>35</v>
      </c>
      <c r="D57" s="66" t="s">
        <v>53</v>
      </c>
      <c r="E57" s="66" t="s">
        <v>351</v>
      </c>
      <c r="F57" s="73">
        <f t="shared" si="4"/>
        <v>3.8821020566323965E-2</v>
      </c>
      <c r="G57" s="75">
        <f t="shared" si="4"/>
        <v>4.6500939136563425E-2</v>
      </c>
      <c r="H57" s="75">
        <f t="shared" si="4"/>
        <v>5.5358470772511742E-2</v>
      </c>
      <c r="I57" s="75">
        <f t="shared" si="4"/>
        <v>6.1202225833189267E-2</v>
      </c>
      <c r="J57" s="63">
        <f t="shared" si="4"/>
        <v>6.5859101193168665E-2</v>
      </c>
      <c r="K57" s="73">
        <f t="shared" si="5"/>
        <v>1.1255286663239697E-3</v>
      </c>
      <c r="L57" s="75">
        <f t="shared" si="5"/>
        <v>9.6342521365634301E-3</v>
      </c>
      <c r="M57" s="75">
        <f t="shared" si="5"/>
        <v>1.7792917772511747E-2</v>
      </c>
      <c r="N57" s="75">
        <f t="shared" si="5"/>
        <v>2.2527918533189275E-2</v>
      </c>
      <c r="O57" s="63">
        <f t="shared" si="5"/>
        <v>2.5814043593168672E-2</v>
      </c>
      <c r="P57" s="54" t="s">
        <v>21</v>
      </c>
      <c r="Q57" s="52" t="s">
        <v>21</v>
      </c>
      <c r="R57" s="93" t="s">
        <v>21</v>
      </c>
      <c r="S57" s="70" t="s">
        <v>21</v>
      </c>
      <c r="T57" s="62" t="str">
        <f t="shared" si="6"/>
        <v/>
      </c>
      <c r="V57" s="115">
        <v>1.11349148</v>
      </c>
      <c r="W57" s="107">
        <v>2.8507305399999998</v>
      </c>
      <c r="X57" s="107">
        <v>4.3521748999999996</v>
      </c>
      <c r="Y57" s="107">
        <v>5.5984514999999995</v>
      </c>
      <c r="Z57" s="116">
        <v>7.0855457400000006</v>
      </c>
      <c r="AB57" s="73">
        <v>3.8821020566323965E-2</v>
      </c>
      <c r="AC57" s="75">
        <v>4.6500939136563425E-2</v>
      </c>
      <c r="AD57" s="75">
        <v>5.5358470772511742E-2</v>
      </c>
      <c r="AE57" s="75">
        <v>6.1202225833189267E-2</v>
      </c>
      <c r="AF57" s="63">
        <v>6.5859101193168665E-2</v>
      </c>
      <c r="AG57" s="73">
        <v>1.1255286663239697E-3</v>
      </c>
      <c r="AH57" s="75">
        <v>9.6342521365634301E-3</v>
      </c>
      <c r="AI57" s="75">
        <v>1.7792917772511747E-2</v>
      </c>
      <c r="AJ57" s="75">
        <v>2.2527918533189275E-2</v>
      </c>
      <c r="AK57" s="63">
        <v>2.5814043593168672E-2</v>
      </c>
    </row>
    <row r="58" spans="2:37" x14ac:dyDescent="0.35">
      <c r="B58" s="54" t="s">
        <v>56</v>
      </c>
      <c r="C58" s="52" t="s">
        <v>30</v>
      </c>
      <c r="D58" s="52" t="s">
        <v>53</v>
      </c>
      <c r="E58" s="52" t="s">
        <v>446</v>
      </c>
      <c r="F58" s="72">
        <f t="shared" si="4"/>
        <v>3.7462686003899702E-2</v>
      </c>
      <c r="G58" s="59">
        <f t="shared" si="4"/>
        <v>4.2125209647174922E-2</v>
      </c>
      <c r="H58" s="70">
        <f t="shared" si="4"/>
        <v>4.7580852849804858E-2</v>
      </c>
      <c r="I58" s="70">
        <f t="shared" si="4"/>
        <v>5.1234877202656071E-2</v>
      </c>
      <c r="J58" s="62">
        <f t="shared" si="4"/>
        <v>5.4366016848307622E-2</v>
      </c>
      <c r="K58" s="72" t="str">
        <f t="shared" si="5"/>
        <v/>
      </c>
      <c r="L58" s="59">
        <f t="shared" si="5"/>
        <v>5.4128613471749231E-3</v>
      </c>
      <c r="M58" s="70">
        <f t="shared" si="5"/>
        <v>1.0328577449804865E-2</v>
      </c>
      <c r="N58" s="70">
        <f t="shared" si="5"/>
        <v>1.2995167902656068E-2</v>
      </c>
      <c r="O58" s="62">
        <f t="shared" si="5"/>
        <v>1.4812069448307614E-2</v>
      </c>
      <c r="P58" s="55" t="s">
        <v>447</v>
      </c>
      <c r="Q58" s="65" t="s">
        <v>448</v>
      </c>
      <c r="R58" s="99" t="s">
        <v>32</v>
      </c>
      <c r="S58" s="79">
        <v>5.1363839999999994E-2</v>
      </c>
      <c r="T58" s="61">
        <f t="shared" si="6"/>
        <v>-3.7829871501951357E-3</v>
      </c>
      <c r="V58" s="113">
        <v>1.1144128</v>
      </c>
      <c r="W58" s="71">
        <v>2.8677592500000002</v>
      </c>
      <c r="X58" s="71">
        <v>4.4217300100000001</v>
      </c>
      <c r="Y58" s="71">
        <v>5.7591678100000001</v>
      </c>
      <c r="Z58" s="114">
        <v>7.4282652799999997</v>
      </c>
      <c r="AB58" s="72">
        <v>3.7462686003899702E-2</v>
      </c>
      <c r="AC58" s="70">
        <v>4.2125209647174922E-2</v>
      </c>
      <c r="AD58" s="70">
        <v>4.7580852849804858E-2</v>
      </c>
      <c r="AE58" s="70">
        <v>5.1234877202656071E-2</v>
      </c>
      <c r="AF58" s="62">
        <v>5.4366016848307622E-2</v>
      </c>
      <c r="AG58" s="72" t="s">
        <v>21</v>
      </c>
      <c r="AH58" s="70">
        <v>5.4128613471749231E-3</v>
      </c>
      <c r="AI58" s="70">
        <v>1.0328577449804865E-2</v>
      </c>
      <c r="AJ58" s="70">
        <v>1.2995167902656068E-2</v>
      </c>
      <c r="AK58" s="62">
        <v>1.4812069448307614E-2</v>
      </c>
    </row>
    <row r="59" spans="2:37" x14ac:dyDescent="0.35">
      <c r="B59" s="54" t="s">
        <v>56</v>
      </c>
      <c r="C59" s="52" t="s">
        <v>33</v>
      </c>
      <c r="D59" s="52" t="s">
        <v>53</v>
      </c>
      <c r="E59" s="52" t="s">
        <v>449</v>
      </c>
      <c r="F59" s="72">
        <f t="shared" si="4"/>
        <v>3.8161793899749191E-2</v>
      </c>
      <c r="G59" s="59">
        <f t="shared" si="4"/>
        <v>4.3513744369761194E-2</v>
      </c>
      <c r="H59" s="70">
        <f t="shared" si="4"/>
        <v>5.0391983372711092E-2</v>
      </c>
      <c r="I59" s="70">
        <f t="shared" si="4"/>
        <v>5.4521949676176559E-2</v>
      </c>
      <c r="J59" s="62">
        <f t="shared" si="4"/>
        <v>5.8193707579632159E-2</v>
      </c>
      <c r="K59" s="72">
        <f t="shared" si="5"/>
        <v>4.7867709974919181E-4</v>
      </c>
      <c r="L59" s="59">
        <f t="shared" si="5"/>
        <v>6.7354397697612037E-3</v>
      </c>
      <c r="M59" s="70">
        <f t="shared" si="5"/>
        <v>1.2999238372711081E-2</v>
      </c>
      <c r="N59" s="70">
        <f t="shared" si="5"/>
        <v>1.6117147976176558E-2</v>
      </c>
      <c r="O59" s="62">
        <f t="shared" si="5"/>
        <v>1.8464518779632146E-2</v>
      </c>
      <c r="P59" s="54" t="s">
        <v>450</v>
      </c>
      <c r="Q59" s="52" t="s">
        <v>451</v>
      </c>
      <c r="R59" s="93" t="s">
        <v>32</v>
      </c>
      <c r="S59" s="70">
        <v>4.7011669999999998E-2</v>
      </c>
      <c r="T59" s="62">
        <f t="shared" si="6"/>
        <v>3.380313372711094E-3</v>
      </c>
      <c r="V59" s="113">
        <v>1.11312404</v>
      </c>
      <c r="W59" s="71">
        <v>2.85695202</v>
      </c>
      <c r="X59" s="71">
        <v>4.3807031900000002</v>
      </c>
      <c r="Y59" s="71">
        <v>5.6696380199999998</v>
      </c>
      <c r="Z59" s="114">
        <v>7.2437576200000002</v>
      </c>
      <c r="AB59" s="72">
        <v>3.8161793899749191E-2</v>
      </c>
      <c r="AC59" s="70">
        <v>4.3513744369761194E-2</v>
      </c>
      <c r="AD59" s="70">
        <v>5.0391983372711092E-2</v>
      </c>
      <c r="AE59" s="70">
        <v>5.4521949676176559E-2</v>
      </c>
      <c r="AF59" s="62">
        <v>5.8193707579632159E-2</v>
      </c>
      <c r="AG59" s="72">
        <v>4.7867709974919181E-4</v>
      </c>
      <c r="AH59" s="70">
        <v>6.7354397697612037E-3</v>
      </c>
      <c r="AI59" s="70">
        <v>1.2999238372711081E-2</v>
      </c>
      <c r="AJ59" s="70">
        <v>1.6117147976176558E-2</v>
      </c>
      <c r="AK59" s="62">
        <v>1.8464518779632146E-2</v>
      </c>
    </row>
    <row r="60" spans="2:37" x14ac:dyDescent="0.35">
      <c r="B60" s="54" t="s">
        <v>56</v>
      </c>
      <c r="C60" s="52" t="s">
        <v>35</v>
      </c>
      <c r="D60" s="52" t="s">
        <v>53</v>
      </c>
      <c r="E60" s="52" t="s">
        <v>54</v>
      </c>
      <c r="F60" s="72">
        <f t="shared" si="4"/>
        <v>3.8471849578955226E-2</v>
      </c>
      <c r="G60" s="59">
        <f t="shared" si="4"/>
        <v>4.5694819229355921E-2</v>
      </c>
      <c r="H60" s="70">
        <f t="shared" si="4"/>
        <v>5.4082597608170552E-2</v>
      </c>
      <c r="I60" s="70">
        <f t="shared" si="4"/>
        <v>5.9663371694668725E-2</v>
      </c>
      <c r="J60" s="62">
        <f t="shared" si="4"/>
        <v>6.4402274261330494E-2</v>
      </c>
      <c r="K60" s="72">
        <f t="shared" si="5"/>
        <v>7.9116827895522532E-4</v>
      </c>
      <c r="L60" s="59">
        <f t="shared" si="5"/>
        <v>8.8634312293559125E-3</v>
      </c>
      <c r="M60" s="70">
        <f t="shared" si="5"/>
        <v>1.6581375108170548E-2</v>
      </c>
      <c r="N60" s="70">
        <f t="shared" si="5"/>
        <v>2.1074347194668733E-2</v>
      </c>
      <c r="O60" s="62">
        <f t="shared" si="5"/>
        <v>2.4435392961330481E-2</v>
      </c>
      <c r="P60" s="56" t="s">
        <v>452</v>
      </c>
      <c r="Q60" s="66" t="s">
        <v>453</v>
      </c>
      <c r="R60" s="95" t="s">
        <v>32</v>
      </c>
      <c r="S60" s="75">
        <v>5.1466380000000006E-2</v>
      </c>
      <c r="T60" s="63">
        <f t="shared" si="6"/>
        <v>2.6162176081705457E-3</v>
      </c>
      <c r="V60" s="113">
        <v>1.1139706199999999</v>
      </c>
      <c r="W60" s="71">
        <v>2.8553310500000002</v>
      </c>
      <c r="X60" s="71">
        <v>4.36767415</v>
      </c>
      <c r="Y60" s="71">
        <v>5.6309045500000003</v>
      </c>
      <c r="Z60" s="114">
        <v>7.1455821999999998</v>
      </c>
      <c r="AB60" s="72">
        <v>3.8471849578955226E-2</v>
      </c>
      <c r="AC60" s="70">
        <v>4.5694819229355921E-2</v>
      </c>
      <c r="AD60" s="70">
        <v>5.4082597608170552E-2</v>
      </c>
      <c r="AE60" s="70">
        <v>5.9663371694668725E-2</v>
      </c>
      <c r="AF60" s="62">
        <v>6.4402274261330494E-2</v>
      </c>
      <c r="AG60" s="72">
        <v>7.9116827895522532E-4</v>
      </c>
      <c r="AH60" s="70">
        <v>8.8634312293559125E-3</v>
      </c>
      <c r="AI60" s="70">
        <v>1.6581375108170548E-2</v>
      </c>
      <c r="AJ60" s="70">
        <v>2.1074347194668733E-2</v>
      </c>
      <c r="AK60" s="62">
        <v>2.4435392961330481E-2</v>
      </c>
    </row>
    <row r="61" spans="2:37" x14ac:dyDescent="0.35">
      <c r="B61" s="78" t="s">
        <v>59</v>
      </c>
      <c r="C61" s="77"/>
      <c r="D61" s="77"/>
      <c r="E61" s="77"/>
      <c r="F61" s="77" t="str">
        <f t="shared" si="4"/>
        <v/>
      </c>
      <c r="G61" s="77" t="str">
        <f t="shared" si="4"/>
        <v/>
      </c>
      <c r="H61" s="77" t="str">
        <f t="shared" si="4"/>
        <v/>
      </c>
      <c r="I61" s="77" t="str">
        <f t="shared" si="4"/>
        <v/>
      </c>
      <c r="J61" s="77" t="str">
        <f t="shared" si="4"/>
        <v/>
      </c>
      <c r="K61" s="77" t="str">
        <f t="shared" si="5"/>
        <v/>
      </c>
      <c r="L61" s="77" t="str">
        <f t="shared" si="5"/>
        <v/>
      </c>
      <c r="M61" s="77" t="str">
        <f t="shared" si="5"/>
        <v/>
      </c>
      <c r="N61" s="77" t="str">
        <f t="shared" si="5"/>
        <v/>
      </c>
      <c r="O61" s="76" t="str">
        <f t="shared" si="5"/>
        <v/>
      </c>
      <c r="P61" s="78"/>
      <c r="Q61" s="77"/>
      <c r="R61" s="94"/>
      <c r="S61" s="77"/>
      <c r="T61" s="76" t="str">
        <f t="shared" si="6"/>
        <v/>
      </c>
      <c r="V61" s="111"/>
      <c r="W61" s="106"/>
      <c r="X61" s="106"/>
      <c r="Y61" s="106"/>
      <c r="Z61" s="112"/>
      <c r="AB61" s="77"/>
      <c r="AC61" s="77"/>
      <c r="AD61" s="77"/>
      <c r="AE61" s="77"/>
      <c r="AF61" s="77"/>
      <c r="AG61" s="77"/>
      <c r="AH61" s="77"/>
      <c r="AI61" s="77"/>
      <c r="AJ61" s="77"/>
      <c r="AK61" s="76"/>
    </row>
    <row r="62" spans="2:37" x14ac:dyDescent="0.35">
      <c r="B62" s="55" t="s">
        <v>60</v>
      </c>
      <c r="C62" s="65" t="s">
        <v>61</v>
      </c>
      <c r="D62" s="65" t="s">
        <v>62</v>
      </c>
      <c r="E62" s="65" t="s">
        <v>179</v>
      </c>
      <c r="F62" s="74">
        <f t="shared" si="4"/>
        <v>3.8237956730437506E-2</v>
      </c>
      <c r="G62" s="79">
        <f t="shared" si="4"/>
        <v>4.2521387095689707E-2</v>
      </c>
      <c r="H62" s="79">
        <f t="shared" si="4"/>
        <v>4.8107386748146089E-2</v>
      </c>
      <c r="I62" s="79">
        <f t="shared" si="4"/>
        <v>5.1417516257253028E-2</v>
      </c>
      <c r="J62" s="61">
        <f t="shared" si="4"/>
        <v>5.4688725133960017E-2</v>
      </c>
      <c r="K62" s="74">
        <f t="shared" si="5"/>
        <v>5.5832333043750841E-4</v>
      </c>
      <c r="L62" s="79">
        <f t="shared" si="5"/>
        <v>5.7922099956897038E-3</v>
      </c>
      <c r="M62" s="79">
        <f t="shared" si="5"/>
        <v>1.0830574148146086E-2</v>
      </c>
      <c r="N62" s="79">
        <f t="shared" si="5"/>
        <v>1.3169616357253026E-2</v>
      </c>
      <c r="O62" s="61">
        <f t="shared" si="5"/>
        <v>1.5119076533960028E-2</v>
      </c>
      <c r="P62" s="54" t="s">
        <v>454</v>
      </c>
      <c r="Q62" s="52" t="s">
        <v>455</v>
      </c>
      <c r="R62" s="93" t="s">
        <v>32</v>
      </c>
      <c r="S62" s="70">
        <v>0</v>
      </c>
      <c r="T62" s="62">
        <f t="shared" si="6"/>
        <v>4.8107386748146089E-2</v>
      </c>
      <c r="V62" s="117">
        <v>1.11294034</v>
      </c>
      <c r="W62" s="60">
        <v>2.8627273899999999</v>
      </c>
      <c r="X62" s="60">
        <v>4.41091006</v>
      </c>
      <c r="Y62" s="60">
        <v>5.7453269699999998</v>
      </c>
      <c r="Z62" s="118">
        <v>7.4083347999999996</v>
      </c>
      <c r="AB62" s="74">
        <v>3.8237956730437506E-2</v>
      </c>
      <c r="AC62" s="79">
        <v>4.2521387095689707E-2</v>
      </c>
      <c r="AD62" s="79">
        <v>4.8107386748146089E-2</v>
      </c>
      <c r="AE62" s="79">
        <v>5.1417516257253028E-2</v>
      </c>
      <c r="AF62" s="61">
        <v>5.4688725133960017E-2</v>
      </c>
      <c r="AG62" s="74">
        <v>5.5832333043750841E-4</v>
      </c>
      <c r="AH62" s="79">
        <v>5.7922099956897038E-3</v>
      </c>
      <c r="AI62" s="79">
        <v>1.0830574148146086E-2</v>
      </c>
      <c r="AJ62" s="79">
        <v>1.3169616357253026E-2</v>
      </c>
      <c r="AK62" s="61">
        <v>1.5119076533960028E-2</v>
      </c>
    </row>
    <row r="63" spans="2:37" x14ac:dyDescent="0.35">
      <c r="B63" s="56" t="s">
        <v>60</v>
      </c>
      <c r="C63" s="66" t="s">
        <v>63</v>
      </c>
      <c r="D63" s="66" t="s">
        <v>62</v>
      </c>
      <c r="E63" s="66" t="s">
        <v>21</v>
      </c>
      <c r="F63" s="73">
        <f t="shared" si="4"/>
        <v>3.9979923822640484E-2</v>
      </c>
      <c r="G63" s="75">
        <f t="shared" si="4"/>
        <v>4.574787298400515E-2</v>
      </c>
      <c r="H63" s="75">
        <f t="shared" si="4"/>
        <v>5.2783721712775948E-2</v>
      </c>
      <c r="I63" s="75">
        <f t="shared" si="4"/>
        <v>5.705390787441119E-2</v>
      </c>
      <c r="J63" s="63">
        <f t="shared" si="4"/>
        <v>6.0467437181247086E-2</v>
      </c>
      <c r="K63" s="73">
        <f t="shared" si="5"/>
        <v>2.2670351226404808E-3</v>
      </c>
      <c r="L63" s="75">
        <f t="shared" si="5"/>
        <v>8.9253477840051474E-3</v>
      </c>
      <c r="M63" s="75">
        <f t="shared" si="5"/>
        <v>1.5351827312775944E-2</v>
      </c>
      <c r="N63" s="75">
        <f t="shared" si="5"/>
        <v>1.8606922774411172E-2</v>
      </c>
      <c r="O63" s="63">
        <f t="shared" si="5"/>
        <v>2.0702215881247085E-2</v>
      </c>
      <c r="P63" s="54" t="s">
        <v>21</v>
      </c>
      <c r="Q63" s="52" t="s">
        <v>21</v>
      </c>
      <c r="R63" s="93" t="s">
        <v>21</v>
      </c>
      <c r="S63" s="70" t="s">
        <v>21</v>
      </c>
      <c r="T63" s="62" t="str">
        <f t="shared" si="6"/>
        <v/>
      </c>
      <c r="V63" s="115">
        <v>1.11154496</v>
      </c>
      <c r="W63" s="107">
        <v>2.8509689200000001</v>
      </c>
      <c r="X63" s="107">
        <v>4.37327143</v>
      </c>
      <c r="Y63" s="107">
        <v>5.6655284799999999</v>
      </c>
      <c r="Z63" s="116">
        <v>7.2563824400000003</v>
      </c>
      <c r="AB63" s="73">
        <v>3.9979923822640484E-2</v>
      </c>
      <c r="AC63" s="75">
        <v>4.574787298400515E-2</v>
      </c>
      <c r="AD63" s="75">
        <v>5.2783721712775948E-2</v>
      </c>
      <c r="AE63" s="75">
        <v>5.705390787441119E-2</v>
      </c>
      <c r="AF63" s="63">
        <v>6.0467437181247086E-2</v>
      </c>
      <c r="AG63" s="73">
        <v>2.2670351226404808E-3</v>
      </c>
      <c r="AH63" s="75">
        <v>8.9253477840051474E-3</v>
      </c>
      <c r="AI63" s="75">
        <v>1.5351827312775944E-2</v>
      </c>
      <c r="AJ63" s="75">
        <v>1.8606922774411172E-2</v>
      </c>
      <c r="AK63" s="63">
        <v>2.0702215881247085E-2</v>
      </c>
    </row>
    <row r="64" spans="2:37" x14ac:dyDescent="0.35">
      <c r="B64" s="55" t="s">
        <v>64</v>
      </c>
      <c r="C64" s="65" t="s">
        <v>65</v>
      </c>
      <c r="D64" s="65" t="s">
        <v>62</v>
      </c>
      <c r="E64" s="65" t="s">
        <v>179</v>
      </c>
      <c r="F64" s="74">
        <f t="shared" si="4"/>
        <v>3.7509772216842513E-2</v>
      </c>
      <c r="G64" s="79">
        <f t="shared" si="4"/>
        <v>4.2765097520853751E-2</v>
      </c>
      <c r="H64" s="79">
        <f t="shared" si="4"/>
        <v>4.9393415253851373E-2</v>
      </c>
      <c r="I64" s="79">
        <f t="shared" si="4"/>
        <v>5.3256077533855598E-2</v>
      </c>
      <c r="J64" s="61">
        <f t="shared" si="4"/>
        <v>5.6531796172005974E-2</v>
      </c>
      <c r="K64" s="74" t="str">
        <f t="shared" si="5"/>
        <v/>
      </c>
      <c r="L64" s="79">
        <f t="shared" si="5"/>
        <v>6.0221967208537487E-3</v>
      </c>
      <c r="M64" s="79">
        <f t="shared" si="5"/>
        <v>1.2052183353851376E-2</v>
      </c>
      <c r="N64" s="79">
        <f t="shared" si="5"/>
        <v>1.4917881033855603E-2</v>
      </c>
      <c r="O64" s="61">
        <f t="shared" si="5"/>
        <v>1.6886349172005984E-2</v>
      </c>
      <c r="P64" s="55" t="s">
        <v>21</v>
      </c>
      <c r="Q64" s="65" t="s">
        <v>21</v>
      </c>
      <c r="R64" s="99" t="s">
        <v>21</v>
      </c>
      <c r="S64" s="79" t="s">
        <v>21</v>
      </c>
      <c r="T64" s="61" t="str">
        <f t="shared" si="6"/>
        <v/>
      </c>
      <c r="V64" s="117">
        <v>1.1143433700000001</v>
      </c>
      <c r="W64" s="60">
        <v>2.8636919999999999</v>
      </c>
      <c r="X64" s="60">
        <v>4.3984839400000002</v>
      </c>
      <c r="Y64" s="60">
        <v>5.7053882399999996</v>
      </c>
      <c r="Z64" s="118">
        <v>7.3194586099999999</v>
      </c>
      <c r="AB64" s="74">
        <v>3.7509772216842513E-2</v>
      </c>
      <c r="AC64" s="79">
        <v>4.2765097520853751E-2</v>
      </c>
      <c r="AD64" s="79">
        <v>4.9393415253851373E-2</v>
      </c>
      <c r="AE64" s="79">
        <v>5.3256077533855598E-2</v>
      </c>
      <c r="AF64" s="61">
        <v>5.6531796172005974E-2</v>
      </c>
      <c r="AG64" s="74" t="s">
        <v>21</v>
      </c>
      <c r="AH64" s="79">
        <v>6.0221967208537487E-3</v>
      </c>
      <c r="AI64" s="79">
        <v>1.2052183353851376E-2</v>
      </c>
      <c r="AJ64" s="79">
        <v>1.4917881033855603E-2</v>
      </c>
      <c r="AK64" s="61">
        <v>1.6886349172005984E-2</v>
      </c>
    </row>
    <row r="65" spans="2:37" x14ac:dyDescent="0.35">
      <c r="B65" s="56" t="s">
        <v>64</v>
      </c>
      <c r="C65" s="66" t="s">
        <v>66</v>
      </c>
      <c r="D65" s="66" t="s">
        <v>62</v>
      </c>
      <c r="E65" s="66" t="s">
        <v>21</v>
      </c>
      <c r="F65" s="73">
        <f t="shared" si="4"/>
        <v>3.859235292693651E-2</v>
      </c>
      <c r="G65" s="75">
        <f t="shared" si="4"/>
        <v>4.525593245826777E-2</v>
      </c>
      <c r="H65" s="75">
        <f t="shared" si="4"/>
        <v>5.3393037102151222E-2</v>
      </c>
      <c r="I65" s="75">
        <f t="shared" si="4"/>
        <v>5.7609494342039783E-2</v>
      </c>
      <c r="J65" s="63">
        <f t="shared" si="4"/>
        <v>6.1824373435643572E-2</v>
      </c>
      <c r="K65" s="73">
        <f t="shared" si="5"/>
        <v>9.1281642693651771E-4</v>
      </c>
      <c r="L65" s="75">
        <f t="shared" si="5"/>
        <v>8.4451322582677762E-3</v>
      </c>
      <c r="M65" s="75">
        <f t="shared" si="5"/>
        <v>1.592692230215122E-2</v>
      </c>
      <c r="N65" s="75">
        <f t="shared" si="5"/>
        <v>1.913126434203978E-2</v>
      </c>
      <c r="O65" s="63">
        <f t="shared" si="5"/>
        <v>2.1989169535643567E-2</v>
      </c>
      <c r="P65" s="56" t="s">
        <v>21</v>
      </c>
      <c r="Q65" s="66" t="s">
        <v>21</v>
      </c>
      <c r="R65" s="95" t="s">
        <v>21</v>
      </c>
      <c r="S65" s="75" t="s">
        <v>21</v>
      </c>
      <c r="T65" s="63" t="str">
        <f t="shared" si="6"/>
        <v/>
      </c>
      <c r="V65" s="115">
        <v>1.1137713599999999</v>
      </c>
      <c r="W65" s="107">
        <v>2.8570229</v>
      </c>
      <c r="X65" s="107">
        <v>4.3753304700000006</v>
      </c>
      <c r="Y65" s="107">
        <v>5.6602071199999999</v>
      </c>
      <c r="Z65" s="116">
        <v>7.2258606099999998</v>
      </c>
      <c r="AB65" s="73">
        <v>3.859235292693651E-2</v>
      </c>
      <c r="AC65" s="75">
        <v>4.525593245826777E-2</v>
      </c>
      <c r="AD65" s="75">
        <v>5.3393037102151222E-2</v>
      </c>
      <c r="AE65" s="75">
        <v>5.7609494342039783E-2</v>
      </c>
      <c r="AF65" s="63">
        <v>6.1824373435643572E-2</v>
      </c>
      <c r="AG65" s="73">
        <v>9.1281642693651771E-4</v>
      </c>
      <c r="AH65" s="75">
        <v>8.4451322582677762E-3</v>
      </c>
      <c r="AI65" s="75">
        <v>1.592692230215122E-2</v>
      </c>
      <c r="AJ65" s="75">
        <v>1.913126434203978E-2</v>
      </c>
      <c r="AK65" s="63">
        <v>2.1989169535643567E-2</v>
      </c>
    </row>
    <row r="66" spans="2:37" x14ac:dyDescent="0.35">
      <c r="B66" s="78" t="s">
        <v>226</v>
      </c>
      <c r="C66" s="77"/>
      <c r="D66" s="77"/>
      <c r="E66" s="77"/>
      <c r="F66" s="77" t="str">
        <f t="shared" si="4"/>
        <v/>
      </c>
      <c r="G66" s="77" t="str">
        <f t="shared" si="4"/>
        <v/>
      </c>
      <c r="H66" s="77" t="str">
        <f t="shared" si="4"/>
        <v/>
      </c>
      <c r="I66" s="77" t="str">
        <f t="shared" si="4"/>
        <v/>
      </c>
      <c r="J66" s="77" t="str">
        <f t="shared" si="4"/>
        <v/>
      </c>
      <c r="K66" s="77" t="str">
        <f t="shared" si="5"/>
        <v/>
      </c>
      <c r="L66" s="77" t="str">
        <f t="shared" si="5"/>
        <v/>
      </c>
      <c r="M66" s="77" t="str">
        <f t="shared" si="5"/>
        <v/>
      </c>
      <c r="N66" s="77" t="str">
        <f t="shared" si="5"/>
        <v/>
      </c>
      <c r="O66" s="76" t="str">
        <f t="shared" si="5"/>
        <v/>
      </c>
      <c r="P66" s="78"/>
      <c r="Q66" s="77"/>
      <c r="R66" s="94"/>
      <c r="S66" s="77"/>
      <c r="T66" s="76" t="str">
        <f t="shared" si="6"/>
        <v/>
      </c>
      <c r="V66" s="111"/>
      <c r="W66" s="106"/>
      <c r="X66" s="106"/>
      <c r="Y66" s="106"/>
      <c r="Z66" s="112"/>
      <c r="AB66" s="77"/>
      <c r="AC66" s="77"/>
      <c r="AD66" s="77"/>
      <c r="AE66" s="77"/>
      <c r="AF66" s="77"/>
      <c r="AG66" s="77"/>
      <c r="AH66" s="77"/>
      <c r="AI66" s="77"/>
      <c r="AJ66" s="77"/>
      <c r="AK66" s="76"/>
    </row>
    <row r="67" spans="2:37" x14ac:dyDescent="0.35">
      <c r="B67" s="55" t="s">
        <v>227</v>
      </c>
      <c r="C67" s="65" t="s">
        <v>61</v>
      </c>
      <c r="D67" s="65" t="s">
        <v>97</v>
      </c>
      <c r="E67" s="65" t="s">
        <v>21</v>
      </c>
      <c r="F67" s="74">
        <f t="shared" si="4"/>
        <v>3.6623618136582416E-2</v>
      </c>
      <c r="G67" s="79">
        <f t="shared" si="4"/>
        <v>4.0679283860944992E-2</v>
      </c>
      <c r="H67" s="79">
        <f t="shared" si="4"/>
        <v>4.5683534617581602E-2</v>
      </c>
      <c r="I67" s="79">
        <f t="shared" si="4"/>
        <v>4.8593923951973941E-2</v>
      </c>
      <c r="J67" s="61">
        <f t="shared" si="4"/>
        <v>5.099693531577236E-2</v>
      </c>
      <c r="K67" s="74" t="str">
        <f t="shared" si="5"/>
        <v/>
      </c>
      <c r="L67" s="79">
        <f t="shared" si="5"/>
        <v>4.0304514609449914E-3</v>
      </c>
      <c r="M67" s="79">
        <f t="shared" si="5"/>
        <v>8.5181471175816044E-3</v>
      </c>
      <c r="N67" s="79">
        <f t="shared" si="5"/>
        <v>1.0474019051973947E-2</v>
      </c>
      <c r="O67" s="61">
        <f t="shared" si="5"/>
        <v>1.157228511577236E-2</v>
      </c>
      <c r="P67" s="54" t="s">
        <v>21</v>
      </c>
      <c r="Q67" s="52" t="s">
        <v>21</v>
      </c>
      <c r="R67" s="93" t="s">
        <v>21</v>
      </c>
      <c r="S67" s="70" t="s">
        <v>21</v>
      </c>
      <c r="T67" s="62" t="str">
        <f t="shared" si="6"/>
        <v/>
      </c>
      <c r="V67" s="117">
        <v>1.1159919299999999</v>
      </c>
      <c r="W67" s="60">
        <v>2.8795010799999998</v>
      </c>
      <c r="X67" s="60">
        <v>4.4550444100000002</v>
      </c>
      <c r="Y67" s="60">
        <v>5.8311374999999996</v>
      </c>
      <c r="Z67" s="118">
        <v>7.58685367</v>
      </c>
      <c r="AB67" s="74">
        <v>3.6623618136582416E-2</v>
      </c>
      <c r="AC67" s="79">
        <v>4.0679283860944992E-2</v>
      </c>
      <c r="AD67" s="79">
        <v>4.5683534617581602E-2</v>
      </c>
      <c r="AE67" s="79">
        <v>4.8593923951973941E-2</v>
      </c>
      <c r="AF67" s="61">
        <v>5.099693531577236E-2</v>
      </c>
      <c r="AG67" s="74" t="s">
        <v>21</v>
      </c>
      <c r="AH67" s="79">
        <v>4.0304514609449914E-3</v>
      </c>
      <c r="AI67" s="79">
        <v>8.5181471175816044E-3</v>
      </c>
      <c r="AJ67" s="79">
        <v>1.0474019051973947E-2</v>
      </c>
      <c r="AK67" s="61">
        <v>1.157228511577236E-2</v>
      </c>
    </row>
    <row r="68" spans="2:37" x14ac:dyDescent="0.35">
      <c r="B68" s="56" t="s">
        <v>227</v>
      </c>
      <c r="C68" s="66" t="s">
        <v>63</v>
      </c>
      <c r="D68" s="66" t="s">
        <v>97</v>
      </c>
      <c r="E68" s="66" t="s">
        <v>21</v>
      </c>
      <c r="F68" s="73">
        <f t="shared" si="4"/>
        <v>3.8057115661106491E-2</v>
      </c>
      <c r="G68" s="75">
        <f t="shared" si="4"/>
        <v>4.343856380537707E-2</v>
      </c>
      <c r="H68" s="75">
        <f t="shared" si="4"/>
        <v>4.9815237165324454E-2</v>
      </c>
      <c r="I68" s="75">
        <f t="shared" si="4"/>
        <v>5.380348842986106E-2</v>
      </c>
      <c r="J68" s="63">
        <f t="shared" si="4"/>
        <v>5.6790531501328137E-2</v>
      </c>
      <c r="K68" s="73">
        <f t="shared" si="5"/>
        <v>3.9948756110648725E-4</v>
      </c>
      <c r="L68" s="75">
        <f t="shared" si="5"/>
        <v>6.7020994053770735E-3</v>
      </c>
      <c r="M68" s="75">
        <f t="shared" si="5"/>
        <v>1.2509638265324453E-2</v>
      </c>
      <c r="N68" s="75">
        <f t="shared" si="5"/>
        <v>1.5502247329861062E-2</v>
      </c>
      <c r="O68" s="63">
        <f t="shared" si="5"/>
        <v>1.7191646001328137E-2</v>
      </c>
      <c r="P68" s="54" t="s">
        <v>21</v>
      </c>
      <c r="Q68" s="52" t="s">
        <v>21</v>
      </c>
      <c r="R68" s="93" t="s">
        <v>21</v>
      </c>
      <c r="S68" s="70" t="s">
        <v>21</v>
      </c>
      <c r="T68" s="62" t="str">
        <f t="shared" si="6"/>
        <v/>
      </c>
      <c r="V68" s="115">
        <v>1.1145090799999999</v>
      </c>
      <c r="W68" s="71">
        <v>2.86684604</v>
      </c>
      <c r="X68" s="71">
        <v>4.4144491199999996</v>
      </c>
      <c r="Y68" s="107">
        <v>5.7434041699999998</v>
      </c>
      <c r="Z68" s="116">
        <v>7.4052191799999996</v>
      </c>
      <c r="AB68" s="73">
        <v>3.8057115661106491E-2</v>
      </c>
      <c r="AC68" s="75">
        <v>4.343856380537707E-2</v>
      </c>
      <c r="AD68" s="75">
        <v>4.9815237165324454E-2</v>
      </c>
      <c r="AE68" s="75">
        <v>5.380348842986106E-2</v>
      </c>
      <c r="AF68" s="63">
        <v>5.6790531501328137E-2</v>
      </c>
      <c r="AG68" s="73">
        <v>3.9948756110648725E-4</v>
      </c>
      <c r="AH68" s="75">
        <v>6.7020994053770735E-3</v>
      </c>
      <c r="AI68" s="75">
        <v>1.2509638265324453E-2</v>
      </c>
      <c r="AJ68" s="75">
        <v>1.5502247329861062E-2</v>
      </c>
      <c r="AK68" s="63">
        <v>1.7191646001328137E-2</v>
      </c>
    </row>
    <row r="69" spans="2:37" x14ac:dyDescent="0.35">
      <c r="B69" s="55" t="s">
        <v>228</v>
      </c>
      <c r="C69" s="65" t="s">
        <v>65</v>
      </c>
      <c r="D69" s="65" t="s">
        <v>97</v>
      </c>
      <c r="E69" s="65" t="s">
        <v>21</v>
      </c>
      <c r="F69" s="74">
        <f t="shared" si="4"/>
        <v>3.7377473417881536E-2</v>
      </c>
      <c r="G69" s="79">
        <f t="shared" si="4"/>
        <v>4.2764424464641973E-2</v>
      </c>
      <c r="H69" s="79">
        <f t="shared" si="4"/>
        <v>4.9442122214284727E-2</v>
      </c>
      <c r="I69" s="79">
        <f t="shared" si="4"/>
        <v>5.325674367347509E-2</v>
      </c>
      <c r="J69" s="61">
        <f t="shared" si="4"/>
        <v>5.6897953898722806E-2</v>
      </c>
      <c r="K69" s="74" t="str">
        <f t="shared" si="5"/>
        <v/>
      </c>
      <c r="L69" s="79">
        <f t="shared" si="5"/>
        <v>6.0226623646419735E-3</v>
      </c>
      <c r="M69" s="79">
        <f t="shared" si="5"/>
        <v>1.2099294014284726E-2</v>
      </c>
      <c r="N69" s="79">
        <f t="shared" si="5"/>
        <v>1.4919395073475089E-2</v>
      </c>
      <c r="O69" s="61">
        <f t="shared" si="5"/>
        <v>1.7235019198722806E-2</v>
      </c>
      <c r="P69" s="55" t="s">
        <v>21</v>
      </c>
      <c r="Q69" s="65" t="s">
        <v>21</v>
      </c>
      <c r="R69" s="99" t="s">
        <v>21</v>
      </c>
      <c r="S69" s="79" t="s">
        <v>21</v>
      </c>
      <c r="T69" s="61" t="str">
        <f t="shared" si="6"/>
        <v/>
      </c>
      <c r="V69" s="117">
        <v>1.11457614</v>
      </c>
      <c r="W69" s="60">
        <v>2.8640946999999999</v>
      </c>
      <c r="X69" s="60">
        <v>4.3983510900000002</v>
      </c>
      <c r="Y69" s="60">
        <v>5.7050857500000003</v>
      </c>
      <c r="Z69" s="118">
        <v>7.3111397399999998</v>
      </c>
      <c r="AB69" s="74">
        <v>3.7377473417881536E-2</v>
      </c>
      <c r="AC69" s="79">
        <v>4.2764424464641973E-2</v>
      </c>
      <c r="AD69" s="79">
        <v>4.9442122214284727E-2</v>
      </c>
      <c r="AE69" s="79">
        <v>5.325674367347509E-2</v>
      </c>
      <c r="AF69" s="61">
        <v>5.6897953898722806E-2</v>
      </c>
      <c r="AG69" s="74" t="s">
        <v>21</v>
      </c>
      <c r="AH69" s="79">
        <v>6.0226623646419735E-3</v>
      </c>
      <c r="AI69" s="79">
        <v>1.2099294014284726E-2</v>
      </c>
      <c r="AJ69" s="79">
        <v>1.4919395073475089E-2</v>
      </c>
      <c r="AK69" s="61">
        <v>1.7235019198722806E-2</v>
      </c>
    </row>
    <row r="70" spans="2:37" x14ac:dyDescent="0.35">
      <c r="B70" s="56" t="s">
        <v>228</v>
      </c>
      <c r="C70" s="66" t="s">
        <v>66</v>
      </c>
      <c r="D70" s="66" t="s">
        <v>97</v>
      </c>
      <c r="E70" s="66" t="s">
        <v>21</v>
      </c>
      <c r="F70" s="73">
        <f t="shared" si="4"/>
        <v>3.8515190540806377E-2</v>
      </c>
      <c r="G70" s="75">
        <f t="shared" si="4"/>
        <v>4.5814808927026218E-2</v>
      </c>
      <c r="H70" s="75">
        <f t="shared" si="4"/>
        <v>5.4276371567492931E-2</v>
      </c>
      <c r="I70" s="75">
        <f t="shared" si="4"/>
        <v>5.9493529034037526E-2</v>
      </c>
      <c r="J70" s="63">
        <f t="shared" si="4"/>
        <v>6.3718052394991787E-2</v>
      </c>
      <c r="K70" s="73">
        <f t="shared" si="5"/>
        <v>8.3610034080637465E-4</v>
      </c>
      <c r="L70" s="75">
        <f t="shared" si="5"/>
        <v>8.9797977270262182E-3</v>
      </c>
      <c r="M70" s="75">
        <f t="shared" si="5"/>
        <v>1.6766674567492933E-2</v>
      </c>
      <c r="N70" s="75">
        <f t="shared" si="5"/>
        <v>2.0914681134037508E-2</v>
      </c>
      <c r="O70" s="63">
        <f t="shared" si="5"/>
        <v>2.3788177194991787E-2</v>
      </c>
      <c r="P70" s="56" t="s">
        <v>21</v>
      </c>
      <c r="Q70" s="66" t="s">
        <v>21</v>
      </c>
      <c r="R70" s="95" t="s">
        <v>21</v>
      </c>
      <c r="S70" s="75" t="s">
        <v>21</v>
      </c>
      <c r="T70" s="63" t="str">
        <f t="shared" si="6"/>
        <v/>
      </c>
      <c r="V70" s="113">
        <v>1.1138925200000001</v>
      </c>
      <c r="W70" s="107">
        <v>2.8546260299999999</v>
      </c>
      <c r="X70" s="71">
        <v>4.36529335</v>
      </c>
      <c r="Y70" s="107">
        <v>5.6299800300000005</v>
      </c>
      <c r="Z70" s="116">
        <v>7.1573078100000007</v>
      </c>
      <c r="AB70" s="73">
        <v>3.8515190540806377E-2</v>
      </c>
      <c r="AC70" s="75">
        <v>4.5814808927026218E-2</v>
      </c>
      <c r="AD70" s="75">
        <v>5.4276371567492931E-2</v>
      </c>
      <c r="AE70" s="75">
        <v>5.9493529034037526E-2</v>
      </c>
      <c r="AF70" s="63">
        <v>6.3718052394991787E-2</v>
      </c>
      <c r="AG70" s="73">
        <v>8.3610034080637465E-4</v>
      </c>
      <c r="AH70" s="75">
        <v>8.9797977270262182E-3</v>
      </c>
      <c r="AI70" s="75">
        <v>1.6766674567492933E-2</v>
      </c>
      <c r="AJ70" s="75">
        <v>2.0914681134037508E-2</v>
      </c>
      <c r="AK70" s="63">
        <v>2.3788177194991787E-2</v>
      </c>
    </row>
    <row r="71" spans="2:37" x14ac:dyDescent="0.35">
      <c r="B71" s="56" t="s">
        <v>306</v>
      </c>
      <c r="C71" s="66" t="s">
        <v>61</v>
      </c>
      <c r="D71" s="66" t="s">
        <v>97</v>
      </c>
      <c r="E71" s="66" t="s">
        <v>21</v>
      </c>
      <c r="F71" s="73">
        <f t="shared" si="4"/>
        <v>3.6355070571593387E-2</v>
      </c>
      <c r="G71" s="75">
        <f t="shared" si="4"/>
        <v>4.0473494056618542E-2</v>
      </c>
      <c r="H71" s="75">
        <f t="shared" si="4"/>
        <v>4.5469582910294827E-2</v>
      </c>
      <c r="I71" s="75">
        <f t="shared" si="4"/>
        <v>4.8480720386517996E-2</v>
      </c>
      <c r="J71" s="63">
        <f t="shared" si="4"/>
        <v>5.1167639599161527E-2</v>
      </c>
      <c r="K71" s="73" t="str">
        <f t="shared" si="5"/>
        <v/>
      </c>
      <c r="L71" s="75">
        <f t="shared" si="5"/>
        <v>3.8342971566185454E-3</v>
      </c>
      <c r="M71" s="75">
        <f t="shared" si="5"/>
        <v>8.3142817102948314E-3</v>
      </c>
      <c r="N71" s="75">
        <f t="shared" si="5"/>
        <v>1.0366255486517994E-2</v>
      </c>
      <c r="O71" s="63">
        <f t="shared" si="5"/>
        <v>1.1737091599161521E-2</v>
      </c>
      <c r="P71" s="56" t="s">
        <v>21</v>
      </c>
      <c r="Q71" s="66" t="s">
        <v>21</v>
      </c>
      <c r="R71" s="95" t="s">
        <v>21</v>
      </c>
      <c r="S71" s="75" t="s">
        <v>21</v>
      </c>
      <c r="T71" s="63" t="str">
        <f t="shared" si="6"/>
        <v/>
      </c>
      <c r="V71" s="117">
        <v>1.1164846900000001</v>
      </c>
      <c r="W71" s="60">
        <v>2.88164182</v>
      </c>
      <c r="X71" s="60">
        <v>4.4596599399999999</v>
      </c>
      <c r="Y71" s="60">
        <v>5.8375225899999998</v>
      </c>
      <c r="Z71" s="118">
        <v>7.5891252800000002</v>
      </c>
      <c r="AB71" s="73">
        <v>3.6355070571593387E-2</v>
      </c>
      <c r="AC71" s="75">
        <v>4.0473494056618542E-2</v>
      </c>
      <c r="AD71" s="75">
        <v>4.5469582910294827E-2</v>
      </c>
      <c r="AE71" s="75">
        <v>4.8480720386517996E-2</v>
      </c>
      <c r="AF71" s="63">
        <v>5.1167639599161527E-2</v>
      </c>
      <c r="AG71" s="73" t="s">
        <v>21</v>
      </c>
      <c r="AH71" s="75">
        <v>3.8342971566185454E-3</v>
      </c>
      <c r="AI71" s="75">
        <v>8.3142817102948314E-3</v>
      </c>
      <c r="AJ71" s="75">
        <v>1.0366255486517994E-2</v>
      </c>
      <c r="AK71" s="63">
        <v>1.1737091599161521E-2</v>
      </c>
    </row>
    <row r="72" spans="2:37" x14ac:dyDescent="0.35">
      <c r="B72" s="78" t="s">
        <v>301</v>
      </c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6"/>
      <c r="P72" s="78"/>
      <c r="Q72" s="77"/>
      <c r="R72" s="94"/>
      <c r="S72" s="77"/>
      <c r="T72" s="76"/>
      <c r="V72" s="111"/>
      <c r="W72" s="106"/>
      <c r="X72" s="106"/>
      <c r="Y72" s="106"/>
      <c r="Z72" s="112"/>
      <c r="AB72" s="77"/>
      <c r="AC72" s="77"/>
      <c r="AD72" s="77"/>
      <c r="AE72" s="77"/>
      <c r="AF72" s="77"/>
      <c r="AG72" s="77"/>
      <c r="AH72" s="77"/>
      <c r="AI72" s="77"/>
      <c r="AJ72" s="77"/>
      <c r="AK72" s="76"/>
    </row>
    <row r="73" spans="2:37" s="136" customFormat="1" x14ac:dyDescent="0.35">
      <c r="B73" s="55" t="s">
        <v>303</v>
      </c>
      <c r="C73" s="65" t="s">
        <v>30</v>
      </c>
      <c r="D73" s="65" t="s">
        <v>304</v>
      </c>
      <c r="E73" s="65" t="s">
        <v>21</v>
      </c>
      <c r="F73" s="74">
        <f t="shared" ref="F73:J75" si="7">IF(ISNUMBER(AB73),AB73-((C$4-C$3)/V73),"")</f>
        <v>3.6715081960729874E-2</v>
      </c>
      <c r="G73" s="79">
        <f t="shared" si="7"/>
        <v>4.1106435625265857E-2</v>
      </c>
      <c r="H73" s="79">
        <f t="shared" si="7"/>
        <v>4.6313534156052022E-2</v>
      </c>
      <c r="I73" s="79">
        <f t="shared" si="7"/>
        <v>4.9844413375065136E-2</v>
      </c>
      <c r="J73" s="61">
        <f t="shared" si="7"/>
        <v>5.3084036615123592E-2</v>
      </c>
      <c r="K73" s="74" t="str">
        <f t="shared" ref="K73:O75" si="8">IF(ISNUMBER(AG73),IF(AG73-((C$4-C$3)/V73)&lt;0,"",AG73-((C$4-C$3)/V73)),"")</f>
        <v/>
      </c>
      <c r="L73" s="79">
        <f t="shared" si="8"/>
        <v>4.4395343252658578E-3</v>
      </c>
      <c r="M73" s="79">
        <f t="shared" si="8"/>
        <v>9.1203123560520301E-3</v>
      </c>
      <c r="N73" s="79">
        <f t="shared" si="8"/>
        <v>1.166962127506513E-2</v>
      </c>
      <c r="O73" s="61">
        <f t="shared" si="8"/>
        <v>1.358177471512359E-2</v>
      </c>
      <c r="P73" s="54" t="s">
        <v>21</v>
      </c>
      <c r="Q73" s="52" t="s">
        <v>21</v>
      </c>
      <c r="R73" s="93" t="s">
        <v>21</v>
      </c>
      <c r="S73" s="70" t="s">
        <v>21</v>
      </c>
      <c r="T73" s="62" t="str">
        <f t="shared" si="6"/>
        <v/>
      </c>
      <c r="U73" s="54"/>
      <c r="V73" s="117">
        <v>1.1158146799999999</v>
      </c>
      <c r="W73" s="60">
        <v>2.8765308300000001</v>
      </c>
      <c r="X73" s="60">
        <v>4.4449271499999998</v>
      </c>
      <c r="Y73" s="60">
        <v>5.8028738500000001</v>
      </c>
      <c r="Z73" s="118">
        <v>7.5047828499999998</v>
      </c>
      <c r="AB73" s="74">
        <v>3.6715081960729874E-2</v>
      </c>
      <c r="AC73" s="79">
        <v>4.1106435625265857E-2</v>
      </c>
      <c r="AD73" s="79">
        <v>4.6313534156052022E-2</v>
      </c>
      <c r="AE73" s="79">
        <v>4.9844413375065136E-2</v>
      </c>
      <c r="AF73" s="61">
        <v>5.3084036615123592E-2</v>
      </c>
      <c r="AG73" s="74" t="s">
        <v>21</v>
      </c>
      <c r="AH73" s="79">
        <v>4.4395343252658578E-3</v>
      </c>
      <c r="AI73" s="79">
        <v>9.1203123560520301E-3</v>
      </c>
      <c r="AJ73" s="79">
        <v>1.166962127506513E-2</v>
      </c>
      <c r="AK73" s="61">
        <v>1.358177471512359E-2</v>
      </c>
    </row>
    <row r="74" spans="2:37" s="136" customFormat="1" x14ac:dyDescent="0.35">
      <c r="B74" s="54" t="s">
        <v>303</v>
      </c>
      <c r="C74" s="66" t="s">
        <v>35</v>
      </c>
      <c r="D74" s="52" t="s">
        <v>304</v>
      </c>
      <c r="E74" s="52" t="s">
        <v>21</v>
      </c>
      <c r="F74" s="72">
        <f t="shared" si="7"/>
        <v>3.8798241690352848E-2</v>
      </c>
      <c r="G74" s="59">
        <f t="shared" si="7"/>
        <v>4.6440519086014098E-2</v>
      </c>
      <c r="H74" s="70">
        <f t="shared" si="7"/>
        <v>5.5261432289629389E-2</v>
      </c>
      <c r="I74" s="70">
        <f t="shared" si="7"/>
        <v>6.0834868908090978E-2</v>
      </c>
      <c r="J74" s="62">
        <f t="shared" si="7"/>
        <v>6.4724380907453971E-2</v>
      </c>
      <c r="K74" s="72">
        <f t="shared" si="8"/>
        <v>1.1023654903528479E-3</v>
      </c>
      <c r="L74" s="59">
        <f t="shared" si="8"/>
        <v>9.5758768860140925E-3</v>
      </c>
      <c r="M74" s="70">
        <f t="shared" si="8"/>
        <v>1.7700376089629405E-2</v>
      </c>
      <c r="N74" s="70">
        <f t="shared" si="8"/>
        <v>2.2180696208090968E-2</v>
      </c>
      <c r="O74" s="62">
        <f t="shared" si="8"/>
        <v>2.4741497907453967E-2</v>
      </c>
      <c r="P74" s="54" t="s">
        <v>21</v>
      </c>
      <c r="Q74" s="52" t="s">
        <v>21</v>
      </c>
      <c r="R74" s="93" t="s">
        <v>21</v>
      </c>
      <c r="S74" s="70" t="s">
        <v>21</v>
      </c>
      <c r="T74" s="62" t="str">
        <f t="shared" si="6"/>
        <v/>
      </c>
      <c r="U74" s="54"/>
      <c r="V74" s="113">
        <v>1.1135300399999999</v>
      </c>
      <c r="W74" s="71">
        <v>2.8510826699999998</v>
      </c>
      <c r="X74" s="71">
        <v>4.3533601800000001</v>
      </c>
      <c r="Y74" s="71">
        <v>5.6034328499999999</v>
      </c>
      <c r="Z74" s="114">
        <v>7.1105842399999997</v>
      </c>
      <c r="AB74" s="72">
        <v>3.8798241690352848E-2</v>
      </c>
      <c r="AC74" s="70">
        <v>4.6440519086014098E-2</v>
      </c>
      <c r="AD74" s="70">
        <v>5.5261432289629389E-2</v>
      </c>
      <c r="AE74" s="70">
        <v>6.0834868908090978E-2</v>
      </c>
      <c r="AF74" s="62">
        <v>6.4724380907453971E-2</v>
      </c>
      <c r="AG74" s="72">
        <v>1.1023654903528479E-3</v>
      </c>
      <c r="AH74" s="70">
        <v>9.5758768860140925E-3</v>
      </c>
      <c r="AI74" s="70">
        <v>1.7700376089629405E-2</v>
      </c>
      <c r="AJ74" s="70">
        <v>2.2180696208090968E-2</v>
      </c>
      <c r="AK74" s="62">
        <v>2.4741497907453967E-2</v>
      </c>
    </row>
    <row r="75" spans="2:37" s="136" customFormat="1" x14ac:dyDescent="0.35">
      <c r="B75" s="56" t="s">
        <v>303</v>
      </c>
      <c r="C75" s="52" t="s">
        <v>33</v>
      </c>
      <c r="D75" s="66" t="s">
        <v>304</v>
      </c>
      <c r="E75" s="53" t="s">
        <v>21</v>
      </c>
      <c r="F75" s="73">
        <f t="shared" si="7"/>
        <v>3.7418563753269268E-2</v>
      </c>
      <c r="G75" s="75">
        <f t="shared" si="7"/>
        <v>4.3435561021974191E-2</v>
      </c>
      <c r="H75" s="75">
        <f t="shared" si="7"/>
        <v>5.0380629716374824E-2</v>
      </c>
      <c r="I75" s="75">
        <f t="shared" si="7"/>
        <v>5.469988621614693E-2</v>
      </c>
      <c r="J75" s="63">
        <f t="shared" si="7"/>
        <v>5.8469672162400926E-2</v>
      </c>
      <c r="K75" s="73" t="str">
        <f t="shared" si="8"/>
        <v/>
      </c>
      <c r="L75" s="75">
        <f t="shared" si="8"/>
        <v>6.6642329219741914E-3</v>
      </c>
      <c r="M75" s="75">
        <f t="shared" si="8"/>
        <v>1.2991090816374819E-2</v>
      </c>
      <c r="N75" s="75">
        <f t="shared" si="8"/>
        <v>1.6288112616146926E-2</v>
      </c>
      <c r="O75" s="63">
        <f t="shared" si="8"/>
        <v>1.8728514962400918E-2</v>
      </c>
      <c r="P75" s="54" t="s">
        <v>21</v>
      </c>
      <c r="Q75" s="52" t="s">
        <v>21</v>
      </c>
      <c r="R75" s="93" t="s">
        <v>21</v>
      </c>
      <c r="S75" s="70" t="s">
        <v>21</v>
      </c>
      <c r="T75" s="62" t="str">
        <f t="shared" si="6"/>
        <v/>
      </c>
      <c r="U75" s="54"/>
      <c r="V75" s="115">
        <v>1.11447341</v>
      </c>
      <c r="W75" s="71">
        <v>2.8597620699999999</v>
      </c>
      <c r="X75" s="71">
        <v>4.3834977400000001</v>
      </c>
      <c r="Y75" s="107">
        <v>5.6697332999999999</v>
      </c>
      <c r="Z75" s="116">
        <v>7.2362535800000005</v>
      </c>
      <c r="AB75" s="73">
        <v>3.7418563753269268E-2</v>
      </c>
      <c r="AC75" s="75">
        <v>4.3435561021974191E-2</v>
      </c>
      <c r="AD75" s="75">
        <v>5.0380629716374824E-2</v>
      </c>
      <c r="AE75" s="75">
        <v>5.469988621614693E-2</v>
      </c>
      <c r="AF75" s="63">
        <v>5.8469672162400926E-2</v>
      </c>
      <c r="AG75" s="73" t="s">
        <v>21</v>
      </c>
      <c r="AH75" s="75">
        <v>6.6642329219741914E-3</v>
      </c>
      <c r="AI75" s="75">
        <v>1.2991090816374819E-2</v>
      </c>
      <c r="AJ75" s="75">
        <v>1.6288112616146926E-2</v>
      </c>
      <c r="AK75" s="63">
        <v>1.8728514962400918E-2</v>
      </c>
    </row>
    <row r="76" spans="2:37" s="136" customFormat="1" x14ac:dyDescent="0.35">
      <c r="B76" s="78" t="s">
        <v>302</v>
      </c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8"/>
      <c r="Q76" s="77"/>
      <c r="R76" s="94"/>
      <c r="S76" s="77"/>
      <c r="T76" s="77"/>
      <c r="U76" s="54"/>
      <c r="V76" s="111"/>
      <c r="W76" s="106"/>
      <c r="X76" s="106"/>
      <c r="Y76" s="106"/>
      <c r="Z76" s="112"/>
      <c r="AB76" s="77"/>
      <c r="AC76" s="77"/>
      <c r="AD76" s="77"/>
      <c r="AE76" s="77"/>
      <c r="AF76" s="77"/>
      <c r="AG76" s="77"/>
      <c r="AH76" s="77"/>
      <c r="AI76" s="77"/>
      <c r="AJ76" s="77"/>
      <c r="AK76" s="76"/>
    </row>
    <row r="77" spans="2:37" s="136" customFormat="1" x14ac:dyDescent="0.35">
      <c r="B77" s="55" t="s">
        <v>305</v>
      </c>
      <c r="C77" s="65" t="s">
        <v>30</v>
      </c>
      <c r="D77" s="65" t="s">
        <v>131</v>
      </c>
      <c r="E77" s="65" t="s">
        <v>21</v>
      </c>
      <c r="F77" s="74">
        <f t="shared" ref="F77:J78" si="9">IF(ISNUMBER(AB77),AB77-((C$4-C$3)/V77),"")</f>
        <v>3.6807546076714472E-2</v>
      </c>
      <c r="G77" s="79">
        <f t="shared" si="9"/>
        <v>4.1116055625088778E-2</v>
      </c>
      <c r="H77" s="79">
        <f t="shared" si="9"/>
        <v>4.6365296877813496E-2</v>
      </c>
      <c r="I77" s="79">
        <f t="shared" si="9"/>
        <v>4.9653737547918353E-2</v>
      </c>
      <c r="J77" s="61">
        <f t="shared" si="9"/>
        <v>5.2464889741138207E-2</v>
      </c>
      <c r="K77" s="74" t="str">
        <f t="shared" ref="K77:O78" si="10">IF(ISNUMBER(AG77),IF(AG77-((C$4-C$3)/V77)&lt;0,"",AG77-((C$4-C$3)/V77)),"")</f>
        <v/>
      </c>
      <c r="L77" s="79">
        <f t="shared" si="10"/>
        <v>4.4488076250887819E-3</v>
      </c>
      <c r="M77" s="79">
        <f t="shared" si="10"/>
        <v>9.1697803778134947E-3</v>
      </c>
      <c r="N77" s="79">
        <f t="shared" si="10"/>
        <v>1.1487739947918355E-2</v>
      </c>
      <c r="O77" s="61">
        <f t="shared" si="10"/>
        <v>1.2987151041138205E-2</v>
      </c>
      <c r="P77" s="55" t="s">
        <v>21</v>
      </c>
      <c r="Q77" s="65" t="s">
        <v>21</v>
      </c>
      <c r="R77" s="99" t="s">
        <v>21</v>
      </c>
      <c r="S77" s="79" t="s">
        <v>21</v>
      </c>
      <c r="T77" s="61" t="str">
        <f t="shared" si="6"/>
        <v/>
      </c>
      <c r="U77" s="54"/>
      <c r="V77" s="117">
        <v>1.11563948</v>
      </c>
      <c r="W77" s="60">
        <v>2.8761630900000004</v>
      </c>
      <c r="X77" s="60">
        <v>4.44404573</v>
      </c>
      <c r="Y77" s="60">
        <v>5.8045084099999995</v>
      </c>
      <c r="Z77" s="118">
        <v>7.5219520400000004</v>
      </c>
      <c r="AB77" s="74">
        <v>3.6807546076714472E-2</v>
      </c>
      <c r="AC77" s="79">
        <v>4.1116055625088778E-2</v>
      </c>
      <c r="AD77" s="79">
        <v>4.6365296877813496E-2</v>
      </c>
      <c r="AE77" s="79">
        <v>4.9653737547918353E-2</v>
      </c>
      <c r="AF77" s="61">
        <v>5.2464889741138207E-2</v>
      </c>
      <c r="AG77" s="74" t="s">
        <v>21</v>
      </c>
      <c r="AH77" s="79">
        <v>4.4488076250887819E-3</v>
      </c>
      <c r="AI77" s="79">
        <v>9.1697803778134947E-3</v>
      </c>
      <c r="AJ77" s="79">
        <v>1.1487739947918355E-2</v>
      </c>
      <c r="AK77" s="61">
        <v>1.2987151041138205E-2</v>
      </c>
    </row>
    <row r="78" spans="2:37" s="136" customFormat="1" x14ac:dyDescent="0.35">
      <c r="B78" s="56" t="s">
        <v>305</v>
      </c>
      <c r="C78" s="66" t="s">
        <v>35</v>
      </c>
      <c r="D78" s="66" t="s">
        <v>131</v>
      </c>
      <c r="E78" s="66" t="s">
        <v>21</v>
      </c>
      <c r="F78" s="73">
        <f t="shared" si="9"/>
        <v>3.8813457526273229E-2</v>
      </c>
      <c r="G78" s="75">
        <f t="shared" si="9"/>
        <v>4.6446437395617261E-2</v>
      </c>
      <c r="H78" s="75">
        <f t="shared" si="9"/>
        <v>5.526530780489701E-2</v>
      </c>
      <c r="I78" s="75">
        <f t="shared" si="9"/>
        <v>6.0837890986828409E-2</v>
      </c>
      <c r="J78" s="63">
        <f t="shared" si="9"/>
        <v>6.5067430396786502E-2</v>
      </c>
      <c r="K78" s="73">
        <f t="shared" si="10"/>
        <v>1.1118817262732337E-3</v>
      </c>
      <c r="L78" s="75">
        <f t="shared" si="10"/>
        <v>9.5791879956172651E-3</v>
      </c>
      <c r="M78" s="75">
        <f t="shared" si="10"/>
        <v>1.7702313104897012E-2</v>
      </c>
      <c r="N78" s="75">
        <f t="shared" si="10"/>
        <v>2.2182078286828423E-2</v>
      </c>
      <c r="O78" s="63">
        <f t="shared" si="10"/>
        <v>2.5064036496786499E-2</v>
      </c>
      <c r="P78" s="56" t="s">
        <v>21</v>
      </c>
      <c r="Q78" s="66" t="s">
        <v>21</v>
      </c>
      <c r="R78" s="95" t="s">
        <v>21</v>
      </c>
      <c r="S78" s="75" t="s">
        <v>21</v>
      </c>
      <c r="T78" s="63" t="str">
        <f t="shared" si="6"/>
        <v/>
      </c>
      <c r="U78" s="54"/>
      <c r="V78" s="113">
        <v>1.11353645</v>
      </c>
      <c r="W78" s="107">
        <v>2.8510775900000001</v>
      </c>
      <c r="X78" s="71">
        <v>4.3533461400000002</v>
      </c>
      <c r="Y78" s="107">
        <v>5.6034110200000002</v>
      </c>
      <c r="Z78" s="116">
        <v>7.1049613299999992</v>
      </c>
      <c r="AB78" s="73">
        <v>3.8813457526273229E-2</v>
      </c>
      <c r="AC78" s="75">
        <v>4.6446437395617261E-2</v>
      </c>
      <c r="AD78" s="75">
        <v>5.526530780489701E-2</v>
      </c>
      <c r="AE78" s="75">
        <v>6.0837890986828409E-2</v>
      </c>
      <c r="AF78" s="63">
        <v>6.5067430396786502E-2</v>
      </c>
      <c r="AG78" s="73">
        <v>1.1118817262732337E-3</v>
      </c>
      <c r="AH78" s="75">
        <v>9.5791879956172651E-3</v>
      </c>
      <c r="AI78" s="75">
        <v>1.7702313104897012E-2</v>
      </c>
      <c r="AJ78" s="75">
        <v>2.2182078286828423E-2</v>
      </c>
      <c r="AK78" s="63">
        <v>2.5064036496786499E-2</v>
      </c>
    </row>
    <row r="79" spans="2:37" x14ac:dyDescent="0.35">
      <c r="B79" s="78" t="s">
        <v>67</v>
      </c>
      <c r="C79" s="77"/>
      <c r="D79" s="77"/>
      <c r="E79" s="77"/>
      <c r="F79" s="77" t="str">
        <f t="shared" si="4"/>
        <v/>
      </c>
      <c r="G79" s="77" t="str">
        <f t="shared" si="4"/>
        <v/>
      </c>
      <c r="H79" s="77" t="str">
        <f t="shared" si="4"/>
        <v/>
      </c>
      <c r="I79" s="77" t="str">
        <f t="shared" si="4"/>
        <v/>
      </c>
      <c r="J79" s="77" t="str">
        <f t="shared" si="4"/>
        <v/>
      </c>
      <c r="K79" s="77" t="str">
        <f t="shared" si="5"/>
        <v/>
      </c>
      <c r="L79" s="77" t="str">
        <f t="shared" si="5"/>
        <v/>
      </c>
      <c r="M79" s="77" t="str">
        <f t="shared" si="5"/>
        <v/>
      </c>
      <c r="N79" s="77" t="str">
        <f t="shared" si="5"/>
        <v/>
      </c>
      <c r="O79" s="76" t="str">
        <f t="shared" si="5"/>
        <v/>
      </c>
      <c r="P79" s="78"/>
      <c r="Q79" s="77"/>
      <c r="R79" s="94"/>
      <c r="S79" s="77"/>
      <c r="T79" s="76" t="str">
        <f t="shared" si="6"/>
        <v/>
      </c>
      <c r="V79" s="111"/>
      <c r="W79" s="106"/>
      <c r="X79" s="106"/>
      <c r="Y79" s="106"/>
      <c r="Z79" s="112"/>
      <c r="AB79" s="77"/>
      <c r="AC79" s="77"/>
      <c r="AD79" s="77"/>
      <c r="AE79" s="77"/>
      <c r="AF79" s="77"/>
      <c r="AG79" s="77"/>
      <c r="AH79" s="77"/>
      <c r="AI79" s="77"/>
      <c r="AJ79" s="77"/>
      <c r="AK79" s="76"/>
    </row>
    <row r="80" spans="2:37" x14ac:dyDescent="0.35">
      <c r="B80" s="55" t="s">
        <v>68</v>
      </c>
      <c r="C80" s="65" t="s">
        <v>61</v>
      </c>
      <c r="D80" s="65" t="s">
        <v>69</v>
      </c>
      <c r="E80" s="65" t="s">
        <v>21</v>
      </c>
      <c r="F80" s="74">
        <f t="shared" si="4"/>
        <v>3.9357131373550874E-2</v>
      </c>
      <c r="G80" s="79">
        <f t="shared" si="4"/>
        <v>4.3949100740643121E-2</v>
      </c>
      <c r="H80" s="79">
        <f t="shared" si="4"/>
        <v>5.000703508508806E-2</v>
      </c>
      <c r="I80" s="79">
        <f t="shared" si="4"/>
        <v>5.3573744957660881E-2</v>
      </c>
      <c r="J80" s="61">
        <f t="shared" si="4"/>
        <v>5.6848641040569935E-2</v>
      </c>
      <c r="K80" s="74">
        <f t="shared" si="5"/>
        <v>1.6244643735508681E-3</v>
      </c>
      <c r="L80" s="79">
        <f t="shared" si="5"/>
        <v>7.1504001406431216E-3</v>
      </c>
      <c r="M80" s="79">
        <f t="shared" si="5"/>
        <v>1.2633591785088058E-2</v>
      </c>
      <c r="N80" s="79">
        <f t="shared" si="5"/>
        <v>1.5216682157660883E-2</v>
      </c>
      <c r="O80" s="61">
        <f t="shared" si="5"/>
        <v>1.7182815640569934E-2</v>
      </c>
      <c r="P80" s="55" t="s">
        <v>21</v>
      </c>
      <c r="Q80" s="65" t="s">
        <v>21</v>
      </c>
      <c r="R80" s="99" t="s">
        <v>21</v>
      </c>
      <c r="S80" s="79" t="s">
        <v>21</v>
      </c>
      <c r="T80" s="61" t="str">
        <f t="shared" si="6"/>
        <v/>
      </c>
      <c r="V80" s="117">
        <v>1.11088034</v>
      </c>
      <c r="W80" s="60">
        <v>2.8503663700000001</v>
      </c>
      <c r="X80" s="60">
        <v>4.3774666400000006</v>
      </c>
      <c r="Y80" s="60">
        <v>5.6807288599999994</v>
      </c>
      <c r="Z80" s="118">
        <v>7.2901723200000008</v>
      </c>
      <c r="AB80" s="74">
        <v>3.9357131373550874E-2</v>
      </c>
      <c r="AC80" s="79">
        <v>4.3949100740643121E-2</v>
      </c>
      <c r="AD80" s="79">
        <v>5.000703508508806E-2</v>
      </c>
      <c r="AE80" s="79">
        <v>5.3573744957660881E-2</v>
      </c>
      <c r="AF80" s="61">
        <v>5.6848641040569935E-2</v>
      </c>
      <c r="AG80" s="74">
        <v>1.6244643735508681E-3</v>
      </c>
      <c r="AH80" s="79">
        <v>7.1504001406431216E-3</v>
      </c>
      <c r="AI80" s="79">
        <v>1.2633591785088058E-2</v>
      </c>
      <c r="AJ80" s="79">
        <v>1.5216682157660883E-2</v>
      </c>
      <c r="AK80" s="61">
        <v>1.7182815640569934E-2</v>
      </c>
    </row>
    <row r="81" spans="2:37" x14ac:dyDescent="0.35">
      <c r="B81" s="56" t="s">
        <v>68</v>
      </c>
      <c r="C81" s="66" t="s">
        <v>63</v>
      </c>
      <c r="D81" s="66" t="s">
        <v>69</v>
      </c>
      <c r="E81" s="66" t="s">
        <v>81</v>
      </c>
      <c r="F81" s="73">
        <f t="shared" si="4"/>
        <v>4.0827229213516808E-2</v>
      </c>
      <c r="G81" s="75">
        <f t="shared" si="4"/>
        <v>4.6456207233169219E-2</v>
      </c>
      <c r="H81" s="75">
        <f t="shared" si="4"/>
        <v>5.3238909334064083E-2</v>
      </c>
      <c r="I81" s="75">
        <f t="shared" si="4"/>
        <v>5.7120937247738104E-2</v>
      </c>
      <c r="J81" s="63">
        <f t="shared" si="4"/>
        <v>6.0242404499004788E-2</v>
      </c>
      <c r="K81" s="73">
        <f t="shared" si="5"/>
        <v>3.0546842135168086E-3</v>
      </c>
      <c r="L81" s="75">
        <f t="shared" si="5"/>
        <v>9.5950978331692215E-3</v>
      </c>
      <c r="M81" s="75">
        <f t="shared" si="5"/>
        <v>1.5778608234064077E-2</v>
      </c>
      <c r="N81" s="75">
        <f t="shared" si="5"/>
        <v>1.866428054773811E-2</v>
      </c>
      <c r="O81" s="63">
        <f t="shared" si="5"/>
        <v>2.0481655699004793E-2</v>
      </c>
      <c r="P81" s="56" t="s">
        <v>21</v>
      </c>
      <c r="Q81" s="66" t="s">
        <v>21</v>
      </c>
      <c r="R81" s="95" t="s">
        <v>21</v>
      </c>
      <c r="S81" s="75" t="s">
        <v>21</v>
      </c>
      <c r="T81" s="63" t="str">
        <f t="shared" si="6"/>
        <v/>
      </c>
      <c r="V81" s="115">
        <v>1.1101091699999999</v>
      </c>
      <c r="W81" s="107">
        <v>2.8450119300000001</v>
      </c>
      <c r="X81" s="107">
        <v>4.3634018799999996</v>
      </c>
      <c r="Y81" s="107">
        <v>5.6549721100000001</v>
      </c>
      <c r="Z81" s="116">
        <v>7.2512765899999998</v>
      </c>
      <c r="AB81" s="73">
        <v>4.0827229213516808E-2</v>
      </c>
      <c r="AC81" s="75">
        <v>4.6456207233169219E-2</v>
      </c>
      <c r="AD81" s="75">
        <v>5.3238909334064083E-2</v>
      </c>
      <c r="AE81" s="75">
        <v>5.7120937247738104E-2</v>
      </c>
      <c r="AF81" s="63">
        <v>6.0242404499004788E-2</v>
      </c>
      <c r="AG81" s="73">
        <v>3.0546842135168086E-3</v>
      </c>
      <c r="AH81" s="75">
        <v>9.5950978331692215E-3</v>
      </c>
      <c r="AI81" s="75">
        <v>1.5778608234064077E-2</v>
      </c>
      <c r="AJ81" s="75">
        <v>1.866428054773811E-2</v>
      </c>
      <c r="AK81" s="63">
        <v>2.0481655699004793E-2</v>
      </c>
    </row>
    <row r="82" spans="2:37" x14ac:dyDescent="0.35">
      <c r="B82" s="55" t="s">
        <v>70</v>
      </c>
      <c r="C82" s="65" t="s">
        <v>65</v>
      </c>
      <c r="D82" s="65" t="s">
        <v>69</v>
      </c>
      <c r="E82" s="65" t="s">
        <v>229</v>
      </c>
      <c r="F82" s="74">
        <f t="shared" si="4"/>
        <v>3.9618418654366036E-2</v>
      </c>
      <c r="G82" s="79">
        <f t="shared" si="4"/>
        <v>4.4662898574760038E-2</v>
      </c>
      <c r="H82" s="79">
        <f t="shared" si="4"/>
        <v>5.0950624803080082E-2</v>
      </c>
      <c r="I82" s="79">
        <f t="shared" si="4"/>
        <v>5.5023543503860663E-2</v>
      </c>
      <c r="J82" s="61">
        <f t="shared" si="4"/>
        <v>5.8611216064605877E-2</v>
      </c>
      <c r="K82" s="74">
        <f t="shared" si="5"/>
        <v>1.8784363543660329E-3</v>
      </c>
      <c r="L82" s="79">
        <f t="shared" si="5"/>
        <v>7.8311521747600372E-3</v>
      </c>
      <c r="M82" s="79">
        <f t="shared" si="5"/>
        <v>1.3529148603080077E-2</v>
      </c>
      <c r="N82" s="79">
        <f t="shared" si="5"/>
        <v>1.6590563103860655E-2</v>
      </c>
      <c r="O82" s="61">
        <f t="shared" si="5"/>
        <v>1.8855756364605882E-2</v>
      </c>
      <c r="P82" s="54" t="s">
        <v>456</v>
      </c>
      <c r="Q82" s="52" t="s">
        <v>457</v>
      </c>
      <c r="R82" s="93">
        <v>47371</v>
      </c>
      <c r="S82" s="70">
        <v>4.7270890000000003E-2</v>
      </c>
      <c r="T82" s="62">
        <f t="shared" si="6"/>
        <v>3.6797348030800786E-3</v>
      </c>
      <c r="V82" s="117">
        <v>1.1103687</v>
      </c>
      <c r="W82" s="60">
        <v>2.8450917900000001</v>
      </c>
      <c r="X82" s="60">
        <v>4.3616853600000001</v>
      </c>
      <c r="Y82" s="60">
        <v>5.6445857999999998</v>
      </c>
      <c r="Z82" s="118">
        <v>7.2106178000000005</v>
      </c>
      <c r="AB82" s="74">
        <v>3.9618418654366036E-2</v>
      </c>
      <c r="AC82" s="79">
        <v>4.4662898574760038E-2</v>
      </c>
      <c r="AD82" s="79">
        <v>5.0950624803080082E-2</v>
      </c>
      <c r="AE82" s="79">
        <v>5.5023543503860663E-2</v>
      </c>
      <c r="AF82" s="61">
        <v>5.8611216064605877E-2</v>
      </c>
      <c r="AG82" s="74">
        <v>1.8784363543660329E-3</v>
      </c>
      <c r="AH82" s="79">
        <v>7.8311521747600372E-3</v>
      </c>
      <c r="AI82" s="79">
        <v>1.3529148603080077E-2</v>
      </c>
      <c r="AJ82" s="79">
        <v>1.6590563103860655E-2</v>
      </c>
      <c r="AK82" s="61">
        <v>1.8855756364605882E-2</v>
      </c>
    </row>
    <row r="83" spans="2:37" x14ac:dyDescent="0.35">
      <c r="B83" s="54" t="s">
        <v>70</v>
      </c>
      <c r="C83" s="52" t="s">
        <v>66</v>
      </c>
      <c r="D83" s="52" t="s">
        <v>69</v>
      </c>
      <c r="E83" s="52" t="s">
        <v>81</v>
      </c>
      <c r="F83" s="72">
        <f t="shared" si="4"/>
        <v>4.0844669207415162E-2</v>
      </c>
      <c r="G83" s="59">
        <f t="shared" si="4"/>
        <v>4.7585423291070461E-2</v>
      </c>
      <c r="H83" s="59">
        <f t="shared" si="4"/>
        <v>5.5790563956703065E-2</v>
      </c>
      <c r="I83" s="59">
        <f t="shared" si="4"/>
        <v>6.1273178973613923E-2</v>
      </c>
      <c r="J83" s="62">
        <f t="shared" si="4"/>
        <v>6.5330357997321453E-2</v>
      </c>
      <c r="K83" s="72">
        <f t="shared" si="5"/>
        <v>3.0630239074151584E-3</v>
      </c>
      <c r="L83" s="59">
        <f t="shared" si="5"/>
        <v>1.0671588091070458E-2</v>
      </c>
      <c r="M83" s="59">
        <f t="shared" si="5"/>
        <v>1.8201911556703077E-2</v>
      </c>
      <c r="N83" s="59">
        <f t="shared" si="5"/>
        <v>2.2592207573613909E-2</v>
      </c>
      <c r="O83" s="62">
        <f t="shared" si="5"/>
        <v>2.5309992097321446E-2</v>
      </c>
      <c r="P83" s="54" t="s">
        <v>21</v>
      </c>
      <c r="Q83" s="52" t="s">
        <v>21</v>
      </c>
      <c r="R83" s="93" t="s">
        <v>21</v>
      </c>
      <c r="S83" s="70" t="s">
        <v>21</v>
      </c>
      <c r="T83" s="62" t="str">
        <f t="shared" si="6"/>
        <v/>
      </c>
      <c r="V83" s="115">
        <v>1.1101311300000001</v>
      </c>
      <c r="W83" s="107">
        <v>2.8398007000000001</v>
      </c>
      <c r="X83" s="107">
        <v>4.3368851199999998</v>
      </c>
      <c r="Y83" s="107">
        <v>5.58312834</v>
      </c>
      <c r="Z83" s="116">
        <v>7.0813850400000007</v>
      </c>
      <c r="AB83" s="72">
        <v>4.0844669207415162E-2</v>
      </c>
      <c r="AC83" s="70">
        <v>4.7585423291070461E-2</v>
      </c>
      <c r="AD83" s="70">
        <v>5.5790563956703065E-2</v>
      </c>
      <c r="AE83" s="70">
        <v>6.1273178973613923E-2</v>
      </c>
      <c r="AF83" s="62">
        <v>6.5330357997321453E-2</v>
      </c>
      <c r="AG83" s="72">
        <v>3.0630239074151584E-3</v>
      </c>
      <c r="AH83" s="70">
        <v>1.0671588091070458E-2</v>
      </c>
      <c r="AI83" s="70">
        <v>1.8201911556703077E-2</v>
      </c>
      <c r="AJ83" s="70">
        <v>2.2592207573613909E-2</v>
      </c>
      <c r="AK83" s="62">
        <v>2.5309992097321446E-2</v>
      </c>
    </row>
    <row r="84" spans="2:37" x14ac:dyDescent="0.35">
      <c r="B84" s="55" t="s">
        <v>71</v>
      </c>
      <c r="C84" s="65" t="s">
        <v>61</v>
      </c>
      <c r="D84" s="65" t="s">
        <v>69</v>
      </c>
      <c r="E84" s="65" t="s">
        <v>21</v>
      </c>
      <c r="F84" s="74">
        <f t="shared" si="4"/>
        <v>3.7494247916279644E-2</v>
      </c>
      <c r="G84" s="79">
        <f t="shared" si="4"/>
        <v>4.1628083135268563E-2</v>
      </c>
      <c r="H84" s="79">
        <f t="shared" si="4"/>
        <v>4.6637735503014588E-2</v>
      </c>
      <c r="I84" s="79">
        <f t="shared" si="4"/>
        <v>4.9777263137971747E-2</v>
      </c>
      <c r="J84" s="61">
        <f t="shared" si="4"/>
        <v>5.24947706314568E-2</v>
      </c>
      <c r="K84" s="74" t="str">
        <f t="shared" si="5"/>
        <v/>
      </c>
      <c r="L84" s="79">
        <f t="shared" si="5"/>
        <v>4.9400183352685673E-3</v>
      </c>
      <c r="M84" s="79">
        <f t="shared" si="5"/>
        <v>9.4305819030145836E-3</v>
      </c>
      <c r="N84" s="79">
        <f t="shared" si="5"/>
        <v>1.160567553797175E-2</v>
      </c>
      <c r="O84" s="61">
        <f t="shared" si="5"/>
        <v>1.3014538931456796E-2</v>
      </c>
      <c r="P84" s="55" t="s">
        <v>21</v>
      </c>
      <c r="Q84" s="65" t="s">
        <v>21</v>
      </c>
      <c r="R84" s="99" t="s">
        <v>21</v>
      </c>
      <c r="S84" s="79" t="s">
        <v>21</v>
      </c>
      <c r="T84" s="61" t="str">
        <f t="shared" si="6"/>
        <v/>
      </c>
      <c r="V84" s="117">
        <v>1.1143234199999998</v>
      </c>
      <c r="W84" s="60">
        <v>2.8706660099999999</v>
      </c>
      <c r="X84" s="60">
        <v>4.4349899600000002</v>
      </c>
      <c r="Y84" s="60">
        <v>5.7938588900000001</v>
      </c>
      <c r="Z84" s="118">
        <v>7.511518960000001</v>
      </c>
      <c r="AB84" s="74">
        <v>3.7494247916279644E-2</v>
      </c>
      <c r="AC84" s="79">
        <v>4.1628083135268563E-2</v>
      </c>
      <c r="AD84" s="79">
        <v>4.6637735503014588E-2</v>
      </c>
      <c r="AE84" s="79">
        <v>4.9777263137971747E-2</v>
      </c>
      <c r="AF84" s="61">
        <v>5.24947706314568E-2</v>
      </c>
      <c r="AG84" s="74" t="s">
        <v>21</v>
      </c>
      <c r="AH84" s="79">
        <v>4.9400183352685673E-3</v>
      </c>
      <c r="AI84" s="79">
        <v>9.4305819030145836E-3</v>
      </c>
      <c r="AJ84" s="79">
        <v>1.160567553797175E-2</v>
      </c>
      <c r="AK84" s="61">
        <v>1.3014538931456796E-2</v>
      </c>
    </row>
    <row r="85" spans="2:37" x14ac:dyDescent="0.35">
      <c r="B85" s="56" t="s">
        <v>71</v>
      </c>
      <c r="C85" s="66" t="s">
        <v>63</v>
      </c>
      <c r="D85" s="66" t="s">
        <v>69</v>
      </c>
      <c r="E85" s="66" t="s">
        <v>21</v>
      </c>
      <c r="F85" s="73">
        <f t="shared" si="4"/>
        <v>3.9027270638286038E-2</v>
      </c>
      <c r="G85" s="75">
        <f t="shared" si="4"/>
        <v>4.4071280991464616E-2</v>
      </c>
      <c r="H85" s="75">
        <f t="shared" si="4"/>
        <v>4.9864757509388957E-2</v>
      </c>
      <c r="I85" s="75">
        <f t="shared" si="4"/>
        <v>5.3508379749963142E-2</v>
      </c>
      <c r="J85" s="63">
        <f t="shared" si="4"/>
        <v>5.6340683949372951E-2</v>
      </c>
      <c r="K85" s="73">
        <f t="shared" si="5"/>
        <v>1.34018653828604E-3</v>
      </c>
      <c r="L85" s="75">
        <f t="shared" si="5"/>
        <v>7.3117491914646091E-3</v>
      </c>
      <c r="M85" s="75">
        <f t="shared" si="5"/>
        <v>1.2557583909388968E-2</v>
      </c>
      <c r="N85" s="75">
        <f t="shared" si="5"/>
        <v>1.5219446749963131E-2</v>
      </c>
      <c r="O85" s="63">
        <f t="shared" si="5"/>
        <v>1.6756831249372949E-2</v>
      </c>
      <c r="P85" s="56" t="s">
        <v>21</v>
      </c>
      <c r="Q85" s="66" t="s">
        <v>21</v>
      </c>
      <c r="R85" s="95" t="s">
        <v>21</v>
      </c>
      <c r="S85" s="75" t="s">
        <v>21</v>
      </c>
      <c r="T85" s="63" t="str">
        <f t="shared" si="6"/>
        <v/>
      </c>
      <c r="V85" s="115">
        <v>1.1131160500000001</v>
      </c>
      <c r="W85" s="107">
        <v>2.8616150399999998</v>
      </c>
      <c r="X85" s="107">
        <v>4.40858303</v>
      </c>
      <c r="Y85" s="107">
        <v>5.7410332100000003</v>
      </c>
      <c r="Z85" s="116">
        <v>7.4130034600000005</v>
      </c>
      <c r="AB85" s="73">
        <v>3.9027270638286038E-2</v>
      </c>
      <c r="AC85" s="75">
        <v>4.4071280991464616E-2</v>
      </c>
      <c r="AD85" s="75">
        <v>4.9864757509388957E-2</v>
      </c>
      <c r="AE85" s="75">
        <v>5.3508379749963142E-2</v>
      </c>
      <c r="AF85" s="63">
        <v>5.6340683949372951E-2</v>
      </c>
      <c r="AG85" s="73">
        <v>1.34018653828604E-3</v>
      </c>
      <c r="AH85" s="75">
        <v>7.3117491914646091E-3</v>
      </c>
      <c r="AI85" s="75">
        <v>1.2557583909388968E-2</v>
      </c>
      <c r="AJ85" s="75">
        <v>1.5219446749963131E-2</v>
      </c>
      <c r="AK85" s="63">
        <v>1.6756831249372949E-2</v>
      </c>
    </row>
    <row r="86" spans="2:37" x14ac:dyDescent="0.35">
      <c r="B86" s="54" t="s">
        <v>72</v>
      </c>
      <c r="C86" s="52" t="s">
        <v>65</v>
      </c>
      <c r="D86" s="52" t="s">
        <v>69</v>
      </c>
      <c r="E86" s="52" t="s">
        <v>34</v>
      </c>
      <c r="F86" s="72">
        <f t="shared" si="4"/>
        <v>3.7374848496920417E-2</v>
      </c>
      <c r="G86" s="59">
        <f t="shared" si="4"/>
        <v>4.2341333285843608E-2</v>
      </c>
      <c r="H86" s="59">
        <f t="shared" si="4"/>
        <v>4.8713947173600065E-2</v>
      </c>
      <c r="I86" s="59">
        <f t="shared" si="4"/>
        <v>5.2492891806663368E-2</v>
      </c>
      <c r="J86" s="62">
        <f t="shared" si="4"/>
        <v>5.6162610128521785E-2</v>
      </c>
      <c r="K86" s="72" t="str">
        <f t="shared" si="5"/>
        <v/>
      </c>
      <c r="L86" s="59">
        <f t="shared" si="5"/>
        <v>5.61839768584361E-3</v>
      </c>
      <c r="M86" s="59">
        <f t="shared" si="5"/>
        <v>1.1406892673600068E-2</v>
      </c>
      <c r="N86" s="59">
        <f t="shared" si="5"/>
        <v>1.4193246906663366E-2</v>
      </c>
      <c r="O86" s="62">
        <f t="shared" si="5"/>
        <v>1.6531914728521779E-2</v>
      </c>
      <c r="P86" s="54" t="s">
        <v>21</v>
      </c>
      <c r="Q86" s="52" t="s">
        <v>21</v>
      </c>
      <c r="R86" s="93" t="s">
        <v>21</v>
      </c>
      <c r="S86" s="70" t="s">
        <v>21</v>
      </c>
      <c r="T86" s="62" t="str">
        <f t="shared" si="6"/>
        <v/>
      </c>
      <c r="V86" s="117">
        <v>1.11458938</v>
      </c>
      <c r="W86" s="60">
        <v>2.8667368799999999</v>
      </c>
      <c r="X86" s="60">
        <v>4.4090113299999993</v>
      </c>
      <c r="Y86" s="60">
        <v>5.7271269700000005</v>
      </c>
      <c r="Z86" s="118">
        <v>7.3515215499999993</v>
      </c>
      <c r="AB86" s="72">
        <v>3.7374848496920417E-2</v>
      </c>
      <c r="AC86" s="70">
        <v>4.2341333285843608E-2</v>
      </c>
      <c r="AD86" s="70">
        <v>4.8713947173600065E-2</v>
      </c>
      <c r="AE86" s="70">
        <v>5.2492891806663368E-2</v>
      </c>
      <c r="AF86" s="62">
        <v>5.6162610128521785E-2</v>
      </c>
      <c r="AG86" s="72" t="s">
        <v>21</v>
      </c>
      <c r="AH86" s="70">
        <v>5.61839768584361E-3</v>
      </c>
      <c r="AI86" s="70">
        <v>1.1406892673600068E-2</v>
      </c>
      <c r="AJ86" s="70">
        <v>1.4193246906663366E-2</v>
      </c>
      <c r="AK86" s="62">
        <v>1.6531914728521779E-2</v>
      </c>
    </row>
    <row r="87" spans="2:37" x14ac:dyDescent="0.35">
      <c r="B87" s="56" t="s">
        <v>72</v>
      </c>
      <c r="C87" s="66" t="s">
        <v>66</v>
      </c>
      <c r="D87" s="66" t="s">
        <v>69</v>
      </c>
      <c r="E87" s="66" t="s">
        <v>36</v>
      </c>
      <c r="F87" s="73">
        <f t="shared" si="4"/>
        <v>3.8367075841705803E-2</v>
      </c>
      <c r="G87" s="75">
        <f t="shared" si="4"/>
        <v>4.542852038997184E-2</v>
      </c>
      <c r="H87" s="75">
        <f t="shared" si="4"/>
        <v>5.3493397453521198E-2</v>
      </c>
      <c r="I87" s="75">
        <f t="shared" si="4"/>
        <v>5.8578085560659056E-2</v>
      </c>
      <c r="J87" s="63">
        <f t="shared" si="4"/>
        <v>6.2497993986919187E-2</v>
      </c>
      <c r="K87" s="73">
        <f t="shared" si="5"/>
        <v>6.9592334170580101E-4</v>
      </c>
      <c r="L87" s="75">
        <f t="shared" si="5"/>
        <v>8.6108793899718431E-3</v>
      </c>
      <c r="M87" s="75">
        <f t="shared" si="5"/>
        <v>1.6022626453521205E-2</v>
      </c>
      <c r="N87" s="75">
        <f t="shared" si="5"/>
        <v>2.0048751660659066E-2</v>
      </c>
      <c r="O87" s="63">
        <f t="shared" si="5"/>
        <v>2.2632001186919187E-2</v>
      </c>
      <c r="P87" s="56" t="s">
        <v>21</v>
      </c>
      <c r="Q87" s="66" t="s">
        <v>21</v>
      </c>
      <c r="R87" s="95" t="s">
        <v>21</v>
      </c>
      <c r="S87" s="75" t="s">
        <v>21</v>
      </c>
      <c r="T87" s="63" t="str">
        <f t="shared" si="6"/>
        <v/>
      </c>
      <c r="V87" s="115">
        <v>1.1140865499999999</v>
      </c>
      <c r="W87" s="107">
        <v>2.8567675800000001</v>
      </c>
      <c r="X87" s="107">
        <v>4.3739968499999993</v>
      </c>
      <c r="Y87" s="107">
        <v>5.6489804100000001</v>
      </c>
      <c r="Z87" s="116">
        <v>7.19895555</v>
      </c>
      <c r="AB87" s="73">
        <v>3.8367075841705803E-2</v>
      </c>
      <c r="AC87" s="75">
        <v>4.542852038997184E-2</v>
      </c>
      <c r="AD87" s="75">
        <v>5.3493397453521198E-2</v>
      </c>
      <c r="AE87" s="75">
        <v>5.8578085560659056E-2</v>
      </c>
      <c r="AF87" s="63">
        <v>6.2497993986919187E-2</v>
      </c>
      <c r="AG87" s="73">
        <v>6.9592334170580101E-4</v>
      </c>
      <c r="AH87" s="75">
        <v>8.6108793899718431E-3</v>
      </c>
      <c r="AI87" s="75">
        <v>1.6022626453521205E-2</v>
      </c>
      <c r="AJ87" s="75">
        <v>2.0048751660659066E-2</v>
      </c>
      <c r="AK87" s="63">
        <v>2.2632001186919187E-2</v>
      </c>
    </row>
    <row r="88" spans="2:37" x14ac:dyDescent="0.35">
      <c r="B88" s="56" t="s">
        <v>74</v>
      </c>
      <c r="C88" s="66" t="s">
        <v>61</v>
      </c>
      <c r="D88" s="66" t="s">
        <v>69</v>
      </c>
      <c r="E88" s="66" t="s">
        <v>312</v>
      </c>
      <c r="F88" s="73">
        <f t="shared" si="4"/>
        <v>3.8346234957337237E-2</v>
      </c>
      <c r="G88" s="75">
        <f t="shared" si="4"/>
        <v>4.3181585987761374E-2</v>
      </c>
      <c r="H88" s="75">
        <f t="shared" si="4"/>
        <v>4.9154828166447874E-2</v>
      </c>
      <c r="I88" s="75">
        <f t="shared" si="4"/>
        <v>5.2926499616247728E-2</v>
      </c>
      <c r="J88" s="63">
        <f t="shared" si="4"/>
        <v>5.6282425922682573E-2</v>
      </c>
      <c r="K88" s="73">
        <f t="shared" si="5"/>
        <v>6.6069895733723676E-4</v>
      </c>
      <c r="L88" s="75">
        <f t="shared" si="5"/>
        <v>6.4212205877613787E-3</v>
      </c>
      <c r="M88" s="75">
        <f t="shared" si="5"/>
        <v>1.1826250666447874E-2</v>
      </c>
      <c r="N88" s="75">
        <f t="shared" si="5"/>
        <v>1.4604193416247722E-2</v>
      </c>
      <c r="O88" s="63">
        <f t="shared" si="5"/>
        <v>1.6645247622682571E-2</v>
      </c>
      <c r="P88" s="56" t="s">
        <v>21</v>
      </c>
      <c r="Q88" s="66" t="s">
        <v>21</v>
      </c>
      <c r="R88" s="95" t="s">
        <v>21</v>
      </c>
      <c r="S88" s="75" t="s">
        <v>21</v>
      </c>
      <c r="T88" s="63" t="str">
        <f t="shared" si="6"/>
        <v/>
      </c>
      <c r="V88" s="117">
        <v>1.11274597</v>
      </c>
      <c r="W88" s="60">
        <v>2.85832175</v>
      </c>
      <c r="X88" s="60">
        <v>4.3949212800000002</v>
      </c>
      <c r="Y88" s="60">
        <v>5.7074863499999999</v>
      </c>
      <c r="Z88" s="118">
        <v>7.3294281200000002</v>
      </c>
      <c r="AB88" s="73">
        <v>3.8346234957337237E-2</v>
      </c>
      <c r="AC88" s="75">
        <v>4.3181585987761374E-2</v>
      </c>
      <c r="AD88" s="75">
        <v>4.9154828166447874E-2</v>
      </c>
      <c r="AE88" s="75">
        <v>5.2926499616247728E-2</v>
      </c>
      <c r="AF88" s="63">
        <v>5.6282425922682573E-2</v>
      </c>
      <c r="AG88" s="73">
        <v>6.6069895733723676E-4</v>
      </c>
      <c r="AH88" s="75">
        <v>6.4212205877613787E-3</v>
      </c>
      <c r="AI88" s="75">
        <v>1.1826250666447874E-2</v>
      </c>
      <c r="AJ88" s="75">
        <v>1.4604193416247722E-2</v>
      </c>
      <c r="AK88" s="63">
        <v>1.6645247622682571E-2</v>
      </c>
    </row>
    <row r="89" spans="2:37" x14ac:dyDescent="0.35">
      <c r="B89" s="54" t="s">
        <v>76</v>
      </c>
      <c r="C89" s="52" t="s">
        <v>65</v>
      </c>
      <c r="D89" s="52" t="s">
        <v>69</v>
      </c>
      <c r="E89" s="52" t="s">
        <v>34</v>
      </c>
      <c r="F89" s="72">
        <f t="shared" si="4"/>
        <v>3.8385203640015964E-2</v>
      </c>
      <c r="G89" s="59">
        <f t="shared" si="4"/>
        <v>4.3581222262382174E-2</v>
      </c>
      <c r="H89" s="59">
        <f t="shared" si="4"/>
        <v>5.0595137628965392E-2</v>
      </c>
      <c r="I89" s="59">
        <f t="shared" si="4"/>
        <v>5.4675571141677363E-2</v>
      </c>
      <c r="J89" s="62">
        <f t="shared" si="4"/>
        <v>5.8260797790411739E-2</v>
      </c>
      <c r="K89" s="72">
        <f t="shared" si="5"/>
        <v>6.9879974001596252E-4</v>
      </c>
      <c r="L89" s="59">
        <f t="shared" si="5"/>
        <v>6.8023284623821793E-3</v>
      </c>
      <c r="M89" s="59">
        <f t="shared" si="5"/>
        <v>1.3193689628965392E-2</v>
      </c>
      <c r="N89" s="59">
        <f t="shared" si="5"/>
        <v>1.6264239441677361E-2</v>
      </c>
      <c r="O89" s="62">
        <f t="shared" si="5"/>
        <v>1.8529359890411722E-2</v>
      </c>
      <c r="P89" s="54" t="s">
        <v>21</v>
      </c>
      <c r="Q89" s="52" t="s">
        <v>21</v>
      </c>
      <c r="R89" s="93" t="s">
        <v>21</v>
      </c>
      <c r="S89" s="70" t="s">
        <v>21</v>
      </c>
      <c r="T89" s="62" t="str">
        <f t="shared" si="6"/>
        <v/>
      </c>
      <c r="V89" s="117">
        <v>1.1126683099999999</v>
      </c>
      <c r="W89" s="60">
        <v>2.8557243199999998</v>
      </c>
      <c r="X89" s="60">
        <v>4.3773854100000005</v>
      </c>
      <c r="Y89" s="60">
        <v>5.6639652499999995</v>
      </c>
      <c r="Z89" s="118">
        <v>7.2364410500000007</v>
      </c>
      <c r="AB89" s="72">
        <v>3.8385203640015964E-2</v>
      </c>
      <c r="AC89" s="70">
        <v>4.3581222262382174E-2</v>
      </c>
      <c r="AD89" s="70">
        <v>5.0595137628965392E-2</v>
      </c>
      <c r="AE89" s="70">
        <v>5.4675571141677363E-2</v>
      </c>
      <c r="AF89" s="62">
        <v>5.8260797790411739E-2</v>
      </c>
      <c r="AG89" s="72">
        <v>6.9879974001596252E-4</v>
      </c>
      <c r="AH89" s="70">
        <v>6.8023284623821793E-3</v>
      </c>
      <c r="AI89" s="70">
        <v>1.3193689628965392E-2</v>
      </c>
      <c r="AJ89" s="70">
        <v>1.6264239441677361E-2</v>
      </c>
      <c r="AK89" s="62">
        <v>1.8529359890411722E-2</v>
      </c>
    </row>
    <row r="90" spans="2:37" x14ac:dyDescent="0.35">
      <c r="B90" s="56" t="s">
        <v>76</v>
      </c>
      <c r="C90" s="66" t="s">
        <v>66</v>
      </c>
      <c r="D90" s="66" t="s">
        <v>69</v>
      </c>
      <c r="E90" s="66" t="s">
        <v>21</v>
      </c>
      <c r="F90" s="73">
        <f t="shared" ref="F90:J110" si="11">IF(ISNUMBER(AB90),AB90-((C$4-C$3)/V90),"")</f>
        <v>3.9393662149526519E-2</v>
      </c>
      <c r="G90" s="75">
        <f t="shared" si="11"/>
        <v>4.6788896132125155E-2</v>
      </c>
      <c r="H90" s="75">
        <f t="shared" si="11"/>
        <v>5.5836551560585007E-2</v>
      </c>
      <c r="I90" s="75">
        <f t="shared" si="11"/>
        <v>6.1140010859381026E-2</v>
      </c>
      <c r="J90" s="63">
        <f t="shared" si="11"/>
        <v>6.4945404901458795E-2</v>
      </c>
      <c r="K90" s="73">
        <f t="shared" ref="K90:O110" si="12">IF(ISNUMBER(AG90),IF(AG90-((C$4-C$3)/V90)&lt;0,"",AG90-((C$4-C$3)/V90)),"")</f>
        <v>1.6965346495265154E-3</v>
      </c>
      <c r="L90" s="75">
        <f t="shared" si="12"/>
        <v>9.9182263321251542E-3</v>
      </c>
      <c r="M90" s="75">
        <f t="shared" si="12"/>
        <v>1.8252853660585006E-2</v>
      </c>
      <c r="N90" s="75">
        <f t="shared" si="12"/>
        <v>2.2474332959381008E-2</v>
      </c>
      <c r="O90" s="63">
        <f t="shared" si="12"/>
        <v>2.4954203801458789E-2</v>
      </c>
      <c r="P90" s="56" t="s">
        <v>21</v>
      </c>
      <c r="Q90" s="66" t="s">
        <v>21</v>
      </c>
      <c r="R90" s="95" t="s">
        <v>21</v>
      </c>
      <c r="S90" s="75" t="s">
        <v>21</v>
      </c>
      <c r="T90" s="63" t="str">
        <f t="shared" si="6"/>
        <v/>
      </c>
      <c r="V90" s="115">
        <v>1.11258397</v>
      </c>
      <c r="W90" s="107">
        <v>2.8477576099999999</v>
      </c>
      <c r="X90" s="107">
        <v>4.3451515699999996</v>
      </c>
      <c r="Y90" s="107">
        <v>5.5915051399999998</v>
      </c>
      <c r="Z90" s="116">
        <v>7.0952348999999995</v>
      </c>
      <c r="AB90" s="73">
        <v>3.9393662149526519E-2</v>
      </c>
      <c r="AC90" s="75">
        <v>4.6788896132125155E-2</v>
      </c>
      <c r="AD90" s="75">
        <v>5.5836551560585007E-2</v>
      </c>
      <c r="AE90" s="75">
        <v>6.1140010859381026E-2</v>
      </c>
      <c r="AF90" s="63">
        <v>6.4945404901458795E-2</v>
      </c>
      <c r="AG90" s="73">
        <v>1.6965346495265154E-3</v>
      </c>
      <c r="AH90" s="75">
        <v>9.9182263321251542E-3</v>
      </c>
      <c r="AI90" s="75">
        <v>1.8252853660585006E-2</v>
      </c>
      <c r="AJ90" s="75">
        <v>2.2474332959381008E-2</v>
      </c>
      <c r="AK90" s="63">
        <v>2.4954203801458789E-2</v>
      </c>
    </row>
    <row r="91" spans="2:37" x14ac:dyDescent="0.35">
      <c r="B91" s="54" t="s">
        <v>77</v>
      </c>
      <c r="C91" s="52" t="s">
        <v>61</v>
      </c>
      <c r="D91" s="52" t="s">
        <v>69</v>
      </c>
      <c r="E91" s="52" t="s">
        <v>21</v>
      </c>
      <c r="F91" s="72">
        <f t="shared" si="11"/>
        <v>3.7599175582464082E-2</v>
      </c>
      <c r="G91" s="59">
        <f t="shared" si="11"/>
        <v>4.1905971731766307E-2</v>
      </c>
      <c r="H91" s="59">
        <f t="shared" si="11"/>
        <v>4.7060764617172408E-2</v>
      </c>
      <c r="I91" s="59">
        <f t="shared" si="11"/>
        <v>5.0434696892835328E-2</v>
      </c>
      <c r="J91" s="62">
        <f t="shared" si="11"/>
        <v>5.3169881863167887E-2</v>
      </c>
      <c r="K91" s="72" t="str">
        <f t="shared" si="12"/>
        <v/>
      </c>
      <c r="L91" s="59">
        <f t="shared" si="12"/>
        <v>5.2036702317663028E-3</v>
      </c>
      <c r="M91" s="59">
        <f t="shared" si="12"/>
        <v>9.8328422171724047E-3</v>
      </c>
      <c r="N91" s="59">
        <f t="shared" si="12"/>
        <v>1.2232133092835332E-2</v>
      </c>
      <c r="O91" s="62">
        <f t="shared" si="12"/>
        <v>1.3663794663167882E-2</v>
      </c>
      <c r="P91" s="54" t="s">
        <v>21</v>
      </c>
      <c r="Q91" s="52" t="s">
        <v>21</v>
      </c>
      <c r="R91" s="93" t="s">
        <v>21</v>
      </c>
      <c r="S91" s="70" t="s">
        <v>21</v>
      </c>
      <c r="T91" s="62" t="str">
        <f t="shared" si="6"/>
        <v/>
      </c>
      <c r="V91" s="117">
        <v>1.1141535899999999</v>
      </c>
      <c r="W91" s="60">
        <v>2.8686611200000001</v>
      </c>
      <c r="X91" s="60">
        <v>4.4282763000000003</v>
      </c>
      <c r="Y91" s="60">
        <v>5.7775633399999995</v>
      </c>
      <c r="Z91" s="118">
        <v>7.4771554</v>
      </c>
      <c r="AB91" s="72">
        <v>3.7599175582464082E-2</v>
      </c>
      <c r="AC91" s="70">
        <v>4.1905971731766307E-2</v>
      </c>
      <c r="AD91" s="70">
        <v>4.7060764617172408E-2</v>
      </c>
      <c r="AE91" s="70">
        <v>5.0434696892835328E-2</v>
      </c>
      <c r="AF91" s="62">
        <v>5.3169881863167887E-2</v>
      </c>
      <c r="AG91" s="72" t="s">
        <v>21</v>
      </c>
      <c r="AH91" s="70">
        <v>5.2036702317663028E-3</v>
      </c>
      <c r="AI91" s="70">
        <v>9.8328422171724047E-3</v>
      </c>
      <c r="AJ91" s="70">
        <v>1.2232133092835332E-2</v>
      </c>
      <c r="AK91" s="62">
        <v>1.3663794663167882E-2</v>
      </c>
    </row>
    <row r="92" spans="2:37" x14ac:dyDescent="0.35">
      <c r="B92" s="56" t="s">
        <v>77</v>
      </c>
      <c r="C92" s="66" t="s">
        <v>63</v>
      </c>
      <c r="D92" s="66" t="s">
        <v>69</v>
      </c>
      <c r="E92" s="66" t="s">
        <v>21</v>
      </c>
      <c r="F92" s="73">
        <f t="shared" si="11"/>
        <v>3.937480237228428E-2</v>
      </c>
      <c r="G92" s="75">
        <f t="shared" si="11"/>
        <v>4.4566015120851302E-2</v>
      </c>
      <c r="H92" s="75">
        <f t="shared" si="11"/>
        <v>5.0547381980700412E-2</v>
      </c>
      <c r="I92" s="75">
        <f t="shared" si="11"/>
        <v>5.3861856397701899E-2</v>
      </c>
      <c r="J92" s="63">
        <f t="shared" si="11"/>
        <v>5.6547959214150928E-2</v>
      </c>
      <c r="K92" s="73">
        <f t="shared" si="12"/>
        <v>1.6727456722842819E-3</v>
      </c>
      <c r="L92" s="75">
        <f t="shared" si="12"/>
        <v>7.7854834208513028E-3</v>
      </c>
      <c r="M92" s="75">
        <f t="shared" si="12"/>
        <v>1.3210212480700409E-2</v>
      </c>
      <c r="N92" s="75">
        <f t="shared" si="12"/>
        <v>1.5556979297701896E-2</v>
      </c>
      <c r="O92" s="63">
        <f t="shared" si="12"/>
        <v>1.6954715714150935E-2</v>
      </c>
      <c r="P92" s="56" t="s">
        <v>21</v>
      </c>
      <c r="Q92" s="66" t="s">
        <v>21</v>
      </c>
      <c r="R92" s="95" t="s">
        <v>21</v>
      </c>
      <c r="S92" s="75" t="s">
        <v>21</v>
      </c>
      <c r="T92" s="63" t="str">
        <f t="shared" si="6"/>
        <v/>
      </c>
      <c r="V92" s="115">
        <v>1.1126403899999999</v>
      </c>
      <c r="W92" s="107">
        <v>2.8584247199999999</v>
      </c>
      <c r="X92" s="107">
        <v>4.3992016600000001</v>
      </c>
      <c r="Y92" s="107">
        <v>5.7272081899999998</v>
      </c>
      <c r="Z92" s="116">
        <v>7.3956321899999997</v>
      </c>
      <c r="AB92" s="73">
        <v>3.937480237228428E-2</v>
      </c>
      <c r="AC92" s="75">
        <v>4.4566015120851302E-2</v>
      </c>
      <c r="AD92" s="75">
        <v>5.0547381980700412E-2</v>
      </c>
      <c r="AE92" s="75">
        <v>5.3861856397701899E-2</v>
      </c>
      <c r="AF92" s="63">
        <v>5.6547959214150928E-2</v>
      </c>
      <c r="AG92" s="73">
        <v>1.6727456722842819E-3</v>
      </c>
      <c r="AH92" s="75">
        <v>7.7854834208513028E-3</v>
      </c>
      <c r="AI92" s="75">
        <v>1.3210212480700409E-2</v>
      </c>
      <c r="AJ92" s="75">
        <v>1.5556979297701896E-2</v>
      </c>
      <c r="AK92" s="63">
        <v>1.6954715714150935E-2</v>
      </c>
    </row>
    <row r="93" spans="2:37" x14ac:dyDescent="0.35">
      <c r="B93" s="54" t="s">
        <v>78</v>
      </c>
      <c r="C93" s="52" t="s">
        <v>65</v>
      </c>
      <c r="D93" s="52" t="s">
        <v>69</v>
      </c>
      <c r="E93" s="52" t="s">
        <v>79</v>
      </c>
      <c r="F93" s="72">
        <f t="shared" si="11"/>
        <v>3.7638165876025385E-2</v>
      </c>
      <c r="G93" s="59">
        <f t="shared" si="11"/>
        <v>4.2978510614556549E-2</v>
      </c>
      <c r="H93" s="59">
        <f t="shared" si="11"/>
        <v>4.9754161370962703E-2</v>
      </c>
      <c r="I93" s="59">
        <f t="shared" si="11"/>
        <v>5.3754145413198118E-2</v>
      </c>
      <c r="J93" s="62">
        <f t="shared" si="11"/>
        <v>5.7408762075549645E-2</v>
      </c>
      <c r="K93" s="72" t="str">
        <f t="shared" si="12"/>
        <v/>
      </c>
      <c r="L93" s="59">
        <f t="shared" si="12"/>
        <v>6.2285443145565483E-3</v>
      </c>
      <c r="M93" s="59">
        <f t="shared" si="12"/>
        <v>1.2396701470962715E-2</v>
      </c>
      <c r="N93" s="59">
        <f t="shared" si="12"/>
        <v>1.539199761319811E-2</v>
      </c>
      <c r="O93" s="62">
        <f t="shared" si="12"/>
        <v>1.7723459475549642E-2</v>
      </c>
      <c r="P93" s="54" t="s">
        <v>21</v>
      </c>
      <c r="Q93" s="52" t="s">
        <v>21</v>
      </c>
      <c r="R93" s="93" t="s">
        <v>21</v>
      </c>
      <c r="S93" s="70" t="s">
        <v>21</v>
      </c>
      <c r="T93" s="62" t="str">
        <f t="shared" si="6"/>
        <v/>
      </c>
      <c r="V93" s="117">
        <v>1.11406158</v>
      </c>
      <c r="W93" s="60">
        <v>2.8618625</v>
      </c>
      <c r="X93" s="60">
        <v>4.3926897800000004</v>
      </c>
      <c r="Y93" s="60">
        <v>5.69240178</v>
      </c>
      <c r="Z93" s="118">
        <v>7.2854559099999996</v>
      </c>
      <c r="AB93" s="72">
        <v>3.7638165876025385E-2</v>
      </c>
      <c r="AC93" s="70">
        <v>4.2978510614556549E-2</v>
      </c>
      <c r="AD93" s="70">
        <v>4.9754161370962703E-2</v>
      </c>
      <c r="AE93" s="70">
        <v>5.3754145413198118E-2</v>
      </c>
      <c r="AF93" s="62">
        <v>5.7408762075549645E-2</v>
      </c>
      <c r="AG93" s="72" t="s">
        <v>21</v>
      </c>
      <c r="AH93" s="70">
        <v>6.2285443145565483E-3</v>
      </c>
      <c r="AI93" s="70">
        <v>1.2396701470962715E-2</v>
      </c>
      <c r="AJ93" s="70">
        <v>1.539199761319811E-2</v>
      </c>
      <c r="AK93" s="62">
        <v>1.7723459475549642E-2</v>
      </c>
    </row>
    <row r="94" spans="2:37" x14ac:dyDescent="0.35">
      <c r="B94" s="56" t="s">
        <v>78</v>
      </c>
      <c r="C94" s="66" t="s">
        <v>66</v>
      </c>
      <c r="D94" s="66" t="s">
        <v>69</v>
      </c>
      <c r="E94" s="66" t="s">
        <v>133</v>
      </c>
      <c r="F94" s="73">
        <f t="shared" si="11"/>
        <v>3.8869025669642662E-2</v>
      </c>
      <c r="G94" s="75">
        <f t="shared" si="11"/>
        <v>4.6489915393314311E-2</v>
      </c>
      <c r="H94" s="75">
        <f t="shared" si="11"/>
        <v>5.5548464446025299E-2</v>
      </c>
      <c r="I94" s="75">
        <f t="shared" si="11"/>
        <v>6.0850013082375552E-2</v>
      </c>
      <c r="J94" s="63">
        <f t="shared" si="11"/>
        <v>6.4993690496496018E-2</v>
      </c>
      <c r="K94" s="73">
        <f t="shared" si="12"/>
        <v>1.1733872696426638E-3</v>
      </c>
      <c r="L94" s="75">
        <f t="shared" si="12"/>
        <v>9.6243961933143076E-3</v>
      </c>
      <c r="M94" s="75">
        <f t="shared" si="12"/>
        <v>1.7973922946025307E-2</v>
      </c>
      <c r="N94" s="75">
        <f t="shared" si="12"/>
        <v>2.2196125982375546E-2</v>
      </c>
      <c r="O94" s="63">
        <f t="shared" si="12"/>
        <v>2.4995873396496015E-2</v>
      </c>
      <c r="P94" s="56" t="s">
        <v>21</v>
      </c>
      <c r="Q94" s="66" t="s">
        <v>21</v>
      </c>
      <c r="R94" s="95" t="s">
        <v>21</v>
      </c>
      <c r="S94" s="75" t="s">
        <v>21</v>
      </c>
      <c r="T94" s="63" t="str">
        <f t="shared" si="6"/>
        <v/>
      </c>
      <c r="V94" s="115">
        <v>1.11341537</v>
      </c>
      <c r="W94" s="107">
        <v>2.8506452200000001</v>
      </c>
      <c r="X94" s="107">
        <v>4.3506497499999996</v>
      </c>
      <c r="Y94" s="107">
        <v>5.60011072</v>
      </c>
      <c r="Z94" s="116">
        <v>7.1034137999999993</v>
      </c>
      <c r="AB94" s="73">
        <v>3.8869025669642662E-2</v>
      </c>
      <c r="AC94" s="75">
        <v>4.6489915393314311E-2</v>
      </c>
      <c r="AD94" s="75">
        <v>5.5548464446025299E-2</v>
      </c>
      <c r="AE94" s="75">
        <v>6.0850013082375552E-2</v>
      </c>
      <c r="AF94" s="63">
        <v>6.4993690496496018E-2</v>
      </c>
      <c r="AG94" s="73">
        <v>1.1733872696426638E-3</v>
      </c>
      <c r="AH94" s="75">
        <v>9.6243961933143076E-3</v>
      </c>
      <c r="AI94" s="75">
        <v>1.7973922946025307E-2</v>
      </c>
      <c r="AJ94" s="75">
        <v>2.2196125982375546E-2</v>
      </c>
      <c r="AK94" s="63">
        <v>2.4995873396496015E-2</v>
      </c>
    </row>
    <row r="95" spans="2:37" x14ac:dyDescent="0.35">
      <c r="B95" s="54" t="s">
        <v>80</v>
      </c>
      <c r="C95" s="52" t="s">
        <v>61</v>
      </c>
      <c r="D95" s="52" t="s">
        <v>69</v>
      </c>
      <c r="E95" s="52" t="s">
        <v>21</v>
      </c>
      <c r="F95" s="72">
        <f t="shared" si="11"/>
        <v>3.7281821033939316E-2</v>
      </c>
      <c r="G95" s="59">
        <f t="shared" si="11"/>
        <v>4.1780589418914917E-2</v>
      </c>
      <c r="H95" s="70">
        <f t="shared" si="11"/>
        <v>4.7769695392786991E-2</v>
      </c>
      <c r="I95" s="70">
        <f t="shared" si="11"/>
        <v>5.1085898884454667E-2</v>
      </c>
      <c r="J95" s="62">
        <f t="shared" si="11"/>
        <v>5.4213128262727714E-2</v>
      </c>
      <c r="K95" s="72" t="str">
        <f t="shared" si="12"/>
        <v/>
      </c>
      <c r="L95" s="59">
        <f t="shared" si="12"/>
        <v>5.0860102189149142E-3</v>
      </c>
      <c r="M95" s="70">
        <f t="shared" si="12"/>
        <v>1.0510474492786994E-2</v>
      </c>
      <c r="N95" s="70">
        <f t="shared" si="12"/>
        <v>1.2856099484454667E-2</v>
      </c>
      <c r="O95" s="62">
        <f t="shared" si="12"/>
        <v>1.4667201662727714E-2</v>
      </c>
      <c r="P95" s="54" t="s">
        <v>21</v>
      </c>
      <c r="Q95" s="52" t="s">
        <v>21</v>
      </c>
      <c r="R95" s="93" t="s">
        <v>21</v>
      </c>
      <c r="S95" s="70" t="s">
        <v>21</v>
      </c>
      <c r="T95" s="62" t="str">
        <f t="shared" si="6"/>
        <v/>
      </c>
      <c r="V95" s="117">
        <v>1.1147189099999999</v>
      </c>
      <c r="W95" s="60">
        <v>2.8704119299999999</v>
      </c>
      <c r="X95" s="60">
        <v>4.42307351</v>
      </c>
      <c r="Y95" s="60">
        <v>5.7616172499999996</v>
      </c>
      <c r="Z95" s="118">
        <v>7.4349894000000001</v>
      </c>
      <c r="AB95" s="72">
        <v>3.7281821033939316E-2</v>
      </c>
      <c r="AC95" s="70">
        <v>4.1780589418914917E-2</v>
      </c>
      <c r="AD95" s="70">
        <v>4.7769695392786991E-2</v>
      </c>
      <c r="AE95" s="70">
        <v>5.1085898884454667E-2</v>
      </c>
      <c r="AF95" s="62">
        <v>5.4213128262727714E-2</v>
      </c>
      <c r="AG95" s="72" t="s">
        <v>21</v>
      </c>
      <c r="AH95" s="70">
        <v>5.0860102189149142E-3</v>
      </c>
      <c r="AI95" s="70">
        <v>1.0510474492786994E-2</v>
      </c>
      <c r="AJ95" s="70">
        <v>1.2856099484454667E-2</v>
      </c>
      <c r="AK95" s="62">
        <v>1.4667201662727714E-2</v>
      </c>
    </row>
    <row r="96" spans="2:37" x14ac:dyDescent="0.35">
      <c r="B96" s="54" t="s">
        <v>80</v>
      </c>
      <c r="C96" s="52" t="s">
        <v>63</v>
      </c>
      <c r="D96" s="52" t="s">
        <v>69</v>
      </c>
      <c r="E96" s="52" t="s">
        <v>36</v>
      </c>
      <c r="F96" s="72">
        <f t="shared" si="11"/>
        <v>3.9131876482808962E-2</v>
      </c>
      <c r="G96" s="59">
        <f t="shared" si="11"/>
        <v>4.4464464443309808E-2</v>
      </c>
      <c r="H96" s="70">
        <f t="shared" si="11"/>
        <v>5.0550491458374765E-2</v>
      </c>
      <c r="I96" s="70">
        <f t="shared" si="11"/>
        <v>5.4535936319303147E-2</v>
      </c>
      <c r="J96" s="62">
        <f t="shared" si="11"/>
        <v>5.7890244516044083E-2</v>
      </c>
      <c r="K96" s="72">
        <f t="shared" si="12"/>
        <v>1.4366260828089679E-3</v>
      </c>
      <c r="L96" s="59">
        <f t="shared" si="12"/>
        <v>7.6871742433098026E-3</v>
      </c>
      <c r="M96" s="70">
        <f t="shared" si="12"/>
        <v>1.3212624858374768E-2</v>
      </c>
      <c r="N96" s="70">
        <f t="shared" si="12"/>
        <v>1.6201179519303145E-2</v>
      </c>
      <c r="O96" s="62">
        <f t="shared" si="12"/>
        <v>1.8244086716044088E-2</v>
      </c>
      <c r="P96" s="54" t="s">
        <v>21</v>
      </c>
      <c r="Q96" s="52" t="s">
        <v>21</v>
      </c>
      <c r="R96" s="93" t="s">
        <v>21</v>
      </c>
      <c r="S96" s="70" t="s">
        <v>21</v>
      </c>
      <c r="T96" s="62" t="str">
        <f t="shared" si="6"/>
        <v/>
      </c>
      <c r="V96" s="115">
        <v>1.11299254</v>
      </c>
      <c r="W96" s="107">
        <v>2.85925948</v>
      </c>
      <c r="X96" s="107">
        <v>4.4008701400000003</v>
      </c>
      <c r="Y96" s="107">
        <v>5.7217804699999997</v>
      </c>
      <c r="Z96" s="116">
        <v>7.3634521399999997</v>
      </c>
      <c r="AB96" s="72">
        <v>3.9131876482808962E-2</v>
      </c>
      <c r="AC96" s="70">
        <v>4.4464464443309808E-2</v>
      </c>
      <c r="AD96" s="70">
        <v>5.0550491458374765E-2</v>
      </c>
      <c r="AE96" s="70">
        <v>5.4535936319303147E-2</v>
      </c>
      <c r="AF96" s="62">
        <v>5.7890244516044083E-2</v>
      </c>
      <c r="AG96" s="72">
        <v>1.4366260828089679E-3</v>
      </c>
      <c r="AH96" s="70">
        <v>7.6871742433098026E-3</v>
      </c>
      <c r="AI96" s="70">
        <v>1.3212624858374768E-2</v>
      </c>
      <c r="AJ96" s="70">
        <v>1.6201179519303145E-2</v>
      </c>
      <c r="AK96" s="62">
        <v>1.8244086716044088E-2</v>
      </c>
    </row>
    <row r="97" spans="2:37" x14ac:dyDescent="0.35">
      <c r="B97" s="55" t="s">
        <v>82</v>
      </c>
      <c r="C97" s="65" t="s">
        <v>65</v>
      </c>
      <c r="D97" s="65" t="s">
        <v>69</v>
      </c>
      <c r="E97" s="65" t="s">
        <v>34</v>
      </c>
      <c r="F97" s="74">
        <f t="shared" si="11"/>
        <v>3.7995436867128002E-2</v>
      </c>
      <c r="G97" s="79">
        <f t="shared" si="11"/>
        <v>4.3498746683482782E-2</v>
      </c>
      <c r="H97" s="79">
        <f t="shared" si="11"/>
        <v>5.0590886928718347E-2</v>
      </c>
      <c r="I97" s="79">
        <f t="shared" si="11"/>
        <v>5.4670970026135607E-2</v>
      </c>
      <c r="J97" s="61">
        <f t="shared" si="11"/>
        <v>5.8301684686745459E-2</v>
      </c>
      <c r="K97" s="74">
        <f t="shared" si="12"/>
        <v>3.2359606712799478E-4</v>
      </c>
      <c r="L97" s="79">
        <f t="shared" si="12"/>
        <v>6.7230783834827824E-3</v>
      </c>
      <c r="M97" s="79">
        <f t="shared" si="12"/>
        <v>1.3189337228718338E-2</v>
      </c>
      <c r="N97" s="79">
        <f t="shared" si="12"/>
        <v>1.6259952126135603E-2</v>
      </c>
      <c r="O97" s="61">
        <f t="shared" si="12"/>
        <v>1.8568278586745458E-2</v>
      </c>
      <c r="P97" s="55" t="s">
        <v>21</v>
      </c>
      <c r="Q97" s="65" t="s">
        <v>21</v>
      </c>
      <c r="R97" s="99" t="s">
        <v>21</v>
      </c>
      <c r="S97" s="79" t="s">
        <v>21</v>
      </c>
      <c r="T97" s="61" t="str">
        <f t="shared" si="6"/>
        <v/>
      </c>
      <c r="V97" s="113">
        <v>1.11340898</v>
      </c>
      <c r="W97" s="71">
        <v>2.85752731</v>
      </c>
      <c r="X97" s="71">
        <v>4.3792704799999997</v>
      </c>
      <c r="Y97" s="71">
        <v>5.66570821</v>
      </c>
      <c r="Z97" s="114">
        <v>7.2370199</v>
      </c>
      <c r="AB97" s="74">
        <v>3.7995436867128002E-2</v>
      </c>
      <c r="AC97" s="79">
        <v>4.3498746683482782E-2</v>
      </c>
      <c r="AD97" s="79">
        <v>5.0590886928718347E-2</v>
      </c>
      <c r="AE97" s="79">
        <v>5.4670970026135607E-2</v>
      </c>
      <c r="AF97" s="61">
        <v>5.8301684686745459E-2</v>
      </c>
      <c r="AG97" s="74">
        <v>3.2359606712799478E-4</v>
      </c>
      <c r="AH97" s="79">
        <v>6.7230783834827824E-3</v>
      </c>
      <c r="AI97" s="79">
        <v>1.3189337228718338E-2</v>
      </c>
      <c r="AJ97" s="79">
        <v>1.6259952126135603E-2</v>
      </c>
      <c r="AK97" s="61">
        <v>1.8568278586745458E-2</v>
      </c>
    </row>
    <row r="98" spans="2:37" x14ac:dyDescent="0.35">
      <c r="B98" s="56" t="s">
        <v>82</v>
      </c>
      <c r="C98" s="66" t="s">
        <v>66</v>
      </c>
      <c r="D98" s="66" t="s">
        <v>69</v>
      </c>
      <c r="E98" s="66" t="s">
        <v>21</v>
      </c>
      <c r="F98" s="73">
        <f t="shared" si="11"/>
        <v>3.8956487003989418E-2</v>
      </c>
      <c r="G98" s="75">
        <f t="shared" si="11"/>
        <v>4.6862975875693401E-2</v>
      </c>
      <c r="H98" s="75">
        <f t="shared" si="11"/>
        <v>5.5940148829433621E-2</v>
      </c>
      <c r="I98" s="75">
        <f t="shared" si="11"/>
        <v>6.1331054118340327E-2</v>
      </c>
      <c r="J98" s="63">
        <f t="shared" si="11"/>
        <v>6.547733348928314E-2</v>
      </c>
      <c r="K98" s="73">
        <f t="shared" si="12"/>
        <v>1.2637724039894216E-3</v>
      </c>
      <c r="L98" s="75">
        <f t="shared" si="12"/>
        <v>9.9841660756933969E-3</v>
      </c>
      <c r="M98" s="75">
        <f t="shared" si="12"/>
        <v>1.8347577529433619E-2</v>
      </c>
      <c r="N98" s="75">
        <f t="shared" si="12"/>
        <v>2.2651896818340324E-2</v>
      </c>
      <c r="O98" s="63">
        <f t="shared" si="12"/>
        <v>2.5454711189283146E-2</v>
      </c>
      <c r="P98" s="56" t="s">
        <v>21</v>
      </c>
      <c r="Q98" s="66" t="s">
        <v>21</v>
      </c>
      <c r="R98" s="95" t="s">
        <v>21</v>
      </c>
      <c r="S98" s="75" t="s">
        <v>21</v>
      </c>
      <c r="T98" s="63" t="str">
        <f t="shared" si="6"/>
        <v/>
      </c>
      <c r="V98" s="113">
        <v>1.11325958</v>
      </c>
      <c r="W98" s="71">
        <v>2.8486194999999999</v>
      </c>
      <c r="X98" s="71">
        <v>4.34507551</v>
      </c>
      <c r="Y98" s="71">
        <v>5.5893499200000001</v>
      </c>
      <c r="Z98" s="114">
        <v>7.0836901699999997</v>
      </c>
      <c r="AB98" s="73">
        <v>3.8956487003989418E-2</v>
      </c>
      <c r="AC98" s="75">
        <v>4.6862975875693401E-2</v>
      </c>
      <c r="AD98" s="75">
        <v>5.5940148829433621E-2</v>
      </c>
      <c r="AE98" s="75">
        <v>6.1331054118340327E-2</v>
      </c>
      <c r="AF98" s="63">
        <v>6.547733348928314E-2</v>
      </c>
      <c r="AG98" s="73">
        <v>1.2637724039894216E-3</v>
      </c>
      <c r="AH98" s="75">
        <v>9.9841660756933969E-3</v>
      </c>
      <c r="AI98" s="75">
        <v>1.8347577529433619E-2</v>
      </c>
      <c r="AJ98" s="75">
        <v>2.2651896818340324E-2</v>
      </c>
      <c r="AK98" s="63">
        <v>2.5454711189283146E-2</v>
      </c>
    </row>
    <row r="99" spans="2:37" x14ac:dyDescent="0.35">
      <c r="B99" s="78" t="s">
        <v>458</v>
      </c>
      <c r="C99" s="77"/>
      <c r="D99" s="77"/>
      <c r="E99" s="77"/>
      <c r="F99" s="77" t="str">
        <f t="shared" si="11"/>
        <v/>
      </c>
      <c r="G99" s="77" t="str">
        <f t="shared" si="11"/>
        <v/>
      </c>
      <c r="H99" s="77" t="str">
        <f t="shared" si="11"/>
        <v/>
      </c>
      <c r="I99" s="77" t="str">
        <f t="shared" si="11"/>
        <v/>
      </c>
      <c r="J99" s="77" t="str">
        <f t="shared" si="11"/>
        <v/>
      </c>
      <c r="K99" s="77" t="str">
        <f t="shared" si="12"/>
        <v/>
      </c>
      <c r="L99" s="77" t="str">
        <f t="shared" si="12"/>
        <v/>
      </c>
      <c r="M99" s="77" t="str">
        <f t="shared" si="12"/>
        <v/>
      </c>
      <c r="N99" s="77" t="str">
        <f t="shared" si="12"/>
        <v/>
      </c>
      <c r="O99" s="76" t="str">
        <f t="shared" si="12"/>
        <v/>
      </c>
      <c r="P99" s="78"/>
      <c r="Q99" s="77"/>
      <c r="R99" s="94"/>
      <c r="S99" s="77"/>
      <c r="T99" s="76" t="str">
        <f t="shared" si="6"/>
        <v/>
      </c>
      <c r="V99" s="111"/>
      <c r="W99" s="106"/>
      <c r="X99" s="106"/>
      <c r="Y99" s="106"/>
      <c r="Z99" s="112"/>
      <c r="AB99" s="77"/>
      <c r="AC99" s="77"/>
      <c r="AD99" s="77"/>
      <c r="AE99" s="77"/>
      <c r="AF99" s="77"/>
      <c r="AG99" s="77"/>
      <c r="AH99" s="77"/>
      <c r="AI99" s="77"/>
      <c r="AJ99" s="77"/>
      <c r="AK99" s="76"/>
    </row>
    <row r="100" spans="2:37" x14ac:dyDescent="0.35">
      <c r="B100" s="54" t="s">
        <v>84</v>
      </c>
      <c r="C100" s="52" t="s">
        <v>85</v>
      </c>
      <c r="D100" s="52" t="s">
        <v>20</v>
      </c>
      <c r="E100" s="52" t="s">
        <v>459</v>
      </c>
      <c r="F100" s="72">
        <f t="shared" si="11"/>
        <v>3.9826974983618181E-2</v>
      </c>
      <c r="G100" s="59">
        <f t="shared" si="11"/>
        <v>4.4387759692691729E-2</v>
      </c>
      <c r="H100" s="70">
        <f t="shared" si="11"/>
        <v>5.0085227687929661E-2</v>
      </c>
      <c r="I100" s="70">
        <f t="shared" si="11"/>
        <v>5.3588605939514367E-2</v>
      </c>
      <c r="J100" s="62">
        <f t="shared" si="11"/>
        <v>5.6608860634760456E-2</v>
      </c>
      <c r="K100" s="72">
        <f t="shared" si="12"/>
        <v>2.0951640836181819E-3</v>
      </c>
      <c r="L100" s="59">
        <f t="shared" si="12"/>
        <v>7.5917965926917373E-3</v>
      </c>
      <c r="M100" s="70">
        <f t="shared" si="12"/>
        <v>1.2732921187929654E-2</v>
      </c>
      <c r="N100" s="70">
        <f t="shared" si="12"/>
        <v>1.5256263439514368E-2</v>
      </c>
      <c r="O100" s="62">
        <f t="shared" si="12"/>
        <v>1.6977366234760451E-2</v>
      </c>
      <c r="P100" s="54" t="s">
        <v>21</v>
      </c>
      <c r="Q100" s="52" t="s">
        <v>21</v>
      </c>
      <c r="R100" s="93" t="s">
        <v>21</v>
      </c>
      <c r="S100" s="70" t="s">
        <v>21</v>
      </c>
      <c r="T100" s="62" t="str">
        <f t="shared" si="6"/>
        <v/>
      </c>
      <c r="V100" s="113">
        <v>1.11098502</v>
      </c>
      <c r="W100" s="71">
        <v>2.85085385</v>
      </c>
      <c r="X100" s="71">
        <v>4.3828567300000003</v>
      </c>
      <c r="Y100" s="71">
        <v>5.6925986100000001</v>
      </c>
      <c r="Z100" s="114">
        <v>7.31912612</v>
      </c>
      <c r="AB100" s="72">
        <v>3.9826974983618181E-2</v>
      </c>
      <c r="AC100" s="70">
        <v>4.4387759692691729E-2</v>
      </c>
      <c r="AD100" s="70">
        <v>5.0085227687929661E-2</v>
      </c>
      <c r="AE100" s="70">
        <v>5.3588605939514367E-2</v>
      </c>
      <c r="AF100" s="62">
        <v>5.6608860634760456E-2</v>
      </c>
      <c r="AG100" s="72">
        <v>2.0951640836181819E-3</v>
      </c>
      <c r="AH100" s="70">
        <v>7.5917965926917373E-3</v>
      </c>
      <c r="AI100" s="70">
        <v>1.2732921187929654E-2</v>
      </c>
      <c r="AJ100" s="70">
        <v>1.5256263439514368E-2</v>
      </c>
      <c r="AK100" s="62">
        <v>1.6977366234760451E-2</v>
      </c>
    </row>
    <row r="101" spans="2:37" x14ac:dyDescent="0.35">
      <c r="B101" s="54" t="s">
        <v>86</v>
      </c>
      <c r="C101" s="52" t="s">
        <v>85</v>
      </c>
      <c r="D101" s="52" t="s">
        <v>20</v>
      </c>
      <c r="E101" s="52" t="s">
        <v>459</v>
      </c>
      <c r="F101" s="72">
        <f t="shared" si="11"/>
        <v>3.987790091961111E-2</v>
      </c>
      <c r="G101" s="59">
        <f t="shared" si="11"/>
        <v>4.4547328396531478E-2</v>
      </c>
      <c r="H101" s="70">
        <f t="shared" si="11"/>
        <v>5.0194629054543916E-2</v>
      </c>
      <c r="I101" s="70">
        <f t="shared" si="11"/>
        <v>5.370655104593948E-2</v>
      </c>
      <c r="J101" s="62">
        <f t="shared" si="11"/>
        <v>5.6811778456935476E-2</v>
      </c>
      <c r="K101" s="72">
        <f t="shared" si="12"/>
        <v>2.1446587196111179E-3</v>
      </c>
      <c r="L101" s="59">
        <f t="shared" si="12"/>
        <v>7.744230296531476E-3</v>
      </c>
      <c r="M101" s="70">
        <f t="shared" si="12"/>
        <v>1.283710845454392E-2</v>
      </c>
      <c r="N101" s="70">
        <f t="shared" si="12"/>
        <v>1.5368836245939474E-2</v>
      </c>
      <c r="O101" s="62">
        <f t="shared" si="12"/>
        <v>1.7171157256935486E-2</v>
      </c>
      <c r="P101" s="54" t="s">
        <v>21</v>
      </c>
      <c r="Q101" s="52" t="s">
        <v>21</v>
      </c>
      <c r="R101" s="93" t="s">
        <v>21</v>
      </c>
      <c r="S101" s="70" t="s">
        <v>21</v>
      </c>
      <c r="T101" s="62" t="str">
        <f t="shared" si="6"/>
        <v/>
      </c>
      <c r="V101" s="113">
        <v>1.1108616199999999</v>
      </c>
      <c r="W101" s="71">
        <v>2.8504346699999998</v>
      </c>
      <c r="X101" s="71">
        <v>4.3811690099999998</v>
      </c>
      <c r="Y101" s="71">
        <v>5.6884847199999999</v>
      </c>
      <c r="Z101" s="114">
        <v>7.3104505</v>
      </c>
      <c r="AB101" s="72">
        <v>3.987790091961111E-2</v>
      </c>
      <c r="AC101" s="70">
        <v>4.4547328396531478E-2</v>
      </c>
      <c r="AD101" s="70">
        <v>5.0194629054543916E-2</v>
      </c>
      <c r="AE101" s="70">
        <v>5.370655104593948E-2</v>
      </c>
      <c r="AF101" s="62">
        <v>5.6811778456935476E-2</v>
      </c>
      <c r="AG101" s="72">
        <v>2.1446587196111179E-3</v>
      </c>
      <c r="AH101" s="70">
        <v>7.744230296531476E-3</v>
      </c>
      <c r="AI101" s="70">
        <v>1.283710845454392E-2</v>
      </c>
      <c r="AJ101" s="70">
        <v>1.5368836245939474E-2</v>
      </c>
      <c r="AK101" s="62">
        <v>1.7171157256935486E-2</v>
      </c>
    </row>
    <row r="102" spans="2:37" x14ac:dyDescent="0.35">
      <c r="B102" s="54" t="s">
        <v>87</v>
      </c>
      <c r="C102" s="52" t="s">
        <v>85</v>
      </c>
      <c r="D102" s="52" t="s">
        <v>20</v>
      </c>
      <c r="E102" s="52" t="s">
        <v>88</v>
      </c>
      <c r="F102" s="72">
        <f t="shared" si="11"/>
        <v>3.9757601433617867E-2</v>
      </c>
      <c r="G102" s="59">
        <f t="shared" si="11"/>
        <v>4.4398777185993887E-2</v>
      </c>
      <c r="H102" s="70">
        <f t="shared" si="11"/>
        <v>5.0346062545052701E-2</v>
      </c>
      <c r="I102" s="70">
        <f t="shared" si="11"/>
        <v>5.3589319098677327E-2</v>
      </c>
      <c r="J102" s="62">
        <f t="shared" si="11"/>
        <v>5.6655977448489957E-2</v>
      </c>
      <c r="K102" s="72">
        <f t="shared" si="12"/>
        <v>2.0306127336178681E-3</v>
      </c>
      <c r="L102" s="59">
        <f t="shared" si="12"/>
        <v>7.6030189859938938E-3</v>
      </c>
      <c r="M102" s="70">
        <f t="shared" si="12"/>
        <v>1.2981066145052705E-2</v>
      </c>
      <c r="N102" s="70">
        <f t="shared" si="12"/>
        <v>1.5257021598677326E-2</v>
      </c>
      <c r="O102" s="62">
        <f t="shared" si="12"/>
        <v>1.702167284848996E-2</v>
      </c>
      <c r="P102" s="54" t="s">
        <v>21</v>
      </c>
      <c r="Q102" s="52" t="s">
        <v>21</v>
      </c>
      <c r="R102" s="93" t="s">
        <v>21</v>
      </c>
      <c r="S102" s="70" t="s">
        <v>21</v>
      </c>
      <c r="T102" s="62" t="str">
        <f t="shared" si="6"/>
        <v/>
      </c>
      <c r="V102" s="113">
        <v>1.1110944</v>
      </c>
      <c r="W102" s="71">
        <v>2.8507827699999999</v>
      </c>
      <c r="X102" s="71">
        <v>4.3806891700000001</v>
      </c>
      <c r="Y102" s="71">
        <v>5.6921176300000003</v>
      </c>
      <c r="Z102" s="114">
        <v>7.3185160400000004</v>
      </c>
      <c r="AB102" s="72">
        <v>3.9757601433617867E-2</v>
      </c>
      <c r="AC102" s="70">
        <v>4.4398777185993887E-2</v>
      </c>
      <c r="AD102" s="70">
        <v>5.0346062545052701E-2</v>
      </c>
      <c r="AE102" s="70">
        <v>5.3589319098677327E-2</v>
      </c>
      <c r="AF102" s="62">
        <v>5.6655977448489957E-2</v>
      </c>
      <c r="AG102" s="72">
        <v>2.0306127336178681E-3</v>
      </c>
      <c r="AH102" s="70">
        <v>7.6030189859938938E-3</v>
      </c>
      <c r="AI102" s="70">
        <v>1.2981066145052705E-2</v>
      </c>
      <c r="AJ102" s="70">
        <v>1.5257021598677326E-2</v>
      </c>
      <c r="AK102" s="62">
        <v>1.702167284848996E-2</v>
      </c>
    </row>
    <row r="103" spans="2:37" x14ac:dyDescent="0.35">
      <c r="B103" s="54" t="s">
        <v>89</v>
      </c>
      <c r="C103" s="52" t="s">
        <v>85</v>
      </c>
      <c r="D103" s="52" t="s">
        <v>20</v>
      </c>
      <c r="E103" s="52" t="s">
        <v>312</v>
      </c>
      <c r="F103" s="72">
        <f t="shared" si="11"/>
        <v>3.847467622716387E-2</v>
      </c>
      <c r="G103" s="59">
        <f t="shared" si="11"/>
        <v>4.288838167650396E-2</v>
      </c>
      <c r="H103" s="70">
        <f t="shared" si="11"/>
        <v>4.8167019171572449E-2</v>
      </c>
      <c r="I103" s="70">
        <f t="shared" si="11"/>
        <v>5.1559675927516681E-2</v>
      </c>
      <c r="J103" s="62">
        <f t="shared" si="11"/>
        <v>5.4531223638756093E-2</v>
      </c>
      <c r="K103" s="72">
        <f t="shared" si="12"/>
        <v>8.0220622716387861E-4</v>
      </c>
      <c r="L103" s="59">
        <f t="shared" si="12"/>
        <v>6.1636232765039656E-3</v>
      </c>
      <c r="M103" s="70">
        <f t="shared" si="12"/>
        <v>1.0909969771572443E-2</v>
      </c>
      <c r="N103" s="70">
        <f t="shared" si="12"/>
        <v>1.3327737327516678E-2</v>
      </c>
      <c r="O103" s="62">
        <f t="shared" si="12"/>
        <v>1.49892696387561E-2</v>
      </c>
      <c r="P103" s="54" t="s">
        <v>21</v>
      </c>
      <c r="Q103" s="52" t="s">
        <v>21</v>
      </c>
      <c r="R103" s="93" t="s">
        <v>21</v>
      </c>
      <c r="S103" s="70" t="s">
        <v>21</v>
      </c>
      <c r="T103" s="62" t="str">
        <f t="shared" si="6"/>
        <v/>
      </c>
      <c r="V103" s="113">
        <v>1.1134528399999999</v>
      </c>
      <c r="W103" s="71">
        <v>2.8642423699999999</v>
      </c>
      <c r="X103" s="71">
        <v>4.4176245099999996</v>
      </c>
      <c r="Y103" s="71">
        <v>5.7572947399999999</v>
      </c>
      <c r="Z103" s="114">
        <v>7.4361831899999995</v>
      </c>
      <c r="AB103" s="72">
        <v>3.847467622716387E-2</v>
      </c>
      <c r="AC103" s="70">
        <v>4.288838167650396E-2</v>
      </c>
      <c r="AD103" s="70">
        <v>4.8167019171572449E-2</v>
      </c>
      <c r="AE103" s="70">
        <v>5.1559675927516681E-2</v>
      </c>
      <c r="AF103" s="62">
        <v>5.4531223638756093E-2</v>
      </c>
      <c r="AG103" s="72">
        <v>8.0220622716387861E-4</v>
      </c>
      <c r="AH103" s="70">
        <v>6.1636232765039656E-3</v>
      </c>
      <c r="AI103" s="70">
        <v>1.0909969771572443E-2</v>
      </c>
      <c r="AJ103" s="70">
        <v>1.3327737327516678E-2</v>
      </c>
      <c r="AK103" s="62">
        <v>1.49892696387561E-2</v>
      </c>
    </row>
    <row r="104" spans="2:37" x14ac:dyDescent="0.35">
      <c r="B104" s="54" t="s">
        <v>90</v>
      </c>
      <c r="C104" s="52" t="s">
        <v>85</v>
      </c>
      <c r="D104" s="52" t="s">
        <v>20</v>
      </c>
      <c r="E104" s="52" t="s">
        <v>75</v>
      </c>
      <c r="F104" s="72">
        <f t="shared" si="11"/>
        <v>3.9793081162651851E-2</v>
      </c>
      <c r="G104" s="59">
        <f t="shared" si="11"/>
        <v>4.4703664693859932E-2</v>
      </c>
      <c r="H104" s="70">
        <f t="shared" si="11"/>
        <v>5.0551136231899704E-2</v>
      </c>
      <c r="I104" s="70">
        <f t="shared" si="11"/>
        <v>5.4152247207952878E-2</v>
      </c>
      <c r="J104" s="62">
        <f t="shared" si="11"/>
        <v>5.7089905898904898E-2</v>
      </c>
      <c r="K104" s="72">
        <f t="shared" si="12"/>
        <v>2.0576968626518496E-3</v>
      </c>
      <c r="L104" s="59">
        <f t="shared" si="12"/>
        <v>7.8903688938599271E-3</v>
      </c>
      <c r="M104" s="70">
        <f t="shared" si="12"/>
        <v>1.3173670831899707E-2</v>
      </c>
      <c r="N104" s="70">
        <f t="shared" si="12"/>
        <v>1.5790059807952866E-2</v>
      </c>
      <c r="O104" s="62">
        <f t="shared" si="12"/>
        <v>1.74367368989049E-2</v>
      </c>
      <c r="P104" s="54" t="s">
        <v>21</v>
      </c>
      <c r="Q104" s="52" t="s">
        <v>21</v>
      </c>
      <c r="R104" s="93" t="s">
        <v>21</v>
      </c>
      <c r="S104" s="70" t="s">
        <v>21</v>
      </c>
      <c r="T104" s="62" t="str">
        <f t="shared" si="6"/>
        <v/>
      </c>
      <c r="V104" s="113">
        <v>1.1110338200000001</v>
      </c>
      <c r="W104" s="71">
        <v>2.8494031400000002</v>
      </c>
      <c r="X104" s="71">
        <v>4.37600269</v>
      </c>
      <c r="Y104" s="71">
        <v>5.6775500299999999</v>
      </c>
      <c r="Z104" s="114">
        <v>7.2918755800000001</v>
      </c>
      <c r="AB104" s="72">
        <v>3.9793081162651851E-2</v>
      </c>
      <c r="AC104" s="70">
        <v>4.4703664693859932E-2</v>
      </c>
      <c r="AD104" s="70">
        <v>5.0551136231899704E-2</v>
      </c>
      <c r="AE104" s="70">
        <v>5.4152247207952878E-2</v>
      </c>
      <c r="AF104" s="62">
        <v>5.7089905898904898E-2</v>
      </c>
      <c r="AG104" s="72">
        <v>2.0576968626518496E-3</v>
      </c>
      <c r="AH104" s="70">
        <v>7.8903688938599271E-3</v>
      </c>
      <c r="AI104" s="70">
        <v>1.3173670831899707E-2</v>
      </c>
      <c r="AJ104" s="70">
        <v>1.5790059807952866E-2</v>
      </c>
      <c r="AK104" s="62">
        <v>1.74367368989049E-2</v>
      </c>
    </row>
    <row r="105" spans="2:37" x14ac:dyDescent="0.35">
      <c r="B105" s="54" t="s">
        <v>91</v>
      </c>
      <c r="C105" s="52" t="s">
        <v>85</v>
      </c>
      <c r="D105" s="52" t="s">
        <v>20</v>
      </c>
      <c r="E105" s="52" t="s">
        <v>92</v>
      </c>
      <c r="F105" s="72">
        <f t="shared" si="11"/>
        <v>3.9143323741947775E-2</v>
      </c>
      <c r="G105" s="59">
        <f t="shared" si="11"/>
        <v>4.3660464196729261E-2</v>
      </c>
      <c r="H105" s="70">
        <f t="shared" si="11"/>
        <v>4.9535861847258E-2</v>
      </c>
      <c r="I105" s="70">
        <f t="shared" si="11"/>
        <v>5.2923704206234025E-2</v>
      </c>
      <c r="J105" s="62">
        <f t="shared" si="11"/>
        <v>5.5955068347414677E-2</v>
      </c>
      <c r="K105" s="72">
        <f t="shared" si="12"/>
        <v>1.4381517419477787E-3</v>
      </c>
      <c r="L105" s="59">
        <f t="shared" si="12"/>
        <v>6.8980255967292575E-3</v>
      </c>
      <c r="M105" s="70">
        <f t="shared" si="12"/>
        <v>1.2210900247258006E-2</v>
      </c>
      <c r="N105" s="70">
        <f t="shared" si="12"/>
        <v>1.4625733406234019E-2</v>
      </c>
      <c r="O105" s="62">
        <f t="shared" si="12"/>
        <v>1.6353680547414678E-2</v>
      </c>
      <c r="P105" s="54" t="s">
        <v>21</v>
      </c>
      <c r="Q105" s="52" t="s">
        <v>21</v>
      </c>
      <c r="R105" s="93" t="s">
        <v>21</v>
      </c>
      <c r="S105" s="70" t="s">
        <v>21</v>
      </c>
      <c r="T105" s="62" t="str">
        <f t="shared" si="6"/>
        <v/>
      </c>
      <c r="V105" s="113">
        <v>1.1122378500000001</v>
      </c>
      <c r="W105" s="71">
        <v>2.8577401600000001</v>
      </c>
      <c r="X105" s="71">
        <v>4.3961907600000005</v>
      </c>
      <c r="Y105" s="71">
        <v>5.7141752700000001</v>
      </c>
      <c r="Z105" s="114">
        <v>7.3560617100000005</v>
      </c>
      <c r="AB105" s="72">
        <v>3.9143323741947775E-2</v>
      </c>
      <c r="AC105" s="70">
        <v>4.3660464196729261E-2</v>
      </c>
      <c r="AD105" s="70">
        <v>4.9535861847258E-2</v>
      </c>
      <c r="AE105" s="70">
        <v>5.2923704206234025E-2</v>
      </c>
      <c r="AF105" s="62">
        <v>5.5955068347414677E-2</v>
      </c>
      <c r="AG105" s="72">
        <v>1.4381517419477787E-3</v>
      </c>
      <c r="AH105" s="70">
        <v>6.8980255967292575E-3</v>
      </c>
      <c r="AI105" s="70">
        <v>1.2210900247258006E-2</v>
      </c>
      <c r="AJ105" s="70">
        <v>1.4625733406234019E-2</v>
      </c>
      <c r="AK105" s="62">
        <v>1.6353680547414678E-2</v>
      </c>
    </row>
    <row r="106" spans="2:37" x14ac:dyDescent="0.35">
      <c r="B106" s="54" t="s">
        <v>307</v>
      </c>
      <c r="C106" s="52" t="s">
        <v>85</v>
      </c>
      <c r="D106" s="52" t="s">
        <v>20</v>
      </c>
      <c r="E106" s="52" t="s">
        <v>313</v>
      </c>
      <c r="F106" s="72">
        <f t="shared" si="11"/>
        <v>3.7487913111745957E-2</v>
      </c>
      <c r="G106" s="59">
        <f t="shared" si="11"/>
        <v>4.2368506578598725E-2</v>
      </c>
      <c r="H106" s="70">
        <f t="shared" si="11"/>
        <v>4.8114739090673972E-2</v>
      </c>
      <c r="I106" s="70">
        <f t="shared" si="11"/>
        <v>5.1501159901095481E-2</v>
      </c>
      <c r="J106" s="62">
        <f t="shared" si="11"/>
        <v>5.4523241214525946E-2</v>
      </c>
      <c r="K106" s="72" t="str">
        <f t="shared" si="12"/>
        <v/>
      </c>
      <c r="L106" s="59">
        <f t="shared" si="12"/>
        <v>5.6657926785987347E-3</v>
      </c>
      <c r="M106" s="70">
        <f t="shared" si="12"/>
        <v>1.0859795290673966E-2</v>
      </c>
      <c r="N106" s="70">
        <f t="shared" si="12"/>
        <v>1.3273260601095484E-2</v>
      </c>
      <c r="O106" s="62">
        <f t="shared" si="12"/>
        <v>1.4985707514525942E-2</v>
      </c>
      <c r="P106" s="54" t="s">
        <v>21</v>
      </c>
      <c r="Q106" s="52" t="s">
        <v>21</v>
      </c>
      <c r="R106" s="93" t="s">
        <v>21</v>
      </c>
      <c r="S106" s="70" t="s">
        <v>21</v>
      </c>
      <c r="T106" s="62" t="str">
        <f t="shared" si="6"/>
        <v/>
      </c>
      <c r="V106" s="113">
        <v>1.1153369200000001</v>
      </c>
      <c r="W106" s="71">
        <v>2.8711252100000002</v>
      </c>
      <c r="X106" s="71">
        <v>4.4258334000000001</v>
      </c>
      <c r="Y106" s="71">
        <v>5.7651018399999998</v>
      </c>
      <c r="Z106" s="114">
        <v>7.4400778700000005</v>
      </c>
      <c r="AB106" s="72">
        <v>3.7487913111745957E-2</v>
      </c>
      <c r="AC106" s="70">
        <v>4.2368506578598725E-2</v>
      </c>
      <c r="AD106" s="70">
        <v>4.8114739090673972E-2</v>
      </c>
      <c r="AE106" s="70">
        <v>5.1501159901095481E-2</v>
      </c>
      <c r="AF106" s="62">
        <v>5.4523241214525946E-2</v>
      </c>
      <c r="AG106" s="72" t="s">
        <v>21</v>
      </c>
      <c r="AH106" s="70">
        <v>5.6657926785987347E-3</v>
      </c>
      <c r="AI106" s="70">
        <v>1.0859795290673966E-2</v>
      </c>
      <c r="AJ106" s="70">
        <v>1.3273260601095484E-2</v>
      </c>
      <c r="AK106" s="62">
        <v>1.4985707514525942E-2</v>
      </c>
    </row>
    <row r="107" spans="2:37" x14ac:dyDescent="0.35">
      <c r="B107" s="54" t="s">
        <v>308</v>
      </c>
      <c r="C107" s="52" t="s">
        <v>85</v>
      </c>
      <c r="D107" s="52" t="s">
        <v>20</v>
      </c>
      <c r="E107" s="52" t="s">
        <v>73</v>
      </c>
      <c r="F107" s="72">
        <f t="shared" si="11"/>
        <v>3.9514164575155997E-2</v>
      </c>
      <c r="G107" s="59">
        <f t="shared" si="11"/>
        <v>4.5452510911964741E-2</v>
      </c>
      <c r="H107" s="70">
        <f t="shared" si="11"/>
        <v>5.2945120201127044E-2</v>
      </c>
      <c r="I107" s="70">
        <f t="shared" si="11"/>
        <v>5.6941769470659341E-2</v>
      </c>
      <c r="J107" s="62">
        <f t="shared" si="11"/>
        <v>6.0860562522557553E-2</v>
      </c>
      <c r="K107" s="72">
        <f t="shared" si="12"/>
        <v>1.7912582751559982E-3</v>
      </c>
      <c r="L107" s="59">
        <f t="shared" si="12"/>
        <v>8.602697611964737E-3</v>
      </c>
      <c r="M107" s="70">
        <f t="shared" si="12"/>
        <v>1.5441082201127046E-2</v>
      </c>
      <c r="N107" s="70">
        <f t="shared" si="12"/>
        <v>1.843254727065935E-2</v>
      </c>
      <c r="O107" s="62">
        <f t="shared" si="12"/>
        <v>2.1012048822557552E-2</v>
      </c>
      <c r="P107" s="54" t="s">
        <v>21</v>
      </c>
      <c r="Q107" s="52" t="s">
        <v>21</v>
      </c>
      <c r="R107" s="93" t="s">
        <v>21</v>
      </c>
      <c r="S107" s="70" t="s">
        <v>21</v>
      </c>
      <c r="T107" s="62" t="str">
        <f t="shared" si="6"/>
        <v/>
      </c>
      <c r="V107" s="113">
        <v>1.1115512599999999</v>
      </c>
      <c r="W107" s="71">
        <v>2.8457839100000002</v>
      </c>
      <c r="X107" s="71">
        <v>4.3475889800000003</v>
      </c>
      <c r="Y107" s="71">
        <v>5.6068580799999994</v>
      </c>
      <c r="Z107" s="114">
        <v>7.1249633699999997</v>
      </c>
      <c r="AB107" s="72">
        <v>3.9514164575155997E-2</v>
      </c>
      <c r="AC107" s="70">
        <v>4.5452510911964741E-2</v>
      </c>
      <c r="AD107" s="70">
        <v>5.2945120201127044E-2</v>
      </c>
      <c r="AE107" s="70">
        <v>5.6941769470659341E-2</v>
      </c>
      <c r="AF107" s="62">
        <v>6.0860562522557553E-2</v>
      </c>
      <c r="AG107" s="72">
        <v>1.7912582751559982E-3</v>
      </c>
      <c r="AH107" s="70">
        <v>8.602697611964737E-3</v>
      </c>
      <c r="AI107" s="70">
        <v>1.5441082201127046E-2</v>
      </c>
      <c r="AJ107" s="70">
        <v>1.843254727065935E-2</v>
      </c>
      <c r="AK107" s="62">
        <v>2.1012048822557552E-2</v>
      </c>
    </row>
    <row r="108" spans="2:37" x14ac:dyDescent="0.35">
      <c r="B108" s="54" t="s">
        <v>309</v>
      </c>
      <c r="C108" s="52" t="s">
        <v>85</v>
      </c>
      <c r="D108" s="52" t="s">
        <v>20</v>
      </c>
      <c r="E108" s="52" t="s">
        <v>48</v>
      </c>
      <c r="F108" s="72">
        <f t="shared" si="11"/>
        <v>4.1544479970841194E-2</v>
      </c>
      <c r="G108" s="59">
        <f t="shared" si="11"/>
        <v>5.1186558649324906E-2</v>
      </c>
      <c r="H108" s="70">
        <f t="shared" si="11"/>
        <v>6.1219661100226898E-2</v>
      </c>
      <c r="I108" s="70">
        <f t="shared" si="11"/>
        <v>6.7712486208786088E-2</v>
      </c>
      <c r="J108" s="62">
        <f t="shared" si="11"/>
        <v>7.1976818286057287E-2</v>
      </c>
      <c r="K108" s="72">
        <f t="shared" si="12"/>
        <v>3.7069827708411905E-3</v>
      </c>
      <c r="L108" s="59">
        <f t="shared" si="12"/>
        <v>1.4020408349324913E-2</v>
      </c>
      <c r="M108" s="70">
        <f t="shared" si="12"/>
        <v>2.3183401300226884E-2</v>
      </c>
      <c r="N108" s="70">
        <f t="shared" si="12"/>
        <v>2.8479470408786092E-2</v>
      </c>
      <c r="O108" s="62">
        <f t="shared" si="12"/>
        <v>3.1410703186057293E-2</v>
      </c>
      <c r="P108" s="54" t="s">
        <v>21</v>
      </c>
      <c r="Q108" s="52" t="s">
        <v>21</v>
      </c>
      <c r="R108" s="93" t="s">
        <v>21</v>
      </c>
      <c r="S108" s="70" t="s">
        <v>21</v>
      </c>
      <c r="T108" s="62" t="str">
        <f t="shared" si="6"/>
        <v/>
      </c>
      <c r="V108" s="113">
        <v>1.1070181800000001</v>
      </c>
      <c r="W108" s="71">
        <v>2.8019976899999999</v>
      </c>
      <c r="X108" s="71">
        <v>4.2154819000000003</v>
      </c>
      <c r="Y108" s="71">
        <v>5.3311503199999999</v>
      </c>
      <c r="Z108" s="114">
        <v>6.6162750199999998</v>
      </c>
      <c r="AB108" s="72">
        <v>4.1544479970841194E-2</v>
      </c>
      <c r="AC108" s="70">
        <v>5.1186558649324906E-2</v>
      </c>
      <c r="AD108" s="70">
        <v>6.1219661100226898E-2</v>
      </c>
      <c r="AE108" s="70">
        <v>6.7712486208786088E-2</v>
      </c>
      <c r="AF108" s="62">
        <v>7.1976818286057287E-2</v>
      </c>
      <c r="AG108" s="72">
        <v>3.7069827708411905E-3</v>
      </c>
      <c r="AH108" s="70">
        <v>1.4020408349324913E-2</v>
      </c>
      <c r="AI108" s="70">
        <v>2.3183401300226884E-2</v>
      </c>
      <c r="AJ108" s="70">
        <v>2.8479470408786092E-2</v>
      </c>
      <c r="AK108" s="62">
        <v>3.1410703186057293E-2</v>
      </c>
    </row>
    <row r="109" spans="2:37" x14ac:dyDescent="0.35">
      <c r="B109" s="54" t="s">
        <v>310</v>
      </c>
      <c r="C109" s="52" t="s">
        <v>85</v>
      </c>
      <c r="D109" s="52" t="s">
        <v>20</v>
      </c>
      <c r="E109" s="52" t="s">
        <v>159</v>
      </c>
      <c r="F109" s="72">
        <f t="shared" si="11"/>
        <v>3.7589070754179346E-2</v>
      </c>
      <c r="G109" s="59">
        <f t="shared" si="11"/>
        <v>4.2740328644720695E-2</v>
      </c>
      <c r="H109" s="70">
        <f t="shared" si="11"/>
        <v>4.8613572465253607E-2</v>
      </c>
      <c r="I109" s="70">
        <f t="shared" si="11"/>
        <v>5.3059661898788898E-2</v>
      </c>
      <c r="J109" s="62">
        <f t="shared" si="11"/>
        <v>5.574753850414732E-2</v>
      </c>
      <c r="K109" s="72" t="str">
        <f t="shared" si="12"/>
        <v/>
      </c>
      <c r="L109" s="59">
        <f t="shared" si="12"/>
        <v>6.0224803447206949E-3</v>
      </c>
      <c r="M109" s="70">
        <f t="shared" si="12"/>
        <v>1.1336008865253605E-2</v>
      </c>
      <c r="N109" s="70">
        <f t="shared" si="12"/>
        <v>1.4756724098788896E-2</v>
      </c>
      <c r="O109" s="62">
        <f t="shared" si="12"/>
        <v>1.6163774904147318E-2</v>
      </c>
      <c r="P109" s="54" t="s">
        <v>314</v>
      </c>
      <c r="Q109" s="52" t="s">
        <v>315</v>
      </c>
      <c r="R109" s="93">
        <v>47788</v>
      </c>
      <c r="S109" s="70">
        <v>4.5759960000000002E-2</v>
      </c>
      <c r="T109" s="62">
        <f t="shared" si="6"/>
        <v>2.8536124652536049E-3</v>
      </c>
      <c r="V109" s="113">
        <v>1.11512352</v>
      </c>
      <c r="W109" s="71">
        <v>2.8682015000000001</v>
      </c>
      <c r="X109" s="71">
        <v>4.4164314999999998</v>
      </c>
      <c r="Y109" s="71">
        <v>5.7332814900000004</v>
      </c>
      <c r="Z109" s="114">
        <v>7.3749420400000005</v>
      </c>
      <c r="AB109" s="72">
        <v>3.7589070754179346E-2</v>
      </c>
      <c r="AC109" s="70">
        <v>4.2740328644720695E-2</v>
      </c>
      <c r="AD109" s="70">
        <v>4.8613572465253607E-2</v>
      </c>
      <c r="AE109" s="70">
        <v>5.3059661898788898E-2</v>
      </c>
      <c r="AF109" s="62">
        <v>5.574753850414732E-2</v>
      </c>
      <c r="AG109" s="72" t="s">
        <v>21</v>
      </c>
      <c r="AH109" s="70">
        <v>6.0224803447206949E-3</v>
      </c>
      <c r="AI109" s="70">
        <v>1.1336008865253605E-2</v>
      </c>
      <c r="AJ109" s="70">
        <v>1.4756724098788896E-2</v>
      </c>
      <c r="AK109" s="62">
        <v>1.6163774904147318E-2</v>
      </c>
    </row>
    <row r="110" spans="2:37" x14ac:dyDescent="0.35">
      <c r="B110" s="56" t="s">
        <v>311</v>
      </c>
      <c r="C110" s="52" t="s">
        <v>85</v>
      </c>
      <c r="D110" s="66" t="s">
        <v>20</v>
      </c>
      <c r="E110" s="66" t="s">
        <v>274</v>
      </c>
      <c r="F110" s="73">
        <f t="shared" si="11"/>
        <v>3.8589741197705293E-2</v>
      </c>
      <c r="G110" s="75">
        <f t="shared" si="11"/>
        <v>4.4346602112983934E-2</v>
      </c>
      <c r="H110" s="75">
        <f t="shared" si="11"/>
        <v>5.1893585167029382E-2</v>
      </c>
      <c r="I110" s="75">
        <f t="shared" si="11"/>
        <v>5.6793840121127578E-2</v>
      </c>
      <c r="J110" s="63">
        <f t="shared" si="11"/>
        <v>6.0815236817838722E-2</v>
      </c>
      <c r="K110" s="73">
        <f t="shared" si="12"/>
        <v>9.129204977052904E-4</v>
      </c>
      <c r="L110" s="75">
        <f t="shared" si="12"/>
        <v>7.553898012983928E-3</v>
      </c>
      <c r="M110" s="75">
        <f t="shared" si="12"/>
        <v>1.4449511567029377E-2</v>
      </c>
      <c r="N110" s="75">
        <f t="shared" si="12"/>
        <v>1.8295128121127595E-2</v>
      </c>
      <c r="O110" s="63">
        <f t="shared" si="12"/>
        <v>2.0973903417838727E-2</v>
      </c>
      <c r="P110" s="56" t="s">
        <v>21</v>
      </c>
      <c r="Q110" s="66" t="s">
        <v>21</v>
      </c>
      <c r="R110" s="95" t="s">
        <v>21</v>
      </c>
      <c r="S110" s="75" t="s">
        <v>21</v>
      </c>
      <c r="T110" s="63" t="str">
        <f t="shared" si="6"/>
        <v/>
      </c>
      <c r="V110" s="115">
        <v>1.1132405999999999</v>
      </c>
      <c r="W110" s="107">
        <v>2.8551066299999999</v>
      </c>
      <c r="X110" s="107">
        <v>4.3684389399999999</v>
      </c>
      <c r="Y110" s="107">
        <v>5.6305005100000001</v>
      </c>
      <c r="Z110" s="116">
        <v>7.1492569899999996</v>
      </c>
      <c r="AB110" s="73">
        <v>3.8589741197705293E-2</v>
      </c>
      <c r="AC110" s="75">
        <v>4.4346602112983934E-2</v>
      </c>
      <c r="AD110" s="75">
        <v>5.1893585167029382E-2</v>
      </c>
      <c r="AE110" s="75">
        <v>5.6793840121127578E-2</v>
      </c>
      <c r="AF110" s="63">
        <v>6.0815236817838722E-2</v>
      </c>
      <c r="AG110" s="73">
        <v>9.129204977052904E-4</v>
      </c>
      <c r="AH110" s="75">
        <v>7.553898012983928E-3</v>
      </c>
      <c r="AI110" s="75">
        <v>1.4449511567029377E-2</v>
      </c>
      <c r="AJ110" s="75">
        <v>1.8295128121127595E-2</v>
      </c>
      <c r="AK110" s="63">
        <v>2.0973903417838727E-2</v>
      </c>
    </row>
    <row r="111" spans="2:37" x14ac:dyDescent="0.35">
      <c r="B111" s="52" t="s">
        <v>21</v>
      </c>
      <c r="C111" s="52" t="s">
        <v>21</v>
      </c>
      <c r="E111" s="52" t="s">
        <v>21</v>
      </c>
      <c r="F111" s="70" t="s">
        <v>21</v>
      </c>
      <c r="G111" s="70"/>
      <c r="H111" s="70" t="s">
        <v>21</v>
      </c>
      <c r="I111" s="70"/>
      <c r="J111" s="70" t="s">
        <v>21</v>
      </c>
      <c r="K111" s="70" t="s">
        <v>21</v>
      </c>
      <c r="L111" s="70"/>
      <c r="M111" s="70" t="s">
        <v>21</v>
      </c>
      <c r="N111" s="70"/>
      <c r="O111" s="70" t="s">
        <v>21</v>
      </c>
      <c r="R111" s="93"/>
      <c r="V111" s="71"/>
      <c r="W111" s="71"/>
      <c r="X111" s="71"/>
      <c r="Y111" s="71"/>
      <c r="Z111" s="71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</row>
    <row r="112" spans="2:37" ht="15.5" x14ac:dyDescent="0.35">
      <c r="B112" s="121" t="s">
        <v>93</v>
      </c>
      <c r="C112" s="52" t="s">
        <v>21</v>
      </c>
      <c r="E112" s="52" t="s">
        <v>21</v>
      </c>
      <c r="F112" s="70" t="s">
        <v>21</v>
      </c>
      <c r="G112" s="70"/>
      <c r="H112" s="70" t="s">
        <v>21</v>
      </c>
      <c r="I112" s="70"/>
      <c r="J112" s="70" t="s">
        <v>21</v>
      </c>
      <c r="K112" s="70" t="s">
        <v>21</v>
      </c>
      <c r="L112" s="70"/>
      <c r="M112" s="70" t="s">
        <v>21</v>
      </c>
      <c r="N112" s="70"/>
      <c r="O112" s="70" t="s">
        <v>21</v>
      </c>
      <c r="R112" s="93"/>
      <c r="V112" s="71"/>
      <c r="W112" s="71"/>
      <c r="X112" s="71"/>
      <c r="Y112" s="71"/>
      <c r="Z112" s="71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</row>
    <row r="113" spans="2:37" x14ac:dyDescent="0.35">
      <c r="B113" s="84" t="s">
        <v>5</v>
      </c>
      <c r="C113" s="83" t="s">
        <v>6</v>
      </c>
      <c r="D113" s="83" t="s">
        <v>7</v>
      </c>
      <c r="E113" s="83" t="s">
        <v>8</v>
      </c>
      <c r="F113" s="82" t="s">
        <v>9</v>
      </c>
      <c r="G113" s="81" t="s">
        <v>10</v>
      </c>
      <c r="H113" s="81" t="s">
        <v>11</v>
      </c>
      <c r="I113" s="81" t="s">
        <v>12</v>
      </c>
      <c r="J113" s="80" t="s">
        <v>13</v>
      </c>
      <c r="K113" s="82" t="s">
        <v>9</v>
      </c>
      <c r="L113" s="81" t="s">
        <v>10</v>
      </c>
      <c r="M113" s="81" t="s">
        <v>11</v>
      </c>
      <c r="N113" s="81" t="s">
        <v>12</v>
      </c>
      <c r="O113" s="80" t="s">
        <v>13</v>
      </c>
      <c r="P113" s="69" t="s">
        <v>14</v>
      </c>
      <c r="Q113" s="57" t="s">
        <v>15</v>
      </c>
      <c r="R113" s="57" t="s">
        <v>16</v>
      </c>
      <c r="S113" s="57" t="s">
        <v>216</v>
      </c>
      <c r="T113" s="57" t="s">
        <v>18</v>
      </c>
      <c r="V113" s="109" t="s">
        <v>9</v>
      </c>
      <c r="W113" s="105" t="s">
        <v>10</v>
      </c>
      <c r="X113" s="105" t="s">
        <v>11</v>
      </c>
      <c r="Y113" s="105" t="s">
        <v>12</v>
      </c>
      <c r="Z113" s="110" t="s">
        <v>13</v>
      </c>
      <c r="AB113" s="82" t="s">
        <v>9</v>
      </c>
      <c r="AC113" s="81" t="s">
        <v>10</v>
      </c>
      <c r="AD113" s="81" t="s">
        <v>11</v>
      </c>
      <c r="AE113" s="81" t="s">
        <v>12</v>
      </c>
      <c r="AF113" s="80" t="s">
        <v>13</v>
      </c>
      <c r="AG113" s="82" t="s">
        <v>9</v>
      </c>
      <c r="AH113" s="81" t="s">
        <v>10</v>
      </c>
      <c r="AI113" s="81" t="s">
        <v>11</v>
      </c>
      <c r="AJ113" s="81" t="s">
        <v>12</v>
      </c>
      <c r="AK113" s="80" t="s">
        <v>13</v>
      </c>
    </row>
    <row r="114" spans="2:37" x14ac:dyDescent="0.35">
      <c r="B114" s="78" t="s">
        <v>94</v>
      </c>
      <c r="C114" s="77"/>
      <c r="D114" s="77"/>
      <c r="E114" s="77"/>
      <c r="F114" s="78"/>
      <c r="G114" s="77"/>
      <c r="H114" s="77"/>
      <c r="I114" s="77"/>
      <c r="J114" s="77"/>
      <c r="K114" s="77"/>
      <c r="L114" s="77"/>
      <c r="M114" s="77"/>
      <c r="N114" s="77"/>
      <c r="O114" s="76"/>
      <c r="P114" s="78"/>
      <c r="Q114" s="77"/>
      <c r="R114" s="94"/>
      <c r="S114" s="77"/>
      <c r="T114" s="76"/>
      <c r="V114" s="111"/>
      <c r="W114" s="106"/>
      <c r="X114" s="106"/>
      <c r="Y114" s="106"/>
      <c r="Z114" s="112"/>
      <c r="AB114" s="77"/>
      <c r="AC114" s="77"/>
      <c r="AD114" s="77"/>
      <c r="AE114" s="77"/>
      <c r="AF114" s="77"/>
      <c r="AG114" s="77"/>
      <c r="AH114" s="77"/>
      <c r="AI114" s="77"/>
      <c r="AJ114" s="77"/>
      <c r="AK114" s="76"/>
    </row>
    <row r="115" spans="2:37" x14ac:dyDescent="0.35">
      <c r="B115" s="55" t="s">
        <v>95</v>
      </c>
      <c r="C115" s="65" t="s">
        <v>85</v>
      </c>
      <c r="D115" s="65" t="s">
        <v>43</v>
      </c>
      <c r="E115" s="65" t="s">
        <v>230</v>
      </c>
      <c r="F115" s="74">
        <f t="shared" ref="F115:J130" si="13">IF(ISNUMBER(AB115),AB115-((C$4-C$3)/V115),"")</f>
        <v>3.6932088662675222E-2</v>
      </c>
      <c r="G115" s="79">
        <f t="shared" si="13"/>
        <v>4.1941425793768888E-2</v>
      </c>
      <c r="H115" s="79">
        <f t="shared" si="13"/>
        <v>4.8031683762712309E-2</v>
      </c>
      <c r="I115" s="79">
        <f t="shared" si="13"/>
        <v>5.1391072649983105E-2</v>
      </c>
      <c r="J115" s="61">
        <f t="shared" si="13"/>
        <v>5.4293006206767226E-2</v>
      </c>
      <c r="K115" s="74" t="str">
        <f t="shared" ref="K115:O130" si="14">IF(ISNUMBER(AG115),IF(AG115-((C$4-C$3)/V115)&lt;0,"",AG115-((C$4-C$3)/V115)),"")</f>
        <v/>
      </c>
      <c r="L115" s="79">
        <f t="shared" si="14"/>
        <v>5.2384036937688869E-3</v>
      </c>
      <c r="M115" s="79">
        <f t="shared" si="14"/>
        <v>1.0759170362712308E-2</v>
      </c>
      <c r="N115" s="79">
        <f t="shared" si="14"/>
        <v>1.31464530499831E-2</v>
      </c>
      <c r="O115" s="61">
        <f t="shared" si="14"/>
        <v>1.4744875106767232E-2</v>
      </c>
      <c r="P115" s="55" t="s">
        <v>21</v>
      </c>
      <c r="Q115" s="65" t="s">
        <v>21</v>
      </c>
      <c r="R115" s="99" t="s">
        <v>21</v>
      </c>
      <c r="S115" s="79" t="s">
        <v>21</v>
      </c>
      <c r="T115" s="62" t="str">
        <f t="shared" ref="T115:T138" si="15">IF(S115="","",H115-S115)</f>
        <v/>
      </c>
      <c r="V115" s="117">
        <v>1.11539535</v>
      </c>
      <c r="W115" s="60">
        <v>2.8706090100000003</v>
      </c>
      <c r="X115" s="60">
        <v>4.4202710399999994</v>
      </c>
      <c r="Y115" s="60">
        <v>5.7541802400000002</v>
      </c>
      <c r="Z115" s="118">
        <v>7.4246114700000003</v>
      </c>
      <c r="AB115" s="74">
        <v>3.6932088662675222E-2</v>
      </c>
      <c r="AC115" s="79">
        <v>4.1941425793768888E-2</v>
      </c>
      <c r="AD115" s="79">
        <v>4.8031683762712309E-2</v>
      </c>
      <c r="AE115" s="79">
        <v>5.1391072649983105E-2</v>
      </c>
      <c r="AF115" s="61">
        <v>5.4293006206767226E-2</v>
      </c>
      <c r="AG115" s="74" t="s">
        <v>21</v>
      </c>
      <c r="AH115" s="79">
        <v>5.2384036937688869E-3</v>
      </c>
      <c r="AI115" s="79">
        <v>1.0759170362712308E-2</v>
      </c>
      <c r="AJ115" s="79">
        <v>1.31464530499831E-2</v>
      </c>
      <c r="AK115" s="61">
        <v>1.4744875106767232E-2</v>
      </c>
    </row>
    <row r="116" spans="2:37" x14ac:dyDescent="0.35">
      <c r="B116" s="56" t="s">
        <v>95</v>
      </c>
      <c r="C116" s="66" t="s">
        <v>35</v>
      </c>
      <c r="D116" s="66" t="s">
        <v>43</v>
      </c>
      <c r="E116" s="66" t="s">
        <v>231</v>
      </c>
      <c r="F116" s="73">
        <f t="shared" si="13"/>
        <v>3.8225757903302654E-2</v>
      </c>
      <c r="G116" s="75">
        <f t="shared" si="13"/>
        <v>4.5135010181430256E-2</v>
      </c>
      <c r="H116" s="75">
        <f t="shared" si="13"/>
        <v>5.31971051890908E-2</v>
      </c>
      <c r="I116" s="75">
        <f t="shared" si="13"/>
        <v>5.7504952585589096E-2</v>
      </c>
      <c r="J116" s="63">
        <f t="shared" si="13"/>
        <v>6.1198708569208005E-2</v>
      </c>
      <c r="K116" s="73">
        <f t="shared" si="14"/>
        <v>5.56869503302658E-4</v>
      </c>
      <c r="L116" s="75">
        <f t="shared" si="14"/>
        <v>8.3283100814302569E-3</v>
      </c>
      <c r="M116" s="75">
        <f t="shared" si="14"/>
        <v>1.573980218909081E-2</v>
      </c>
      <c r="N116" s="75">
        <f t="shared" si="14"/>
        <v>1.9031764885589105E-2</v>
      </c>
      <c r="O116" s="63">
        <f t="shared" si="14"/>
        <v>2.1396365769208007E-2</v>
      </c>
      <c r="P116" s="56" t="s">
        <v>21</v>
      </c>
      <c r="Q116" s="66" t="s">
        <v>21</v>
      </c>
      <c r="R116" s="95" t="s">
        <v>21</v>
      </c>
      <c r="S116" s="75" t="s">
        <v>21</v>
      </c>
      <c r="T116" s="63" t="str">
        <f t="shared" si="15"/>
        <v/>
      </c>
      <c r="V116" s="115">
        <v>1.1143006</v>
      </c>
      <c r="W116" s="107">
        <v>2.8585239100000002</v>
      </c>
      <c r="X116" s="107">
        <v>4.3784614899999994</v>
      </c>
      <c r="Y116" s="107">
        <v>5.6645974100000007</v>
      </c>
      <c r="Z116" s="116">
        <v>7.2406369000000002</v>
      </c>
      <c r="AB116" s="73">
        <v>3.8225757903302654E-2</v>
      </c>
      <c r="AC116" s="75">
        <v>4.5135010181430256E-2</v>
      </c>
      <c r="AD116" s="75">
        <v>5.31971051890908E-2</v>
      </c>
      <c r="AE116" s="75">
        <v>5.7504952585589096E-2</v>
      </c>
      <c r="AF116" s="63">
        <v>6.1198708569208005E-2</v>
      </c>
      <c r="AG116" s="73">
        <v>5.56869503302658E-4</v>
      </c>
      <c r="AH116" s="75">
        <v>8.3283100814302569E-3</v>
      </c>
      <c r="AI116" s="75">
        <v>1.573980218909081E-2</v>
      </c>
      <c r="AJ116" s="75">
        <v>1.9031764885589105E-2</v>
      </c>
      <c r="AK116" s="63">
        <v>2.1396365769208007E-2</v>
      </c>
    </row>
    <row r="117" spans="2:37" x14ac:dyDescent="0.35">
      <c r="B117" s="54" t="s">
        <v>96</v>
      </c>
      <c r="C117" s="52" t="s">
        <v>85</v>
      </c>
      <c r="D117" s="52" t="s">
        <v>97</v>
      </c>
      <c r="E117" s="52" t="s">
        <v>21</v>
      </c>
      <c r="F117" s="72">
        <f t="shared" si="13"/>
        <v>3.7480857549360806E-2</v>
      </c>
      <c r="G117" s="59">
        <f t="shared" si="13"/>
        <v>4.2597802707882951E-2</v>
      </c>
      <c r="H117" s="59">
        <f t="shared" si="13"/>
        <v>4.8821903814099642E-2</v>
      </c>
      <c r="I117" s="59">
        <f t="shared" si="13"/>
        <v>5.255156541653553E-2</v>
      </c>
      <c r="J117" s="62">
        <f t="shared" si="13"/>
        <v>5.5716637457834763E-2</v>
      </c>
      <c r="K117" s="72" t="str">
        <f t="shared" si="14"/>
        <v/>
      </c>
      <c r="L117" s="59">
        <f t="shared" si="14"/>
        <v>5.8644978078829539E-3</v>
      </c>
      <c r="M117" s="59">
        <f t="shared" si="14"/>
        <v>1.1510226214099643E-2</v>
      </c>
      <c r="N117" s="59">
        <f t="shared" si="14"/>
        <v>1.4249394716535529E-2</v>
      </c>
      <c r="O117" s="62">
        <f t="shared" si="14"/>
        <v>1.6107446357834766E-2</v>
      </c>
      <c r="P117" s="54" t="s">
        <v>21</v>
      </c>
      <c r="Q117" s="52" t="s">
        <v>21</v>
      </c>
      <c r="R117" s="93" t="s">
        <v>21</v>
      </c>
      <c r="S117" s="70" t="s">
        <v>21</v>
      </c>
      <c r="T117" s="62" t="str">
        <f t="shared" si="15"/>
        <v/>
      </c>
      <c r="V117" s="113">
        <v>1.1143698</v>
      </c>
      <c r="W117" s="71">
        <v>2.8645922499999998</v>
      </c>
      <c r="X117" s="71">
        <v>4.4059258099999994</v>
      </c>
      <c r="Y117" s="71">
        <v>5.7232623299999998</v>
      </c>
      <c r="Z117" s="114">
        <v>7.3578247000000001</v>
      </c>
      <c r="AB117" s="72">
        <v>3.7480857549360806E-2</v>
      </c>
      <c r="AC117" s="70">
        <v>4.2597802707882951E-2</v>
      </c>
      <c r="AD117" s="70">
        <v>4.8821903814099642E-2</v>
      </c>
      <c r="AE117" s="70">
        <v>5.255156541653553E-2</v>
      </c>
      <c r="AF117" s="62">
        <v>5.5716637457834763E-2</v>
      </c>
      <c r="AG117" s="72" t="s">
        <v>21</v>
      </c>
      <c r="AH117" s="70">
        <v>5.8644978078829539E-3</v>
      </c>
      <c r="AI117" s="70">
        <v>1.1510226214099643E-2</v>
      </c>
      <c r="AJ117" s="70">
        <v>1.4249394716535529E-2</v>
      </c>
      <c r="AK117" s="62">
        <v>1.6107446357834766E-2</v>
      </c>
    </row>
    <row r="118" spans="2:37" x14ac:dyDescent="0.35">
      <c r="B118" s="56" t="s">
        <v>96</v>
      </c>
      <c r="C118" s="66" t="s">
        <v>35</v>
      </c>
      <c r="D118" s="66" t="s">
        <v>97</v>
      </c>
      <c r="E118" s="66" t="s">
        <v>44</v>
      </c>
      <c r="F118" s="73">
        <f t="shared" si="13"/>
        <v>3.9795294925962732E-2</v>
      </c>
      <c r="G118" s="75">
        <f t="shared" si="13"/>
        <v>4.6100702142964529E-2</v>
      </c>
      <c r="H118" s="75">
        <f t="shared" si="13"/>
        <v>5.4000706597270548E-2</v>
      </c>
      <c r="I118" s="75">
        <f t="shared" si="13"/>
        <v>5.8947969377258498E-2</v>
      </c>
      <c r="J118" s="63">
        <f t="shared" si="13"/>
        <v>6.2564522792586452E-2</v>
      </c>
      <c r="K118" s="73">
        <f t="shared" si="14"/>
        <v>2.0733017259627357E-3</v>
      </c>
      <c r="L118" s="75">
        <f t="shared" si="14"/>
        <v>9.2551510429645309E-3</v>
      </c>
      <c r="M118" s="75">
        <f t="shared" si="14"/>
        <v>1.6504890797270556E-2</v>
      </c>
      <c r="N118" s="75">
        <f t="shared" si="14"/>
        <v>2.0397702477258514E-2</v>
      </c>
      <c r="O118" s="63">
        <f t="shared" si="14"/>
        <v>2.2693321692586463E-2</v>
      </c>
      <c r="P118" s="56" t="s">
        <v>21</v>
      </c>
      <c r="Q118" s="66" t="s">
        <v>21</v>
      </c>
      <c r="R118" s="95" t="s">
        <v>21</v>
      </c>
      <c r="S118" s="75" t="s">
        <v>21</v>
      </c>
      <c r="T118" s="63" t="str">
        <f t="shared" si="15"/>
        <v/>
      </c>
      <c r="V118" s="115">
        <v>1.11200582</v>
      </c>
      <c r="W118" s="107">
        <v>2.84970911</v>
      </c>
      <c r="X118" s="107">
        <v>4.3625908100000004</v>
      </c>
      <c r="Y118" s="107">
        <v>5.6337703599999998</v>
      </c>
      <c r="Z118" s="116">
        <v>7.1830071800000006</v>
      </c>
      <c r="AB118" s="73">
        <v>3.9795294925962732E-2</v>
      </c>
      <c r="AC118" s="75">
        <v>4.6100702142964529E-2</v>
      </c>
      <c r="AD118" s="75">
        <v>5.4000706597270548E-2</v>
      </c>
      <c r="AE118" s="75">
        <v>5.8947969377258498E-2</v>
      </c>
      <c r="AF118" s="63">
        <v>6.2564522792586452E-2</v>
      </c>
      <c r="AG118" s="73">
        <v>2.0733017259627357E-3</v>
      </c>
      <c r="AH118" s="75">
        <v>9.2551510429645309E-3</v>
      </c>
      <c r="AI118" s="75">
        <v>1.6504890797270556E-2</v>
      </c>
      <c r="AJ118" s="75">
        <v>2.0397702477258514E-2</v>
      </c>
      <c r="AK118" s="63">
        <v>2.2693321692586463E-2</v>
      </c>
    </row>
    <row r="119" spans="2:37" x14ac:dyDescent="0.35">
      <c r="B119" s="54" t="s">
        <v>98</v>
      </c>
      <c r="C119" s="52" t="s">
        <v>85</v>
      </c>
      <c r="D119" s="52" t="s">
        <v>47</v>
      </c>
      <c r="E119" s="52" t="s">
        <v>21</v>
      </c>
      <c r="F119" s="72">
        <f t="shared" si="13"/>
        <v>3.7497049774604045E-2</v>
      </c>
      <c r="G119" s="59">
        <f t="shared" si="13"/>
        <v>4.2726455549691823E-2</v>
      </c>
      <c r="H119" s="59">
        <f t="shared" si="13"/>
        <v>4.9336666116858656E-2</v>
      </c>
      <c r="I119" s="59">
        <f t="shared" si="13"/>
        <v>5.3106167385822474E-2</v>
      </c>
      <c r="J119" s="62">
        <f t="shared" si="13"/>
        <v>5.6423866540531595E-2</v>
      </c>
      <c r="K119" s="72" t="str">
        <f t="shared" si="14"/>
        <v/>
      </c>
      <c r="L119" s="59">
        <f t="shared" si="14"/>
        <v>5.9883066496918252E-3</v>
      </c>
      <c r="M119" s="59">
        <f t="shared" si="14"/>
        <v>1.2000409316858652E-2</v>
      </c>
      <c r="N119" s="59">
        <f t="shared" si="14"/>
        <v>1.4777390185822482E-2</v>
      </c>
      <c r="O119" s="62">
        <f t="shared" si="14"/>
        <v>1.6784156940531599E-2</v>
      </c>
      <c r="P119" s="54" t="s">
        <v>21</v>
      </c>
      <c r="Q119" s="52" t="s">
        <v>21</v>
      </c>
      <c r="R119" s="93" t="s">
        <v>21</v>
      </c>
      <c r="S119" s="70" t="s">
        <v>21</v>
      </c>
      <c r="T119" s="62" t="str">
        <f t="shared" si="15"/>
        <v/>
      </c>
      <c r="V119" s="113">
        <v>1.1143246200000001</v>
      </c>
      <c r="W119" s="71">
        <v>2.8638765300000002</v>
      </c>
      <c r="X119" s="71">
        <v>4.3992576899999998</v>
      </c>
      <c r="Y119" s="71">
        <v>5.7082123100000004</v>
      </c>
      <c r="Z119" s="114">
        <v>7.3253358100000003</v>
      </c>
      <c r="AB119" s="72">
        <v>3.7497049774604045E-2</v>
      </c>
      <c r="AC119" s="70">
        <v>4.2726455549691823E-2</v>
      </c>
      <c r="AD119" s="70">
        <v>4.9336666116858656E-2</v>
      </c>
      <c r="AE119" s="70">
        <v>5.3106167385822474E-2</v>
      </c>
      <c r="AF119" s="62">
        <v>5.6423866540531595E-2</v>
      </c>
      <c r="AG119" s="72" t="s">
        <v>21</v>
      </c>
      <c r="AH119" s="70">
        <v>5.9883066496918252E-3</v>
      </c>
      <c r="AI119" s="70">
        <v>1.2000409316858652E-2</v>
      </c>
      <c r="AJ119" s="70">
        <v>1.4777390185822482E-2</v>
      </c>
      <c r="AK119" s="62">
        <v>1.6784156940531599E-2</v>
      </c>
    </row>
    <row r="120" spans="2:37" x14ac:dyDescent="0.35">
      <c r="B120" s="56" t="s">
        <v>98</v>
      </c>
      <c r="C120" s="66" t="s">
        <v>35</v>
      </c>
      <c r="D120" s="66" t="s">
        <v>47</v>
      </c>
      <c r="E120" s="66" t="s">
        <v>460</v>
      </c>
      <c r="F120" s="73">
        <f t="shared" si="13"/>
        <v>3.8926069013747219E-2</v>
      </c>
      <c r="G120" s="75">
        <f t="shared" si="13"/>
        <v>4.5805121560018494E-2</v>
      </c>
      <c r="H120" s="75">
        <f t="shared" si="13"/>
        <v>5.4271952309125057E-2</v>
      </c>
      <c r="I120" s="75">
        <f t="shared" si="13"/>
        <v>5.9581924003929504E-2</v>
      </c>
      <c r="J120" s="63">
        <f t="shared" si="13"/>
        <v>6.3637045795587349E-2</v>
      </c>
      <c r="K120" s="73">
        <f t="shared" si="14"/>
        <v>1.2409415137472164E-3</v>
      </c>
      <c r="L120" s="75">
        <f t="shared" si="14"/>
        <v>8.9742006600184998E-3</v>
      </c>
      <c r="M120" s="75">
        <f t="shared" si="14"/>
        <v>1.6765097409125063E-2</v>
      </c>
      <c r="N120" s="75">
        <f t="shared" si="14"/>
        <v>2.1000307203929501E-2</v>
      </c>
      <c r="O120" s="63">
        <f t="shared" si="14"/>
        <v>2.3713636695587341E-2</v>
      </c>
      <c r="P120" s="56" t="s">
        <v>461</v>
      </c>
      <c r="Q120" s="66" t="s">
        <v>462</v>
      </c>
      <c r="R120" s="95" t="s">
        <v>32</v>
      </c>
      <c r="S120" s="75">
        <v>4.6897970000000004E-2</v>
      </c>
      <c r="T120" s="63">
        <f t="shared" si="15"/>
        <v>7.3739823091250531E-3</v>
      </c>
      <c r="V120" s="115">
        <v>1.11326741</v>
      </c>
      <c r="W120" s="107">
        <v>2.85355589</v>
      </c>
      <c r="X120" s="107">
        <v>4.3643138400000003</v>
      </c>
      <c r="Y120" s="107">
        <v>5.6281650599999997</v>
      </c>
      <c r="Z120" s="116">
        <v>7.1564743700000006</v>
      </c>
      <c r="AB120" s="73">
        <v>3.8926069013747219E-2</v>
      </c>
      <c r="AC120" s="75">
        <v>4.5805121560018494E-2</v>
      </c>
      <c r="AD120" s="75">
        <v>5.4271952309125057E-2</v>
      </c>
      <c r="AE120" s="75">
        <v>5.9581924003929504E-2</v>
      </c>
      <c r="AF120" s="63">
        <v>6.3637045795587349E-2</v>
      </c>
      <c r="AG120" s="73">
        <v>1.2409415137472164E-3</v>
      </c>
      <c r="AH120" s="75">
        <v>8.9742006600184998E-3</v>
      </c>
      <c r="AI120" s="75">
        <v>1.6765097409125063E-2</v>
      </c>
      <c r="AJ120" s="75">
        <v>2.1000307203929501E-2</v>
      </c>
      <c r="AK120" s="63">
        <v>2.3713636695587341E-2</v>
      </c>
    </row>
    <row r="121" spans="2:37" x14ac:dyDescent="0.35">
      <c r="B121" s="54" t="s">
        <v>99</v>
      </c>
      <c r="C121" s="52" t="s">
        <v>85</v>
      </c>
      <c r="D121" s="52" t="s">
        <v>69</v>
      </c>
      <c r="E121" s="52" t="s">
        <v>100</v>
      </c>
      <c r="F121" s="72">
        <f t="shared" si="13"/>
        <v>3.7270962201954826E-2</v>
      </c>
      <c r="G121" s="59">
        <f t="shared" si="13"/>
        <v>4.322598720069834E-2</v>
      </c>
      <c r="H121" s="59">
        <f t="shared" si="13"/>
        <v>5.0166279395722692E-2</v>
      </c>
      <c r="I121" s="59">
        <f t="shared" si="13"/>
        <v>5.4159349306436677E-2</v>
      </c>
      <c r="J121" s="62">
        <f t="shared" si="13"/>
        <v>5.7823560489074076E-2</v>
      </c>
      <c r="K121" s="72" t="str">
        <f t="shared" si="14"/>
        <v/>
      </c>
      <c r="L121" s="59">
        <f t="shared" si="14"/>
        <v>6.4661176006983361E-3</v>
      </c>
      <c r="M121" s="59">
        <f t="shared" si="14"/>
        <v>1.2789052295722681E-2</v>
      </c>
      <c r="N121" s="59">
        <f t="shared" si="14"/>
        <v>1.5777565906436686E-2</v>
      </c>
      <c r="O121" s="62">
        <f t="shared" si="14"/>
        <v>1.8117824089074083E-2</v>
      </c>
      <c r="P121" s="54" t="s">
        <v>21</v>
      </c>
      <c r="Q121" s="52" t="s">
        <v>21</v>
      </c>
      <c r="R121" s="93" t="s">
        <v>21</v>
      </c>
      <c r="S121" s="70" t="s">
        <v>21</v>
      </c>
      <c r="T121" s="62" t="str">
        <f t="shared" si="15"/>
        <v/>
      </c>
      <c r="V121" s="113">
        <v>1.11472825</v>
      </c>
      <c r="W121" s="71">
        <v>2.8614871800000001</v>
      </c>
      <c r="X121" s="71">
        <v>4.3876548900000003</v>
      </c>
      <c r="Y121" s="71">
        <v>5.6812303499999999</v>
      </c>
      <c r="Z121" s="114">
        <v>7.2640964399999994</v>
      </c>
      <c r="AB121" s="72">
        <v>3.7270962201954826E-2</v>
      </c>
      <c r="AC121" s="70">
        <v>4.322598720069834E-2</v>
      </c>
      <c r="AD121" s="70">
        <v>5.0166279395722692E-2</v>
      </c>
      <c r="AE121" s="70">
        <v>5.4159349306436677E-2</v>
      </c>
      <c r="AF121" s="62">
        <v>5.7823560489074076E-2</v>
      </c>
      <c r="AG121" s="72" t="s">
        <v>21</v>
      </c>
      <c r="AH121" s="70">
        <v>6.4661176006983361E-3</v>
      </c>
      <c r="AI121" s="70">
        <v>1.2789052295722681E-2</v>
      </c>
      <c r="AJ121" s="70">
        <v>1.5777565906436686E-2</v>
      </c>
      <c r="AK121" s="62">
        <v>1.8117824089074083E-2</v>
      </c>
    </row>
    <row r="122" spans="2:37" x14ac:dyDescent="0.35">
      <c r="B122" s="56" t="s">
        <v>99</v>
      </c>
      <c r="C122" s="66" t="s">
        <v>35</v>
      </c>
      <c r="D122" s="66" t="s">
        <v>69</v>
      </c>
      <c r="E122" s="66" t="s">
        <v>224</v>
      </c>
      <c r="F122" s="73">
        <f t="shared" si="13"/>
        <v>3.7918190014304895E-2</v>
      </c>
      <c r="G122" s="75">
        <f t="shared" si="13"/>
        <v>4.5795043962233183E-2</v>
      </c>
      <c r="H122" s="75">
        <f t="shared" si="13"/>
        <v>5.4366976847726269E-2</v>
      </c>
      <c r="I122" s="75">
        <f t="shared" si="13"/>
        <v>5.9764913511503731E-2</v>
      </c>
      <c r="J122" s="63">
        <f t="shared" si="13"/>
        <v>6.3520925043131671E-2</v>
      </c>
      <c r="K122" s="73">
        <f t="shared" si="14"/>
        <v>2.626058143048943E-4</v>
      </c>
      <c r="L122" s="75">
        <f t="shared" si="14"/>
        <v>8.9622837622331808E-3</v>
      </c>
      <c r="M122" s="75">
        <f t="shared" si="14"/>
        <v>1.6854056247726269E-2</v>
      </c>
      <c r="N122" s="75">
        <f t="shared" si="14"/>
        <v>2.1172702411503725E-2</v>
      </c>
      <c r="O122" s="63">
        <f t="shared" si="14"/>
        <v>2.360462534313167E-2</v>
      </c>
      <c r="P122" s="56" t="s">
        <v>463</v>
      </c>
      <c r="Q122" s="66" t="s">
        <v>464</v>
      </c>
      <c r="R122" s="95" t="s">
        <v>32</v>
      </c>
      <c r="S122" s="75">
        <v>5.1565489999999999E-2</v>
      </c>
      <c r="T122" s="63">
        <f t="shared" si="15"/>
        <v>2.80148684772627E-3</v>
      </c>
      <c r="V122" s="115">
        <v>1.11472046</v>
      </c>
      <c r="W122" s="107">
        <v>2.8561651000000001</v>
      </c>
      <c r="X122" s="107">
        <v>4.3660243599999999</v>
      </c>
      <c r="Y122" s="107">
        <v>5.6276593799999999</v>
      </c>
      <c r="Z122" s="116">
        <v>7.1569073400000001</v>
      </c>
      <c r="AB122" s="73">
        <v>3.7918190014304895E-2</v>
      </c>
      <c r="AC122" s="75">
        <v>4.5795043962233183E-2</v>
      </c>
      <c r="AD122" s="75">
        <v>5.4366976847726269E-2</v>
      </c>
      <c r="AE122" s="75">
        <v>5.9764913511503731E-2</v>
      </c>
      <c r="AF122" s="63">
        <v>6.3520925043131671E-2</v>
      </c>
      <c r="AG122" s="73">
        <v>2.626058143048943E-4</v>
      </c>
      <c r="AH122" s="75">
        <v>8.9622837622331808E-3</v>
      </c>
      <c r="AI122" s="75">
        <v>1.6854056247726269E-2</v>
      </c>
      <c r="AJ122" s="75">
        <v>2.1172702411503725E-2</v>
      </c>
      <c r="AK122" s="63">
        <v>2.360462534313167E-2</v>
      </c>
    </row>
    <row r="123" spans="2:37" x14ac:dyDescent="0.35">
      <c r="B123" s="54" t="s">
        <v>101</v>
      </c>
      <c r="C123" s="52" t="s">
        <v>85</v>
      </c>
      <c r="D123" s="52" t="s">
        <v>31</v>
      </c>
      <c r="E123" s="52" t="s">
        <v>21</v>
      </c>
      <c r="F123" s="72">
        <f t="shared" si="13"/>
        <v>3.6936208055424545E-2</v>
      </c>
      <c r="G123" s="59">
        <f t="shared" si="13"/>
        <v>4.254129864166499E-2</v>
      </c>
      <c r="H123" s="59">
        <f t="shared" si="13"/>
        <v>4.902403467681854E-2</v>
      </c>
      <c r="I123" s="59">
        <f t="shared" si="13"/>
        <v>5.2940367476922434E-2</v>
      </c>
      <c r="J123" s="62">
        <f t="shared" si="13"/>
        <v>5.6392808961348941E-2</v>
      </c>
      <c r="K123" s="72" t="str">
        <f t="shared" si="14"/>
        <v/>
      </c>
      <c r="L123" s="59">
        <f t="shared" si="14"/>
        <v>5.8102120416649895E-3</v>
      </c>
      <c r="M123" s="59">
        <f t="shared" si="14"/>
        <v>1.1702487276818536E-2</v>
      </c>
      <c r="N123" s="59">
        <f t="shared" si="14"/>
        <v>1.4619254976922427E-2</v>
      </c>
      <c r="O123" s="62">
        <f t="shared" si="14"/>
        <v>1.6754343361348935E-2</v>
      </c>
      <c r="P123" s="54" t="s">
        <v>21</v>
      </c>
      <c r="Q123" s="52" t="s">
        <v>21</v>
      </c>
      <c r="R123" s="93" t="s">
        <v>21</v>
      </c>
      <c r="S123" s="70" t="s">
        <v>21</v>
      </c>
      <c r="T123" s="62" t="str">
        <f t="shared" si="15"/>
        <v/>
      </c>
      <c r="V123" s="113">
        <v>1.1154004200000001</v>
      </c>
      <c r="W123" s="71">
        <v>2.86691071</v>
      </c>
      <c r="X123" s="71">
        <v>4.4055900000000001</v>
      </c>
      <c r="Y123" s="71">
        <v>5.7170937799999999</v>
      </c>
      <c r="Z123" s="114">
        <v>7.3345695200000005</v>
      </c>
      <c r="AB123" s="72">
        <v>3.6936208055424545E-2</v>
      </c>
      <c r="AC123" s="70">
        <v>4.254129864166499E-2</v>
      </c>
      <c r="AD123" s="70">
        <v>4.902403467681854E-2</v>
      </c>
      <c r="AE123" s="70">
        <v>5.2940367476922434E-2</v>
      </c>
      <c r="AF123" s="62">
        <v>5.6392808961348941E-2</v>
      </c>
      <c r="AG123" s="72" t="s">
        <v>21</v>
      </c>
      <c r="AH123" s="70">
        <v>5.8102120416649895E-3</v>
      </c>
      <c r="AI123" s="70">
        <v>1.1702487276818536E-2</v>
      </c>
      <c r="AJ123" s="70">
        <v>1.4619254976922427E-2</v>
      </c>
      <c r="AK123" s="62">
        <v>1.6754343361348935E-2</v>
      </c>
    </row>
    <row r="124" spans="2:37" x14ac:dyDescent="0.35">
      <c r="B124" s="56" t="s">
        <v>101</v>
      </c>
      <c r="C124" s="66" t="s">
        <v>35</v>
      </c>
      <c r="D124" s="66" t="s">
        <v>31</v>
      </c>
      <c r="E124" s="66" t="s">
        <v>21</v>
      </c>
      <c r="F124" s="73">
        <f t="shared" si="13"/>
        <v>3.822589572744714E-2</v>
      </c>
      <c r="G124" s="75">
        <f t="shared" si="13"/>
        <v>4.5135063687623149E-2</v>
      </c>
      <c r="H124" s="75">
        <f t="shared" si="13"/>
        <v>5.3197140043442774E-2</v>
      </c>
      <c r="I124" s="75">
        <f t="shared" si="13"/>
        <v>5.7779933453182448E-2</v>
      </c>
      <c r="J124" s="63">
        <f t="shared" si="13"/>
        <v>6.1389746676460251E-2</v>
      </c>
      <c r="K124" s="73">
        <f t="shared" si="14"/>
        <v>5.5695632744713532E-4</v>
      </c>
      <c r="L124" s="75">
        <f t="shared" si="14"/>
        <v>8.3283406876231581E-3</v>
      </c>
      <c r="M124" s="75">
        <f t="shared" si="14"/>
        <v>1.5739820243442774E-2</v>
      </c>
      <c r="N124" s="75">
        <f t="shared" si="14"/>
        <v>1.9292299153182438E-2</v>
      </c>
      <c r="O124" s="63">
        <f t="shared" si="14"/>
        <v>2.1578899976460245E-2</v>
      </c>
      <c r="P124" s="56" t="s">
        <v>21</v>
      </c>
      <c r="Q124" s="66" t="s">
        <v>21</v>
      </c>
      <c r="R124" s="95" t="s">
        <v>21</v>
      </c>
      <c r="S124" s="75" t="s">
        <v>21</v>
      </c>
      <c r="T124" s="63" t="str">
        <f t="shared" si="15"/>
        <v/>
      </c>
      <c r="V124" s="115">
        <v>1.1143006600000001</v>
      </c>
      <c r="W124" s="107">
        <v>2.85852387</v>
      </c>
      <c r="X124" s="107">
        <v>4.3784613700000001</v>
      </c>
      <c r="Y124" s="107">
        <v>5.6618114400000001</v>
      </c>
      <c r="Z124" s="116">
        <v>7.23328624</v>
      </c>
      <c r="AB124" s="73">
        <v>3.822589572744714E-2</v>
      </c>
      <c r="AC124" s="75">
        <v>4.5135063687623149E-2</v>
      </c>
      <c r="AD124" s="75">
        <v>5.3197140043442774E-2</v>
      </c>
      <c r="AE124" s="75">
        <v>5.7779933453182448E-2</v>
      </c>
      <c r="AF124" s="63">
        <v>6.1389746676460251E-2</v>
      </c>
      <c r="AG124" s="73">
        <v>5.5695632744713532E-4</v>
      </c>
      <c r="AH124" s="75">
        <v>8.3283406876231581E-3</v>
      </c>
      <c r="AI124" s="75">
        <v>1.5739820243442774E-2</v>
      </c>
      <c r="AJ124" s="75">
        <v>1.9292299153182438E-2</v>
      </c>
      <c r="AK124" s="63">
        <v>2.1578899976460245E-2</v>
      </c>
    </row>
    <row r="125" spans="2:37" x14ac:dyDescent="0.35">
      <c r="B125" s="54" t="s">
        <v>102</v>
      </c>
      <c r="C125" s="52" t="s">
        <v>85</v>
      </c>
      <c r="D125" s="52" t="s">
        <v>69</v>
      </c>
      <c r="E125" s="52" t="s">
        <v>465</v>
      </c>
      <c r="F125" s="72">
        <f t="shared" si="13"/>
        <v>3.7808958256860321E-2</v>
      </c>
      <c r="G125" s="59">
        <f t="shared" si="13"/>
        <v>4.3263751078688684E-2</v>
      </c>
      <c r="H125" s="59">
        <f t="shared" si="13"/>
        <v>5.0224687482449522E-2</v>
      </c>
      <c r="I125" s="59">
        <f t="shared" si="13"/>
        <v>5.4263806155188589E-2</v>
      </c>
      <c r="J125" s="62">
        <f t="shared" si="13"/>
        <v>5.7748768082431887E-2</v>
      </c>
      <c r="K125" s="72">
        <f t="shared" si="14"/>
        <v>1.4573185686032365E-4</v>
      </c>
      <c r="L125" s="59">
        <f t="shared" si="14"/>
        <v>6.4995913786886775E-3</v>
      </c>
      <c r="M125" s="59">
        <f t="shared" si="14"/>
        <v>1.2842488382449519E-2</v>
      </c>
      <c r="N125" s="59">
        <f t="shared" si="14"/>
        <v>1.5874624955188595E-2</v>
      </c>
      <c r="O125" s="62">
        <f t="shared" si="14"/>
        <v>1.8046077482431876E-2</v>
      </c>
      <c r="P125" s="54" t="s">
        <v>21</v>
      </c>
      <c r="Q125" s="52" t="s">
        <v>21</v>
      </c>
      <c r="R125" s="93" t="s">
        <v>21</v>
      </c>
      <c r="S125" s="70" t="s">
        <v>21</v>
      </c>
      <c r="T125" s="62" t="str">
        <f t="shared" si="15"/>
        <v/>
      </c>
      <c r="V125" s="113">
        <v>1.1137530499999999</v>
      </c>
      <c r="W125" s="71">
        <v>2.8595715799999999</v>
      </c>
      <c r="X125" s="71">
        <v>4.3852908900000003</v>
      </c>
      <c r="Y125" s="71">
        <v>5.6775863700000002</v>
      </c>
      <c r="Z125" s="114">
        <v>7.2619383499999994</v>
      </c>
      <c r="AB125" s="72">
        <v>3.7808958256860321E-2</v>
      </c>
      <c r="AC125" s="70">
        <v>4.3263751078688684E-2</v>
      </c>
      <c r="AD125" s="70">
        <v>5.0224687482449522E-2</v>
      </c>
      <c r="AE125" s="70">
        <v>5.4263806155188589E-2</v>
      </c>
      <c r="AF125" s="62">
        <v>5.7748768082431887E-2</v>
      </c>
      <c r="AG125" s="72">
        <v>1.4573185686032365E-4</v>
      </c>
      <c r="AH125" s="70">
        <v>6.4995913786886775E-3</v>
      </c>
      <c r="AI125" s="70">
        <v>1.2842488382449519E-2</v>
      </c>
      <c r="AJ125" s="70">
        <v>1.5874624955188595E-2</v>
      </c>
      <c r="AK125" s="62">
        <v>1.8046077482431876E-2</v>
      </c>
    </row>
    <row r="126" spans="2:37" x14ac:dyDescent="0.35">
      <c r="B126" s="56" t="s">
        <v>102</v>
      </c>
      <c r="C126" s="66" t="s">
        <v>35</v>
      </c>
      <c r="D126" s="66" t="s">
        <v>69</v>
      </c>
      <c r="E126" s="66" t="s">
        <v>159</v>
      </c>
      <c r="F126" s="73">
        <f t="shared" si="13"/>
        <v>3.8531835481246821E-2</v>
      </c>
      <c r="G126" s="75">
        <f t="shared" si="13"/>
        <v>4.5794481666131398E-2</v>
      </c>
      <c r="H126" s="75">
        <f t="shared" si="13"/>
        <v>5.4369347786418852E-2</v>
      </c>
      <c r="I126" s="75">
        <f t="shared" si="13"/>
        <v>5.940495325624115E-2</v>
      </c>
      <c r="J126" s="63">
        <f t="shared" si="13"/>
        <v>6.3457044744017407E-2</v>
      </c>
      <c r="K126" s="73">
        <f t="shared" si="14"/>
        <v>8.5541308124682108E-4</v>
      </c>
      <c r="L126" s="75">
        <f t="shared" si="14"/>
        <v>8.961787766131395E-3</v>
      </c>
      <c r="M126" s="75">
        <f t="shared" si="14"/>
        <v>1.6856220986418848E-2</v>
      </c>
      <c r="N126" s="75">
        <f t="shared" si="14"/>
        <v>2.0831998656241146E-2</v>
      </c>
      <c r="O126" s="63">
        <f t="shared" si="14"/>
        <v>2.3541666744017416E-2</v>
      </c>
      <c r="P126" s="56" t="s">
        <v>21</v>
      </c>
      <c r="Q126" s="66" t="s">
        <v>21</v>
      </c>
      <c r="R126" s="95" t="s">
        <v>21</v>
      </c>
      <c r="S126" s="75" t="s">
        <v>21</v>
      </c>
      <c r="T126" s="63" t="str">
        <f t="shared" si="15"/>
        <v/>
      </c>
      <c r="V126" s="113">
        <v>1.11385136</v>
      </c>
      <c r="W126" s="71">
        <v>2.85464166</v>
      </c>
      <c r="X126" s="71">
        <v>4.3646090800000001</v>
      </c>
      <c r="Y126" s="71">
        <v>5.6299931000000001</v>
      </c>
      <c r="Z126" s="114">
        <v>7.1622187099999994</v>
      </c>
      <c r="AB126" s="73">
        <v>3.8531835481246821E-2</v>
      </c>
      <c r="AC126" s="75">
        <v>4.5794481666131398E-2</v>
      </c>
      <c r="AD126" s="75">
        <v>5.4369347786418852E-2</v>
      </c>
      <c r="AE126" s="75">
        <v>5.940495325624115E-2</v>
      </c>
      <c r="AF126" s="63">
        <v>6.3457044744017407E-2</v>
      </c>
      <c r="AG126" s="73">
        <v>8.5541308124682108E-4</v>
      </c>
      <c r="AH126" s="75">
        <v>8.961787766131395E-3</v>
      </c>
      <c r="AI126" s="75">
        <v>1.6856220986418848E-2</v>
      </c>
      <c r="AJ126" s="75">
        <v>2.0831998656241146E-2</v>
      </c>
      <c r="AK126" s="63">
        <v>2.3541666744017416E-2</v>
      </c>
    </row>
    <row r="127" spans="2:37" x14ac:dyDescent="0.35">
      <c r="B127" s="55" t="s">
        <v>104</v>
      </c>
      <c r="C127" s="65" t="s">
        <v>85</v>
      </c>
      <c r="D127" s="65" t="s">
        <v>43</v>
      </c>
      <c r="E127" s="64" t="s">
        <v>423</v>
      </c>
      <c r="F127" s="79">
        <f t="shared" si="13"/>
        <v>3.6958161825676197E-2</v>
      </c>
      <c r="G127" s="79">
        <f t="shared" si="13"/>
        <v>4.1822503886351697E-2</v>
      </c>
      <c r="H127" s="79">
        <f t="shared" si="13"/>
        <v>4.8028302855332848E-2</v>
      </c>
      <c r="I127" s="79">
        <f t="shared" si="13"/>
        <v>5.1387764496109614E-2</v>
      </c>
      <c r="J127" s="61">
        <f t="shared" si="13"/>
        <v>5.4336562058947352E-2</v>
      </c>
      <c r="K127" s="79" t="str">
        <f t="shared" si="14"/>
        <v/>
      </c>
      <c r="L127" s="79">
        <f t="shared" si="14"/>
        <v>5.1236822863516863E-3</v>
      </c>
      <c r="M127" s="79">
        <f t="shared" si="14"/>
        <v>1.0755298555332853E-2</v>
      </c>
      <c r="N127" s="79">
        <f t="shared" si="14"/>
        <v>1.314299009610961E-2</v>
      </c>
      <c r="O127" s="61">
        <f t="shared" si="14"/>
        <v>1.4786440158947357E-2</v>
      </c>
      <c r="P127" s="55" t="s">
        <v>21</v>
      </c>
      <c r="Q127" s="65" t="s">
        <v>21</v>
      </c>
      <c r="R127" s="99" t="s">
        <v>21</v>
      </c>
      <c r="S127" s="79" t="s">
        <v>21</v>
      </c>
      <c r="T127" s="61" t="str">
        <f t="shared" si="15"/>
        <v/>
      </c>
      <c r="V127" s="117">
        <v>1.11536469</v>
      </c>
      <c r="W127" s="60">
        <v>2.8717590300000002</v>
      </c>
      <c r="X127" s="60">
        <v>4.4214746499999995</v>
      </c>
      <c r="Y127" s="60">
        <v>5.7552893000000003</v>
      </c>
      <c r="Z127" s="118">
        <v>7.4245586700000006</v>
      </c>
      <c r="AB127" s="79">
        <v>3.6958161825676197E-2</v>
      </c>
      <c r="AC127" s="79">
        <v>4.1822503886351697E-2</v>
      </c>
      <c r="AD127" s="79">
        <v>4.8028302855332848E-2</v>
      </c>
      <c r="AE127" s="79">
        <v>5.1387764496109614E-2</v>
      </c>
      <c r="AF127" s="61">
        <v>5.4336562058947352E-2</v>
      </c>
      <c r="AG127" s="79" t="s">
        <v>21</v>
      </c>
      <c r="AH127" s="79">
        <v>5.1236822863516863E-3</v>
      </c>
      <c r="AI127" s="79">
        <v>1.0755298555332853E-2</v>
      </c>
      <c r="AJ127" s="79">
        <v>1.314299009610961E-2</v>
      </c>
      <c r="AK127" s="61">
        <v>1.4786440158947357E-2</v>
      </c>
    </row>
    <row r="128" spans="2:37" x14ac:dyDescent="0.35">
      <c r="B128" s="56" t="s">
        <v>104</v>
      </c>
      <c r="C128" s="66" t="s">
        <v>35</v>
      </c>
      <c r="D128" s="66" t="s">
        <v>43</v>
      </c>
      <c r="E128" s="53" t="s">
        <v>423</v>
      </c>
      <c r="F128" s="75">
        <f t="shared" si="13"/>
        <v>3.847024230155556E-2</v>
      </c>
      <c r="G128" s="75">
        <f t="shared" si="13"/>
        <v>4.5694194717932832E-2</v>
      </c>
      <c r="H128" s="75">
        <f t="shared" si="13"/>
        <v>5.408218959684645E-2</v>
      </c>
      <c r="I128" s="75">
        <f t="shared" si="13"/>
        <v>5.8662110093897012E-2</v>
      </c>
      <c r="J128" s="63">
        <f t="shared" si="13"/>
        <v>6.2188793243275496E-2</v>
      </c>
      <c r="K128" s="75">
        <f t="shared" si="14"/>
        <v>7.9015850155555751E-4</v>
      </c>
      <c r="L128" s="75">
        <f t="shared" si="14"/>
        <v>8.863077817932833E-3</v>
      </c>
      <c r="M128" s="75">
        <f t="shared" si="14"/>
        <v>1.658116699684645E-2</v>
      </c>
      <c r="N128" s="75">
        <f t="shared" si="14"/>
        <v>2.0127294593897005E-2</v>
      </c>
      <c r="O128" s="63">
        <f t="shared" si="14"/>
        <v>2.233717414327548E-2</v>
      </c>
      <c r="P128" s="66" t="s">
        <v>21</v>
      </c>
      <c r="Q128" s="66" t="s">
        <v>21</v>
      </c>
      <c r="R128" s="95" t="s">
        <v>21</v>
      </c>
      <c r="S128" s="75" t="s">
        <v>21</v>
      </c>
      <c r="T128" s="63" t="str">
        <f t="shared" si="15"/>
        <v/>
      </c>
      <c r="V128" s="115">
        <v>1.11396994</v>
      </c>
      <c r="W128" s="107">
        <v>2.85533159</v>
      </c>
      <c r="X128" s="107">
        <v>4.3676756399999999</v>
      </c>
      <c r="Y128" s="107">
        <v>5.6409942300000004</v>
      </c>
      <c r="Z128" s="116">
        <v>7.1972098799999991</v>
      </c>
      <c r="AB128" s="75">
        <v>3.847024230155556E-2</v>
      </c>
      <c r="AC128" s="75">
        <v>4.5694194717932832E-2</v>
      </c>
      <c r="AD128" s="75">
        <v>5.408218959684645E-2</v>
      </c>
      <c r="AE128" s="75">
        <v>5.8662110093897012E-2</v>
      </c>
      <c r="AF128" s="63">
        <v>6.2188793243275496E-2</v>
      </c>
      <c r="AG128" s="75">
        <v>7.9015850155555751E-4</v>
      </c>
      <c r="AH128" s="75">
        <v>8.863077817932833E-3</v>
      </c>
      <c r="AI128" s="75">
        <v>1.658116699684645E-2</v>
      </c>
      <c r="AJ128" s="75">
        <v>2.0127294593897005E-2</v>
      </c>
      <c r="AK128" s="75">
        <v>2.233717414327548E-2</v>
      </c>
    </row>
    <row r="129" spans="2:37" x14ac:dyDescent="0.35">
      <c r="B129" s="54" t="s">
        <v>105</v>
      </c>
      <c r="C129" s="52" t="s">
        <v>85</v>
      </c>
      <c r="D129" s="52" t="s">
        <v>43</v>
      </c>
      <c r="E129" s="52" t="s">
        <v>423</v>
      </c>
      <c r="F129" s="72">
        <f t="shared" si="13"/>
        <v>3.691170784707834E-2</v>
      </c>
      <c r="G129" s="59">
        <f t="shared" si="13"/>
        <v>4.1879083604933802E-2</v>
      </c>
      <c r="H129" s="59">
        <f t="shared" si="13"/>
        <v>4.7927576578262535E-2</v>
      </c>
      <c r="I129" s="59">
        <f t="shared" si="13"/>
        <v>5.1288463994434978E-2</v>
      </c>
      <c r="J129" s="62">
        <f t="shared" si="13"/>
        <v>5.4141221910629485E-2</v>
      </c>
      <c r="K129" s="72" t="str">
        <f t="shared" si="14"/>
        <v/>
      </c>
      <c r="L129" s="59">
        <f t="shared" si="14"/>
        <v>5.178617304933809E-3</v>
      </c>
      <c r="M129" s="59">
        <f t="shared" si="14"/>
        <v>1.0659885378262533E-2</v>
      </c>
      <c r="N129" s="59">
        <f t="shared" si="14"/>
        <v>1.3048552094434982E-2</v>
      </c>
      <c r="O129" s="62">
        <f t="shared" si="14"/>
        <v>1.459937751062948E-2</v>
      </c>
      <c r="P129" s="54" t="s">
        <v>21</v>
      </c>
      <c r="Q129" s="52" t="s">
        <v>21</v>
      </c>
      <c r="R129" s="93" t="s">
        <v>21</v>
      </c>
      <c r="S129" s="70" t="s">
        <v>21</v>
      </c>
      <c r="T129" s="62" t="str">
        <f t="shared" si="15"/>
        <v/>
      </c>
      <c r="V129" s="113">
        <v>1.1154371600000001</v>
      </c>
      <c r="W129" s="71">
        <v>2.8710702700000001</v>
      </c>
      <c r="X129" s="71">
        <v>4.4218857500000004</v>
      </c>
      <c r="Y129" s="71">
        <v>5.75734777</v>
      </c>
      <c r="Z129" s="114">
        <v>7.4314683500000003</v>
      </c>
      <c r="AB129" s="72">
        <v>3.691170784707834E-2</v>
      </c>
      <c r="AC129" s="70">
        <v>4.1879083604933802E-2</v>
      </c>
      <c r="AD129" s="70">
        <v>4.7927576578262535E-2</v>
      </c>
      <c r="AE129" s="70">
        <v>5.1288463994434978E-2</v>
      </c>
      <c r="AF129" s="62">
        <v>5.4141221910629485E-2</v>
      </c>
      <c r="AG129" s="72" t="s">
        <v>21</v>
      </c>
      <c r="AH129" s="70">
        <v>5.178617304933809E-3</v>
      </c>
      <c r="AI129" s="70">
        <v>1.0659885378262533E-2</v>
      </c>
      <c r="AJ129" s="70">
        <v>1.3048552094434982E-2</v>
      </c>
      <c r="AK129" s="62">
        <v>1.459937751062948E-2</v>
      </c>
    </row>
    <row r="130" spans="2:37" x14ac:dyDescent="0.35">
      <c r="B130" s="56" t="s">
        <v>105</v>
      </c>
      <c r="C130" s="66" t="s">
        <v>35</v>
      </c>
      <c r="D130" s="66" t="s">
        <v>43</v>
      </c>
      <c r="E130" s="66" t="s">
        <v>21</v>
      </c>
      <c r="F130" s="73">
        <f t="shared" si="13"/>
        <v>3.8407686029428477E-2</v>
      </c>
      <c r="G130" s="75">
        <f t="shared" si="13"/>
        <v>4.5566738373674726E-2</v>
      </c>
      <c r="H130" s="75">
        <f t="shared" si="13"/>
        <v>5.3883493980361699E-2</v>
      </c>
      <c r="I130" s="75">
        <f t="shared" si="13"/>
        <v>5.8373108537271325E-2</v>
      </c>
      <c r="J130" s="63">
        <f t="shared" si="13"/>
        <v>6.1984861630065925E-2</v>
      </c>
      <c r="K130" s="73">
        <f t="shared" si="14"/>
        <v>7.3314992942848101E-4</v>
      </c>
      <c r="L130" s="75">
        <f t="shared" si="14"/>
        <v>8.7424660736747234E-3</v>
      </c>
      <c r="M130" s="75">
        <f t="shared" si="14"/>
        <v>1.6393289880361702E-2</v>
      </c>
      <c r="N130" s="75">
        <f t="shared" si="14"/>
        <v>1.9854562437271329E-2</v>
      </c>
      <c r="O130" s="63">
        <f t="shared" si="14"/>
        <v>2.2143877430065923E-2</v>
      </c>
      <c r="P130" s="56" t="s">
        <v>21</v>
      </c>
      <c r="Q130" s="66" t="s">
        <v>21</v>
      </c>
      <c r="R130" s="95" t="s">
        <v>21</v>
      </c>
      <c r="S130" s="75" t="s">
        <v>21</v>
      </c>
      <c r="T130" s="63" t="str">
        <f t="shared" si="15"/>
        <v/>
      </c>
      <c r="V130" s="113">
        <v>1.11403995</v>
      </c>
      <c r="W130" s="71">
        <v>2.8560432800000002</v>
      </c>
      <c r="X130" s="71">
        <v>4.3700763299999998</v>
      </c>
      <c r="Y130" s="71">
        <v>5.6465443400000002</v>
      </c>
      <c r="Z130" s="114">
        <v>7.2070103400000001</v>
      </c>
      <c r="AB130" s="73">
        <v>3.8407686029428477E-2</v>
      </c>
      <c r="AC130" s="75">
        <v>4.5566738373674726E-2</v>
      </c>
      <c r="AD130" s="75">
        <v>5.3883493980361699E-2</v>
      </c>
      <c r="AE130" s="75">
        <v>5.8373108537271325E-2</v>
      </c>
      <c r="AF130" s="63">
        <v>6.1984861630065925E-2</v>
      </c>
      <c r="AG130" s="73">
        <v>7.3314992942848101E-4</v>
      </c>
      <c r="AH130" s="75">
        <v>8.7424660736747234E-3</v>
      </c>
      <c r="AI130" s="75">
        <v>1.6393289880361702E-2</v>
      </c>
      <c r="AJ130" s="75">
        <v>1.9854562437271329E-2</v>
      </c>
      <c r="AK130" s="63">
        <v>2.2143877430065923E-2</v>
      </c>
    </row>
    <row r="131" spans="2:37" x14ac:dyDescent="0.35">
      <c r="B131" s="55" t="s">
        <v>106</v>
      </c>
      <c r="C131" s="65" t="s">
        <v>85</v>
      </c>
      <c r="D131" s="65" t="s">
        <v>62</v>
      </c>
      <c r="E131" s="65" t="s">
        <v>466</v>
      </c>
      <c r="F131" s="74">
        <f t="shared" ref="F131:J138" si="16">IF(ISNUMBER(AB131),AB131-((C$4-C$3)/V131),"")</f>
        <v>3.7287762379028151E-2</v>
      </c>
      <c r="G131" s="79">
        <f t="shared" si="16"/>
        <v>4.2665977716524819E-2</v>
      </c>
      <c r="H131" s="79">
        <f t="shared" si="16"/>
        <v>4.9233165994232969E-2</v>
      </c>
      <c r="I131" s="79">
        <f t="shared" si="16"/>
        <v>5.2956203179070106E-2</v>
      </c>
      <c r="J131" s="61">
        <f t="shared" si="16"/>
        <v>5.6131836583813918E-2</v>
      </c>
      <c r="K131" s="74" t="str">
        <f t="shared" ref="K131:O138" si="17">IF(ISNUMBER(AG131),IF(AG131-((C$4-C$3)/V131)&lt;0,"",AG131-((C$4-C$3)/V131)),"")</f>
        <v/>
      </c>
      <c r="L131" s="79">
        <f t="shared" si="17"/>
        <v>5.9296103165248151E-3</v>
      </c>
      <c r="M131" s="79">
        <f t="shared" si="17"/>
        <v>1.1901427294232969E-2</v>
      </c>
      <c r="N131" s="79">
        <f t="shared" si="17"/>
        <v>1.4634566579070109E-2</v>
      </c>
      <c r="O131" s="61">
        <f t="shared" si="17"/>
        <v>1.6505297983813914E-2</v>
      </c>
      <c r="P131" s="55" t="s">
        <v>467</v>
      </c>
      <c r="Q131" s="65" t="s">
        <v>468</v>
      </c>
      <c r="R131" s="99" t="s">
        <v>32</v>
      </c>
      <c r="S131" s="79">
        <v>4.8897389999999999E-2</v>
      </c>
      <c r="T131" s="61">
        <f t="shared" si="15"/>
        <v>3.3577599423297022E-4</v>
      </c>
      <c r="V131" s="117">
        <v>1.1147325099999998</v>
      </c>
      <c r="W131" s="60">
        <v>2.8649698299999997</v>
      </c>
      <c r="X131" s="60">
        <v>4.4014406399999997</v>
      </c>
      <c r="Y131" s="60">
        <v>5.71251233</v>
      </c>
      <c r="Z131" s="118">
        <v>7.3365734200000006</v>
      </c>
      <c r="AB131" s="74">
        <v>3.7287762379028151E-2</v>
      </c>
      <c r="AC131" s="79">
        <v>4.2665977716524819E-2</v>
      </c>
      <c r="AD131" s="79">
        <v>4.9233165994232969E-2</v>
      </c>
      <c r="AE131" s="79">
        <v>5.2956203179070106E-2</v>
      </c>
      <c r="AF131" s="61">
        <v>5.6131836583813918E-2</v>
      </c>
      <c r="AG131" s="74" t="s">
        <v>21</v>
      </c>
      <c r="AH131" s="79">
        <v>5.9296103165248151E-3</v>
      </c>
      <c r="AI131" s="79">
        <v>1.1901427294232969E-2</v>
      </c>
      <c r="AJ131" s="79">
        <v>1.4634566579070109E-2</v>
      </c>
      <c r="AK131" s="61">
        <v>1.6505297983813914E-2</v>
      </c>
    </row>
    <row r="132" spans="2:37" x14ac:dyDescent="0.35">
      <c r="B132" s="56" t="s">
        <v>106</v>
      </c>
      <c r="C132" s="66" t="s">
        <v>35</v>
      </c>
      <c r="D132" s="66" t="s">
        <v>62</v>
      </c>
      <c r="E132" s="66" t="s">
        <v>469</v>
      </c>
      <c r="F132" s="73">
        <f t="shared" si="16"/>
        <v>3.8440431571999611E-2</v>
      </c>
      <c r="G132" s="75">
        <f t="shared" si="16"/>
        <v>4.5873994040112796E-2</v>
      </c>
      <c r="H132" s="75">
        <f t="shared" si="16"/>
        <v>5.4372296167508959E-2</v>
      </c>
      <c r="I132" s="75">
        <f t="shared" si="16"/>
        <v>5.8860973998359559E-2</v>
      </c>
      <c r="J132" s="63">
        <f t="shared" si="16"/>
        <v>6.2734472167711622E-2</v>
      </c>
      <c r="K132" s="75">
        <f t="shared" si="17"/>
        <v>7.6621357199961083E-4</v>
      </c>
      <c r="L132" s="75">
        <f t="shared" si="17"/>
        <v>9.0375443401127936E-3</v>
      </c>
      <c r="M132" s="75">
        <f t="shared" si="17"/>
        <v>1.6858666167508959E-2</v>
      </c>
      <c r="N132" s="75">
        <f t="shared" si="17"/>
        <v>2.0317017598359563E-2</v>
      </c>
      <c r="O132" s="75">
        <f t="shared" si="17"/>
        <v>2.2854946067711615E-2</v>
      </c>
      <c r="P132" s="66" t="s">
        <v>21</v>
      </c>
      <c r="Q132" s="66" t="s">
        <v>21</v>
      </c>
      <c r="R132" s="95" t="s">
        <v>21</v>
      </c>
      <c r="S132" s="75" t="s">
        <v>21</v>
      </c>
      <c r="T132" s="75" t="str">
        <f t="shared" si="15"/>
        <v/>
      </c>
      <c r="V132" s="115">
        <v>1.11398576</v>
      </c>
      <c r="W132" s="107">
        <v>2.85450794</v>
      </c>
      <c r="X132" s="107">
        <v>4.3643228399999998</v>
      </c>
      <c r="Y132" s="107">
        <v>5.6352275299999999</v>
      </c>
      <c r="Z132" s="116">
        <v>7.182137130000001</v>
      </c>
      <c r="AB132" s="73">
        <v>3.8440431571999611E-2</v>
      </c>
      <c r="AC132" s="75">
        <v>4.5873994040112796E-2</v>
      </c>
      <c r="AD132" s="75">
        <v>5.4372296167508959E-2</v>
      </c>
      <c r="AE132" s="75">
        <v>5.8860973998359559E-2</v>
      </c>
      <c r="AF132" s="63">
        <v>6.2734472167711622E-2</v>
      </c>
      <c r="AG132" s="75">
        <v>7.6621357199961083E-4</v>
      </c>
      <c r="AH132" s="75">
        <v>9.0375443401127936E-3</v>
      </c>
      <c r="AI132" s="75">
        <v>1.6858666167508959E-2</v>
      </c>
      <c r="AJ132" s="75">
        <v>2.0317017598359563E-2</v>
      </c>
      <c r="AK132" s="63">
        <v>2.2854946067711615E-2</v>
      </c>
    </row>
    <row r="133" spans="2:37" x14ac:dyDescent="0.35">
      <c r="B133" s="54" t="s">
        <v>107</v>
      </c>
      <c r="C133" s="52" t="s">
        <v>85</v>
      </c>
      <c r="D133" s="52" t="s">
        <v>62</v>
      </c>
      <c r="E133" s="52" t="s">
        <v>264</v>
      </c>
      <c r="F133" s="72">
        <f t="shared" si="16"/>
        <v>3.7493311955229605E-2</v>
      </c>
      <c r="G133" s="59">
        <f t="shared" si="16"/>
        <v>4.266641951573874E-2</v>
      </c>
      <c r="H133" s="59">
        <f t="shared" si="16"/>
        <v>4.9234291185199501E-2</v>
      </c>
      <c r="I133" s="59">
        <f t="shared" si="16"/>
        <v>5.310022445029125E-2</v>
      </c>
      <c r="J133" s="62">
        <f t="shared" si="16"/>
        <v>5.6235088817866243E-2</v>
      </c>
      <c r="K133" s="72" t="str">
        <f t="shared" si="17"/>
        <v/>
      </c>
      <c r="L133" s="59">
        <f t="shared" si="17"/>
        <v>5.9298425157387358E-3</v>
      </c>
      <c r="M133" s="59">
        <f t="shared" si="17"/>
        <v>1.1902303085199498E-2</v>
      </c>
      <c r="N133" s="59">
        <f t="shared" si="17"/>
        <v>1.4770913350291247E-2</v>
      </c>
      <c r="O133" s="62">
        <f t="shared" si="17"/>
        <v>1.6604332017866236E-2</v>
      </c>
      <c r="P133" s="54" t="s">
        <v>21</v>
      </c>
      <c r="Q133" s="52" t="s">
        <v>21</v>
      </c>
      <c r="R133" s="93" t="s">
        <v>21</v>
      </c>
      <c r="S133" s="70" t="s">
        <v>21</v>
      </c>
      <c r="T133" s="62" t="str">
        <f t="shared" si="15"/>
        <v/>
      </c>
      <c r="V133" s="113">
        <v>1.1143488099999999</v>
      </c>
      <c r="W133" s="71">
        <v>2.86429819</v>
      </c>
      <c r="X133" s="71">
        <v>4.4008205299999998</v>
      </c>
      <c r="Y133" s="71">
        <v>5.7100236600000001</v>
      </c>
      <c r="Z133" s="114">
        <v>7.3309920099999992</v>
      </c>
      <c r="AB133" s="72">
        <v>3.7493311955229605E-2</v>
      </c>
      <c r="AC133" s="70">
        <v>4.266641951573874E-2</v>
      </c>
      <c r="AD133" s="70">
        <v>4.9234291185199501E-2</v>
      </c>
      <c r="AE133" s="70">
        <v>5.310022445029125E-2</v>
      </c>
      <c r="AF133" s="62">
        <v>5.6235088817866243E-2</v>
      </c>
      <c r="AG133" s="72" t="s">
        <v>21</v>
      </c>
      <c r="AH133" s="70">
        <v>5.9298425157387358E-3</v>
      </c>
      <c r="AI133" s="70">
        <v>1.1902303085199498E-2</v>
      </c>
      <c r="AJ133" s="70">
        <v>1.4770913350291247E-2</v>
      </c>
      <c r="AK133" s="62">
        <v>1.6604332017866236E-2</v>
      </c>
    </row>
    <row r="134" spans="2:37" x14ac:dyDescent="0.35">
      <c r="B134" s="54" t="s">
        <v>107</v>
      </c>
      <c r="C134" s="52" t="s">
        <v>35</v>
      </c>
      <c r="D134" s="52" t="s">
        <v>62</v>
      </c>
      <c r="E134" s="52" t="s">
        <v>289</v>
      </c>
      <c r="F134" s="72">
        <f t="shared" si="16"/>
        <v>3.8370587331706799E-2</v>
      </c>
      <c r="G134" s="59">
        <f t="shared" si="16"/>
        <v>4.5256180959524182E-2</v>
      </c>
      <c r="H134" s="59">
        <f t="shared" si="16"/>
        <v>5.3392262786571255E-2</v>
      </c>
      <c r="I134" s="59">
        <f t="shared" si="16"/>
        <v>5.7608471642082035E-2</v>
      </c>
      <c r="J134" s="62">
        <f t="shared" si="16"/>
        <v>6.1476194947758633E-2</v>
      </c>
      <c r="K134" s="72">
        <f t="shared" si="17"/>
        <v>6.9869413170680055E-4</v>
      </c>
      <c r="L134" s="59">
        <f t="shared" si="17"/>
        <v>8.4453764595241888E-3</v>
      </c>
      <c r="M134" s="59">
        <f t="shared" si="17"/>
        <v>1.5926233586571255E-2</v>
      </c>
      <c r="N134" s="59">
        <f t="shared" si="17"/>
        <v>1.9130422842082037E-2</v>
      </c>
      <c r="O134" s="62">
        <f t="shared" si="17"/>
        <v>2.1659596447758642E-2</v>
      </c>
      <c r="P134" s="54" t="s">
        <v>21</v>
      </c>
      <c r="Q134" s="52" t="s">
        <v>21</v>
      </c>
      <c r="R134" s="93" t="s">
        <v>21</v>
      </c>
      <c r="S134" s="70" t="s">
        <v>21</v>
      </c>
      <c r="T134" s="62" t="str">
        <f t="shared" si="15"/>
        <v/>
      </c>
      <c r="V134" s="113">
        <v>1.11408497</v>
      </c>
      <c r="W134" s="71">
        <v>2.85757298</v>
      </c>
      <c r="X134" s="71">
        <v>4.3758415900000003</v>
      </c>
      <c r="Y134" s="71">
        <v>5.6606843800000002</v>
      </c>
      <c r="Z134" s="114">
        <v>7.2321050199999997</v>
      </c>
      <c r="AB134" s="72">
        <v>3.8370587331706799E-2</v>
      </c>
      <c r="AC134" s="70">
        <v>4.5256180959524182E-2</v>
      </c>
      <c r="AD134" s="70">
        <v>5.3392262786571255E-2</v>
      </c>
      <c r="AE134" s="70">
        <v>5.7608471642082035E-2</v>
      </c>
      <c r="AF134" s="62">
        <v>6.1476194947758633E-2</v>
      </c>
      <c r="AG134" s="72">
        <v>6.9869413170680055E-4</v>
      </c>
      <c r="AH134" s="70">
        <v>8.4453764595241888E-3</v>
      </c>
      <c r="AI134" s="70">
        <v>1.5926233586571255E-2</v>
      </c>
      <c r="AJ134" s="70">
        <v>1.9130422842082037E-2</v>
      </c>
      <c r="AK134" s="62">
        <v>2.1659596447758642E-2</v>
      </c>
    </row>
    <row r="135" spans="2:37" x14ac:dyDescent="0.35">
      <c r="B135" s="96" t="s">
        <v>83</v>
      </c>
      <c r="C135" s="97"/>
      <c r="D135" s="97"/>
      <c r="E135" s="97"/>
      <c r="F135" s="97" t="str">
        <f t="shared" si="16"/>
        <v/>
      </c>
      <c r="G135" s="97" t="str">
        <f t="shared" si="16"/>
        <v/>
      </c>
      <c r="H135" s="97" t="str">
        <f t="shared" si="16"/>
        <v/>
      </c>
      <c r="I135" s="97" t="str">
        <f t="shared" si="16"/>
        <v/>
      </c>
      <c r="J135" s="97" t="str">
        <f t="shared" si="16"/>
        <v/>
      </c>
      <c r="K135" s="97" t="str">
        <f t="shared" si="17"/>
        <v/>
      </c>
      <c r="L135" s="97" t="str">
        <f t="shared" si="17"/>
        <v/>
      </c>
      <c r="M135" s="97" t="str">
        <f t="shared" si="17"/>
        <v/>
      </c>
      <c r="N135" s="97" t="str">
        <f t="shared" si="17"/>
        <v/>
      </c>
      <c r="O135" s="76" t="str">
        <f t="shared" si="17"/>
        <v/>
      </c>
      <c r="P135" s="96"/>
      <c r="Q135" s="97"/>
      <c r="R135" s="100"/>
      <c r="S135" s="97"/>
      <c r="T135" s="98" t="str">
        <f t="shared" si="15"/>
        <v/>
      </c>
      <c r="V135" s="119"/>
      <c r="W135" s="108"/>
      <c r="X135" s="108"/>
      <c r="Y135" s="108"/>
      <c r="Z135" s="120"/>
      <c r="AB135" s="77"/>
      <c r="AC135" s="77"/>
      <c r="AD135" s="77"/>
      <c r="AE135" s="77"/>
      <c r="AF135" s="77"/>
      <c r="AG135" s="97"/>
      <c r="AH135" s="97"/>
      <c r="AI135" s="97"/>
      <c r="AJ135" s="97"/>
      <c r="AK135" s="76"/>
    </row>
    <row r="136" spans="2:37" x14ac:dyDescent="0.35">
      <c r="B136" s="55" t="s">
        <v>108</v>
      </c>
      <c r="C136" s="65" t="s">
        <v>85</v>
      </c>
      <c r="D136" s="65" t="s">
        <v>20</v>
      </c>
      <c r="E136" s="64" t="s">
        <v>58</v>
      </c>
      <c r="F136" s="79">
        <f t="shared" si="16"/>
        <v>3.8072914856867243E-2</v>
      </c>
      <c r="G136" s="79">
        <f t="shared" si="16"/>
        <v>4.3233697572789005E-2</v>
      </c>
      <c r="H136" s="79">
        <f t="shared" si="16"/>
        <v>4.9493865874997149E-2</v>
      </c>
      <c r="I136" s="79">
        <f t="shared" si="16"/>
        <v>5.411502255975599E-2</v>
      </c>
      <c r="J136" s="61">
        <f t="shared" si="16"/>
        <v>5.7602933305062352E-2</v>
      </c>
      <c r="K136" s="79">
        <f t="shared" si="17"/>
        <v>4.2002805686724206E-4</v>
      </c>
      <c r="L136" s="79">
        <f t="shared" si="17"/>
        <v>6.494632672789007E-3</v>
      </c>
      <c r="M136" s="79">
        <f t="shared" si="17"/>
        <v>1.2174020674997147E-2</v>
      </c>
      <c r="N136" s="79">
        <f t="shared" si="17"/>
        <v>1.5759519259755994E-2</v>
      </c>
      <c r="O136" s="61">
        <f t="shared" si="17"/>
        <v>1.793499150506234E-2</v>
      </c>
      <c r="P136" s="55" t="s">
        <v>470</v>
      </c>
      <c r="Q136" s="65" t="s">
        <v>471</v>
      </c>
      <c r="R136" s="99">
        <v>47580</v>
      </c>
      <c r="S136" s="79">
        <v>4.5276820000000002E-2</v>
      </c>
      <c r="T136" s="61">
        <f t="shared" si="15"/>
        <v>4.2170458749971468E-3</v>
      </c>
      <c r="V136" s="117">
        <v>1.11417725</v>
      </c>
      <c r="W136" s="60">
        <v>2.86387656</v>
      </c>
      <c r="X136" s="60">
        <v>4.40360408</v>
      </c>
      <c r="Y136" s="60">
        <v>5.7051423200000002</v>
      </c>
      <c r="Z136" s="118">
        <v>7.3026156100000001</v>
      </c>
      <c r="AB136" s="79">
        <v>3.8072914856867243E-2</v>
      </c>
      <c r="AC136" s="79">
        <v>4.3233697572789005E-2</v>
      </c>
      <c r="AD136" s="79">
        <v>4.9493865874997149E-2</v>
      </c>
      <c r="AE136" s="79">
        <v>5.411502255975599E-2</v>
      </c>
      <c r="AF136" s="61">
        <v>5.7602933305062352E-2</v>
      </c>
      <c r="AG136" s="79">
        <v>4.2002805686724206E-4</v>
      </c>
      <c r="AH136" s="79">
        <v>6.494632672789007E-3</v>
      </c>
      <c r="AI136" s="79">
        <v>1.2174020674997147E-2</v>
      </c>
      <c r="AJ136" s="79">
        <v>1.5759519259755994E-2</v>
      </c>
      <c r="AK136" s="61">
        <v>1.793499150506234E-2</v>
      </c>
    </row>
    <row r="137" spans="2:37" x14ac:dyDescent="0.35">
      <c r="B137" s="54" t="s">
        <v>109</v>
      </c>
      <c r="C137" s="52" t="s">
        <v>85</v>
      </c>
      <c r="D137" s="52" t="s">
        <v>20</v>
      </c>
      <c r="E137" s="58" t="s">
        <v>54</v>
      </c>
      <c r="F137" s="59">
        <f t="shared" si="16"/>
        <v>4.0927083995209695E-2</v>
      </c>
      <c r="G137" s="59">
        <f t="shared" si="16"/>
        <v>4.9366120904263198E-2</v>
      </c>
      <c r="H137" s="59">
        <f t="shared" si="16"/>
        <v>5.9711879495161442E-2</v>
      </c>
      <c r="I137" s="59">
        <f t="shared" si="16"/>
        <v>6.6493613997600315E-2</v>
      </c>
      <c r="J137" s="62">
        <f t="shared" si="16"/>
        <v>6.8731153443741436E-2</v>
      </c>
      <c r="K137" s="59">
        <f t="shared" si="17"/>
        <v>3.151742895209691E-3</v>
      </c>
      <c r="L137" s="59">
        <f t="shared" si="17"/>
        <v>1.2319743504263202E-2</v>
      </c>
      <c r="M137" s="59">
        <f t="shared" si="17"/>
        <v>2.1789633195161452E-2</v>
      </c>
      <c r="N137" s="59">
        <f t="shared" si="17"/>
        <v>2.7355092297600324E-2</v>
      </c>
      <c r="O137" s="62">
        <f t="shared" si="17"/>
        <v>2.8403563043741437E-2</v>
      </c>
      <c r="P137" s="54" t="s">
        <v>472</v>
      </c>
      <c r="Q137" s="52" t="s">
        <v>473</v>
      </c>
      <c r="R137" s="93" t="s">
        <v>32</v>
      </c>
      <c r="S137" s="70">
        <v>5.0471079999999995E-2</v>
      </c>
      <c r="T137" s="62">
        <f t="shared" si="15"/>
        <v>9.2407994951614475E-3</v>
      </c>
      <c r="V137" s="113">
        <v>1.1083799400000001</v>
      </c>
      <c r="W137" s="71">
        <v>2.81768295</v>
      </c>
      <c r="X137" s="71">
        <v>4.2460024599999997</v>
      </c>
      <c r="Y137" s="71">
        <v>5.3765827099999992</v>
      </c>
      <c r="Z137" s="114">
        <v>6.7277759800000005</v>
      </c>
      <c r="AB137" s="70">
        <v>4.0927083995209695E-2</v>
      </c>
      <c r="AC137" s="70">
        <v>4.9366120904263198E-2</v>
      </c>
      <c r="AD137" s="70">
        <v>5.9711879495161442E-2</v>
      </c>
      <c r="AE137" s="70">
        <v>6.6493613997600315E-2</v>
      </c>
      <c r="AF137" s="62">
        <v>6.8731153443741436E-2</v>
      </c>
      <c r="AG137" s="70">
        <v>3.151742895209691E-3</v>
      </c>
      <c r="AH137" s="70">
        <v>1.2319743504263202E-2</v>
      </c>
      <c r="AI137" s="70">
        <v>2.1789633195161452E-2</v>
      </c>
      <c r="AJ137" s="70">
        <v>2.7355092297600324E-2</v>
      </c>
      <c r="AK137" s="62">
        <v>2.8403563043741437E-2</v>
      </c>
    </row>
    <row r="138" spans="2:37" x14ac:dyDescent="0.35">
      <c r="B138" s="56" t="s">
        <v>111</v>
      </c>
      <c r="C138" s="66" t="s">
        <v>85</v>
      </c>
      <c r="D138" s="66" t="s">
        <v>20</v>
      </c>
      <c r="E138" s="53" t="s">
        <v>112</v>
      </c>
      <c r="F138" s="75">
        <f t="shared" si="16"/>
        <v>3.9061730505993313E-2</v>
      </c>
      <c r="G138" s="75">
        <f t="shared" si="16"/>
        <v>4.5315824063145174E-2</v>
      </c>
      <c r="H138" s="75">
        <f t="shared" si="16"/>
        <v>5.2351754797585248E-2</v>
      </c>
      <c r="I138" s="75">
        <f t="shared" si="16"/>
        <v>5.64352355148919E-2</v>
      </c>
      <c r="J138" s="63">
        <f t="shared" si="16"/>
        <v>5.9945997912784238E-2</v>
      </c>
      <c r="K138" s="75">
        <f t="shared" si="17"/>
        <v>1.3603050059933196E-3</v>
      </c>
      <c r="L138" s="75">
        <f t="shared" si="17"/>
        <v>8.4738253631451745E-3</v>
      </c>
      <c r="M138" s="75">
        <f t="shared" si="17"/>
        <v>1.4880699197585247E-2</v>
      </c>
      <c r="N138" s="75">
        <f t="shared" si="17"/>
        <v>1.7953879214891902E-2</v>
      </c>
      <c r="O138" s="63">
        <f t="shared" si="17"/>
        <v>2.0150465212784237E-2</v>
      </c>
      <c r="P138" s="56" t="s">
        <v>21</v>
      </c>
      <c r="Q138" s="66" t="s">
        <v>21</v>
      </c>
      <c r="R138" s="95" t="s">
        <v>21</v>
      </c>
      <c r="S138" s="75" t="s">
        <v>21</v>
      </c>
      <c r="T138" s="63" t="str">
        <f t="shared" si="15"/>
        <v/>
      </c>
      <c r="V138" s="115">
        <v>1.11239968</v>
      </c>
      <c r="W138" s="107">
        <v>2.84808445</v>
      </c>
      <c r="X138" s="107">
        <v>4.3564815499999998</v>
      </c>
      <c r="Y138" s="107">
        <v>5.6243506600000002</v>
      </c>
      <c r="Z138" s="116">
        <v>7.1638935500000001</v>
      </c>
      <c r="AB138" s="75">
        <v>3.9061730505993313E-2</v>
      </c>
      <c r="AC138" s="75">
        <v>4.5315824063145174E-2</v>
      </c>
      <c r="AD138" s="75">
        <v>5.2351754797585248E-2</v>
      </c>
      <c r="AE138" s="75">
        <v>5.64352355148919E-2</v>
      </c>
      <c r="AF138" s="63">
        <v>5.9945997912784238E-2</v>
      </c>
      <c r="AG138" s="75">
        <v>1.3603050059933196E-3</v>
      </c>
      <c r="AH138" s="75">
        <v>8.4738253631451745E-3</v>
      </c>
      <c r="AI138" s="75">
        <v>1.4880699197585247E-2</v>
      </c>
      <c r="AJ138" s="75">
        <v>1.7953879214891902E-2</v>
      </c>
      <c r="AK138" s="63">
        <v>2.0150465212784237E-2</v>
      </c>
    </row>
    <row r="139" spans="2:37" x14ac:dyDescent="0.35">
      <c r="P139" s="127"/>
      <c r="Q139" s="127"/>
      <c r="R139" s="44"/>
      <c r="S139" s="127"/>
      <c r="T139" s="127"/>
      <c r="V139" s="71"/>
      <c r="W139" s="71"/>
      <c r="X139" s="71"/>
      <c r="Y139" s="71"/>
      <c r="Z139" s="71"/>
    </row>
    <row r="140" spans="2:37" ht="15.5" x14ac:dyDescent="0.35">
      <c r="B140" s="121" t="s">
        <v>113</v>
      </c>
      <c r="R140" s="93"/>
      <c r="S140" s="70"/>
      <c r="T140" s="70"/>
      <c r="V140" s="71"/>
      <c r="W140" s="71"/>
      <c r="X140" s="71"/>
      <c r="Y140" s="71"/>
      <c r="Z140" s="71"/>
    </row>
    <row r="141" spans="2:37" x14ac:dyDescent="0.35">
      <c r="B141" s="84" t="s">
        <v>5</v>
      </c>
      <c r="C141" s="83" t="s">
        <v>6</v>
      </c>
      <c r="D141" s="83" t="s">
        <v>7</v>
      </c>
      <c r="E141" s="83" t="s">
        <v>8</v>
      </c>
      <c r="F141" s="82" t="s">
        <v>9</v>
      </c>
      <c r="G141" s="81" t="s">
        <v>10</v>
      </c>
      <c r="H141" s="81" t="s">
        <v>11</v>
      </c>
      <c r="I141" s="81" t="s">
        <v>12</v>
      </c>
      <c r="J141" s="80" t="s">
        <v>13</v>
      </c>
      <c r="K141" s="82" t="s">
        <v>9</v>
      </c>
      <c r="L141" s="81" t="s">
        <v>10</v>
      </c>
      <c r="M141" s="81" t="s">
        <v>11</v>
      </c>
      <c r="N141" s="81" t="s">
        <v>12</v>
      </c>
      <c r="O141" s="80" t="s">
        <v>13</v>
      </c>
      <c r="P141" s="69" t="s">
        <v>14</v>
      </c>
      <c r="Q141" s="57" t="s">
        <v>15</v>
      </c>
      <c r="R141" s="57" t="s">
        <v>16</v>
      </c>
      <c r="S141" s="57" t="s">
        <v>216</v>
      </c>
      <c r="T141" s="57" t="s">
        <v>18</v>
      </c>
      <c r="V141" s="109" t="s">
        <v>9</v>
      </c>
      <c r="W141" s="105" t="s">
        <v>10</v>
      </c>
      <c r="X141" s="105" t="s">
        <v>11</v>
      </c>
      <c r="Y141" s="105" t="s">
        <v>12</v>
      </c>
      <c r="Z141" s="110" t="s">
        <v>13</v>
      </c>
      <c r="AB141" s="82" t="s">
        <v>9</v>
      </c>
      <c r="AC141" s="81" t="s">
        <v>10</v>
      </c>
      <c r="AD141" s="81" t="s">
        <v>11</v>
      </c>
      <c r="AE141" s="81" t="s">
        <v>12</v>
      </c>
      <c r="AF141" s="80" t="s">
        <v>13</v>
      </c>
      <c r="AG141" s="82" t="s">
        <v>9</v>
      </c>
      <c r="AH141" s="81" t="s">
        <v>10</v>
      </c>
      <c r="AI141" s="81" t="s">
        <v>11</v>
      </c>
      <c r="AJ141" s="81" t="s">
        <v>12</v>
      </c>
      <c r="AK141" s="80" t="s">
        <v>13</v>
      </c>
    </row>
    <row r="142" spans="2:37" x14ac:dyDescent="0.35">
      <c r="B142" s="78" t="s">
        <v>114</v>
      </c>
      <c r="C142" s="9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6"/>
      <c r="P142" s="78"/>
      <c r="Q142" s="77"/>
      <c r="R142" s="94"/>
      <c r="S142" s="77"/>
      <c r="T142" s="76"/>
      <c r="V142" s="111"/>
      <c r="W142" s="106"/>
      <c r="X142" s="106"/>
      <c r="Y142" s="106"/>
      <c r="Z142" s="112"/>
      <c r="AB142" s="77"/>
      <c r="AC142" s="77"/>
      <c r="AD142" s="77"/>
      <c r="AE142" s="77"/>
      <c r="AF142" s="77"/>
      <c r="AG142" s="77"/>
      <c r="AH142" s="77"/>
      <c r="AI142" s="77"/>
      <c r="AJ142" s="77"/>
      <c r="AK142" s="76"/>
    </row>
    <row r="143" spans="2:37" x14ac:dyDescent="0.35">
      <c r="B143" s="55" t="s">
        <v>317</v>
      </c>
      <c r="C143" s="65" t="s">
        <v>232</v>
      </c>
      <c r="D143" s="65" t="s">
        <v>20</v>
      </c>
      <c r="E143" s="65" t="s">
        <v>21</v>
      </c>
      <c r="F143" s="74">
        <f t="shared" ref="F143:J173" si="18">IF(ISNUMBER(AB143),AB143-((C$4-C$3)/V143),"")</f>
        <v>4.0435663339817109E-2</v>
      </c>
      <c r="G143" s="79">
        <f t="shared" si="18"/>
        <v>5.0989454203194159E-2</v>
      </c>
      <c r="H143" s="79">
        <f t="shared" si="18"/>
        <v>6.601817451721001E-2</v>
      </c>
      <c r="I143" s="79">
        <f t="shared" si="18"/>
        <v>7.3118645665153845E-2</v>
      </c>
      <c r="J143" s="61">
        <f t="shared" si="18"/>
        <v>7.8324248222076065E-2</v>
      </c>
      <c r="K143" s="79">
        <f t="shared" ref="K143:O173" si="19">IF(ISNUMBER(AG143),IF(AG143-((C$4-C$3)/V143)&lt;0,"",AG143-((C$4-C$3)/V143)),"")</f>
        <v>2.6638954398171058E-3</v>
      </c>
      <c r="L143" s="79">
        <f t="shared" si="19"/>
        <v>1.3836677803194149E-2</v>
      </c>
      <c r="M143" s="79">
        <f t="shared" si="19"/>
        <v>2.7633048317210009E-2</v>
      </c>
      <c r="N143" s="79">
        <f t="shared" si="19"/>
        <v>3.3480048865153843E-2</v>
      </c>
      <c r="O143" s="61">
        <f t="shared" si="19"/>
        <v>3.7299583122076055E-2</v>
      </c>
      <c r="P143" s="55" t="s">
        <v>21</v>
      </c>
      <c r="Q143" s="65" t="s">
        <v>21</v>
      </c>
      <c r="R143" s="99" t="s">
        <v>21</v>
      </c>
      <c r="S143" s="74" t="s">
        <v>21</v>
      </c>
      <c r="T143" s="61" t="str">
        <f t="shared" ref="T143:T276" si="20">IF(S143="","",H143-S143)</f>
        <v/>
      </c>
      <c r="V143" s="113">
        <v>1.1097773199999998</v>
      </c>
      <c r="W143" s="71">
        <v>2.80980345</v>
      </c>
      <c r="X143" s="71">
        <v>4.1766326999999999</v>
      </c>
      <c r="Y143" s="71">
        <v>5.2177216300000007</v>
      </c>
      <c r="Z143" s="114">
        <v>6.3644840999999994</v>
      </c>
      <c r="AB143" s="79">
        <v>4.0435663339817109E-2</v>
      </c>
      <c r="AC143" s="79">
        <v>5.0989454203194159E-2</v>
      </c>
      <c r="AD143" s="79">
        <v>6.601817451721001E-2</v>
      </c>
      <c r="AE143" s="79">
        <v>7.3118645665153845E-2</v>
      </c>
      <c r="AF143" s="61">
        <v>7.8324248222076065E-2</v>
      </c>
      <c r="AG143" s="79">
        <v>2.6638954398171058E-3</v>
      </c>
      <c r="AH143" s="79">
        <v>1.3836677803194149E-2</v>
      </c>
      <c r="AI143" s="79">
        <v>2.7633048317210009E-2</v>
      </c>
      <c r="AJ143" s="79">
        <v>3.3480048865153843E-2</v>
      </c>
      <c r="AK143" s="61">
        <v>3.7299583122076055E-2</v>
      </c>
    </row>
    <row r="144" spans="2:37" x14ac:dyDescent="0.35">
      <c r="B144" s="54" t="s">
        <v>175</v>
      </c>
      <c r="C144" s="52" t="s">
        <v>232</v>
      </c>
      <c r="D144" s="52" t="s">
        <v>43</v>
      </c>
      <c r="E144" s="52" t="s">
        <v>21</v>
      </c>
      <c r="F144" s="72">
        <f t="shared" si="18"/>
        <v>3.9604458639165813E-2</v>
      </c>
      <c r="G144" s="59">
        <f t="shared" si="18"/>
        <v>5.093082995025399E-2</v>
      </c>
      <c r="H144" s="59">
        <f t="shared" si="18"/>
        <v>6.4095174743359781E-2</v>
      </c>
      <c r="I144" s="59">
        <f t="shared" si="18"/>
        <v>7.3085475451715301E-2</v>
      </c>
      <c r="J144" s="62">
        <f t="shared" si="18"/>
        <v>7.7540152588289668E-2</v>
      </c>
      <c r="K144" s="59">
        <f t="shared" si="19"/>
        <v>1.8574648391658111E-3</v>
      </c>
      <c r="L144" s="59">
        <f t="shared" si="19"/>
        <v>1.3753873050253995E-2</v>
      </c>
      <c r="M144" s="59">
        <f t="shared" si="19"/>
        <v>2.5818019843359772E-2</v>
      </c>
      <c r="N144" s="59">
        <f t="shared" si="19"/>
        <v>3.3403803151715282E-2</v>
      </c>
      <c r="O144" s="62">
        <f t="shared" si="19"/>
        <v>3.6540339088289665E-2</v>
      </c>
      <c r="P144" s="54" t="s">
        <v>21</v>
      </c>
      <c r="Q144" s="52" t="s">
        <v>21</v>
      </c>
      <c r="R144" s="93" t="s">
        <v>21</v>
      </c>
      <c r="S144" s="72" t="s">
        <v>21</v>
      </c>
      <c r="T144" s="62" t="str">
        <f t="shared" si="20"/>
        <v/>
      </c>
      <c r="V144" s="113">
        <v>1.1104400699999999</v>
      </c>
      <c r="W144" s="71">
        <v>2.8059679099999997</v>
      </c>
      <c r="X144" s="71">
        <v>4.1847460600000002</v>
      </c>
      <c r="Y144" s="71">
        <v>5.2265258299999999</v>
      </c>
      <c r="Z144" s="114">
        <v>6.3761177299999998</v>
      </c>
      <c r="AB144" s="70">
        <v>3.9604458639165813E-2</v>
      </c>
      <c r="AC144" s="70">
        <v>5.093082995025399E-2</v>
      </c>
      <c r="AD144" s="70">
        <v>6.4095174743359781E-2</v>
      </c>
      <c r="AE144" s="70">
        <v>7.3085475451715301E-2</v>
      </c>
      <c r="AF144" s="62">
        <v>7.7540152588289668E-2</v>
      </c>
      <c r="AG144" s="70">
        <v>1.8574648391658111E-3</v>
      </c>
      <c r="AH144" s="70">
        <v>1.3753873050253995E-2</v>
      </c>
      <c r="AI144" s="70">
        <v>2.5818019843359772E-2</v>
      </c>
      <c r="AJ144" s="70">
        <v>3.3403803151715282E-2</v>
      </c>
      <c r="AK144" s="62">
        <v>3.6540339088289665E-2</v>
      </c>
    </row>
    <row r="145" spans="2:37" x14ac:dyDescent="0.35">
      <c r="B145" s="54" t="s">
        <v>122</v>
      </c>
      <c r="C145" s="52" t="s">
        <v>232</v>
      </c>
      <c r="D145" s="52" t="s">
        <v>97</v>
      </c>
      <c r="E145" s="52" t="s">
        <v>267</v>
      </c>
      <c r="F145" s="72">
        <f t="shared" si="18"/>
        <v>3.8846308227133343E-2</v>
      </c>
      <c r="G145" s="59">
        <f t="shared" si="18"/>
        <v>4.9934601395596134E-2</v>
      </c>
      <c r="H145" s="59">
        <f t="shared" si="18"/>
        <v>6.1991520035346907E-2</v>
      </c>
      <c r="I145" s="59">
        <f t="shared" si="18"/>
        <v>7.0803095576328398E-2</v>
      </c>
      <c r="J145" s="62">
        <f t="shared" si="18"/>
        <v>7.7443249555862778E-2</v>
      </c>
      <c r="K145" s="59">
        <f t="shared" si="19"/>
        <v>1.1405034271333506E-3</v>
      </c>
      <c r="L145" s="59">
        <f t="shared" si="19"/>
        <v>1.2822703495596144E-2</v>
      </c>
      <c r="M145" s="59">
        <f t="shared" si="19"/>
        <v>2.3873419235346902E-2</v>
      </c>
      <c r="N145" s="59">
        <f t="shared" si="19"/>
        <v>3.1306890476328425E-2</v>
      </c>
      <c r="O145" s="62">
        <f t="shared" si="19"/>
        <v>3.6447302355862771E-2</v>
      </c>
      <c r="P145" s="54" t="s">
        <v>21</v>
      </c>
      <c r="Q145" s="52" t="s">
        <v>21</v>
      </c>
      <c r="R145" s="93" t="s">
        <v>21</v>
      </c>
      <c r="S145" s="72" t="s">
        <v>21</v>
      </c>
      <c r="T145" s="62" t="str">
        <f t="shared" si="20"/>
        <v/>
      </c>
      <c r="V145" s="113">
        <v>1.1118050500000001</v>
      </c>
      <c r="W145" s="71">
        <v>2.8155870100000002</v>
      </c>
      <c r="X145" s="71">
        <v>4.2155355500000002</v>
      </c>
      <c r="Y145" s="71">
        <v>5.2859793499999999</v>
      </c>
      <c r="Z145" s="114">
        <v>6.4375163599999992</v>
      </c>
      <c r="AB145" s="70">
        <v>3.8846308227133343E-2</v>
      </c>
      <c r="AC145" s="70">
        <v>4.9934601395596134E-2</v>
      </c>
      <c r="AD145" s="70">
        <v>6.1991520035346907E-2</v>
      </c>
      <c r="AE145" s="70">
        <v>7.0803095576328398E-2</v>
      </c>
      <c r="AF145" s="62">
        <v>7.7443249555862778E-2</v>
      </c>
      <c r="AG145" s="70">
        <v>1.1405034271333506E-3</v>
      </c>
      <c r="AH145" s="70">
        <v>1.2822703495596144E-2</v>
      </c>
      <c r="AI145" s="70">
        <v>2.3873419235346902E-2</v>
      </c>
      <c r="AJ145" s="70">
        <v>3.1306890476328425E-2</v>
      </c>
      <c r="AK145" s="62">
        <v>3.6447302355862771E-2</v>
      </c>
    </row>
    <row r="146" spans="2:37" x14ac:dyDescent="0.35">
      <c r="B146" s="54" t="s">
        <v>168</v>
      </c>
      <c r="C146" s="52" t="s">
        <v>232</v>
      </c>
      <c r="D146" s="52" t="s">
        <v>20</v>
      </c>
      <c r="E146" s="52" t="s">
        <v>21</v>
      </c>
      <c r="F146" s="72">
        <f t="shared" si="18"/>
        <v>4.2733105527402844E-2</v>
      </c>
      <c r="G146" s="59">
        <f t="shared" si="18"/>
        <v>5.1900888536614717E-2</v>
      </c>
      <c r="H146" s="59">
        <f t="shared" si="18"/>
        <v>6.2988000393886398E-2</v>
      </c>
      <c r="I146" s="59">
        <f t="shared" si="18"/>
        <v>6.8679979646413744E-2</v>
      </c>
      <c r="J146" s="62">
        <f t="shared" si="18"/>
        <v>7.3733697559540234E-2</v>
      </c>
      <c r="K146" s="59">
        <f t="shared" si="19"/>
        <v>4.8361229274028437E-3</v>
      </c>
      <c r="L146" s="59">
        <f t="shared" si="19"/>
        <v>1.4697118536614723E-2</v>
      </c>
      <c r="M146" s="59">
        <f t="shared" si="19"/>
        <v>2.4829097693886398E-2</v>
      </c>
      <c r="N146" s="59">
        <f t="shared" si="19"/>
        <v>2.9383592946413756E-2</v>
      </c>
      <c r="O146" s="62">
        <f t="shared" si="19"/>
        <v>3.3044819059540223E-2</v>
      </c>
      <c r="P146" s="54" t="s">
        <v>474</v>
      </c>
      <c r="Q146" s="52" t="s">
        <v>475</v>
      </c>
      <c r="R146" s="93">
        <v>47505</v>
      </c>
      <c r="S146" s="72">
        <v>5.5008639999999998E-2</v>
      </c>
      <c r="T146" s="62">
        <f t="shared" si="20"/>
        <v>7.9793603938864005E-3</v>
      </c>
      <c r="V146" s="113">
        <v>1.1040500799999999</v>
      </c>
      <c r="W146" s="71">
        <v>2.7930866499999998</v>
      </c>
      <c r="X146" s="71">
        <v>4.1915596500000003</v>
      </c>
      <c r="Y146" s="71">
        <v>5.2861023500000002</v>
      </c>
      <c r="Z146" s="114">
        <v>6.5327139899999995</v>
      </c>
      <c r="AB146" s="70">
        <v>4.2733105527402844E-2</v>
      </c>
      <c r="AC146" s="70">
        <v>5.1900888536614717E-2</v>
      </c>
      <c r="AD146" s="70">
        <v>6.2988000393886398E-2</v>
      </c>
      <c r="AE146" s="70">
        <v>6.8679979646413744E-2</v>
      </c>
      <c r="AF146" s="62">
        <v>7.3733697559540234E-2</v>
      </c>
      <c r="AG146" s="70">
        <v>4.8361229274028437E-3</v>
      </c>
      <c r="AH146" s="70">
        <v>1.4697118536614723E-2</v>
      </c>
      <c r="AI146" s="70">
        <v>2.4829097693886398E-2</v>
      </c>
      <c r="AJ146" s="70">
        <v>2.9383592946413756E-2</v>
      </c>
      <c r="AK146" s="62">
        <v>3.3044819059540223E-2</v>
      </c>
    </row>
    <row r="147" spans="2:37" x14ac:dyDescent="0.35">
      <c r="B147" s="54" t="s">
        <v>152</v>
      </c>
      <c r="C147" s="52" t="s">
        <v>232</v>
      </c>
      <c r="D147" s="52" t="s">
        <v>20</v>
      </c>
      <c r="E147" s="52" t="s">
        <v>123</v>
      </c>
      <c r="F147" s="72">
        <f t="shared" si="18"/>
        <v>4.1860099910785847E-2</v>
      </c>
      <c r="G147" s="59">
        <f t="shared" si="18"/>
        <v>5.3139614435053918E-2</v>
      </c>
      <c r="H147" s="59">
        <f t="shared" si="18"/>
        <v>6.1711490800051227E-2</v>
      </c>
      <c r="I147" s="59">
        <f t="shared" si="18"/>
        <v>6.7360723142926682E-2</v>
      </c>
      <c r="J147" s="62">
        <f t="shared" si="18"/>
        <v>7.1040240420812584E-2</v>
      </c>
      <c r="K147" s="59">
        <f t="shared" si="19"/>
        <v>4.013308410785843E-3</v>
      </c>
      <c r="L147" s="59">
        <f t="shared" si="19"/>
        <v>1.585523503505392E-2</v>
      </c>
      <c r="M147" s="59">
        <f t="shared" si="19"/>
        <v>2.3638998300051228E-2</v>
      </c>
      <c r="N147" s="59">
        <f t="shared" si="19"/>
        <v>2.8148525442926689E-2</v>
      </c>
      <c r="O147" s="62">
        <f t="shared" si="19"/>
        <v>3.0533822720812575E-2</v>
      </c>
      <c r="P147" s="54" t="s">
        <v>476</v>
      </c>
      <c r="Q147" s="52" t="s">
        <v>477</v>
      </c>
      <c r="R147" s="93">
        <v>47484</v>
      </c>
      <c r="S147" s="72">
        <v>5.3176899999999999E-2</v>
      </c>
      <c r="T147" s="62">
        <f t="shared" si="20"/>
        <v>8.5345908000512283E-3</v>
      </c>
      <c r="V147" s="113">
        <v>1.1061797099999999</v>
      </c>
      <c r="W147" s="71">
        <v>2.7894378099999999</v>
      </c>
      <c r="X147" s="71">
        <v>4.1949778200000001</v>
      </c>
      <c r="Y147" s="71">
        <v>5.3147091099999999</v>
      </c>
      <c r="Z147" s="114">
        <v>6.6182049100000002</v>
      </c>
      <c r="AB147" s="70">
        <v>4.1860099910785847E-2</v>
      </c>
      <c r="AC147" s="70">
        <v>5.3139614435053918E-2</v>
      </c>
      <c r="AD147" s="70">
        <v>6.1711490800051227E-2</v>
      </c>
      <c r="AE147" s="70">
        <v>6.7360723142926682E-2</v>
      </c>
      <c r="AF147" s="62">
        <v>7.1040240420812584E-2</v>
      </c>
      <c r="AG147" s="70">
        <v>4.013308410785843E-3</v>
      </c>
      <c r="AH147" s="70">
        <v>1.585523503505392E-2</v>
      </c>
      <c r="AI147" s="70">
        <v>2.3638998300051228E-2</v>
      </c>
      <c r="AJ147" s="70">
        <v>2.8148525442926689E-2</v>
      </c>
      <c r="AK147" s="62">
        <v>3.0533822720812575E-2</v>
      </c>
    </row>
    <row r="148" spans="2:37" x14ac:dyDescent="0.35">
      <c r="B148" s="54" t="s">
        <v>174</v>
      </c>
      <c r="C148" s="52" t="s">
        <v>232</v>
      </c>
      <c r="D148" s="52" t="s">
        <v>47</v>
      </c>
      <c r="E148" s="52" t="s">
        <v>21</v>
      </c>
      <c r="F148" s="72">
        <f t="shared" si="18"/>
        <v>4.2315152683181013E-2</v>
      </c>
      <c r="G148" s="59">
        <f t="shared" si="18"/>
        <v>5.0143325517951226E-2</v>
      </c>
      <c r="H148" s="59">
        <f t="shared" si="18"/>
        <v>5.9784887381765198E-2</v>
      </c>
      <c r="I148" s="59">
        <f t="shared" si="18"/>
        <v>6.3821832505800272E-2</v>
      </c>
      <c r="J148" s="62">
        <f t="shared" si="18"/>
        <v>6.7348326954225282E-2</v>
      </c>
      <c r="K148" s="59">
        <f t="shared" si="19"/>
        <v>4.3985519831810085E-3</v>
      </c>
      <c r="L148" s="59">
        <f t="shared" si="19"/>
        <v>1.3009081917951235E-2</v>
      </c>
      <c r="M148" s="59">
        <f t="shared" si="19"/>
        <v>2.181097938176519E-2</v>
      </c>
      <c r="N148" s="59">
        <f t="shared" si="19"/>
        <v>2.482690400580026E-2</v>
      </c>
      <c r="O148" s="62">
        <f t="shared" si="19"/>
        <v>2.7056469154225278E-2</v>
      </c>
      <c r="P148" s="54" t="s">
        <v>21</v>
      </c>
      <c r="Q148" s="52" t="s">
        <v>21</v>
      </c>
      <c r="R148" s="93" t="s">
        <v>21</v>
      </c>
      <c r="S148" s="72" t="s">
        <v>21</v>
      </c>
      <c r="T148" s="62" t="str">
        <f t="shared" si="20"/>
        <v/>
      </c>
      <c r="V148" s="113">
        <v>1.1039590800000001</v>
      </c>
      <c r="W148" s="71">
        <v>2.8024545500000002</v>
      </c>
      <c r="X148" s="71">
        <v>4.2240372600000002</v>
      </c>
      <c r="Y148" s="71">
        <v>5.3844741699999998</v>
      </c>
      <c r="Z148" s="114">
        <v>6.75670006</v>
      </c>
      <c r="AB148" s="70">
        <v>4.2315152683181013E-2</v>
      </c>
      <c r="AC148" s="70">
        <v>5.0143325517951226E-2</v>
      </c>
      <c r="AD148" s="70">
        <v>5.9784887381765198E-2</v>
      </c>
      <c r="AE148" s="70">
        <v>6.3821832505800272E-2</v>
      </c>
      <c r="AF148" s="62">
        <v>6.7348326954225282E-2</v>
      </c>
      <c r="AG148" s="70">
        <v>4.3985519831810085E-3</v>
      </c>
      <c r="AH148" s="70">
        <v>1.3009081917951235E-2</v>
      </c>
      <c r="AI148" s="70">
        <v>2.181097938176519E-2</v>
      </c>
      <c r="AJ148" s="70">
        <v>2.482690400580026E-2</v>
      </c>
      <c r="AK148" s="62">
        <v>2.7056469154225278E-2</v>
      </c>
    </row>
    <row r="149" spans="2:37" x14ac:dyDescent="0.35">
      <c r="B149" s="54" t="s">
        <v>323</v>
      </c>
      <c r="C149" s="52" t="s">
        <v>232</v>
      </c>
      <c r="D149" s="52" t="s">
        <v>69</v>
      </c>
      <c r="E149" s="52" t="s">
        <v>116</v>
      </c>
      <c r="F149" s="72">
        <f t="shared" si="18"/>
        <v>3.9652035493158606E-2</v>
      </c>
      <c r="G149" s="59">
        <f t="shared" si="18"/>
        <v>4.7830760965935769E-2</v>
      </c>
      <c r="H149" s="59">
        <f t="shared" si="18"/>
        <v>5.9136883620264521E-2</v>
      </c>
      <c r="I149" s="59">
        <f t="shared" si="18"/>
        <v>6.5435630014619772E-2</v>
      </c>
      <c r="J149" s="62">
        <f t="shared" si="18"/>
        <v>7.0356768232705189E-2</v>
      </c>
      <c r="K149" s="59">
        <f t="shared" si="19"/>
        <v>1.9064220931586081E-3</v>
      </c>
      <c r="L149" s="59">
        <f t="shared" si="19"/>
        <v>1.0833578465935774E-2</v>
      </c>
      <c r="M149" s="59">
        <f t="shared" si="19"/>
        <v>2.1214751820264523E-2</v>
      </c>
      <c r="N149" s="59">
        <f t="shared" si="19"/>
        <v>2.6334227914619805E-2</v>
      </c>
      <c r="O149" s="62">
        <f t="shared" si="19"/>
        <v>2.987614903270519E-2</v>
      </c>
      <c r="P149" s="54" t="s">
        <v>377</v>
      </c>
      <c r="Q149" s="52" t="s">
        <v>378</v>
      </c>
      <c r="R149" s="93" t="s">
        <v>32</v>
      </c>
      <c r="S149" s="72">
        <v>4.9429340000000002E-2</v>
      </c>
      <c r="T149" s="62">
        <f t="shared" si="20"/>
        <v>9.7075436202645193E-3</v>
      </c>
      <c r="V149" s="113">
        <v>1.11033074</v>
      </c>
      <c r="W149" s="71">
        <v>2.8257504199999999</v>
      </c>
      <c r="X149" s="71">
        <v>4.2562463900000003</v>
      </c>
      <c r="Y149" s="71">
        <v>5.3933457599999999</v>
      </c>
      <c r="Z149" s="114">
        <v>6.6899704800000004</v>
      </c>
      <c r="AB149" s="70">
        <v>3.9652035493158606E-2</v>
      </c>
      <c r="AC149" s="70">
        <v>4.7830760965935769E-2</v>
      </c>
      <c r="AD149" s="70">
        <v>5.9136883620264521E-2</v>
      </c>
      <c r="AE149" s="70">
        <v>6.5435630014619772E-2</v>
      </c>
      <c r="AF149" s="62">
        <v>7.0356768232705189E-2</v>
      </c>
      <c r="AG149" s="70">
        <v>1.9064220931586081E-3</v>
      </c>
      <c r="AH149" s="70">
        <v>1.0833578465935774E-2</v>
      </c>
      <c r="AI149" s="70">
        <v>2.1214751820264523E-2</v>
      </c>
      <c r="AJ149" s="70">
        <v>2.6334227914619805E-2</v>
      </c>
      <c r="AK149" s="62">
        <v>2.987614903270519E-2</v>
      </c>
    </row>
    <row r="150" spans="2:37" x14ac:dyDescent="0.35">
      <c r="B150" s="54" t="s">
        <v>130</v>
      </c>
      <c r="C150" s="52" t="s">
        <v>232</v>
      </c>
      <c r="D150" s="52" t="s">
        <v>131</v>
      </c>
      <c r="E150" s="52" t="s">
        <v>288</v>
      </c>
      <c r="F150" s="72">
        <f t="shared" si="18"/>
        <v>3.9185455810152654E-2</v>
      </c>
      <c r="G150" s="59">
        <f t="shared" si="18"/>
        <v>4.7345544305758859E-2</v>
      </c>
      <c r="H150" s="59">
        <f t="shared" si="18"/>
        <v>5.7714478026823571E-2</v>
      </c>
      <c r="I150" s="59">
        <f t="shared" si="18"/>
        <v>6.4447684250885665E-2</v>
      </c>
      <c r="J150" s="62">
        <f t="shared" si="18"/>
        <v>6.9100962005437611E-2</v>
      </c>
      <c r="K150" s="59">
        <f t="shared" si="19"/>
        <v>1.4594896101526563E-3</v>
      </c>
      <c r="L150" s="59">
        <f t="shared" si="19"/>
        <v>1.0374210605758858E-2</v>
      </c>
      <c r="M150" s="59">
        <f t="shared" si="19"/>
        <v>1.9889010626823571E-2</v>
      </c>
      <c r="N150" s="59">
        <f t="shared" si="19"/>
        <v>2.5415264250885659E-2</v>
      </c>
      <c r="O150" s="62">
        <f t="shared" si="19"/>
        <v>2.870933280543761E-2</v>
      </c>
      <c r="P150" s="54" t="s">
        <v>478</v>
      </c>
      <c r="Q150" s="52" t="s">
        <v>479</v>
      </c>
      <c r="R150" s="93">
        <v>47532</v>
      </c>
      <c r="S150" s="72">
        <v>4.9209050000000004E-2</v>
      </c>
      <c r="T150" s="62">
        <f t="shared" si="20"/>
        <v>8.5054280268235666E-3</v>
      </c>
      <c r="V150" s="113">
        <v>1.1112052299999999</v>
      </c>
      <c r="W150" s="71">
        <v>2.8302008299999999</v>
      </c>
      <c r="X150" s="71">
        <v>4.2752725700000003</v>
      </c>
      <c r="Y150" s="71">
        <v>5.4264407100000005</v>
      </c>
      <c r="Z150" s="114">
        <v>6.7472941800000008</v>
      </c>
      <c r="AB150" s="70">
        <v>3.9185455810152654E-2</v>
      </c>
      <c r="AC150" s="70">
        <v>4.7345544305758859E-2</v>
      </c>
      <c r="AD150" s="70">
        <v>5.7714478026823571E-2</v>
      </c>
      <c r="AE150" s="70">
        <v>6.4447684250885665E-2</v>
      </c>
      <c r="AF150" s="62">
        <v>6.9100962005437611E-2</v>
      </c>
      <c r="AG150" s="70">
        <v>1.4594896101526563E-3</v>
      </c>
      <c r="AH150" s="70">
        <v>1.0374210605758858E-2</v>
      </c>
      <c r="AI150" s="70">
        <v>1.9889010626823571E-2</v>
      </c>
      <c r="AJ150" s="70">
        <v>2.5415264250885659E-2</v>
      </c>
      <c r="AK150" s="62">
        <v>2.870933280543761E-2</v>
      </c>
    </row>
    <row r="151" spans="2:37" x14ac:dyDescent="0.35">
      <c r="B151" s="54" t="s">
        <v>171</v>
      </c>
      <c r="C151" s="52" t="s">
        <v>232</v>
      </c>
      <c r="D151" s="52" t="s">
        <v>20</v>
      </c>
      <c r="E151" s="52" t="s">
        <v>21</v>
      </c>
      <c r="F151" s="72">
        <f t="shared" si="18"/>
        <v>4.0945448144451405E-2</v>
      </c>
      <c r="G151" s="59">
        <f t="shared" si="18"/>
        <v>4.8349255948680413E-2</v>
      </c>
      <c r="H151" s="59">
        <f t="shared" si="18"/>
        <v>5.7463626760057958E-2</v>
      </c>
      <c r="I151" s="59">
        <f t="shared" si="18"/>
        <v>6.2657620295816618E-2</v>
      </c>
      <c r="J151" s="62">
        <f t="shared" si="18"/>
        <v>6.7301344483464046E-2</v>
      </c>
      <c r="K151" s="59">
        <f t="shared" si="19"/>
        <v>3.1502529444514035E-3</v>
      </c>
      <c r="L151" s="59">
        <f t="shared" si="19"/>
        <v>1.1350125348680414E-2</v>
      </c>
      <c r="M151" s="59">
        <f t="shared" si="19"/>
        <v>1.9689228860057952E-2</v>
      </c>
      <c r="N151" s="59">
        <f t="shared" si="19"/>
        <v>2.3787286995816625E-2</v>
      </c>
      <c r="O151" s="62">
        <f t="shared" si="19"/>
        <v>2.7060589783464054E-2</v>
      </c>
      <c r="P151" s="54" t="s">
        <v>480</v>
      </c>
      <c r="Q151" s="52" t="s">
        <v>481</v>
      </c>
      <c r="R151" s="93">
        <v>47644</v>
      </c>
      <c r="S151" s="72">
        <v>4.9359099999999996E-2</v>
      </c>
      <c r="T151" s="62">
        <f t="shared" si="20"/>
        <v>8.1045267600579618E-3</v>
      </c>
      <c r="V151" s="113">
        <v>1.1084091900000002</v>
      </c>
      <c r="W151" s="71">
        <v>2.8244697900000002</v>
      </c>
      <c r="X151" s="71">
        <v>4.2768750899999999</v>
      </c>
      <c r="Y151" s="71">
        <v>5.4565958700000001</v>
      </c>
      <c r="Z151" s="114">
        <v>6.8335127399999998</v>
      </c>
      <c r="AB151" s="70">
        <v>4.0945448144451405E-2</v>
      </c>
      <c r="AC151" s="70">
        <v>4.8349255948680413E-2</v>
      </c>
      <c r="AD151" s="70">
        <v>5.7463626760057958E-2</v>
      </c>
      <c r="AE151" s="70">
        <v>6.2657620295816618E-2</v>
      </c>
      <c r="AF151" s="62">
        <v>6.7301344483464046E-2</v>
      </c>
      <c r="AG151" s="70">
        <v>3.1502529444514035E-3</v>
      </c>
      <c r="AH151" s="70">
        <v>1.1350125348680414E-2</v>
      </c>
      <c r="AI151" s="70">
        <v>1.9689228860057952E-2</v>
      </c>
      <c r="AJ151" s="70">
        <v>2.3787286995816625E-2</v>
      </c>
      <c r="AK151" s="62">
        <v>2.7060589783464054E-2</v>
      </c>
    </row>
    <row r="152" spans="2:37" x14ac:dyDescent="0.35">
      <c r="B152" s="54" t="s">
        <v>332</v>
      </c>
      <c r="C152" s="52" t="s">
        <v>232</v>
      </c>
      <c r="D152" s="52" t="s">
        <v>20</v>
      </c>
      <c r="E152" s="52" t="s">
        <v>21</v>
      </c>
      <c r="F152" s="72">
        <f t="shared" si="18"/>
        <v>3.917330221128161E-2</v>
      </c>
      <c r="G152" s="59">
        <f t="shared" si="18"/>
        <v>4.6145423342007164E-2</v>
      </c>
      <c r="H152" s="59">
        <f t="shared" si="18"/>
        <v>5.5967926320067973E-2</v>
      </c>
      <c r="I152" s="59">
        <f t="shared" si="18"/>
        <v>6.086491714064763E-2</v>
      </c>
      <c r="J152" s="62">
        <f t="shared" si="18"/>
        <v>6.529242149781786E-2</v>
      </c>
      <c r="K152" s="59">
        <f t="shared" si="19"/>
        <v>1.4639703112816118E-3</v>
      </c>
      <c r="L152" s="59">
        <f t="shared" si="19"/>
        <v>9.2599041420071589E-3</v>
      </c>
      <c r="M152" s="59">
        <f t="shared" si="19"/>
        <v>1.8286832220067963E-2</v>
      </c>
      <c r="N152" s="59">
        <f t="shared" si="19"/>
        <v>2.2113474640647612E-2</v>
      </c>
      <c r="O152" s="62">
        <f t="shared" si="19"/>
        <v>2.5180884497817881E-2</v>
      </c>
      <c r="P152" s="54" t="s">
        <v>21</v>
      </c>
      <c r="Q152" s="52" t="s">
        <v>21</v>
      </c>
      <c r="R152" s="93" t="s">
        <v>21</v>
      </c>
      <c r="S152" s="72" t="s">
        <v>21</v>
      </c>
      <c r="T152" s="62" t="str">
        <f t="shared" si="20"/>
        <v/>
      </c>
      <c r="V152" s="113">
        <v>1.1122470600000001</v>
      </c>
      <c r="W152" s="71">
        <v>2.84121559</v>
      </c>
      <c r="X152" s="71">
        <v>4.3119754500000003</v>
      </c>
      <c r="Y152" s="71">
        <v>5.5124013200000004</v>
      </c>
      <c r="Z152" s="114">
        <v>6.9312488300000004</v>
      </c>
      <c r="AB152" s="70">
        <v>3.917330221128161E-2</v>
      </c>
      <c r="AC152" s="70">
        <v>4.6145423342007164E-2</v>
      </c>
      <c r="AD152" s="70">
        <v>5.5967926320067973E-2</v>
      </c>
      <c r="AE152" s="70">
        <v>6.086491714064763E-2</v>
      </c>
      <c r="AF152" s="62">
        <v>6.529242149781786E-2</v>
      </c>
      <c r="AG152" s="70">
        <v>1.4639703112816118E-3</v>
      </c>
      <c r="AH152" s="70">
        <v>9.2599041420071589E-3</v>
      </c>
      <c r="AI152" s="70">
        <v>1.8286832220067963E-2</v>
      </c>
      <c r="AJ152" s="70">
        <v>2.2113474640647612E-2</v>
      </c>
      <c r="AK152" s="62">
        <v>2.5180884497817881E-2</v>
      </c>
    </row>
    <row r="153" spans="2:37" x14ac:dyDescent="0.35">
      <c r="B153" s="54" t="s">
        <v>118</v>
      </c>
      <c r="C153" s="52" t="s">
        <v>232</v>
      </c>
      <c r="D153" s="52" t="s">
        <v>20</v>
      </c>
      <c r="E153" s="52" t="s">
        <v>123</v>
      </c>
      <c r="F153" s="72">
        <f t="shared" si="18"/>
        <v>3.9542958091347349E-2</v>
      </c>
      <c r="G153" s="59">
        <f t="shared" si="18"/>
        <v>4.6826724354332154E-2</v>
      </c>
      <c r="H153" s="59">
        <f t="shared" si="18"/>
        <v>5.5899422447569E-2</v>
      </c>
      <c r="I153" s="59">
        <f t="shared" si="18"/>
        <v>6.1814028395943597E-2</v>
      </c>
      <c r="J153" s="62">
        <f t="shared" si="18"/>
        <v>6.5774149007014587E-2</v>
      </c>
      <c r="K153" s="59">
        <f t="shared" si="19"/>
        <v>1.8225860913473517E-3</v>
      </c>
      <c r="L153" s="59">
        <f t="shared" si="19"/>
        <v>9.9090084543321487E-3</v>
      </c>
      <c r="M153" s="59">
        <f t="shared" si="19"/>
        <v>1.8226048747568994E-2</v>
      </c>
      <c r="N153" s="59">
        <f t="shared" si="19"/>
        <v>2.2999740595943584E-2</v>
      </c>
      <c r="O153" s="62">
        <f t="shared" si="19"/>
        <v>2.5638119307014578E-2</v>
      </c>
      <c r="P153" s="54" t="s">
        <v>482</v>
      </c>
      <c r="Q153" s="52" t="s">
        <v>483</v>
      </c>
      <c r="R153" s="93">
        <v>47557</v>
      </c>
      <c r="S153" s="72">
        <v>4.8065910000000003E-2</v>
      </c>
      <c r="T153" s="62">
        <f t="shared" si="20"/>
        <v>7.8335124475689966E-3</v>
      </c>
      <c r="V153" s="113">
        <v>1.11147207</v>
      </c>
      <c r="W153" s="71">
        <v>2.8369228900000003</v>
      </c>
      <c r="X153" s="71">
        <v>4.3064105699999997</v>
      </c>
      <c r="Y153" s="71">
        <v>5.5037607800000004</v>
      </c>
      <c r="Z153" s="114">
        <v>6.9107479900000008</v>
      </c>
      <c r="AB153" s="70">
        <v>3.9542958091347349E-2</v>
      </c>
      <c r="AC153" s="70">
        <v>4.6826724354332154E-2</v>
      </c>
      <c r="AD153" s="70">
        <v>5.5899422447569E-2</v>
      </c>
      <c r="AE153" s="70">
        <v>6.1814028395943597E-2</v>
      </c>
      <c r="AF153" s="62">
        <v>6.5774149007014587E-2</v>
      </c>
      <c r="AG153" s="70">
        <v>1.8225860913473517E-3</v>
      </c>
      <c r="AH153" s="70">
        <v>9.9090084543321487E-3</v>
      </c>
      <c r="AI153" s="70">
        <v>1.8226048747568994E-2</v>
      </c>
      <c r="AJ153" s="70">
        <v>2.2999740595943584E-2</v>
      </c>
      <c r="AK153" s="62">
        <v>2.5638119307014578E-2</v>
      </c>
    </row>
    <row r="154" spans="2:37" x14ac:dyDescent="0.35">
      <c r="B154" s="54" t="s">
        <v>318</v>
      </c>
      <c r="C154" s="52" t="s">
        <v>232</v>
      </c>
      <c r="D154" s="52" t="s">
        <v>20</v>
      </c>
      <c r="E154" s="52" t="s">
        <v>316</v>
      </c>
      <c r="F154" s="72">
        <f t="shared" si="18"/>
        <v>3.9676385317668858E-2</v>
      </c>
      <c r="G154" s="59">
        <f t="shared" si="18"/>
        <v>4.7384413780522758E-2</v>
      </c>
      <c r="H154" s="59">
        <f t="shared" si="18"/>
        <v>5.5723508940352336E-2</v>
      </c>
      <c r="I154" s="59">
        <f t="shared" si="18"/>
        <v>6.0470367926249602E-2</v>
      </c>
      <c r="J154" s="62">
        <f t="shared" si="18"/>
        <v>6.4201591288355897E-2</v>
      </c>
      <c r="K154" s="59">
        <f t="shared" si="19"/>
        <v>1.9514473176688541E-3</v>
      </c>
      <c r="L154" s="59">
        <f t="shared" si="19"/>
        <v>1.0437443180522761E-2</v>
      </c>
      <c r="M154" s="59">
        <f t="shared" si="19"/>
        <v>1.8058011840352328E-2</v>
      </c>
      <c r="N154" s="59">
        <f t="shared" si="19"/>
        <v>2.1741031926249592E-2</v>
      </c>
      <c r="O154" s="62">
        <f t="shared" si="19"/>
        <v>2.4155170988355908E-2</v>
      </c>
      <c r="P154" s="54" t="s">
        <v>21</v>
      </c>
      <c r="Q154" s="52" t="s">
        <v>21</v>
      </c>
      <c r="R154" s="93" t="s">
        <v>21</v>
      </c>
      <c r="S154" s="72" t="s">
        <v>21</v>
      </c>
      <c r="T154" s="62" t="str">
        <f t="shared" si="20"/>
        <v/>
      </c>
      <c r="V154" s="113">
        <v>1.1112163499999999</v>
      </c>
      <c r="W154" s="71">
        <v>2.8318901300000001</v>
      </c>
      <c r="X154" s="71">
        <v>4.3027710900000002</v>
      </c>
      <c r="Y154" s="71">
        <v>5.5135874500000002</v>
      </c>
      <c r="Z154" s="114">
        <v>6.9577878499999999</v>
      </c>
      <c r="AB154" s="70">
        <v>3.9676385317668858E-2</v>
      </c>
      <c r="AC154" s="70">
        <v>4.7384413780522758E-2</v>
      </c>
      <c r="AD154" s="70">
        <v>5.5723508940352336E-2</v>
      </c>
      <c r="AE154" s="70">
        <v>6.0470367926249602E-2</v>
      </c>
      <c r="AF154" s="62">
        <v>6.4201591288355897E-2</v>
      </c>
      <c r="AG154" s="70">
        <v>1.9514473176688541E-3</v>
      </c>
      <c r="AH154" s="70">
        <v>1.0437443180522761E-2</v>
      </c>
      <c r="AI154" s="70">
        <v>1.8058011840352328E-2</v>
      </c>
      <c r="AJ154" s="70">
        <v>2.1741031926249592E-2</v>
      </c>
      <c r="AK154" s="62">
        <v>2.4155170988355908E-2</v>
      </c>
    </row>
    <row r="155" spans="2:37" x14ac:dyDescent="0.35">
      <c r="B155" s="54" t="s">
        <v>119</v>
      </c>
      <c r="C155" s="52" t="s">
        <v>232</v>
      </c>
      <c r="D155" s="52" t="s">
        <v>120</v>
      </c>
      <c r="E155" s="52" t="s">
        <v>21</v>
      </c>
      <c r="F155" s="72">
        <f t="shared" si="18"/>
        <v>3.7802626563401664E-2</v>
      </c>
      <c r="G155" s="59">
        <f t="shared" si="18"/>
        <v>4.5543494519730283E-2</v>
      </c>
      <c r="H155" s="59">
        <f t="shared" si="18"/>
        <v>5.4489427364026198E-2</v>
      </c>
      <c r="I155" s="59">
        <f t="shared" si="18"/>
        <v>6.0743622958808585E-2</v>
      </c>
      <c r="J155" s="62">
        <f t="shared" si="18"/>
        <v>6.6847598193554847E-2</v>
      </c>
      <c r="K155" s="59">
        <f t="shared" si="19"/>
        <v>1.3837936340167084E-4</v>
      </c>
      <c r="L155" s="59">
        <f t="shared" si="19"/>
        <v>8.6682941197302778E-3</v>
      </c>
      <c r="M155" s="59">
        <f t="shared" si="19"/>
        <v>1.6873134164026193E-2</v>
      </c>
      <c r="N155" s="59">
        <f t="shared" si="19"/>
        <v>2.1970421558808573E-2</v>
      </c>
      <c r="O155" s="62">
        <f t="shared" si="19"/>
        <v>2.6608697393554859E-2</v>
      </c>
      <c r="P155" s="54" t="s">
        <v>21</v>
      </c>
      <c r="Q155" s="52" t="s">
        <v>21</v>
      </c>
      <c r="R155" s="93" t="s">
        <v>21</v>
      </c>
      <c r="S155" s="72" t="s">
        <v>21</v>
      </c>
      <c r="T155" s="62" t="str">
        <f t="shared" si="20"/>
        <v/>
      </c>
      <c r="V155" s="113">
        <v>1.1137729000000001</v>
      </c>
      <c r="W155" s="71">
        <v>2.8468513300000002</v>
      </c>
      <c r="X155" s="71">
        <v>4.32670449</v>
      </c>
      <c r="Y155" s="71">
        <v>5.5291507700000002</v>
      </c>
      <c r="Z155" s="114">
        <v>6.9028663399999992</v>
      </c>
      <c r="AB155" s="70">
        <v>3.7802626563401664E-2</v>
      </c>
      <c r="AC155" s="70">
        <v>4.5543494519730283E-2</v>
      </c>
      <c r="AD155" s="70">
        <v>5.4489427364026198E-2</v>
      </c>
      <c r="AE155" s="70">
        <v>6.0743622958808585E-2</v>
      </c>
      <c r="AF155" s="62">
        <v>6.6847598193554847E-2</v>
      </c>
      <c r="AG155" s="70">
        <v>1.3837936340167084E-4</v>
      </c>
      <c r="AH155" s="70">
        <v>8.6682941197302778E-3</v>
      </c>
      <c r="AI155" s="70">
        <v>1.6873134164026193E-2</v>
      </c>
      <c r="AJ155" s="70">
        <v>2.1970421558808573E-2</v>
      </c>
      <c r="AK155" s="62">
        <v>2.6608697393554859E-2</v>
      </c>
    </row>
    <row r="156" spans="2:37" x14ac:dyDescent="0.35">
      <c r="B156" s="54" t="s">
        <v>115</v>
      </c>
      <c r="C156" s="52" t="s">
        <v>232</v>
      </c>
      <c r="D156" s="52" t="s">
        <v>31</v>
      </c>
      <c r="E156" s="52" t="s">
        <v>21</v>
      </c>
      <c r="F156" s="72">
        <f t="shared" si="18"/>
        <v>3.8330584756792165E-2</v>
      </c>
      <c r="G156" s="59">
        <f t="shared" si="18"/>
        <v>4.4823894914594299E-2</v>
      </c>
      <c r="H156" s="59">
        <f t="shared" si="18"/>
        <v>5.4142188486605014E-2</v>
      </c>
      <c r="I156" s="59">
        <f t="shared" si="18"/>
        <v>5.9953796488340948E-2</v>
      </c>
      <c r="J156" s="62">
        <f t="shared" si="18"/>
        <v>6.5256525506681096E-2</v>
      </c>
      <c r="K156" s="59">
        <f t="shared" si="19"/>
        <v>6.4687405679216166E-4</v>
      </c>
      <c r="L156" s="59">
        <f t="shared" si="19"/>
        <v>7.985008514594303E-3</v>
      </c>
      <c r="M156" s="59">
        <f t="shared" si="19"/>
        <v>1.6545070286605013E-2</v>
      </c>
      <c r="N156" s="59">
        <f t="shared" si="19"/>
        <v>2.122893618834094E-2</v>
      </c>
      <c r="O156" s="62">
        <f t="shared" si="19"/>
        <v>2.5116586006681093E-2</v>
      </c>
      <c r="P156" s="54" t="s">
        <v>484</v>
      </c>
      <c r="Q156" s="52" t="s">
        <v>485</v>
      </c>
      <c r="R156" s="93">
        <v>47492</v>
      </c>
      <c r="S156" s="72">
        <v>4.6169650000000007E-2</v>
      </c>
      <c r="T156" s="62">
        <f t="shared" si="20"/>
        <v>7.9725384866050075E-3</v>
      </c>
      <c r="V156" s="113">
        <v>1.11276811</v>
      </c>
      <c r="W156" s="71">
        <v>2.8484238299999998</v>
      </c>
      <c r="X156" s="71">
        <v>4.3328008799999997</v>
      </c>
      <c r="Y156" s="71">
        <v>5.5444193200000003</v>
      </c>
      <c r="Z156" s="114">
        <v>6.9505471799999992</v>
      </c>
      <c r="AB156" s="70">
        <v>3.8330584756792165E-2</v>
      </c>
      <c r="AC156" s="70">
        <v>4.4823894914594299E-2</v>
      </c>
      <c r="AD156" s="70">
        <v>5.4142188486605014E-2</v>
      </c>
      <c r="AE156" s="70">
        <v>5.9953796488340948E-2</v>
      </c>
      <c r="AF156" s="62">
        <v>6.5256525506681096E-2</v>
      </c>
      <c r="AG156" s="70">
        <v>6.4687405679216166E-4</v>
      </c>
      <c r="AH156" s="70">
        <v>7.985008514594303E-3</v>
      </c>
      <c r="AI156" s="70">
        <v>1.6545070286605013E-2</v>
      </c>
      <c r="AJ156" s="70">
        <v>2.122893618834094E-2</v>
      </c>
      <c r="AK156" s="62">
        <v>2.5116586006681093E-2</v>
      </c>
    </row>
    <row r="157" spans="2:37" x14ac:dyDescent="0.35">
      <c r="B157" s="54" t="s">
        <v>319</v>
      </c>
      <c r="C157" s="52" t="s">
        <v>232</v>
      </c>
      <c r="D157" s="52" t="s">
        <v>97</v>
      </c>
      <c r="E157" s="52" t="s">
        <v>36</v>
      </c>
      <c r="F157" s="72">
        <f t="shared" si="18"/>
        <v>3.8242801862753528E-2</v>
      </c>
      <c r="G157" s="59">
        <f t="shared" si="18"/>
        <v>4.5188982571337244E-2</v>
      </c>
      <c r="H157" s="59">
        <f t="shared" si="18"/>
        <v>5.4053809417059125E-2</v>
      </c>
      <c r="I157" s="59">
        <f t="shared" si="18"/>
        <v>5.9884774028345023E-2</v>
      </c>
      <c r="J157" s="62">
        <f t="shared" si="18"/>
        <v>6.589514552218094E-2</v>
      </c>
      <c r="K157" s="59">
        <f t="shared" si="19"/>
        <v>5.6106276275352633E-4</v>
      </c>
      <c r="L157" s="59">
        <f t="shared" si="19"/>
        <v>8.3314192713372336E-3</v>
      </c>
      <c r="M157" s="59">
        <f t="shared" si="19"/>
        <v>1.6463077517059128E-2</v>
      </c>
      <c r="N157" s="59">
        <f t="shared" si="19"/>
        <v>2.1166926128345018E-2</v>
      </c>
      <c r="O157" s="62">
        <f t="shared" si="19"/>
        <v>2.5715699022180939E-2</v>
      </c>
      <c r="P157" s="54" t="s">
        <v>21</v>
      </c>
      <c r="Q157" s="52" t="s">
        <v>21</v>
      </c>
      <c r="R157" s="93" t="s">
        <v>21</v>
      </c>
      <c r="S157" s="72" t="s">
        <v>21</v>
      </c>
      <c r="T157" s="62" t="str">
        <f t="shared" si="20"/>
        <v/>
      </c>
      <c r="V157" s="113">
        <v>1.11294296</v>
      </c>
      <c r="W157" s="71">
        <v>2.84642514</v>
      </c>
      <c r="X157" s="71">
        <v>4.3315090299999994</v>
      </c>
      <c r="Y157" s="71">
        <v>5.5456744799999997</v>
      </c>
      <c r="Z157" s="114">
        <v>6.9418514799999995</v>
      </c>
      <c r="AB157" s="70">
        <v>3.8242801862753528E-2</v>
      </c>
      <c r="AC157" s="70">
        <v>4.5188982571337244E-2</v>
      </c>
      <c r="AD157" s="70">
        <v>5.4053809417059125E-2</v>
      </c>
      <c r="AE157" s="70">
        <v>5.9884774028345023E-2</v>
      </c>
      <c r="AF157" s="62">
        <v>6.589514552218094E-2</v>
      </c>
      <c r="AG157" s="70">
        <v>5.6106276275352633E-4</v>
      </c>
      <c r="AH157" s="70">
        <v>8.3314192713372336E-3</v>
      </c>
      <c r="AI157" s="70">
        <v>1.6463077517059128E-2</v>
      </c>
      <c r="AJ157" s="70">
        <v>2.1166926128345018E-2</v>
      </c>
      <c r="AK157" s="62">
        <v>2.5715699022180939E-2</v>
      </c>
    </row>
    <row r="158" spans="2:37" x14ac:dyDescent="0.35">
      <c r="B158" s="54" t="s">
        <v>134</v>
      </c>
      <c r="C158" s="52" t="s">
        <v>232</v>
      </c>
      <c r="D158" s="52" t="s">
        <v>43</v>
      </c>
      <c r="E158" s="52" t="s">
        <v>486</v>
      </c>
      <c r="F158" s="72">
        <f t="shared" si="18"/>
        <v>3.8179893717456968E-2</v>
      </c>
      <c r="G158" s="59">
        <f t="shared" si="18"/>
        <v>4.480458362166409E-2</v>
      </c>
      <c r="H158" s="59">
        <f t="shared" si="18"/>
        <v>5.3597699684256518E-2</v>
      </c>
      <c r="I158" s="59">
        <f t="shared" si="18"/>
        <v>5.9222732514086891E-2</v>
      </c>
      <c r="J158" s="62">
        <f t="shared" si="18"/>
        <v>6.4851365526102281E-2</v>
      </c>
      <c r="K158" s="59">
        <f t="shared" si="19"/>
        <v>5.0986571745696967E-4</v>
      </c>
      <c r="L158" s="59">
        <f t="shared" si="19"/>
        <v>7.9701493216640922E-3</v>
      </c>
      <c r="M158" s="59">
        <f t="shared" si="19"/>
        <v>1.6035039784256522E-2</v>
      </c>
      <c r="N158" s="59">
        <f t="shared" si="19"/>
        <v>2.0546582814086896E-2</v>
      </c>
      <c r="O158" s="62">
        <f t="shared" si="19"/>
        <v>2.4736083826102276E-2</v>
      </c>
      <c r="P158" s="54" t="s">
        <v>487</v>
      </c>
      <c r="Q158" s="52" t="s">
        <v>488</v>
      </c>
      <c r="R158" s="93" t="s">
        <v>32</v>
      </c>
      <c r="S158" s="72">
        <v>4.8357000000000004E-2</v>
      </c>
      <c r="T158" s="62">
        <f t="shared" si="20"/>
        <v>5.240699684256514E-3</v>
      </c>
      <c r="V158" s="113">
        <v>1.11300489</v>
      </c>
      <c r="W158" s="71">
        <v>2.84943583</v>
      </c>
      <c r="X158" s="71">
        <v>4.3391377200000001</v>
      </c>
      <c r="Y158" s="71">
        <v>5.5611431500000004</v>
      </c>
      <c r="Z158" s="114">
        <v>6.9776540600000008</v>
      </c>
      <c r="AB158" s="70">
        <v>3.8179893717456968E-2</v>
      </c>
      <c r="AC158" s="70">
        <v>4.480458362166409E-2</v>
      </c>
      <c r="AD158" s="70">
        <v>5.3597699684256518E-2</v>
      </c>
      <c r="AE158" s="70">
        <v>5.9222732514086891E-2</v>
      </c>
      <c r="AF158" s="62">
        <v>6.4851365526102281E-2</v>
      </c>
      <c r="AG158" s="70">
        <v>5.0986571745696967E-4</v>
      </c>
      <c r="AH158" s="70">
        <v>7.9701493216640922E-3</v>
      </c>
      <c r="AI158" s="70">
        <v>1.6035039784256522E-2</v>
      </c>
      <c r="AJ158" s="70">
        <v>2.0546582814086896E-2</v>
      </c>
      <c r="AK158" s="62">
        <v>2.4736083826102276E-2</v>
      </c>
    </row>
    <row r="159" spans="2:37" x14ac:dyDescent="0.35">
      <c r="B159" s="54" t="s">
        <v>326</v>
      </c>
      <c r="C159" s="52" t="s">
        <v>232</v>
      </c>
      <c r="D159" s="52" t="s">
        <v>255</v>
      </c>
      <c r="E159" s="52" t="s">
        <v>21</v>
      </c>
      <c r="F159" s="72">
        <f t="shared" si="18"/>
        <v>3.9166727733844865E-2</v>
      </c>
      <c r="G159" s="59">
        <f t="shared" si="18"/>
        <v>4.5393123335896554E-2</v>
      </c>
      <c r="H159" s="59">
        <f t="shared" si="18"/>
        <v>5.3593884357552593E-2</v>
      </c>
      <c r="I159" s="59">
        <f t="shared" si="18"/>
        <v>5.7922137330221148E-2</v>
      </c>
      <c r="J159" s="62">
        <f t="shared" si="18"/>
        <v>6.1942837440483733E-2</v>
      </c>
      <c r="K159" s="59">
        <f t="shared" si="19"/>
        <v>1.4429029338448689E-3</v>
      </c>
      <c r="L159" s="59">
        <f t="shared" si="19"/>
        <v>8.5235929358965564E-3</v>
      </c>
      <c r="M159" s="59">
        <f t="shared" si="19"/>
        <v>1.6026433157552592E-2</v>
      </c>
      <c r="N159" s="59">
        <f t="shared" si="19"/>
        <v>1.9323292230221143E-2</v>
      </c>
      <c r="O159" s="62">
        <f t="shared" si="19"/>
        <v>2.2000111440483729E-2</v>
      </c>
      <c r="P159" s="54" t="s">
        <v>21</v>
      </c>
      <c r="Q159" s="52" t="s">
        <v>21</v>
      </c>
      <c r="R159" s="93" t="s">
        <v>21</v>
      </c>
      <c r="S159" s="72" t="s">
        <v>21</v>
      </c>
      <c r="T159" s="62" t="str">
        <f t="shared" si="20"/>
        <v/>
      </c>
      <c r="V159" s="113">
        <v>1.1112322000000001</v>
      </c>
      <c r="W159" s="71">
        <v>2.8421352300000002</v>
      </c>
      <c r="X159" s="71">
        <v>4.33135504</v>
      </c>
      <c r="Y159" s="71">
        <v>5.5715173899999995</v>
      </c>
      <c r="Z159" s="114">
        <v>7.0580314299999998</v>
      </c>
      <c r="AB159" s="70">
        <v>3.9166727733844865E-2</v>
      </c>
      <c r="AC159" s="70">
        <v>4.5393123335896554E-2</v>
      </c>
      <c r="AD159" s="70">
        <v>5.3593884357552593E-2</v>
      </c>
      <c r="AE159" s="70">
        <v>5.7922137330221148E-2</v>
      </c>
      <c r="AF159" s="62">
        <v>6.1942837440483733E-2</v>
      </c>
      <c r="AG159" s="70">
        <v>1.4429029338448689E-3</v>
      </c>
      <c r="AH159" s="70">
        <v>8.5235929358965564E-3</v>
      </c>
      <c r="AI159" s="70">
        <v>1.6026433157552592E-2</v>
      </c>
      <c r="AJ159" s="70">
        <v>1.9323292230221143E-2</v>
      </c>
      <c r="AK159" s="62">
        <v>2.2000111440483729E-2</v>
      </c>
    </row>
    <row r="160" spans="2:37" x14ac:dyDescent="0.35">
      <c r="B160" s="54" t="s">
        <v>333</v>
      </c>
      <c r="C160" s="52" t="s">
        <v>232</v>
      </c>
      <c r="D160" s="52" t="s">
        <v>20</v>
      </c>
      <c r="E160" s="52" t="s">
        <v>21</v>
      </c>
      <c r="F160" s="72">
        <f t="shared" si="18"/>
        <v>3.9129449912797445E-2</v>
      </c>
      <c r="G160" s="59">
        <f t="shared" si="18"/>
        <v>4.5924212861868395E-2</v>
      </c>
      <c r="H160" s="59">
        <f t="shared" si="18"/>
        <v>5.4577201267594098E-2</v>
      </c>
      <c r="I160" s="59">
        <f t="shared" si="18"/>
        <v>5.8790012356979122E-2</v>
      </c>
      <c r="J160" s="62">
        <f t="shared" si="18"/>
        <v>6.2520263929176714E-2</v>
      </c>
      <c r="K160" s="59">
        <f t="shared" si="19"/>
        <v>1.4359809127974504E-3</v>
      </c>
      <c r="L160" s="59">
        <f t="shared" si="19"/>
        <v>9.0569328618683928E-3</v>
      </c>
      <c r="M160" s="59">
        <f t="shared" si="19"/>
        <v>1.6984697367594104E-2</v>
      </c>
      <c r="N160" s="59">
        <f t="shared" si="19"/>
        <v>2.0173467456979122E-2</v>
      </c>
      <c r="O160" s="62">
        <f t="shared" si="19"/>
        <v>2.2580220029176718E-2</v>
      </c>
      <c r="P160" s="54" t="s">
        <v>21</v>
      </c>
      <c r="Q160" s="52" t="s">
        <v>21</v>
      </c>
      <c r="R160" s="93" t="s">
        <v>21</v>
      </c>
      <c r="S160" s="72" t="s">
        <v>21</v>
      </c>
      <c r="T160" s="62" t="str">
        <f t="shared" si="20"/>
        <v/>
      </c>
      <c r="V160" s="113">
        <v>1.1122038000000001</v>
      </c>
      <c r="W160" s="71">
        <v>2.8447449199999997</v>
      </c>
      <c r="X160" s="71">
        <v>4.3296567100000001</v>
      </c>
      <c r="Y160" s="71">
        <v>5.5619018899999997</v>
      </c>
      <c r="Z160" s="114">
        <v>7.0437815200000005</v>
      </c>
      <c r="AB160" s="70">
        <v>3.9129449912797445E-2</v>
      </c>
      <c r="AC160" s="70">
        <v>4.5924212861868395E-2</v>
      </c>
      <c r="AD160" s="70">
        <v>5.4577201267594098E-2</v>
      </c>
      <c r="AE160" s="70">
        <v>5.8790012356979122E-2</v>
      </c>
      <c r="AF160" s="62">
        <v>6.2520263929176714E-2</v>
      </c>
      <c r="AG160" s="70">
        <v>1.4359809127974504E-3</v>
      </c>
      <c r="AH160" s="70">
        <v>9.0569328618683928E-3</v>
      </c>
      <c r="AI160" s="70">
        <v>1.6984697367594104E-2</v>
      </c>
      <c r="AJ160" s="70">
        <v>2.0173467456979122E-2</v>
      </c>
      <c r="AK160" s="62">
        <v>2.2580220029176718E-2</v>
      </c>
    </row>
    <row r="161" spans="2:37" x14ac:dyDescent="0.35">
      <c r="B161" s="54" t="s">
        <v>126</v>
      </c>
      <c r="C161" s="52" t="s">
        <v>232</v>
      </c>
      <c r="D161" s="52" t="s">
        <v>69</v>
      </c>
      <c r="E161" s="52" t="s">
        <v>133</v>
      </c>
      <c r="F161" s="72">
        <f t="shared" si="18"/>
        <v>3.7381090843859315E-2</v>
      </c>
      <c r="G161" s="59">
        <f t="shared" si="18"/>
        <v>4.4690727996749009E-2</v>
      </c>
      <c r="H161" s="59">
        <f t="shared" si="18"/>
        <v>5.3156801078853254E-2</v>
      </c>
      <c r="I161" s="59">
        <f t="shared" si="18"/>
        <v>5.8776613641060654E-2</v>
      </c>
      <c r="J161" s="62">
        <f t="shared" si="18"/>
        <v>6.4566371553234927E-2</v>
      </c>
      <c r="K161" s="59" t="str">
        <f t="shared" si="19"/>
        <v/>
      </c>
      <c r="L161" s="59">
        <f t="shared" si="19"/>
        <v>7.8602282967490111E-3</v>
      </c>
      <c r="M161" s="59">
        <f t="shared" si="19"/>
        <v>1.5619822478853258E-2</v>
      </c>
      <c r="N161" s="59">
        <f t="shared" si="19"/>
        <v>2.0131824241060657E-2</v>
      </c>
      <c r="O161" s="62">
        <f t="shared" si="19"/>
        <v>2.4473777453234941E-2</v>
      </c>
      <c r="P161" s="54" t="s">
        <v>489</v>
      </c>
      <c r="Q161" s="52" t="s">
        <v>490</v>
      </c>
      <c r="R161" s="93">
        <v>47484</v>
      </c>
      <c r="S161" s="72">
        <v>4.6861649999999998E-2</v>
      </c>
      <c r="T161" s="62">
        <f t="shared" si="20"/>
        <v>6.2951510788532561E-3</v>
      </c>
      <c r="V161" s="113">
        <v>1.11454092</v>
      </c>
      <c r="W161" s="71">
        <v>2.8546827000000001</v>
      </c>
      <c r="X161" s="71">
        <v>4.34887099</v>
      </c>
      <c r="Y161" s="71">
        <v>5.5778738500000005</v>
      </c>
      <c r="Z161" s="114">
        <v>7.0030687399999998</v>
      </c>
      <c r="AB161" s="70">
        <v>3.7381090843859315E-2</v>
      </c>
      <c r="AC161" s="70">
        <v>4.4690727996749009E-2</v>
      </c>
      <c r="AD161" s="70">
        <v>5.3156801078853254E-2</v>
      </c>
      <c r="AE161" s="70">
        <v>5.8776613641060654E-2</v>
      </c>
      <c r="AF161" s="62">
        <v>6.4566371553234927E-2</v>
      </c>
      <c r="AG161" s="70" t="s">
        <v>21</v>
      </c>
      <c r="AH161" s="70">
        <v>7.8602282967490111E-3</v>
      </c>
      <c r="AI161" s="70">
        <v>1.5619822478853258E-2</v>
      </c>
      <c r="AJ161" s="70">
        <v>2.0131824241060657E-2</v>
      </c>
      <c r="AK161" s="62">
        <v>2.4473777453234941E-2</v>
      </c>
    </row>
    <row r="162" spans="2:37" x14ac:dyDescent="0.35">
      <c r="B162" s="54" t="s">
        <v>132</v>
      </c>
      <c r="C162" s="52" t="s">
        <v>232</v>
      </c>
      <c r="D162" s="52" t="s">
        <v>20</v>
      </c>
      <c r="E162" s="52" t="s">
        <v>135</v>
      </c>
      <c r="F162" s="72">
        <f t="shared" si="18"/>
        <v>3.8679047455336187E-2</v>
      </c>
      <c r="G162" s="59">
        <f t="shared" si="18"/>
        <v>4.591507899036306E-2</v>
      </c>
      <c r="H162" s="59">
        <f t="shared" si="18"/>
        <v>5.4081063211888408E-2</v>
      </c>
      <c r="I162" s="59">
        <f t="shared" si="18"/>
        <v>5.7956226304104977E-2</v>
      </c>
      <c r="J162" s="62">
        <f t="shared" si="18"/>
        <v>6.2048394309534023E-2</v>
      </c>
      <c r="K162" s="59">
        <f t="shared" si="19"/>
        <v>9.9422845533619474E-4</v>
      </c>
      <c r="L162" s="59">
        <f t="shared" si="19"/>
        <v>9.0435195903630673E-3</v>
      </c>
      <c r="M162" s="59">
        <f t="shared" si="19"/>
        <v>1.6514245911888409E-2</v>
      </c>
      <c r="N162" s="59">
        <f t="shared" si="19"/>
        <v>1.9389865304104976E-2</v>
      </c>
      <c r="O162" s="62">
        <f t="shared" si="19"/>
        <v>2.2130642009534005E-2</v>
      </c>
      <c r="P162" s="54" t="s">
        <v>491</v>
      </c>
      <c r="Q162" s="52" t="s">
        <v>492</v>
      </c>
      <c r="R162" s="93">
        <v>47567</v>
      </c>
      <c r="S162" s="72">
        <v>4.7713859999999997E-2</v>
      </c>
      <c r="T162" s="62">
        <f t="shared" si="20"/>
        <v>6.3672032118884114E-3</v>
      </c>
      <c r="V162" s="113">
        <v>1.1131318800000001</v>
      </c>
      <c r="W162" s="71">
        <v>2.8458634599999999</v>
      </c>
      <c r="X162" s="71">
        <v>4.33464749</v>
      </c>
      <c r="Y162" s="71">
        <v>5.5752766099999995</v>
      </c>
      <c r="Z162" s="114">
        <v>7.0708366199999997</v>
      </c>
      <c r="AB162" s="70">
        <v>3.8679047455336187E-2</v>
      </c>
      <c r="AC162" s="70">
        <v>4.591507899036306E-2</v>
      </c>
      <c r="AD162" s="70">
        <v>5.4081063211888408E-2</v>
      </c>
      <c r="AE162" s="70">
        <v>5.7956226304104977E-2</v>
      </c>
      <c r="AF162" s="62">
        <v>6.2048394309534023E-2</v>
      </c>
      <c r="AG162" s="70">
        <v>9.9422845533619474E-4</v>
      </c>
      <c r="AH162" s="70">
        <v>9.0435195903630673E-3</v>
      </c>
      <c r="AI162" s="70">
        <v>1.6514245911888409E-2</v>
      </c>
      <c r="AJ162" s="70">
        <v>1.9389865304104976E-2</v>
      </c>
      <c r="AK162" s="62">
        <v>2.2130642009534005E-2</v>
      </c>
    </row>
    <row r="163" spans="2:37" x14ac:dyDescent="0.35">
      <c r="B163" s="54" t="s">
        <v>127</v>
      </c>
      <c r="C163" s="52" t="s">
        <v>232</v>
      </c>
      <c r="D163" s="52" t="s">
        <v>62</v>
      </c>
      <c r="E163" s="52" t="s">
        <v>493</v>
      </c>
      <c r="F163" s="72">
        <f t="shared" si="18"/>
        <v>3.8111662190429212E-2</v>
      </c>
      <c r="G163" s="59">
        <f t="shared" si="18"/>
        <v>4.4537843857074079E-2</v>
      </c>
      <c r="H163" s="59">
        <f t="shared" si="18"/>
        <v>5.2918654822587209E-2</v>
      </c>
      <c r="I163" s="59">
        <f t="shared" si="18"/>
        <v>5.8228914185254436E-2</v>
      </c>
      <c r="J163" s="62">
        <f t="shared" si="18"/>
        <v>6.3383626684554745E-2</v>
      </c>
      <c r="K163" s="59">
        <f t="shared" si="19"/>
        <v>4.4116209042921115E-4</v>
      </c>
      <c r="L163" s="59">
        <f t="shared" si="19"/>
        <v>7.7156292570740781E-3</v>
      </c>
      <c r="M163" s="59">
        <f t="shared" si="19"/>
        <v>1.5395290322587211E-2</v>
      </c>
      <c r="N163" s="59">
        <f t="shared" si="19"/>
        <v>1.9618247285254433E-2</v>
      </c>
      <c r="O163" s="62">
        <f t="shared" si="19"/>
        <v>2.336379808455475E-2</v>
      </c>
      <c r="P163" s="54" t="s">
        <v>494</v>
      </c>
      <c r="Q163" s="52" t="s">
        <v>495</v>
      </c>
      <c r="R163" s="93">
        <v>47635</v>
      </c>
      <c r="S163" s="72">
        <v>4.8166630000000002E-2</v>
      </c>
      <c r="T163" s="62">
        <f t="shared" si="20"/>
        <v>4.7520248225872072E-3</v>
      </c>
      <c r="V163" s="113">
        <v>1.11315309</v>
      </c>
      <c r="W163" s="71">
        <v>2.8524130099999998</v>
      </c>
      <c r="X163" s="71">
        <v>4.3494961600000002</v>
      </c>
      <c r="Y163" s="71">
        <v>5.5861937900000003</v>
      </c>
      <c r="Z163" s="114">
        <v>7.0384873099999998</v>
      </c>
      <c r="AB163" s="70">
        <v>3.8111662190429212E-2</v>
      </c>
      <c r="AC163" s="70">
        <v>4.4537843857074079E-2</v>
      </c>
      <c r="AD163" s="70">
        <v>5.2918654822587209E-2</v>
      </c>
      <c r="AE163" s="70">
        <v>5.8228914185254436E-2</v>
      </c>
      <c r="AF163" s="62">
        <v>6.3383626684554745E-2</v>
      </c>
      <c r="AG163" s="70">
        <v>4.4116209042921115E-4</v>
      </c>
      <c r="AH163" s="70">
        <v>7.7156292570740781E-3</v>
      </c>
      <c r="AI163" s="70">
        <v>1.5395290322587211E-2</v>
      </c>
      <c r="AJ163" s="70">
        <v>1.9618247285254433E-2</v>
      </c>
      <c r="AK163" s="62">
        <v>2.336379808455475E-2</v>
      </c>
    </row>
    <row r="164" spans="2:37" x14ac:dyDescent="0.35">
      <c r="B164" s="54" t="s">
        <v>330</v>
      </c>
      <c r="C164" s="52" t="s">
        <v>232</v>
      </c>
      <c r="D164" s="52" t="s">
        <v>97</v>
      </c>
      <c r="E164" s="52" t="s">
        <v>21</v>
      </c>
      <c r="F164" s="72">
        <f t="shared" si="18"/>
        <v>3.886525947473507E-2</v>
      </c>
      <c r="G164" s="59">
        <f t="shared" si="18"/>
        <v>4.4684462997743805E-2</v>
      </c>
      <c r="H164" s="59">
        <f t="shared" si="18"/>
        <v>5.2867100856644415E-2</v>
      </c>
      <c r="I164" s="59">
        <f t="shared" si="18"/>
        <v>5.7284273188281234E-2</v>
      </c>
      <c r="J164" s="62">
        <f t="shared" si="18"/>
        <v>6.0672317757743531E-2</v>
      </c>
      <c r="K164" s="59">
        <f t="shared" si="19"/>
        <v>1.1550408747350712E-3</v>
      </c>
      <c r="L164" s="59">
        <f t="shared" si="19"/>
        <v>7.8509107977438059E-3</v>
      </c>
      <c r="M164" s="59">
        <f t="shared" si="19"/>
        <v>1.534239365664441E-2</v>
      </c>
      <c r="N164" s="59">
        <f t="shared" si="19"/>
        <v>1.8726003288281244E-2</v>
      </c>
      <c r="O164" s="62">
        <f t="shared" si="19"/>
        <v>2.0808665057743553E-2</v>
      </c>
      <c r="P164" s="54" t="s">
        <v>381</v>
      </c>
      <c r="Q164" s="52" t="s">
        <v>382</v>
      </c>
      <c r="R164" s="93">
        <v>47497</v>
      </c>
      <c r="S164" s="72">
        <v>4.708296E-2</v>
      </c>
      <c r="T164" s="62">
        <f t="shared" si="20"/>
        <v>5.7841408566444152E-3</v>
      </c>
      <c r="V164" s="113">
        <v>1.1117914600000001</v>
      </c>
      <c r="W164" s="71">
        <v>2.84846457</v>
      </c>
      <c r="X164" s="71">
        <v>4.3459210499999994</v>
      </c>
      <c r="Y164" s="71">
        <v>5.5947736199999998</v>
      </c>
      <c r="Z164" s="114">
        <v>7.1082617099999998</v>
      </c>
      <c r="AB164" s="70">
        <v>3.886525947473507E-2</v>
      </c>
      <c r="AC164" s="70">
        <v>4.4684462997743805E-2</v>
      </c>
      <c r="AD164" s="70">
        <v>5.2867100856644415E-2</v>
      </c>
      <c r="AE164" s="70">
        <v>5.7284273188281234E-2</v>
      </c>
      <c r="AF164" s="62">
        <v>6.0672317757743531E-2</v>
      </c>
      <c r="AG164" s="70">
        <v>1.1550408747350712E-3</v>
      </c>
      <c r="AH164" s="70">
        <v>7.8509107977438059E-3</v>
      </c>
      <c r="AI164" s="70">
        <v>1.534239365664441E-2</v>
      </c>
      <c r="AJ164" s="70">
        <v>1.8726003288281244E-2</v>
      </c>
      <c r="AK164" s="62">
        <v>2.0808665057743553E-2</v>
      </c>
    </row>
    <row r="165" spans="2:37" x14ac:dyDescent="0.35">
      <c r="B165" s="54" t="s">
        <v>121</v>
      </c>
      <c r="C165" s="52" t="s">
        <v>232</v>
      </c>
      <c r="D165" s="52" t="s">
        <v>69</v>
      </c>
      <c r="E165" s="52" t="s">
        <v>21</v>
      </c>
      <c r="F165" s="72">
        <f t="shared" si="18"/>
        <v>3.7653016010568821E-2</v>
      </c>
      <c r="G165" s="59">
        <f t="shared" si="18"/>
        <v>4.4068594775341627E-2</v>
      </c>
      <c r="H165" s="59">
        <f t="shared" si="18"/>
        <v>5.2666449762936565E-2</v>
      </c>
      <c r="I165" s="59">
        <f t="shared" si="18"/>
        <v>5.9065946113748775E-2</v>
      </c>
      <c r="J165" s="62">
        <f t="shared" si="18"/>
        <v>6.3751017098732279E-2</v>
      </c>
      <c r="K165" s="59" t="str">
        <f t="shared" si="19"/>
        <v/>
      </c>
      <c r="L165" s="59">
        <f t="shared" si="19"/>
        <v>7.2650053753416308E-3</v>
      </c>
      <c r="M165" s="59">
        <f t="shared" si="19"/>
        <v>1.5154305462936567E-2</v>
      </c>
      <c r="N165" s="59">
        <f t="shared" si="19"/>
        <v>2.0400419413748778E-2</v>
      </c>
      <c r="O165" s="62">
        <f t="shared" si="19"/>
        <v>2.3713575098732287E-2</v>
      </c>
      <c r="P165" s="54" t="s">
        <v>21</v>
      </c>
      <c r="Q165" s="52" t="s">
        <v>21</v>
      </c>
      <c r="R165" s="93" t="s">
        <v>21</v>
      </c>
      <c r="S165" s="72" t="s">
        <v>21</v>
      </c>
      <c r="T165" s="62" t="str">
        <f t="shared" si="20"/>
        <v/>
      </c>
      <c r="V165" s="113">
        <v>1.1140644900000001</v>
      </c>
      <c r="W165" s="71">
        <v>2.8552433700000002</v>
      </c>
      <c r="X165" s="71">
        <v>4.3557492800000004</v>
      </c>
      <c r="Y165" s="71">
        <v>5.5816835899999999</v>
      </c>
      <c r="Z165" s="114">
        <v>7.0204519500000009</v>
      </c>
      <c r="AB165" s="70">
        <v>3.7653016010568821E-2</v>
      </c>
      <c r="AC165" s="70">
        <v>4.4068594775341627E-2</v>
      </c>
      <c r="AD165" s="70">
        <v>5.2666449762936565E-2</v>
      </c>
      <c r="AE165" s="70">
        <v>5.9065946113748775E-2</v>
      </c>
      <c r="AF165" s="62">
        <v>6.3751017098732279E-2</v>
      </c>
      <c r="AG165" s="70" t="s">
        <v>21</v>
      </c>
      <c r="AH165" s="70">
        <v>7.2650053753416308E-3</v>
      </c>
      <c r="AI165" s="70">
        <v>1.5154305462936567E-2</v>
      </c>
      <c r="AJ165" s="70">
        <v>2.0400419413748778E-2</v>
      </c>
      <c r="AK165" s="62">
        <v>2.3713575098732287E-2</v>
      </c>
    </row>
    <row r="166" spans="2:37" x14ac:dyDescent="0.35">
      <c r="B166" s="54" t="s">
        <v>328</v>
      </c>
      <c r="C166" s="52" t="s">
        <v>232</v>
      </c>
      <c r="D166" s="52" t="s">
        <v>31</v>
      </c>
      <c r="E166" s="52" t="s">
        <v>133</v>
      </c>
      <c r="F166" s="72">
        <f t="shared" si="18"/>
        <v>3.8064998202802632E-2</v>
      </c>
      <c r="G166" s="59">
        <f t="shared" si="18"/>
        <v>4.4787963773779568E-2</v>
      </c>
      <c r="H166" s="59">
        <f t="shared" si="18"/>
        <v>5.2569527194264096E-2</v>
      </c>
      <c r="I166" s="59">
        <f t="shared" si="18"/>
        <v>5.7362392077912938E-2</v>
      </c>
      <c r="J166" s="62">
        <f t="shared" si="18"/>
        <v>6.1817894957717286E-2</v>
      </c>
      <c r="K166" s="59">
        <f t="shared" si="19"/>
        <v>3.878719028026353E-4</v>
      </c>
      <c r="L166" s="59">
        <f t="shared" si="19"/>
        <v>7.948829873779574E-3</v>
      </c>
      <c r="M166" s="59">
        <f t="shared" si="19"/>
        <v>1.5060884894264093E-2</v>
      </c>
      <c r="N166" s="59">
        <f t="shared" si="19"/>
        <v>1.8798336977912944E-2</v>
      </c>
      <c r="O166" s="62">
        <f t="shared" si="19"/>
        <v>2.1883795257717283E-2</v>
      </c>
      <c r="P166" s="54" t="s">
        <v>21</v>
      </c>
      <c r="Q166" s="52" t="s">
        <v>21</v>
      </c>
      <c r="R166" s="93" t="s">
        <v>21</v>
      </c>
      <c r="S166" s="72" t="s">
        <v>21</v>
      </c>
      <c r="T166" s="62" t="str">
        <f t="shared" si="20"/>
        <v/>
      </c>
      <c r="V166" s="113">
        <v>1.1132933899999999</v>
      </c>
      <c r="W166" s="71">
        <v>2.8494131</v>
      </c>
      <c r="X166" s="71">
        <v>4.3494807500000006</v>
      </c>
      <c r="Y166" s="71">
        <v>5.5979218700000004</v>
      </c>
      <c r="Z166" s="114">
        <v>7.0856809600000004</v>
      </c>
      <c r="AB166" s="70">
        <v>3.8064998202802632E-2</v>
      </c>
      <c r="AC166" s="70">
        <v>4.4787963773779568E-2</v>
      </c>
      <c r="AD166" s="70">
        <v>5.2569527194264096E-2</v>
      </c>
      <c r="AE166" s="70">
        <v>5.7362392077912938E-2</v>
      </c>
      <c r="AF166" s="62">
        <v>6.1817894957717286E-2</v>
      </c>
      <c r="AG166" s="70">
        <v>3.878719028026353E-4</v>
      </c>
      <c r="AH166" s="70">
        <v>7.948829873779574E-3</v>
      </c>
      <c r="AI166" s="70">
        <v>1.5060884894264093E-2</v>
      </c>
      <c r="AJ166" s="70">
        <v>1.8798336977912944E-2</v>
      </c>
      <c r="AK166" s="62">
        <v>2.1883795257717283E-2</v>
      </c>
    </row>
    <row r="167" spans="2:37" x14ac:dyDescent="0.35">
      <c r="B167" s="54" t="s">
        <v>331</v>
      </c>
      <c r="C167" s="52" t="s">
        <v>232</v>
      </c>
      <c r="D167" s="52" t="s">
        <v>20</v>
      </c>
      <c r="E167" s="52" t="s">
        <v>236</v>
      </c>
      <c r="F167" s="72">
        <f t="shared" si="18"/>
        <v>3.8445483176279376E-2</v>
      </c>
      <c r="G167" s="59">
        <f t="shared" si="18"/>
        <v>4.5087574476704799E-2</v>
      </c>
      <c r="H167" s="59">
        <f t="shared" si="18"/>
        <v>5.3398404449188849E-2</v>
      </c>
      <c r="I167" s="59">
        <f t="shared" si="18"/>
        <v>5.8163749997332696E-2</v>
      </c>
      <c r="J167" s="62">
        <f t="shared" si="18"/>
        <v>6.1854260568671632E-2</v>
      </c>
      <c r="K167" s="59">
        <f t="shared" si="19"/>
        <v>7.7224067627938014E-4</v>
      </c>
      <c r="L167" s="59">
        <f t="shared" si="19"/>
        <v>8.2580594767047988E-3</v>
      </c>
      <c r="M167" s="59">
        <f t="shared" si="19"/>
        <v>1.5871857249188843E-2</v>
      </c>
      <c r="N167" s="59">
        <f t="shared" si="19"/>
        <v>1.9583539397332685E-2</v>
      </c>
      <c r="O167" s="62">
        <f t="shared" si="19"/>
        <v>2.1954331268671606E-2</v>
      </c>
      <c r="P167" s="54" t="s">
        <v>21</v>
      </c>
      <c r="Q167" s="52" t="s">
        <v>21</v>
      </c>
      <c r="R167" s="93" t="s">
        <v>21</v>
      </c>
      <c r="S167" s="72" t="s">
        <v>21</v>
      </c>
      <c r="T167" s="62" t="str">
        <f t="shared" si="20"/>
        <v/>
      </c>
      <c r="V167" s="113">
        <v>1.1135256200000001</v>
      </c>
      <c r="W167" s="71">
        <v>2.8516423400000002</v>
      </c>
      <c r="X167" s="71">
        <v>4.3487617399999996</v>
      </c>
      <c r="Y167" s="71">
        <v>5.5905637600000002</v>
      </c>
      <c r="Z167" s="114">
        <v>7.0852045000000006</v>
      </c>
      <c r="AB167" s="70">
        <v>3.8445483176279376E-2</v>
      </c>
      <c r="AC167" s="70">
        <v>4.5087574476704799E-2</v>
      </c>
      <c r="AD167" s="70">
        <v>5.3398404449188849E-2</v>
      </c>
      <c r="AE167" s="70">
        <v>5.8163749997332696E-2</v>
      </c>
      <c r="AF167" s="62">
        <v>6.1854260568671632E-2</v>
      </c>
      <c r="AG167" s="70">
        <v>7.7224067627938014E-4</v>
      </c>
      <c r="AH167" s="70">
        <v>8.2580594767047988E-3</v>
      </c>
      <c r="AI167" s="70">
        <v>1.5871857249188843E-2</v>
      </c>
      <c r="AJ167" s="70">
        <v>1.9583539397332685E-2</v>
      </c>
      <c r="AK167" s="62">
        <v>2.1954331268671606E-2</v>
      </c>
    </row>
    <row r="168" spans="2:37" x14ac:dyDescent="0.35">
      <c r="B168" s="54" t="s">
        <v>331</v>
      </c>
      <c r="C168" s="52" t="s">
        <v>232</v>
      </c>
      <c r="D168" s="52" t="s">
        <v>20</v>
      </c>
      <c r="E168" s="52" t="s">
        <v>21</v>
      </c>
      <c r="F168" s="72">
        <f t="shared" si="18"/>
        <v>3.8445483176279376E-2</v>
      </c>
      <c r="G168" s="59">
        <f t="shared" si="18"/>
        <v>4.5087574476704799E-2</v>
      </c>
      <c r="H168" s="59">
        <f t="shared" si="18"/>
        <v>5.3398404449188849E-2</v>
      </c>
      <c r="I168" s="59">
        <f t="shared" si="18"/>
        <v>5.8163749997332696E-2</v>
      </c>
      <c r="J168" s="62">
        <f t="shared" si="18"/>
        <v>6.1854260568671632E-2</v>
      </c>
      <c r="K168" s="59">
        <f t="shared" si="19"/>
        <v>7.7224067627938014E-4</v>
      </c>
      <c r="L168" s="59">
        <f t="shared" si="19"/>
        <v>8.2580594767047988E-3</v>
      </c>
      <c r="M168" s="59">
        <f t="shared" si="19"/>
        <v>1.5871857249188843E-2</v>
      </c>
      <c r="N168" s="59">
        <f t="shared" si="19"/>
        <v>1.9583539397332685E-2</v>
      </c>
      <c r="O168" s="62">
        <f t="shared" si="19"/>
        <v>2.1954331268671606E-2</v>
      </c>
      <c r="P168" s="54" t="s">
        <v>21</v>
      </c>
      <c r="Q168" s="52" t="s">
        <v>21</v>
      </c>
      <c r="R168" s="93" t="s">
        <v>21</v>
      </c>
      <c r="S168" s="72" t="s">
        <v>21</v>
      </c>
      <c r="T168" s="62" t="str">
        <f t="shared" si="20"/>
        <v/>
      </c>
      <c r="V168" s="113">
        <v>1.1135256200000001</v>
      </c>
      <c r="W168" s="71">
        <v>2.8516423400000002</v>
      </c>
      <c r="X168" s="71">
        <v>4.3487617399999996</v>
      </c>
      <c r="Y168" s="71">
        <v>5.5905637600000002</v>
      </c>
      <c r="Z168" s="114">
        <v>7.0852045000000006</v>
      </c>
      <c r="AB168" s="70">
        <v>3.8445483176279376E-2</v>
      </c>
      <c r="AC168" s="70">
        <v>4.5087574476704799E-2</v>
      </c>
      <c r="AD168" s="70">
        <v>5.3398404449188849E-2</v>
      </c>
      <c r="AE168" s="70">
        <v>5.8163749997332696E-2</v>
      </c>
      <c r="AF168" s="62">
        <v>6.1854260568671632E-2</v>
      </c>
      <c r="AG168" s="70">
        <v>7.7224067627938014E-4</v>
      </c>
      <c r="AH168" s="70">
        <v>8.2580594767047988E-3</v>
      </c>
      <c r="AI168" s="70">
        <v>1.5871857249188843E-2</v>
      </c>
      <c r="AJ168" s="70">
        <v>1.9583539397332685E-2</v>
      </c>
      <c r="AK168" s="62">
        <v>2.1954331268671606E-2</v>
      </c>
    </row>
    <row r="169" spans="2:37" x14ac:dyDescent="0.35">
      <c r="B169" s="54" t="s">
        <v>327</v>
      </c>
      <c r="C169" s="52" t="s">
        <v>232</v>
      </c>
      <c r="D169" s="52" t="s">
        <v>43</v>
      </c>
      <c r="E169" s="52" t="s">
        <v>21</v>
      </c>
      <c r="F169" s="72">
        <f t="shared" si="18"/>
        <v>3.7916350383134415E-2</v>
      </c>
      <c r="G169" s="59">
        <f t="shared" si="18"/>
        <v>4.4314026938342327E-2</v>
      </c>
      <c r="H169" s="59">
        <f t="shared" si="18"/>
        <v>5.1981817236434802E-2</v>
      </c>
      <c r="I169" s="59">
        <f t="shared" si="18"/>
        <v>5.7114310373672053E-2</v>
      </c>
      <c r="J169" s="62">
        <f t="shared" si="18"/>
        <v>6.1724976107850972E-2</v>
      </c>
      <c r="K169" s="59">
        <f t="shared" si="19"/>
        <v>2.4543698313441581E-4</v>
      </c>
      <c r="L169" s="59">
        <f t="shared" si="19"/>
        <v>7.4984054383423291E-3</v>
      </c>
      <c r="M169" s="59">
        <f t="shared" si="19"/>
        <v>1.4506305336434806E-2</v>
      </c>
      <c r="N169" s="59">
        <f t="shared" si="19"/>
        <v>1.8568405573672071E-2</v>
      </c>
      <c r="O169" s="62">
        <f t="shared" si="19"/>
        <v>2.1801224807850978E-2</v>
      </c>
      <c r="P169" s="54" t="s">
        <v>21</v>
      </c>
      <c r="Q169" s="52" t="s">
        <v>21</v>
      </c>
      <c r="R169" s="93" t="s">
        <v>21</v>
      </c>
      <c r="S169" s="72" t="s">
        <v>21</v>
      </c>
      <c r="T169" s="62" t="str">
        <f t="shared" si="20"/>
        <v/>
      </c>
      <c r="V169" s="113">
        <v>1.1135718100000001</v>
      </c>
      <c r="W169" s="71">
        <v>2.8528795599999999</v>
      </c>
      <c r="X169" s="71">
        <v>4.3596958199999998</v>
      </c>
      <c r="Y169" s="71">
        <v>5.6127021399999997</v>
      </c>
      <c r="Z169" s="114">
        <v>7.1032458000000007</v>
      </c>
      <c r="AB169" s="70">
        <v>3.7916350383134415E-2</v>
      </c>
      <c r="AC169" s="70">
        <v>4.4314026938342327E-2</v>
      </c>
      <c r="AD169" s="70">
        <v>5.1981817236434802E-2</v>
      </c>
      <c r="AE169" s="70">
        <v>5.7114310373672053E-2</v>
      </c>
      <c r="AF169" s="62">
        <v>6.1724976107850972E-2</v>
      </c>
      <c r="AG169" s="70">
        <v>2.4543698313441581E-4</v>
      </c>
      <c r="AH169" s="70">
        <v>7.4984054383423291E-3</v>
      </c>
      <c r="AI169" s="70">
        <v>1.4506305336434806E-2</v>
      </c>
      <c r="AJ169" s="70">
        <v>1.8568405573672071E-2</v>
      </c>
      <c r="AK169" s="62">
        <v>2.1801224807850978E-2</v>
      </c>
    </row>
    <row r="170" spans="2:37" x14ac:dyDescent="0.35">
      <c r="B170" s="54" t="s">
        <v>235</v>
      </c>
      <c r="C170" s="52" t="s">
        <v>232</v>
      </c>
      <c r="D170" s="52" t="s">
        <v>31</v>
      </c>
      <c r="E170" s="52" t="s">
        <v>142</v>
      </c>
      <c r="F170" s="72">
        <f t="shared" si="18"/>
        <v>3.7614484185259936E-2</v>
      </c>
      <c r="G170" s="59">
        <f t="shared" si="18"/>
        <v>4.4265991968790878E-2</v>
      </c>
      <c r="H170" s="59">
        <f t="shared" si="18"/>
        <v>5.1838768229492758E-2</v>
      </c>
      <c r="I170" s="59">
        <f t="shared" si="18"/>
        <v>5.7203012832816265E-2</v>
      </c>
      <c r="J170" s="62">
        <f t="shared" si="18"/>
        <v>6.2361347649972115E-2</v>
      </c>
      <c r="K170" s="59" t="str">
        <f t="shared" si="19"/>
        <v/>
      </c>
      <c r="L170" s="59">
        <f t="shared" si="19"/>
        <v>7.4502422687908821E-3</v>
      </c>
      <c r="M170" s="59">
        <f t="shared" si="19"/>
        <v>1.4368682529492752E-2</v>
      </c>
      <c r="N170" s="59">
        <f t="shared" si="19"/>
        <v>1.8647303032816268E-2</v>
      </c>
      <c r="O170" s="62">
        <f t="shared" si="19"/>
        <v>2.2394058249972117E-2</v>
      </c>
      <c r="P170" s="54" t="s">
        <v>21</v>
      </c>
      <c r="Q170" s="52" t="s">
        <v>21</v>
      </c>
      <c r="R170" s="93" t="s">
        <v>21</v>
      </c>
      <c r="S170" s="72" t="s">
        <v>21</v>
      </c>
      <c r="T170" s="62" t="str">
        <f t="shared" si="20"/>
        <v/>
      </c>
      <c r="V170" s="113">
        <v>1.1141715999999999</v>
      </c>
      <c r="W170" s="71">
        <v>2.8545409500000001</v>
      </c>
      <c r="X170" s="71">
        <v>4.3625151100000004</v>
      </c>
      <c r="Y170" s="71">
        <v>5.6136981800000001</v>
      </c>
      <c r="Z170" s="114">
        <v>7.0874922199999997</v>
      </c>
      <c r="AB170" s="70">
        <v>3.7614484185259936E-2</v>
      </c>
      <c r="AC170" s="70">
        <v>4.4265991968790878E-2</v>
      </c>
      <c r="AD170" s="70">
        <v>5.1838768229492758E-2</v>
      </c>
      <c r="AE170" s="70">
        <v>5.7203012832816265E-2</v>
      </c>
      <c r="AF170" s="62">
        <v>6.2361347649972115E-2</v>
      </c>
      <c r="AG170" s="70" t="s">
        <v>21</v>
      </c>
      <c r="AH170" s="70">
        <v>7.4502422687908821E-3</v>
      </c>
      <c r="AI170" s="70">
        <v>1.4368682529492752E-2</v>
      </c>
      <c r="AJ170" s="70">
        <v>1.8647303032816268E-2</v>
      </c>
      <c r="AK170" s="62">
        <v>2.2394058249972117E-2</v>
      </c>
    </row>
    <row r="171" spans="2:37" x14ac:dyDescent="0.35">
      <c r="B171" s="54" t="s">
        <v>240</v>
      </c>
      <c r="C171" s="52" t="s">
        <v>232</v>
      </c>
      <c r="D171" s="52" t="s">
        <v>20</v>
      </c>
      <c r="E171" s="52" t="s">
        <v>21</v>
      </c>
      <c r="F171" s="72">
        <f t="shared" si="18"/>
        <v>3.7822597349866038E-2</v>
      </c>
      <c r="G171" s="59">
        <f t="shared" si="18"/>
        <v>4.410778990652086E-2</v>
      </c>
      <c r="H171" s="59">
        <f t="shared" si="18"/>
        <v>5.2643473762031476E-2</v>
      </c>
      <c r="I171" s="59">
        <f t="shared" si="18"/>
        <v>5.6902067975797006E-2</v>
      </c>
      <c r="J171" s="62">
        <f t="shared" si="18"/>
        <v>6.09610055343578E-2</v>
      </c>
      <c r="K171" s="59">
        <f t="shared" si="19"/>
        <v>1.7835144986604046E-4</v>
      </c>
      <c r="L171" s="59">
        <f t="shared" si="19"/>
        <v>7.3272341065208618E-3</v>
      </c>
      <c r="M171" s="59">
        <f t="shared" si="19"/>
        <v>1.5160198662031471E-2</v>
      </c>
      <c r="N171" s="59">
        <f t="shared" si="19"/>
        <v>1.8400870975797005E-2</v>
      </c>
      <c r="O171" s="62">
        <f t="shared" si="19"/>
        <v>2.1113398934357815E-2</v>
      </c>
      <c r="P171" s="54" t="s">
        <v>21</v>
      </c>
      <c r="Q171" s="52" t="s">
        <v>21</v>
      </c>
      <c r="R171" s="93" t="s">
        <v>21</v>
      </c>
      <c r="S171" s="72" t="s">
        <v>21</v>
      </c>
      <c r="T171" s="62" t="str">
        <f t="shared" si="20"/>
        <v/>
      </c>
      <c r="V171" s="113">
        <v>1.1146700599999999</v>
      </c>
      <c r="W171" s="71">
        <v>2.8596022900000002</v>
      </c>
      <c r="X171" s="71">
        <v>4.36667556</v>
      </c>
      <c r="Y171" s="71">
        <v>5.6253061600000001</v>
      </c>
      <c r="Z171" s="114">
        <v>7.1412556599999997</v>
      </c>
      <c r="AB171" s="70">
        <v>3.7822597349866038E-2</v>
      </c>
      <c r="AC171" s="70">
        <v>4.410778990652086E-2</v>
      </c>
      <c r="AD171" s="70">
        <v>5.2643473762031476E-2</v>
      </c>
      <c r="AE171" s="70">
        <v>5.6902067975797006E-2</v>
      </c>
      <c r="AF171" s="62">
        <v>6.09610055343578E-2</v>
      </c>
      <c r="AG171" s="70">
        <v>1.7835144986604046E-4</v>
      </c>
      <c r="AH171" s="70">
        <v>7.3272341065208618E-3</v>
      </c>
      <c r="AI171" s="70">
        <v>1.5160198662031471E-2</v>
      </c>
      <c r="AJ171" s="70">
        <v>1.8400870975797005E-2</v>
      </c>
      <c r="AK171" s="62">
        <v>2.1113398934357815E-2</v>
      </c>
    </row>
    <row r="172" spans="2:37" x14ac:dyDescent="0.35">
      <c r="B172" s="54" t="s">
        <v>237</v>
      </c>
      <c r="C172" s="52" t="s">
        <v>232</v>
      </c>
      <c r="D172" s="52" t="s">
        <v>43</v>
      </c>
      <c r="E172" s="52" t="s">
        <v>110</v>
      </c>
      <c r="F172" s="72">
        <f t="shared" si="18"/>
        <v>3.750375142489102E-2</v>
      </c>
      <c r="G172" s="59">
        <f t="shared" si="18"/>
        <v>4.3929432288039839E-2</v>
      </c>
      <c r="H172" s="59">
        <f t="shared" si="18"/>
        <v>5.162041293992127E-2</v>
      </c>
      <c r="I172" s="59">
        <f t="shared" si="18"/>
        <v>5.6618173306619196E-2</v>
      </c>
      <c r="J172" s="62">
        <f t="shared" si="18"/>
        <v>6.0885924316702061E-2</v>
      </c>
      <c r="K172" s="59" t="str">
        <f t="shared" si="19"/>
        <v/>
      </c>
      <c r="L172" s="59">
        <f t="shared" si="19"/>
        <v>7.1321001880398464E-3</v>
      </c>
      <c r="M172" s="59">
        <f t="shared" si="19"/>
        <v>1.416383703992127E-2</v>
      </c>
      <c r="N172" s="59">
        <f t="shared" si="19"/>
        <v>1.810011750661919E-2</v>
      </c>
      <c r="O172" s="62">
        <f t="shared" si="19"/>
        <v>2.1009354716702074E-2</v>
      </c>
      <c r="P172" s="54" t="s">
        <v>21</v>
      </c>
      <c r="Q172" s="52" t="s">
        <v>21</v>
      </c>
      <c r="R172" s="93" t="s">
        <v>21</v>
      </c>
      <c r="S172" s="72" t="s">
        <v>21</v>
      </c>
      <c r="T172" s="62" t="str">
        <f t="shared" si="20"/>
        <v/>
      </c>
      <c r="V172" s="113">
        <v>1.1143481</v>
      </c>
      <c r="W172" s="71">
        <v>2.85651996</v>
      </c>
      <c r="X172" s="71">
        <v>4.3672269100000003</v>
      </c>
      <c r="Y172" s="71">
        <v>5.6261282100000001</v>
      </c>
      <c r="Z172" s="114">
        <v>7.1335941400000005</v>
      </c>
      <c r="AB172" s="70">
        <v>3.750375142489102E-2</v>
      </c>
      <c r="AC172" s="70">
        <v>4.3929432288039839E-2</v>
      </c>
      <c r="AD172" s="70">
        <v>5.162041293992127E-2</v>
      </c>
      <c r="AE172" s="70">
        <v>5.6618173306619196E-2</v>
      </c>
      <c r="AF172" s="62">
        <v>6.0885924316702061E-2</v>
      </c>
      <c r="AG172" s="70" t="s">
        <v>21</v>
      </c>
      <c r="AH172" s="70">
        <v>7.1321001880398464E-3</v>
      </c>
      <c r="AI172" s="70">
        <v>1.416383703992127E-2</v>
      </c>
      <c r="AJ172" s="70">
        <v>1.810011750661919E-2</v>
      </c>
      <c r="AK172" s="62">
        <v>2.1009354716702074E-2</v>
      </c>
    </row>
    <row r="173" spans="2:37" x14ac:dyDescent="0.35">
      <c r="B173" s="54" t="s">
        <v>329</v>
      </c>
      <c r="C173" s="52" t="s">
        <v>232</v>
      </c>
      <c r="D173" s="52" t="s">
        <v>62</v>
      </c>
      <c r="E173" s="52" t="s">
        <v>21</v>
      </c>
      <c r="F173" s="72">
        <f t="shared" si="18"/>
        <v>3.781416726539534E-2</v>
      </c>
      <c r="G173" s="59">
        <f t="shared" si="18"/>
        <v>4.384795828332963E-2</v>
      </c>
      <c r="H173" s="59">
        <f t="shared" si="18"/>
        <v>5.146764732891447E-2</v>
      </c>
      <c r="I173" s="59">
        <f t="shared" si="18"/>
        <v>5.6095321920858733E-2</v>
      </c>
      <c r="J173" s="62">
        <f t="shared" si="18"/>
        <v>6.087740684830472E-2</v>
      </c>
      <c r="K173" s="59">
        <f t="shared" si="19"/>
        <v>1.4627636539534059E-4</v>
      </c>
      <c r="L173" s="59">
        <f t="shared" si="19"/>
        <v>7.0541067833296261E-3</v>
      </c>
      <c r="M173" s="59">
        <f t="shared" si="19"/>
        <v>1.401885542891447E-2</v>
      </c>
      <c r="N173" s="59">
        <f t="shared" si="19"/>
        <v>1.7606333720858736E-2</v>
      </c>
      <c r="O173" s="62">
        <f t="shared" si="19"/>
        <v>2.1009571248304711E-2</v>
      </c>
      <c r="P173" s="54" t="s">
        <v>21</v>
      </c>
      <c r="Q173" s="52" t="s">
        <v>21</v>
      </c>
      <c r="R173" s="93" t="s">
        <v>21</v>
      </c>
      <c r="S173" s="72" t="s">
        <v>21</v>
      </c>
      <c r="T173" s="62" t="str">
        <f t="shared" si="20"/>
        <v/>
      </c>
      <c r="V173" s="113">
        <v>1.11377093</v>
      </c>
      <c r="W173" s="71">
        <v>2.8560195500000001</v>
      </c>
      <c r="X173" s="71">
        <v>4.3684750299999999</v>
      </c>
      <c r="Y173" s="71">
        <v>5.6345908500000004</v>
      </c>
      <c r="Z173" s="114">
        <v>7.1240908100000002</v>
      </c>
      <c r="AB173" s="70">
        <v>3.781416726539534E-2</v>
      </c>
      <c r="AC173" s="70">
        <v>4.384795828332963E-2</v>
      </c>
      <c r="AD173" s="70">
        <v>5.146764732891447E-2</v>
      </c>
      <c r="AE173" s="70">
        <v>5.6095321920858733E-2</v>
      </c>
      <c r="AF173" s="62">
        <v>6.087740684830472E-2</v>
      </c>
      <c r="AG173" s="70">
        <v>1.4627636539534059E-4</v>
      </c>
      <c r="AH173" s="70">
        <v>7.0541067833296261E-3</v>
      </c>
      <c r="AI173" s="70">
        <v>1.401885542891447E-2</v>
      </c>
      <c r="AJ173" s="70">
        <v>1.7606333720858736E-2</v>
      </c>
      <c r="AK173" s="62">
        <v>2.1009571248304711E-2</v>
      </c>
    </row>
    <row r="174" spans="2:37" x14ac:dyDescent="0.35">
      <c r="B174" s="54" t="s">
        <v>374</v>
      </c>
      <c r="C174" s="52" t="s">
        <v>232</v>
      </c>
      <c r="D174" s="52" t="s">
        <v>20</v>
      </c>
      <c r="E174" s="52" t="s">
        <v>21</v>
      </c>
      <c r="F174" s="72">
        <f t="shared" ref="F174:J224" si="21">IF(ISNUMBER(AB174),AB174-((C$4-C$3)/V174),"")</f>
        <v>3.680084617184208E-2</v>
      </c>
      <c r="G174" s="59">
        <f t="shared" si="21"/>
        <v>4.0730111900326257E-2</v>
      </c>
      <c r="H174" s="59">
        <f t="shared" si="21"/>
        <v>4.5462948906494362E-2</v>
      </c>
      <c r="I174" s="59">
        <f t="shared" si="21"/>
        <v>4.8364549204962089E-2</v>
      </c>
      <c r="J174" s="62">
        <f t="shared" si="21"/>
        <v>5.0934808388200699E-2</v>
      </c>
      <c r="K174" s="59" t="str">
        <f t="shared" ref="K174:O224" si="22">IF(ISNUMBER(AG174),IF(AG174-((C$4-C$3)/V174)&lt;0,"",AG174-((C$4-C$3)/V174)),"")</f>
        <v/>
      </c>
      <c r="L174" s="59">
        <f t="shared" si="22"/>
        <v>4.1006966003262549E-3</v>
      </c>
      <c r="M174" s="59">
        <f t="shared" si="22"/>
        <v>8.3291119064943641E-3</v>
      </c>
      <c r="N174" s="59">
        <f t="shared" si="22"/>
        <v>1.0275251104962085E-2</v>
      </c>
      <c r="O174" s="62">
        <f t="shared" si="22"/>
        <v>1.1529619688200696E-2</v>
      </c>
      <c r="P174" s="54" t="s">
        <v>21</v>
      </c>
      <c r="Q174" s="52" t="s">
        <v>21</v>
      </c>
      <c r="R174" s="93" t="s">
        <v>21</v>
      </c>
      <c r="S174" s="72" t="s">
        <v>21</v>
      </c>
      <c r="T174" s="62" t="str">
        <f t="shared" si="20"/>
        <v/>
      </c>
      <c r="V174" s="113">
        <v>1.11659277</v>
      </c>
      <c r="W174" s="71">
        <v>2.8832853900000002</v>
      </c>
      <c r="X174" s="71">
        <v>4.4669062000000004</v>
      </c>
      <c r="Y174" s="71">
        <v>5.8543816899999994</v>
      </c>
      <c r="Z174" s="114">
        <v>7.6241325799999995</v>
      </c>
      <c r="AB174" s="70">
        <v>3.680084617184208E-2</v>
      </c>
      <c r="AC174" s="70">
        <v>4.0730111900326257E-2</v>
      </c>
      <c r="AD174" s="70">
        <v>4.5462948906494362E-2</v>
      </c>
      <c r="AE174" s="70">
        <v>4.8364549204962089E-2</v>
      </c>
      <c r="AF174" s="62">
        <v>5.0934808388200699E-2</v>
      </c>
      <c r="AG174" s="70" t="s">
        <v>21</v>
      </c>
      <c r="AH174" s="70">
        <v>4.1006966003262549E-3</v>
      </c>
      <c r="AI174" s="70">
        <v>8.3291119064943641E-3</v>
      </c>
      <c r="AJ174" s="70">
        <v>1.0275251104962085E-2</v>
      </c>
      <c r="AK174" s="62">
        <v>1.1529619688200696E-2</v>
      </c>
    </row>
    <row r="175" spans="2:37" x14ac:dyDescent="0.35">
      <c r="B175" s="54" t="s">
        <v>337</v>
      </c>
      <c r="C175" s="52" t="s">
        <v>232</v>
      </c>
      <c r="D175" s="52" t="s">
        <v>31</v>
      </c>
      <c r="E175" s="52" t="s">
        <v>81</v>
      </c>
      <c r="F175" s="72">
        <f t="shared" si="21"/>
        <v>3.7577828532896047E-2</v>
      </c>
      <c r="G175" s="59">
        <f t="shared" si="21"/>
        <v>4.3325779473886758E-2</v>
      </c>
      <c r="H175" s="59">
        <f t="shared" si="21"/>
        <v>5.0377793381567004E-2</v>
      </c>
      <c r="I175" s="59">
        <f t="shared" si="21"/>
        <v>5.5214649723762436E-2</v>
      </c>
      <c r="J175" s="62">
        <f t="shared" si="21"/>
        <v>5.9806335201199552E-2</v>
      </c>
      <c r="K175" s="59" t="str">
        <f t="shared" si="22"/>
        <v/>
      </c>
      <c r="L175" s="59">
        <f t="shared" si="22"/>
        <v>6.5590955738867593E-3</v>
      </c>
      <c r="M175" s="59">
        <f t="shared" si="22"/>
        <v>1.2988055881567002E-2</v>
      </c>
      <c r="N175" s="59">
        <f t="shared" si="22"/>
        <v>1.6774581323762437E-2</v>
      </c>
      <c r="O175" s="62">
        <f t="shared" si="22"/>
        <v>1.9989589401199555E-2</v>
      </c>
      <c r="P175" s="54" t="s">
        <v>385</v>
      </c>
      <c r="Q175" s="52" t="s">
        <v>386</v>
      </c>
      <c r="R175" s="93">
        <v>47519</v>
      </c>
      <c r="S175" s="72">
        <v>4.4337939999999999E-2</v>
      </c>
      <c r="T175" s="62">
        <f t="shared" si="20"/>
        <v>6.039853381567005E-3</v>
      </c>
      <c r="V175" s="113">
        <v>1.1141816199999999</v>
      </c>
      <c r="W175" s="71">
        <v>2.8599337899999999</v>
      </c>
      <c r="X175" s="71">
        <v>4.3839540500000007</v>
      </c>
      <c r="Y175" s="71">
        <v>5.6632785700000001</v>
      </c>
      <c r="Z175" s="114">
        <v>7.1975743100000003</v>
      </c>
      <c r="AB175" s="70">
        <v>3.7577828532896047E-2</v>
      </c>
      <c r="AC175" s="70">
        <v>4.3325779473886758E-2</v>
      </c>
      <c r="AD175" s="70">
        <v>5.0377793381567004E-2</v>
      </c>
      <c r="AE175" s="70">
        <v>5.5214649723762436E-2</v>
      </c>
      <c r="AF175" s="62">
        <v>5.9806335201199552E-2</v>
      </c>
      <c r="AG175" s="70" t="s">
        <v>21</v>
      </c>
      <c r="AH175" s="70">
        <v>6.5590955738867593E-3</v>
      </c>
      <c r="AI175" s="70">
        <v>1.2988055881567002E-2</v>
      </c>
      <c r="AJ175" s="70">
        <v>1.6774581323762437E-2</v>
      </c>
      <c r="AK175" s="62">
        <v>1.9989589401199555E-2</v>
      </c>
    </row>
    <row r="176" spans="2:37" x14ac:dyDescent="0.35">
      <c r="B176" s="54" t="s">
        <v>327</v>
      </c>
      <c r="C176" s="52" t="s">
        <v>232</v>
      </c>
      <c r="D176" s="52" t="s">
        <v>43</v>
      </c>
      <c r="E176" s="52" t="s">
        <v>21</v>
      </c>
      <c r="F176" s="72">
        <f t="shared" si="21"/>
        <v>3.7916350383134415E-2</v>
      </c>
      <c r="G176" s="59">
        <f t="shared" si="21"/>
        <v>4.4314026938342327E-2</v>
      </c>
      <c r="H176" s="59">
        <f t="shared" si="21"/>
        <v>5.1981817236434802E-2</v>
      </c>
      <c r="I176" s="59">
        <f t="shared" si="21"/>
        <v>5.7114310373672053E-2</v>
      </c>
      <c r="J176" s="62">
        <f t="shared" si="21"/>
        <v>6.1724976107850972E-2</v>
      </c>
      <c r="K176" s="59">
        <f t="shared" si="22"/>
        <v>2.4543698313441581E-4</v>
      </c>
      <c r="L176" s="59">
        <f t="shared" si="22"/>
        <v>7.4984054383423291E-3</v>
      </c>
      <c r="M176" s="59">
        <f t="shared" si="22"/>
        <v>1.4506305336434806E-2</v>
      </c>
      <c r="N176" s="59">
        <f t="shared" si="22"/>
        <v>1.8568405573672071E-2</v>
      </c>
      <c r="O176" s="62">
        <f t="shared" si="22"/>
        <v>2.1801224807850978E-2</v>
      </c>
      <c r="P176" s="54" t="s">
        <v>21</v>
      </c>
      <c r="Q176" s="52" t="s">
        <v>21</v>
      </c>
      <c r="R176" s="93" t="s">
        <v>21</v>
      </c>
      <c r="S176" s="72" t="s">
        <v>21</v>
      </c>
      <c r="T176" s="62" t="str">
        <f t="shared" si="20"/>
        <v/>
      </c>
      <c r="V176" s="113">
        <v>1.1135718100000001</v>
      </c>
      <c r="W176" s="71">
        <v>2.8528795599999999</v>
      </c>
      <c r="X176" s="71">
        <v>4.3596958199999998</v>
      </c>
      <c r="Y176" s="71">
        <v>5.6127021399999997</v>
      </c>
      <c r="Z176" s="114">
        <v>7.1032458000000007</v>
      </c>
      <c r="AB176" s="70">
        <v>3.7916350383134415E-2</v>
      </c>
      <c r="AC176" s="70">
        <v>4.4314026938342327E-2</v>
      </c>
      <c r="AD176" s="70">
        <v>5.1981817236434802E-2</v>
      </c>
      <c r="AE176" s="70">
        <v>5.7114310373672053E-2</v>
      </c>
      <c r="AF176" s="62">
        <v>6.1724976107850972E-2</v>
      </c>
      <c r="AG176" s="70">
        <v>2.4543698313441581E-4</v>
      </c>
      <c r="AH176" s="70">
        <v>7.4984054383423291E-3</v>
      </c>
      <c r="AI176" s="70">
        <v>1.4506305336434806E-2</v>
      </c>
      <c r="AJ176" s="70">
        <v>1.8568405573672071E-2</v>
      </c>
      <c r="AK176" s="62">
        <v>2.1801224807850978E-2</v>
      </c>
    </row>
    <row r="177" spans="2:37" x14ac:dyDescent="0.35">
      <c r="B177" s="54" t="s">
        <v>341</v>
      </c>
      <c r="C177" s="52" t="s">
        <v>232</v>
      </c>
      <c r="D177" s="52" t="s">
        <v>69</v>
      </c>
      <c r="E177" s="52" t="s">
        <v>21</v>
      </c>
      <c r="F177" s="72">
        <f t="shared" si="21"/>
        <v>3.7289865658094098E-2</v>
      </c>
      <c r="G177" s="59">
        <f t="shared" si="21"/>
        <v>4.3135977954968312E-2</v>
      </c>
      <c r="H177" s="59">
        <f t="shared" si="21"/>
        <v>5.0019408187402498E-2</v>
      </c>
      <c r="I177" s="59">
        <f t="shared" si="21"/>
        <v>5.4012956877316137E-2</v>
      </c>
      <c r="J177" s="62">
        <f t="shared" si="21"/>
        <v>5.8394552976915988E-2</v>
      </c>
      <c r="K177" s="59" t="str">
        <f t="shared" si="22"/>
        <v/>
      </c>
      <c r="L177" s="59">
        <f t="shared" si="22"/>
        <v>6.3741231549683149E-3</v>
      </c>
      <c r="M177" s="59">
        <f t="shared" si="22"/>
        <v>1.26452576874025E-2</v>
      </c>
      <c r="N177" s="59">
        <f t="shared" si="22"/>
        <v>1.5635096977316139E-2</v>
      </c>
      <c r="O177" s="62">
        <f t="shared" si="22"/>
        <v>1.8651995376915982E-2</v>
      </c>
      <c r="P177" s="54" t="s">
        <v>496</v>
      </c>
      <c r="Q177" s="52" t="s">
        <v>497</v>
      </c>
      <c r="R177" s="93" t="s">
        <v>32</v>
      </c>
      <c r="S177" s="72">
        <v>4.722697E-2</v>
      </c>
      <c r="T177" s="62">
        <f t="shared" si="20"/>
        <v>2.7924381874024976E-3</v>
      </c>
      <c r="V177" s="113">
        <v>1.11478108</v>
      </c>
      <c r="W177" s="71">
        <v>2.8621787700000003</v>
      </c>
      <c r="X177" s="71">
        <v>4.3900515799999997</v>
      </c>
      <c r="Y177" s="71">
        <v>5.6858631299999995</v>
      </c>
      <c r="Z177" s="114">
        <v>7.2566356400000007</v>
      </c>
      <c r="AB177" s="70">
        <v>3.7289865658094098E-2</v>
      </c>
      <c r="AC177" s="70">
        <v>4.3135977954968312E-2</v>
      </c>
      <c r="AD177" s="70">
        <v>5.0019408187402498E-2</v>
      </c>
      <c r="AE177" s="70">
        <v>5.4012956877316137E-2</v>
      </c>
      <c r="AF177" s="62">
        <v>5.8394552976915988E-2</v>
      </c>
      <c r="AG177" s="70" t="s">
        <v>21</v>
      </c>
      <c r="AH177" s="70">
        <v>6.3741231549683149E-3</v>
      </c>
      <c r="AI177" s="70">
        <v>1.26452576874025E-2</v>
      </c>
      <c r="AJ177" s="70">
        <v>1.5635096977316139E-2</v>
      </c>
      <c r="AK177" s="62">
        <v>1.8651995376915982E-2</v>
      </c>
    </row>
    <row r="178" spans="2:37" x14ac:dyDescent="0.35">
      <c r="B178" s="54" t="s">
        <v>141</v>
      </c>
      <c r="C178" s="52" t="s">
        <v>232</v>
      </c>
      <c r="D178" s="52" t="s">
        <v>53</v>
      </c>
      <c r="E178" s="52" t="s">
        <v>123</v>
      </c>
      <c r="F178" s="72">
        <f t="shared" si="21"/>
        <v>3.7290498337439075E-2</v>
      </c>
      <c r="G178" s="59">
        <f t="shared" si="21"/>
        <v>4.3181156942288829E-2</v>
      </c>
      <c r="H178" s="59">
        <f t="shared" si="21"/>
        <v>5.0017274633075683E-2</v>
      </c>
      <c r="I178" s="59">
        <f t="shared" si="21"/>
        <v>5.4578676532424042E-2</v>
      </c>
      <c r="J178" s="62">
        <f t="shared" si="21"/>
        <v>5.9422740194792031E-2</v>
      </c>
      <c r="K178" s="59" t="str">
        <f t="shared" si="22"/>
        <v/>
      </c>
      <c r="L178" s="59">
        <f t="shared" si="22"/>
        <v>6.4212306422888315E-3</v>
      </c>
      <c r="M178" s="59">
        <f t="shared" si="22"/>
        <v>1.2646068233075682E-2</v>
      </c>
      <c r="N178" s="59">
        <f t="shared" si="22"/>
        <v>1.6172703232424045E-2</v>
      </c>
      <c r="O178" s="62">
        <f t="shared" si="22"/>
        <v>1.9625321294792039E-2</v>
      </c>
      <c r="P178" s="54" t="s">
        <v>498</v>
      </c>
      <c r="Q178" s="52" t="s">
        <v>499</v>
      </c>
      <c r="R178" s="93" t="s">
        <v>32</v>
      </c>
      <c r="S178" s="72">
        <v>4.8588659999999999E-2</v>
      </c>
      <c r="T178" s="62">
        <f t="shared" si="20"/>
        <v>1.4286146330756838E-3</v>
      </c>
      <c r="V178" s="113">
        <v>1.1147201400000002</v>
      </c>
      <c r="W178" s="71">
        <v>2.8612852099999997</v>
      </c>
      <c r="X178" s="71">
        <v>4.3891041499999996</v>
      </c>
      <c r="Y178" s="71">
        <v>5.6774532899999999</v>
      </c>
      <c r="Z178" s="114">
        <v>7.2225011500000003</v>
      </c>
      <c r="AB178" s="70">
        <v>3.7290498337439075E-2</v>
      </c>
      <c r="AC178" s="70">
        <v>4.3181156942288829E-2</v>
      </c>
      <c r="AD178" s="70">
        <v>5.0017274633075683E-2</v>
      </c>
      <c r="AE178" s="70">
        <v>5.4578676532424042E-2</v>
      </c>
      <c r="AF178" s="62">
        <v>5.9422740194792031E-2</v>
      </c>
      <c r="AG178" s="70" t="s">
        <v>21</v>
      </c>
      <c r="AH178" s="70">
        <v>6.4212306422888315E-3</v>
      </c>
      <c r="AI178" s="70">
        <v>1.2646068233075682E-2</v>
      </c>
      <c r="AJ178" s="70">
        <v>1.6172703232424045E-2</v>
      </c>
      <c r="AK178" s="62">
        <v>1.9625321294792039E-2</v>
      </c>
    </row>
    <row r="179" spans="2:37" x14ac:dyDescent="0.35">
      <c r="B179" s="54" t="s">
        <v>137</v>
      </c>
      <c r="C179" s="52" t="s">
        <v>232</v>
      </c>
      <c r="D179" s="52" t="s">
        <v>20</v>
      </c>
      <c r="E179" s="52" t="s">
        <v>21</v>
      </c>
      <c r="F179" s="72">
        <f t="shared" si="21"/>
        <v>3.9169467408922645E-2</v>
      </c>
      <c r="G179" s="59">
        <f t="shared" si="21"/>
        <v>4.4648471848049022E-2</v>
      </c>
      <c r="H179" s="59">
        <f t="shared" si="21"/>
        <v>5.0910052887724516E-2</v>
      </c>
      <c r="I179" s="59">
        <f t="shared" si="21"/>
        <v>5.440970115094447E-2</v>
      </c>
      <c r="J179" s="62">
        <f t="shared" si="21"/>
        <v>5.7773637378764051E-2</v>
      </c>
      <c r="K179" s="59">
        <f t="shared" si="22"/>
        <v>1.4663127089226532E-3</v>
      </c>
      <c r="L179" s="59">
        <f t="shared" si="22"/>
        <v>7.8402967480490256E-3</v>
      </c>
      <c r="M179" s="59">
        <f t="shared" si="22"/>
        <v>1.3515991487724513E-2</v>
      </c>
      <c r="N179" s="59">
        <f t="shared" si="22"/>
        <v>1.6037987350944471E-2</v>
      </c>
      <c r="O179" s="62">
        <f t="shared" si="22"/>
        <v>1.8098955478764056E-2</v>
      </c>
      <c r="P179" s="54" t="s">
        <v>500</v>
      </c>
      <c r="Q179" s="52" t="s">
        <v>501</v>
      </c>
      <c r="R179" s="93">
        <v>47423</v>
      </c>
      <c r="S179" s="72">
        <v>4.5865919999999998E-2</v>
      </c>
      <c r="T179" s="62">
        <f t="shared" si="20"/>
        <v>5.0441328877245187E-3</v>
      </c>
      <c r="V179" s="113">
        <v>1.1121814299999999</v>
      </c>
      <c r="W179" s="71">
        <v>2.85151873</v>
      </c>
      <c r="X179" s="71">
        <v>4.3755826500000001</v>
      </c>
      <c r="Y179" s="71">
        <v>5.6703550700000003</v>
      </c>
      <c r="Z179" s="114">
        <v>7.2546473799999998</v>
      </c>
      <c r="AB179" s="70">
        <v>3.9169467408922645E-2</v>
      </c>
      <c r="AC179" s="70">
        <v>4.4648471848049022E-2</v>
      </c>
      <c r="AD179" s="70">
        <v>5.0910052887724516E-2</v>
      </c>
      <c r="AE179" s="70">
        <v>5.440970115094447E-2</v>
      </c>
      <c r="AF179" s="62">
        <v>5.7773637378764051E-2</v>
      </c>
      <c r="AG179" s="70">
        <v>1.4663127089226532E-3</v>
      </c>
      <c r="AH179" s="70">
        <v>7.8402967480490256E-3</v>
      </c>
      <c r="AI179" s="70">
        <v>1.3515991487724513E-2</v>
      </c>
      <c r="AJ179" s="70">
        <v>1.6037987350944471E-2</v>
      </c>
      <c r="AK179" s="62">
        <v>1.8098955478764056E-2</v>
      </c>
    </row>
    <row r="180" spans="2:37" x14ac:dyDescent="0.35">
      <c r="B180" s="54" t="s">
        <v>158</v>
      </c>
      <c r="C180" s="52" t="s">
        <v>232</v>
      </c>
      <c r="D180" s="52" t="s">
        <v>20</v>
      </c>
      <c r="E180" s="52" t="s">
        <v>338</v>
      </c>
      <c r="F180" s="72">
        <f t="shared" si="21"/>
        <v>3.8485856976505833E-2</v>
      </c>
      <c r="G180" s="59">
        <f t="shared" si="21"/>
        <v>4.416718422570088E-2</v>
      </c>
      <c r="H180" s="59">
        <f t="shared" si="21"/>
        <v>5.0789095668743373E-2</v>
      </c>
      <c r="I180" s="59">
        <f t="shared" si="21"/>
        <v>5.4318820483200622E-2</v>
      </c>
      <c r="J180" s="62">
        <f t="shared" si="21"/>
        <v>5.7716729810831924E-2</v>
      </c>
      <c r="K180" s="59">
        <f t="shared" si="22"/>
        <v>8.1109417650583344E-4</v>
      </c>
      <c r="L180" s="59">
        <f t="shared" si="22"/>
        <v>7.3822639257008849E-3</v>
      </c>
      <c r="M180" s="59">
        <f t="shared" si="22"/>
        <v>1.3401999268743373E-2</v>
      </c>
      <c r="N180" s="59">
        <f t="shared" si="22"/>
        <v>1.5954130783200616E-2</v>
      </c>
      <c r="O180" s="62">
        <f t="shared" si="22"/>
        <v>1.8039532810831937E-2</v>
      </c>
      <c r="P180" s="54" t="s">
        <v>502</v>
      </c>
      <c r="Q180" s="52" t="s">
        <v>503</v>
      </c>
      <c r="R180" s="93">
        <v>47543</v>
      </c>
      <c r="S180" s="72">
        <v>4.6673970000000002E-2</v>
      </c>
      <c r="T180" s="62">
        <f t="shared" si="20"/>
        <v>4.1151256687433704E-3</v>
      </c>
      <c r="V180" s="113">
        <v>1.1134571799999999</v>
      </c>
      <c r="W180" s="71">
        <v>2.8572070200000002</v>
      </c>
      <c r="X180" s="71">
        <v>4.3826127999999995</v>
      </c>
      <c r="Y180" s="71">
        <v>5.6764208500000004</v>
      </c>
      <c r="Z180" s="114">
        <v>7.27469374</v>
      </c>
      <c r="AB180" s="70">
        <v>3.8485856976505833E-2</v>
      </c>
      <c r="AC180" s="70">
        <v>4.416718422570088E-2</v>
      </c>
      <c r="AD180" s="70">
        <v>5.0789095668743373E-2</v>
      </c>
      <c r="AE180" s="70">
        <v>5.4318820483200622E-2</v>
      </c>
      <c r="AF180" s="62">
        <v>5.7716729810831924E-2</v>
      </c>
      <c r="AG180" s="70">
        <v>8.1109417650583344E-4</v>
      </c>
      <c r="AH180" s="70">
        <v>7.3822639257008849E-3</v>
      </c>
      <c r="AI180" s="70">
        <v>1.3401999268743373E-2</v>
      </c>
      <c r="AJ180" s="70">
        <v>1.5954130783200616E-2</v>
      </c>
      <c r="AK180" s="62">
        <v>1.8039532810831937E-2</v>
      </c>
    </row>
    <row r="181" spans="2:37" x14ac:dyDescent="0.35">
      <c r="B181" s="54" t="s">
        <v>149</v>
      </c>
      <c r="C181" s="52" t="s">
        <v>232</v>
      </c>
      <c r="D181" s="52" t="s">
        <v>53</v>
      </c>
      <c r="E181" s="52" t="s">
        <v>21</v>
      </c>
      <c r="F181" s="72">
        <f t="shared" si="21"/>
        <v>3.7660511758470114E-2</v>
      </c>
      <c r="G181" s="59">
        <f t="shared" si="21"/>
        <v>4.3077496665181715E-2</v>
      </c>
      <c r="H181" s="59">
        <f t="shared" si="21"/>
        <v>4.9760434626729175E-2</v>
      </c>
      <c r="I181" s="59">
        <f t="shared" si="21"/>
        <v>5.4043637755003676E-2</v>
      </c>
      <c r="J181" s="62">
        <f t="shared" si="21"/>
        <v>5.8428857335422607E-2</v>
      </c>
      <c r="K181" s="59">
        <f t="shared" si="22"/>
        <v>1.5724584701230088E-6</v>
      </c>
      <c r="L181" s="59">
        <f t="shared" si="22"/>
        <v>6.3212863651817179E-3</v>
      </c>
      <c r="M181" s="59">
        <f t="shared" si="22"/>
        <v>1.2401410026729179E-2</v>
      </c>
      <c r="N181" s="59">
        <f t="shared" si="22"/>
        <v>1.5665002955003671E-2</v>
      </c>
      <c r="O181" s="62">
        <f t="shared" si="22"/>
        <v>1.8686022135422611E-2</v>
      </c>
      <c r="P181" s="54" t="s">
        <v>504</v>
      </c>
      <c r="Q181" s="52" t="s">
        <v>505</v>
      </c>
      <c r="R181" s="93">
        <v>47498</v>
      </c>
      <c r="S181" s="72">
        <v>4.3502440000000003E-2</v>
      </c>
      <c r="T181" s="62">
        <f t="shared" si="20"/>
        <v>6.2579946267291714E-3</v>
      </c>
      <c r="V181" s="113">
        <v>1.11404288</v>
      </c>
      <c r="W181" s="71">
        <v>2.8612309200000001</v>
      </c>
      <c r="X181" s="71">
        <v>4.3918421800000003</v>
      </c>
      <c r="Y181" s="71">
        <v>5.6878195200000006</v>
      </c>
      <c r="Z181" s="114">
        <v>7.2569542299999998</v>
      </c>
      <c r="AB181" s="70">
        <v>3.7660511758470114E-2</v>
      </c>
      <c r="AC181" s="70">
        <v>4.3077496665181715E-2</v>
      </c>
      <c r="AD181" s="70">
        <v>4.9760434626729175E-2</v>
      </c>
      <c r="AE181" s="70">
        <v>5.4043637755003676E-2</v>
      </c>
      <c r="AF181" s="62">
        <v>5.8428857335422607E-2</v>
      </c>
      <c r="AG181" s="70">
        <v>1.5724584701230088E-6</v>
      </c>
      <c r="AH181" s="70">
        <v>6.3212863651817179E-3</v>
      </c>
      <c r="AI181" s="70">
        <v>1.2401410026729179E-2</v>
      </c>
      <c r="AJ181" s="70">
        <v>1.5665002955003671E-2</v>
      </c>
      <c r="AK181" s="62">
        <v>1.8686022135422611E-2</v>
      </c>
    </row>
    <row r="182" spans="2:37" x14ac:dyDescent="0.35">
      <c r="B182" s="54" t="s">
        <v>150</v>
      </c>
      <c r="C182" s="52" t="s">
        <v>232</v>
      </c>
      <c r="D182" s="52" t="s">
        <v>43</v>
      </c>
      <c r="E182" s="52" t="s">
        <v>21</v>
      </c>
      <c r="F182" s="72">
        <f t="shared" si="21"/>
        <v>3.7726526327162169E-2</v>
      </c>
      <c r="G182" s="59">
        <f t="shared" si="21"/>
        <v>4.292611091506069E-2</v>
      </c>
      <c r="H182" s="59">
        <f t="shared" si="21"/>
        <v>4.9708135068045736E-2</v>
      </c>
      <c r="I182" s="59">
        <f t="shared" si="21"/>
        <v>5.4180715807406035E-2</v>
      </c>
      <c r="J182" s="62">
        <f t="shared" si="21"/>
        <v>5.9195264762384361E-2</v>
      </c>
      <c r="K182" s="59">
        <f t="shared" si="22"/>
        <v>5.8393727162167619E-5</v>
      </c>
      <c r="L182" s="59">
        <f t="shared" si="22"/>
        <v>6.1741234150606943E-3</v>
      </c>
      <c r="M182" s="59">
        <f t="shared" si="22"/>
        <v>1.2349809768045736E-2</v>
      </c>
      <c r="N182" s="59">
        <f t="shared" si="22"/>
        <v>1.5793256907406041E-2</v>
      </c>
      <c r="O182" s="62">
        <f t="shared" si="22"/>
        <v>1.9407392762384373E-2</v>
      </c>
      <c r="P182" s="54" t="s">
        <v>21</v>
      </c>
      <c r="Q182" s="52" t="s">
        <v>21</v>
      </c>
      <c r="R182" s="93" t="s">
        <v>21</v>
      </c>
      <c r="S182" s="72" t="s">
        <v>21</v>
      </c>
      <c r="T182" s="62" t="str">
        <f t="shared" si="20"/>
        <v/>
      </c>
      <c r="V182" s="113">
        <v>1.1139593600000002</v>
      </c>
      <c r="W182" s="71">
        <v>2.8620392800000003</v>
      </c>
      <c r="X182" s="71">
        <v>4.3935057000000004</v>
      </c>
      <c r="Y182" s="71">
        <v>5.6876377099999997</v>
      </c>
      <c r="Z182" s="114">
        <v>7.2388518499999996</v>
      </c>
      <c r="AB182" s="70">
        <v>3.7726526327162169E-2</v>
      </c>
      <c r="AC182" s="70">
        <v>4.292611091506069E-2</v>
      </c>
      <c r="AD182" s="70">
        <v>4.9708135068045736E-2</v>
      </c>
      <c r="AE182" s="70">
        <v>5.4180715807406035E-2</v>
      </c>
      <c r="AF182" s="62">
        <v>5.9195264762384361E-2</v>
      </c>
      <c r="AG182" s="70">
        <v>5.8393727162167619E-5</v>
      </c>
      <c r="AH182" s="70">
        <v>6.1741234150606943E-3</v>
      </c>
      <c r="AI182" s="70">
        <v>1.2349809768045736E-2</v>
      </c>
      <c r="AJ182" s="70">
        <v>1.5793256907406041E-2</v>
      </c>
      <c r="AK182" s="62">
        <v>1.9407392762384373E-2</v>
      </c>
    </row>
    <row r="183" spans="2:37" x14ac:dyDescent="0.35">
      <c r="B183" s="54" t="s">
        <v>339</v>
      </c>
      <c r="C183" s="52" t="s">
        <v>232</v>
      </c>
      <c r="D183" s="52" t="s">
        <v>69</v>
      </c>
      <c r="E183" s="52" t="s">
        <v>288</v>
      </c>
      <c r="F183" s="72">
        <f t="shared" si="21"/>
        <v>3.7433777158310366E-2</v>
      </c>
      <c r="G183" s="59">
        <f t="shared" si="21"/>
        <v>4.2656572723558259E-2</v>
      </c>
      <c r="H183" s="59">
        <f t="shared" si="21"/>
        <v>4.9489317523802756E-2</v>
      </c>
      <c r="I183" s="59">
        <f t="shared" si="21"/>
        <v>5.3682996303881104E-2</v>
      </c>
      <c r="J183" s="62">
        <f t="shared" si="21"/>
        <v>5.8061805430519441E-2</v>
      </c>
      <c r="K183" s="59" t="str">
        <f t="shared" si="22"/>
        <v/>
      </c>
      <c r="L183" s="59">
        <f t="shared" si="22"/>
        <v>5.9196621235582635E-3</v>
      </c>
      <c r="M183" s="59">
        <f t="shared" si="22"/>
        <v>1.2144113823802753E-2</v>
      </c>
      <c r="N183" s="59">
        <f t="shared" si="22"/>
        <v>1.5323659703881103E-2</v>
      </c>
      <c r="O183" s="62">
        <f t="shared" si="22"/>
        <v>1.8339661030519445E-2</v>
      </c>
      <c r="P183" s="54" t="s">
        <v>21</v>
      </c>
      <c r="Q183" s="52" t="s">
        <v>21</v>
      </c>
      <c r="R183" s="93" t="s">
        <v>21</v>
      </c>
      <c r="S183" s="72" t="s">
        <v>21</v>
      </c>
      <c r="T183" s="62" t="str">
        <f t="shared" si="20"/>
        <v/>
      </c>
      <c r="V183" s="113">
        <v>1.1144720400000001</v>
      </c>
      <c r="W183" s="71">
        <v>2.8645799599999999</v>
      </c>
      <c r="X183" s="71">
        <v>4.3985877999999996</v>
      </c>
      <c r="Y183" s="71">
        <v>5.69940625</v>
      </c>
      <c r="Z183" s="114">
        <v>7.2772256800000008</v>
      </c>
      <c r="AB183" s="70">
        <v>3.7433777158310366E-2</v>
      </c>
      <c r="AC183" s="70">
        <v>4.2656572723558259E-2</v>
      </c>
      <c r="AD183" s="70">
        <v>4.9489317523802756E-2</v>
      </c>
      <c r="AE183" s="70">
        <v>5.3682996303881104E-2</v>
      </c>
      <c r="AF183" s="62">
        <v>5.8061805430519441E-2</v>
      </c>
      <c r="AG183" s="70" t="s">
        <v>21</v>
      </c>
      <c r="AH183" s="70">
        <v>5.9196621235582635E-3</v>
      </c>
      <c r="AI183" s="70">
        <v>1.2144113823802753E-2</v>
      </c>
      <c r="AJ183" s="70">
        <v>1.5323659703881103E-2</v>
      </c>
      <c r="AK183" s="62">
        <v>1.8339661030519445E-2</v>
      </c>
    </row>
    <row r="184" spans="2:37" x14ac:dyDescent="0.35">
      <c r="B184" s="54" t="s">
        <v>367</v>
      </c>
      <c r="C184" s="52" t="s">
        <v>232</v>
      </c>
      <c r="D184" s="52" t="s">
        <v>20</v>
      </c>
      <c r="E184" s="52" t="s">
        <v>21</v>
      </c>
      <c r="F184" s="72">
        <f t="shared" si="21"/>
        <v>3.7630594867610521E-2</v>
      </c>
      <c r="G184" s="59">
        <f t="shared" si="21"/>
        <v>4.1943831877482997E-2</v>
      </c>
      <c r="H184" s="59">
        <f t="shared" si="21"/>
        <v>4.7094533515199419E-2</v>
      </c>
      <c r="I184" s="59">
        <f t="shared" si="21"/>
        <v>5.0161341610759087E-2</v>
      </c>
      <c r="J184" s="62">
        <f t="shared" si="21"/>
        <v>5.2793282390058711E-2</v>
      </c>
      <c r="K184" s="59" t="str">
        <f t="shared" si="22"/>
        <v/>
      </c>
      <c r="L184" s="59">
        <f t="shared" si="22"/>
        <v>5.2617616774830074E-3</v>
      </c>
      <c r="M184" s="59">
        <f t="shared" si="22"/>
        <v>9.8880725151994139E-3</v>
      </c>
      <c r="N184" s="59">
        <f t="shared" si="22"/>
        <v>1.1994951010759085E-2</v>
      </c>
      <c r="O184" s="62">
        <f t="shared" si="22"/>
        <v>1.3321918090058713E-2</v>
      </c>
      <c r="P184" s="54" t="s">
        <v>399</v>
      </c>
      <c r="Q184" s="52" t="s">
        <v>400</v>
      </c>
      <c r="R184" s="93">
        <v>47270</v>
      </c>
      <c r="S184" s="72">
        <v>4.1745000000000004E-2</v>
      </c>
      <c r="T184" s="62">
        <f t="shared" si="20"/>
        <v>5.3495335151994144E-3</v>
      </c>
      <c r="V184" s="113">
        <v>1.1150367800000001</v>
      </c>
      <c r="W184" s="71">
        <v>2.87341969</v>
      </c>
      <c r="X184" s="71">
        <v>4.4387590000000001</v>
      </c>
      <c r="Y184" s="71">
        <v>5.7982737000000002</v>
      </c>
      <c r="Z184" s="114">
        <v>7.5195311599999997</v>
      </c>
      <c r="AB184" s="70">
        <v>3.7630594867610521E-2</v>
      </c>
      <c r="AC184" s="70">
        <v>4.1943831877482997E-2</v>
      </c>
      <c r="AD184" s="70">
        <v>4.7094533515199419E-2</v>
      </c>
      <c r="AE184" s="70">
        <v>5.0161341610759087E-2</v>
      </c>
      <c r="AF184" s="62">
        <v>5.2793282390058711E-2</v>
      </c>
      <c r="AG184" s="70" t="s">
        <v>21</v>
      </c>
      <c r="AH184" s="70">
        <v>5.2617616774830074E-3</v>
      </c>
      <c r="AI184" s="70">
        <v>9.8880725151994139E-3</v>
      </c>
      <c r="AJ184" s="70">
        <v>1.1994951010759085E-2</v>
      </c>
      <c r="AK184" s="62">
        <v>1.3321918090058713E-2</v>
      </c>
    </row>
    <row r="185" spans="2:37" x14ac:dyDescent="0.35">
      <c r="B185" s="54" t="s">
        <v>359</v>
      </c>
      <c r="C185" s="52" t="s">
        <v>232</v>
      </c>
      <c r="D185" s="52" t="s">
        <v>20</v>
      </c>
      <c r="E185" s="52" t="s">
        <v>128</v>
      </c>
      <c r="F185" s="72">
        <f t="shared" si="21"/>
        <v>3.8090758951888092E-2</v>
      </c>
      <c r="G185" s="59">
        <f t="shared" si="21"/>
        <v>4.3501613075183597E-2</v>
      </c>
      <c r="H185" s="59">
        <f t="shared" si="21"/>
        <v>5.0306155703312316E-2</v>
      </c>
      <c r="I185" s="59">
        <f t="shared" si="21"/>
        <v>5.3712950369435006E-2</v>
      </c>
      <c r="J185" s="62">
        <f t="shared" si="21"/>
        <v>5.7089787862688604E-2</v>
      </c>
      <c r="K185" s="59">
        <f t="shared" si="22"/>
        <v>4.3357875188808782E-4</v>
      </c>
      <c r="L185" s="59">
        <f t="shared" si="22"/>
        <v>6.7488349751835975E-3</v>
      </c>
      <c r="M185" s="59">
        <f t="shared" si="22"/>
        <v>1.2944718103312316E-2</v>
      </c>
      <c r="N185" s="59">
        <f t="shared" si="22"/>
        <v>1.5379227869435005E-2</v>
      </c>
      <c r="O185" s="62">
        <f t="shared" si="22"/>
        <v>1.7442877362688607E-2</v>
      </c>
      <c r="P185" s="54" t="s">
        <v>21</v>
      </c>
      <c r="Q185" s="52" t="s">
        <v>21</v>
      </c>
      <c r="R185" s="93" t="s">
        <v>21</v>
      </c>
      <c r="S185" s="72" t="s">
        <v>21</v>
      </c>
      <c r="T185" s="62" t="str">
        <f t="shared" si="20"/>
        <v/>
      </c>
      <c r="V185" s="113">
        <v>1.1141821300000001</v>
      </c>
      <c r="W185" s="71">
        <v>2.8630886800000002</v>
      </c>
      <c r="X185" s="71">
        <v>4.3949734999999999</v>
      </c>
      <c r="Y185" s="71">
        <v>5.7006168800000001</v>
      </c>
      <c r="Z185" s="114">
        <v>7.3127543899999994</v>
      </c>
      <c r="AB185" s="70">
        <v>3.8090758951888092E-2</v>
      </c>
      <c r="AC185" s="70">
        <v>4.3501613075183597E-2</v>
      </c>
      <c r="AD185" s="70">
        <v>5.0306155703312316E-2</v>
      </c>
      <c r="AE185" s="70">
        <v>5.3712950369435006E-2</v>
      </c>
      <c r="AF185" s="62">
        <v>5.7089787862688604E-2</v>
      </c>
      <c r="AG185" s="70">
        <v>4.3357875188808782E-4</v>
      </c>
      <c r="AH185" s="70">
        <v>6.7488349751835975E-3</v>
      </c>
      <c r="AI185" s="70">
        <v>1.2944718103312316E-2</v>
      </c>
      <c r="AJ185" s="70">
        <v>1.5379227869435005E-2</v>
      </c>
      <c r="AK185" s="62">
        <v>1.7442877362688607E-2</v>
      </c>
    </row>
    <row r="186" spans="2:37" x14ac:dyDescent="0.35">
      <c r="B186" s="54" t="s">
        <v>136</v>
      </c>
      <c r="C186" s="52" t="s">
        <v>232</v>
      </c>
      <c r="D186" s="52" t="s">
        <v>47</v>
      </c>
      <c r="E186" s="52" t="s">
        <v>21</v>
      </c>
      <c r="F186" s="72">
        <f t="shared" si="21"/>
        <v>3.7486871508044695E-2</v>
      </c>
      <c r="G186" s="59">
        <f t="shared" si="21"/>
        <v>4.245960386188876E-2</v>
      </c>
      <c r="H186" s="59">
        <f t="shared" si="21"/>
        <v>4.9119432180858687E-2</v>
      </c>
      <c r="I186" s="59">
        <f t="shared" si="21"/>
        <v>5.3131099881049165E-2</v>
      </c>
      <c r="J186" s="62">
        <f t="shared" si="21"/>
        <v>5.7137087890309635E-2</v>
      </c>
      <c r="K186" s="59" t="str">
        <f t="shared" si="22"/>
        <v/>
      </c>
      <c r="L186" s="59">
        <f t="shared" si="22"/>
        <v>5.7347347618887604E-3</v>
      </c>
      <c r="M186" s="59">
        <f t="shared" si="22"/>
        <v>1.1794903280858688E-2</v>
      </c>
      <c r="N186" s="59">
        <f t="shared" si="22"/>
        <v>1.4801760281049171E-2</v>
      </c>
      <c r="O186" s="62">
        <f t="shared" si="22"/>
        <v>1.7464144190309637E-2</v>
      </c>
      <c r="P186" s="54" t="s">
        <v>506</v>
      </c>
      <c r="Q186" s="52" t="s">
        <v>507</v>
      </c>
      <c r="R186" s="93">
        <v>47559</v>
      </c>
      <c r="S186" s="72">
        <v>4.2482309999999995E-2</v>
      </c>
      <c r="T186" s="62">
        <f t="shared" si="20"/>
        <v>6.6371221808586914E-3</v>
      </c>
      <c r="V186" s="113">
        <v>1.11433099</v>
      </c>
      <c r="W186" s="71">
        <v>2.8660424199999999</v>
      </c>
      <c r="X186" s="71">
        <v>4.4039903300000001</v>
      </c>
      <c r="Y186" s="71">
        <v>5.7127000199999998</v>
      </c>
      <c r="Z186" s="114">
        <v>7.3127926199999997</v>
      </c>
      <c r="AB186" s="70">
        <v>3.7486871508044695E-2</v>
      </c>
      <c r="AC186" s="70">
        <v>4.245960386188876E-2</v>
      </c>
      <c r="AD186" s="70">
        <v>4.9119432180858687E-2</v>
      </c>
      <c r="AE186" s="70">
        <v>5.3131099881049165E-2</v>
      </c>
      <c r="AF186" s="62">
        <v>5.7137087890309635E-2</v>
      </c>
      <c r="AG186" s="70" t="s">
        <v>21</v>
      </c>
      <c r="AH186" s="70">
        <v>5.7347347618887604E-3</v>
      </c>
      <c r="AI186" s="70">
        <v>1.1794903280858688E-2</v>
      </c>
      <c r="AJ186" s="70">
        <v>1.4801760281049171E-2</v>
      </c>
      <c r="AK186" s="62">
        <v>1.7464144190309637E-2</v>
      </c>
    </row>
    <row r="187" spans="2:37" x14ac:dyDescent="0.35">
      <c r="B187" s="54" t="s">
        <v>238</v>
      </c>
      <c r="C187" s="52" t="s">
        <v>232</v>
      </c>
      <c r="D187" s="52" t="s">
        <v>20</v>
      </c>
      <c r="E187" s="52" t="s">
        <v>21</v>
      </c>
      <c r="F187" s="72">
        <f t="shared" si="21"/>
        <v>3.7925254039895683E-2</v>
      </c>
      <c r="G187" s="59">
        <f t="shared" si="21"/>
        <v>4.3644778298213519E-2</v>
      </c>
      <c r="H187" s="59">
        <f t="shared" si="21"/>
        <v>5.005588009484728E-2</v>
      </c>
      <c r="I187" s="59">
        <f t="shared" si="21"/>
        <v>5.4523341159210315E-2</v>
      </c>
      <c r="J187" s="62">
        <f t="shared" si="21"/>
        <v>5.8358959496070693E-2</v>
      </c>
      <c r="K187" s="59">
        <f t="shared" si="22"/>
        <v>2.6774743989567765E-4</v>
      </c>
      <c r="L187" s="59">
        <f t="shared" si="22"/>
        <v>6.8819077982135218E-3</v>
      </c>
      <c r="M187" s="59">
        <f t="shared" si="22"/>
        <v>1.2705022594847275E-2</v>
      </c>
      <c r="N187" s="59">
        <f t="shared" si="22"/>
        <v>1.6145865659210317E-2</v>
      </c>
      <c r="O187" s="62">
        <f t="shared" si="22"/>
        <v>1.8652787196070698E-2</v>
      </c>
      <c r="P187" s="54" t="s">
        <v>508</v>
      </c>
      <c r="Q187" s="52" t="s">
        <v>509</v>
      </c>
      <c r="R187" s="93">
        <v>47515</v>
      </c>
      <c r="S187" s="72">
        <v>4.6630130000000006E-2</v>
      </c>
      <c r="T187" s="62">
        <f t="shared" si="20"/>
        <v>3.4257500948472741E-3</v>
      </c>
      <c r="V187" s="113">
        <v>1.1145241700000001</v>
      </c>
      <c r="W187" s="71">
        <v>2.8613719199999998</v>
      </c>
      <c r="X187" s="71">
        <v>4.39407514</v>
      </c>
      <c r="Y187" s="71">
        <v>5.6896982500000002</v>
      </c>
      <c r="Z187" s="114">
        <v>7.2683</v>
      </c>
      <c r="AB187" s="70">
        <v>3.7925254039895683E-2</v>
      </c>
      <c r="AC187" s="70">
        <v>4.3644778298213519E-2</v>
      </c>
      <c r="AD187" s="70">
        <v>5.005588009484728E-2</v>
      </c>
      <c r="AE187" s="70">
        <v>5.4523341159210315E-2</v>
      </c>
      <c r="AF187" s="62">
        <v>5.8358959496070693E-2</v>
      </c>
      <c r="AG187" s="70">
        <v>2.6774743989567765E-4</v>
      </c>
      <c r="AH187" s="70">
        <v>6.8819077982135218E-3</v>
      </c>
      <c r="AI187" s="70">
        <v>1.2705022594847275E-2</v>
      </c>
      <c r="AJ187" s="70">
        <v>1.6145865659210317E-2</v>
      </c>
      <c r="AK187" s="62">
        <v>1.8652787196070698E-2</v>
      </c>
    </row>
    <row r="188" spans="2:37" x14ac:dyDescent="0.35">
      <c r="B188" s="54" t="s">
        <v>324</v>
      </c>
      <c r="C188" s="52" t="s">
        <v>232</v>
      </c>
      <c r="D188" s="52" t="s">
        <v>20</v>
      </c>
      <c r="E188" s="52" t="s">
        <v>429</v>
      </c>
      <c r="F188" s="72">
        <f t="shared" si="21"/>
        <v>3.7405437826870398E-2</v>
      </c>
      <c r="G188" s="59">
        <f t="shared" si="21"/>
        <v>4.3005076679700806E-2</v>
      </c>
      <c r="H188" s="59">
        <f t="shared" si="21"/>
        <v>4.9990457958650876E-2</v>
      </c>
      <c r="I188" s="59">
        <f t="shared" si="21"/>
        <v>5.4264616504446792E-2</v>
      </c>
      <c r="J188" s="62">
        <f t="shared" si="21"/>
        <v>5.7884038106049626E-2</v>
      </c>
      <c r="K188" s="59" t="str">
        <f t="shared" si="22"/>
        <v/>
      </c>
      <c r="L188" s="59">
        <f t="shared" si="22"/>
        <v>6.2760251797008126E-3</v>
      </c>
      <c r="M188" s="59">
        <f t="shared" si="22"/>
        <v>1.2646231658650874E-2</v>
      </c>
      <c r="N188" s="59">
        <f t="shared" si="22"/>
        <v>1.5903397204446793E-2</v>
      </c>
      <c r="O188" s="62">
        <f t="shared" si="22"/>
        <v>1.8204799706049619E-2</v>
      </c>
      <c r="P188" s="54" t="s">
        <v>21</v>
      </c>
      <c r="Q188" s="52" t="s">
        <v>21</v>
      </c>
      <c r="R188" s="93" t="s">
        <v>21</v>
      </c>
      <c r="S188" s="72" t="s">
        <v>21</v>
      </c>
      <c r="T188" s="62" t="str">
        <f t="shared" si="20"/>
        <v/>
      </c>
      <c r="V188" s="113">
        <v>1.11548264</v>
      </c>
      <c r="W188" s="71">
        <v>2.86787298</v>
      </c>
      <c r="X188" s="71">
        <v>4.4019366999999994</v>
      </c>
      <c r="Y188" s="71">
        <v>5.6998695000000001</v>
      </c>
      <c r="Z188" s="114">
        <v>7.2894711000000001</v>
      </c>
      <c r="AB188" s="70">
        <v>3.7405437826870398E-2</v>
      </c>
      <c r="AC188" s="70">
        <v>4.3005076679700806E-2</v>
      </c>
      <c r="AD188" s="70">
        <v>4.9990457958650876E-2</v>
      </c>
      <c r="AE188" s="70">
        <v>5.4264616504446792E-2</v>
      </c>
      <c r="AF188" s="62">
        <v>5.7884038106049626E-2</v>
      </c>
      <c r="AG188" s="70" t="s">
        <v>21</v>
      </c>
      <c r="AH188" s="70">
        <v>6.2760251797008126E-3</v>
      </c>
      <c r="AI188" s="70">
        <v>1.2646231658650874E-2</v>
      </c>
      <c r="AJ188" s="70">
        <v>1.5903397204446793E-2</v>
      </c>
      <c r="AK188" s="62">
        <v>1.8204799706049619E-2</v>
      </c>
    </row>
    <row r="189" spans="2:37" x14ac:dyDescent="0.35">
      <c r="B189" s="54" t="s">
        <v>155</v>
      </c>
      <c r="C189" s="52" t="s">
        <v>232</v>
      </c>
      <c r="D189" s="52" t="s">
        <v>131</v>
      </c>
      <c r="E189" s="52" t="s">
        <v>75</v>
      </c>
      <c r="F189" s="72">
        <f t="shared" si="21"/>
        <v>3.7321245433320084E-2</v>
      </c>
      <c r="G189" s="59">
        <f t="shared" si="21"/>
        <v>4.2326836914400694E-2</v>
      </c>
      <c r="H189" s="59">
        <f t="shared" si="21"/>
        <v>4.8967474212643622E-2</v>
      </c>
      <c r="I189" s="59">
        <f t="shared" si="21"/>
        <v>5.3265461674590189E-2</v>
      </c>
      <c r="J189" s="62">
        <f t="shared" si="21"/>
        <v>5.7456976867663469E-2</v>
      </c>
      <c r="K189" s="59" t="str">
        <f t="shared" si="22"/>
        <v/>
      </c>
      <c r="L189" s="59">
        <f t="shared" si="22"/>
        <v>5.6049706144006943E-3</v>
      </c>
      <c r="M189" s="59">
        <f t="shared" si="22"/>
        <v>1.1648347712643623E-2</v>
      </c>
      <c r="N189" s="59">
        <f t="shared" si="22"/>
        <v>1.4927284274590193E-2</v>
      </c>
      <c r="O189" s="62">
        <f t="shared" si="22"/>
        <v>1.7768166967663462E-2</v>
      </c>
      <c r="P189" s="54" t="s">
        <v>510</v>
      </c>
      <c r="Q189" s="52" t="s">
        <v>511</v>
      </c>
      <c r="R189" s="93">
        <v>47534</v>
      </c>
      <c r="S189" s="72">
        <v>4.5412879999999996E-2</v>
      </c>
      <c r="T189" s="62">
        <f t="shared" si="20"/>
        <v>3.5545942126436261E-3</v>
      </c>
      <c r="V189" s="113">
        <v>1.11468422</v>
      </c>
      <c r="W189" s="71">
        <v>2.8669894</v>
      </c>
      <c r="X189" s="71">
        <v>4.4067525500000002</v>
      </c>
      <c r="Y189" s="71">
        <v>5.7138887</v>
      </c>
      <c r="Z189" s="114">
        <v>7.3055191699999993</v>
      </c>
      <c r="AB189" s="70">
        <v>3.7321245433320084E-2</v>
      </c>
      <c r="AC189" s="70">
        <v>4.2326836914400694E-2</v>
      </c>
      <c r="AD189" s="70">
        <v>4.8967474212643622E-2</v>
      </c>
      <c r="AE189" s="70">
        <v>5.3265461674590189E-2</v>
      </c>
      <c r="AF189" s="62">
        <v>5.7456976867663469E-2</v>
      </c>
      <c r="AG189" s="70" t="s">
        <v>21</v>
      </c>
      <c r="AH189" s="70">
        <v>5.6049706144006943E-3</v>
      </c>
      <c r="AI189" s="70">
        <v>1.1648347712643623E-2</v>
      </c>
      <c r="AJ189" s="70">
        <v>1.4927284274590193E-2</v>
      </c>
      <c r="AK189" s="62">
        <v>1.7768166967663462E-2</v>
      </c>
    </row>
    <row r="190" spans="2:37" x14ac:dyDescent="0.35">
      <c r="B190" s="54" t="s">
        <v>265</v>
      </c>
      <c r="C190" s="52" t="s">
        <v>232</v>
      </c>
      <c r="D190" s="52" t="s">
        <v>31</v>
      </c>
      <c r="E190" s="52" t="s">
        <v>21</v>
      </c>
      <c r="F190" s="72">
        <f t="shared" si="21"/>
        <v>3.7165613797790632E-2</v>
      </c>
      <c r="G190" s="59">
        <f t="shared" si="21"/>
        <v>4.2596023566434243E-2</v>
      </c>
      <c r="H190" s="59">
        <f t="shared" si="21"/>
        <v>4.892701807674224E-2</v>
      </c>
      <c r="I190" s="59">
        <f t="shared" si="21"/>
        <v>5.2654041777767377E-2</v>
      </c>
      <c r="J190" s="62">
        <f t="shared" si="21"/>
        <v>5.5359595940580639E-2</v>
      </c>
      <c r="K190" s="59" t="str">
        <f t="shared" si="22"/>
        <v/>
      </c>
      <c r="L190" s="59">
        <f t="shared" si="22"/>
        <v>5.861072566434246E-3</v>
      </c>
      <c r="M190" s="59">
        <f t="shared" si="22"/>
        <v>1.1609165276742229E-2</v>
      </c>
      <c r="N190" s="59">
        <f t="shared" si="22"/>
        <v>1.4346200077767372E-2</v>
      </c>
      <c r="O190" s="62">
        <f t="shared" si="22"/>
        <v>1.5767535740580638E-2</v>
      </c>
      <c r="P190" s="54" t="s">
        <v>512</v>
      </c>
      <c r="Q190" s="52" t="s">
        <v>513</v>
      </c>
      <c r="R190" s="93">
        <v>47679</v>
      </c>
      <c r="S190" s="72">
        <v>4.7932160000000001E-2</v>
      </c>
      <c r="T190" s="62">
        <f t="shared" si="20"/>
        <v>9.9485807674223881E-4</v>
      </c>
      <c r="V190" s="113">
        <v>1.11498823</v>
      </c>
      <c r="W190" s="71">
        <v>2.8658619000000001</v>
      </c>
      <c r="X190" s="71">
        <v>4.4054875100000004</v>
      </c>
      <c r="Y190" s="71">
        <v>5.7211995</v>
      </c>
      <c r="Z190" s="114">
        <v>7.3632994099999998</v>
      </c>
      <c r="AB190" s="70">
        <v>3.7165613797790632E-2</v>
      </c>
      <c r="AC190" s="70">
        <v>4.2596023566434243E-2</v>
      </c>
      <c r="AD190" s="70">
        <v>4.892701807674224E-2</v>
      </c>
      <c r="AE190" s="70">
        <v>5.2654041777767377E-2</v>
      </c>
      <c r="AF190" s="62">
        <v>5.5359595940580639E-2</v>
      </c>
      <c r="AG190" s="70" t="s">
        <v>21</v>
      </c>
      <c r="AH190" s="70">
        <v>5.861072566434246E-3</v>
      </c>
      <c r="AI190" s="70">
        <v>1.1609165276742229E-2</v>
      </c>
      <c r="AJ190" s="70">
        <v>1.4346200077767372E-2</v>
      </c>
      <c r="AK190" s="62">
        <v>1.5767535740580638E-2</v>
      </c>
    </row>
    <row r="191" spans="2:37" x14ac:dyDescent="0.35">
      <c r="B191" s="54" t="s">
        <v>320</v>
      </c>
      <c r="C191" s="52" t="s">
        <v>232</v>
      </c>
      <c r="D191" s="52" t="s">
        <v>69</v>
      </c>
      <c r="E191" s="52" t="s">
        <v>21</v>
      </c>
      <c r="F191" s="72">
        <f t="shared" si="21"/>
        <v>3.7159230209090961E-2</v>
      </c>
      <c r="G191" s="59">
        <f t="shared" si="21"/>
        <v>4.2459089747671819E-2</v>
      </c>
      <c r="H191" s="59">
        <f t="shared" si="21"/>
        <v>4.8920788518800024E-2</v>
      </c>
      <c r="I191" s="59">
        <f t="shared" si="21"/>
        <v>5.3503491454834309E-2</v>
      </c>
      <c r="J191" s="62">
        <f t="shared" si="21"/>
        <v>5.7249182671171024E-2</v>
      </c>
      <c r="K191" s="59" t="str">
        <f t="shared" si="22"/>
        <v/>
      </c>
      <c r="L191" s="59">
        <f t="shared" si="22"/>
        <v>5.7311933476718261E-3</v>
      </c>
      <c r="M191" s="59">
        <f t="shared" si="22"/>
        <v>1.1603898818800027E-2</v>
      </c>
      <c r="N191" s="59">
        <f t="shared" si="22"/>
        <v>1.5152641954834303E-2</v>
      </c>
      <c r="O191" s="62">
        <f t="shared" si="22"/>
        <v>1.7572525571171012E-2</v>
      </c>
      <c r="P191" s="54" t="s">
        <v>21</v>
      </c>
      <c r="Q191" s="52" t="s">
        <v>21</v>
      </c>
      <c r="R191" s="93" t="s">
        <v>21</v>
      </c>
      <c r="S191" s="72" t="s">
        <v>21</v>
      </c>
      <c r="T191" s="62" t="str">
        <f t="shared" si="20"/>
        <v/>
      </c>
      <c r="V191" s="113">
        <v>1.1149889499999999</v>
      </c>
      <c r="W191" s="71">
        <v>2.8667041800000002</v>
      </c>
      <c r="X191" s="71">
        <v>4.40663538</v>
      </c>
      <c r="Y191" s="71">
        <v>5.7107898600000002</v>
      </c>
      <c r="Z191" s="114">
        <v>7.3055584300000005</v>
      </c>
      <c r="AB191" s="70">
        <v>3.7159230209090961E-2</v>
      </c>
      <c r="AC191" s="70">
        <v>4.2459089747671819E-2</v>
      </c>
      <c r="AD191" s="70">
        <v>4.8920788518800024E-2</v>
      </c>
      <c r="AE191" s="70">
        <v>5.3503491454834309E-2</v>
      </c>
      <c r="AF191" s="62">
        <v>5.7249182671171024E-2</v>
      </c>
      <c r="AG191" s="70" t="s">
        <v>21</v>
      </c>
      <c r="AH191" s="70">
        <v>5.7311933476718261E-3</v>
      </c>
      <c r="AI191" s="70">
        <v>1.1603898818800027E-2</v>
      </c>
      <c r="AJ191" s="70">
        <v>1.5152641954834303E-2</v>
      </c>
      <c r="AK191" s="62">
        <v>1.7572525571171012E-2</v>
      </c>
    </row>
    <row r="192" spans="2:37" x14ac:dyDescent="0.35">
      <c r="B192" s="54" t="s">
        <v>124</v>
      </c>
      <c r="C192" s="52" t="s">
        <v>232</v>
      </c>
      <c r="D192" s="52" t="s">
        <v>69</v>
      </c>
      <c r="E192" s="52" t="s">
        <v>112</v>
      </c>
      <c r="F192" s="72">
        <f t="shared" si="21"/>
        <v>3.7046562241404526E-2</v>
      </c>
      <c r="G192" s="59">
        <f t="shared" si="21"/>
        <v>4.2255104498021868E-2</v>
      </c>
      <c r="H192" s="59">
        <f t="shared" si="21"/>
        <v>4.8912194639403175E-2</v>
      </c>
      <c r="I192" s="59">
        <f t="shared" si="21"/>
        <v>5.3305846488391678E-2</v>
      </c>
      <c r="J192" s="62">
        <f t="shared" si="21"/>
        <v>5.7589531307051293E-2</v>
      </c>
      <c r="K192" s="59" t="str">
        <f t="shared" si="22"/>
        <v/>
      </c>
      <c r="L192" s="59">
        <f t="shared" si="22"/>
        <v>5.5369175980218704E-3</v>
      </c>
      <c r="M192" s="59">
        <f t="shared" si="22"/>
        <v>1.1596210939403176E-2</v>
      </c>
      <c r="N192" s="59">
        <f t="shared" si="22"/>
        <v>1.4966044088391677E-2</v>
      </c>
      <c r="O192" s="62">
        <f t="shared" si="22"/>
        <v>1.7894618007051284E-2</v>
      </c>
      <c r="P192" s="54" t="s">
        <v>21</v>
      </c>
      <c r="Q192" s="52" t="s">
        <v>21</v>
      </c>
      <c r="R192" s="93" t="s">
        <v>21</v>
      </c>
      <c r="S192" s="72" t="s">
        <v>21</v>
      </c>
      <c r="T192" s="62" t="str">
        <f t="shared" si="20"/>
        <v/>
      </c>
      <c r="V192" s="113">
        <v>1.1151948199999999</v>
      </c>
      <c r="W192" s="71">
        <v>2.8683230600000003</v>
      </c>
      <c r="X192" s="71">
        <v>4.4086827900000003</v>
      </c>
      <c r="Y192" s="71">
        <v>5.7152271599999995</v>
      </c>
      <c r="Z192" s="114">
        <v>7.3032962399999999</v>
      </c>
      <c r="AB192" s="70">
        <v>3.7046562241404526E-2</v>
      </c>
      <c r="AC192" s="70">
        <v>4.2255104498021868E-2</v>
      </c>
      <c r="AD192" s="70">
        <v>4.8912194639403175E-2</v>
      </c>
      <c r="AE192" s="70">
        <v>5.3305846488391678E-2</v>
      </c>
      <c r="AF192" s="62">
        <v>5.7589531307051293E-2</v>
      </c>
      <c r="AG192" s="70" t="s">
        <v>21</v>
      </c>
      <c r="AH192" s="70">
        <v>5.5369175980218704E-3</v>
      </c>
      <c r="AI192" s="70">
        <v>1.1596210939403176E-2</v>
      </c>
      <c r="AJ192" s="70">
        <v>1.4966044088391677E-2</v>
      </c>
      <c r="AK192" s="62">
        <v>1.7894618007051284E-2</v>
      </c>
    </row>
    <row r="193" spans="2:37" x14ac:dyDescent="0.35">
      <c r="B193" s="54" t="s">
        <v>241</v>
      </c>
      <c r="C193" s="52" t="s">
        <v>232</v>
      </c>
      <c r="D193" s="52" t="s">
        <v>43</v>
      </c>
      <c r="E193" s="52" t="s">
        <v>243</v>
      </c>
      <c r="F193" s="72">
        <f t="shared" si="21"/>
        <v>3.7297116146856699E-2</v>
      </c>
      <c r="G193" s="59">
        <f t="shared" si="21"/>
        <v>4.2383523344259405E-2</v>
      </c>
      <c r="H193" s="59">
        <f t="shared" si="21"/>
        <v>4.8865898165398311E-2</v>
      </c>
      <c r="I193" s="59">
        <f t="shared" si="21"/>
        <v>5.3260675701802596E-2</v>
      </c>
      <c r="J193" s="62">
        <f t="shared" si="21"/>
        <v>5.7452696210357999E-2</v>
      </c>
      <c r="K193" s="59" t="str">
        <f t="shared" si="22"/>
        <v/>
      </c>
      <c r="L193" s="59">
        <f t="shared" si="22"/>
        <v>5.6596477442594096E-3</v>
      </c>
      <c r="M193" s="59">
        <f t="shared" si="22"/>
        <v>1.1552136165398312E-2</v>
      </c>
      <c r="N193" s="59">
        <f t="shared" si="22"/>
        <v>1.4922747801802593E-2</v>
      </c>
      <c r="O193" s="62">
        <f t="shared" si="22"/>
        <v>1.7764369610358016E-2</v>
      </c>
      <c r="P193" s="54" t="s">
        <v>514</v>
      </c>
      <c r="Q193" s="52" t="s">
        <v>515</v>
      </c>
      <c r="R193" s="93" t="s">
        <v>32</v>
      </c>
      <c r="S193" s="72">
        <v>4.6640019999999997E-2</v>
      </c>
      <c r="T193" s="62">
        <f t="shared" si="20"/>
        <v>2.2258781653983137E-3</v>
      </c>
      <c r="V193" s="113">
        <v>1.11472226</v>
      </c>
      <c r="W193" s="71">
        <v>2.86691889</v>
      </c>
      <c r="X193" s="71">
        <v>4.4075411999999998</v>
      </c>
      <c r="Y193" s="71">
        <v>5.7149927199999997</v>
      </c>
      <c r="Z193" s="114">
        <v>7.3064987499999994</v>
      </c>
      <c r="AB193" s="70">
        <v>3.7297116146856699E-2</v>
      </c>
      <c r="AC193" s="70">
        <v>4.2383523344259405E-2</v>
      </c>
      <c r="AD193" s="70">
        <v>4.8865898165398311E-2</v>
      </c>
      <c r="AE193" s="70">
        <v>5.3260675701802596E-2</v>
      </c>
      <c r="AF193" s="62">
        <v>5.7452696210357999E-2</v>
      </c>
      <c r="AG193" s="70" t="s">
        <v>21</v>
      </c>
      <c r="AH193" s="70">
        <v>5.6596477442594096E-3</v>
      </c>
      <c r="AI193" s="70">
        <v>1.1552136165398312E-2</v>
      </c>
      <c r="AJ193" s="70">
        <v>1.4922747801802593E-2</v>
      </c>
      <c r="AK193" s="62">
        <v>1.7764369610358016E-2</v>
      </c>
    </row>
    <row r="194" spans="2:37" x14ac:dyDescent="0.35">
      <c r="B194" s="54" t="s">
        <v>154</v>
      </c>
      <c r="C194" s="52" t="s">
        <v>232</v>
      </c>
      <c r="D194" s="52" t="s">
        <v>43</v>
      </c>
      <c r="E194" s="52" t="s">
        <v>81</v>
      </c>
      <c r="F194" s="72">
        <f t="shared" si="21"/>
        <v>3.7294492847195861E-2</v>
      </c>
      <c r="G194" s="59">
        <f t="shared" si="21"/>
        <v>4.2145759047973061E-2</v>
      </c>
      <c r="H194" s="59">
        <f t="shared" si="21"/>
        <v>4.8856860657757621E-2</v>
      </c>
      <c r="I194" s="59">
        <f t="shared" si="21"/>
        <v>5.3062607242459349E-2</v>
      </c>
      <c r="J194" s="62">
        <f t="shared" si="21"/>
        <v>5.6887344194976153E-2</v>
      </c>
      <c r="K194" s="59" t="str">
        <f t="shared" si="22"/>
        <v/>
      </c>
      <c r="L194" s="59">
        <f t="shared" si="22"/>
        <v>5.4334067479730602E-3</v>
      </c>
      <c r="M194" s="59">
        <f t="shared" si="22"/>
        <v>1.1544228757757622E-2</v>
      </c>
      <c r="N194" s="59">
        <f t="shared" si="22"/>
        <v>1.473579444245935E-2</v>
      </c>
      <c r="O194" s="62">
        <f t="shared" si="22"/>
        <v>1.7226990194976144E-2</v>
      </c>
      <c r="P194" s="54" t="s">
        <v>516</v>
      </c>
      <c r="Q194" s="52" t="s">
        <v>517</v>
      </c>
      <c r="R194" s="93">
        <v>47536</v>
      </c>
      <c r="S194" s="72">
        <v>4.2050499999999998E-2</v>
      </c>
      <c r="T194" s="62">
        <f t="shared" si="20"/>
        <v>6.8063606577576236E-3</v>
      </c>
      <c r="V194" s="113">
        <v>1.1147155200000001</v>
      </c>
      <c r="W194" s="71">
        <v>2.86815497</v>
      </c>
      <c r="X194" s="71">
        <v>4.4093296200000003</v>
      </c>
      <c r="Y194" s="71">
        <v>5.7191970799999998</v>
      </c>
      <c r="Z194" s="114">
        <v>7.3240287799999999</v>
      </c>
      <c r="AB194" s="70">
        <v>3.7294492847195861E-2</v>
      </c>
      <c r="AC194" s="70">
        <v>4.2145759047973061E-2</v>
      </c>
      <c r="AD194" s="70">
        <v>4.8856860657757621E-2</v>
      </c>
      <c r="AE194" s="70">
        <v>5.3062607242459349E-2</v>
      </c>
      <c r="AF194" s="62">
        <v>5.6887344194976153E-2</v>
      </c>
      <c r="AG194" s="70" t="s">
        <v>21</v>
      </c>
      <c r="AH194" s="70">
        <v>5.4334067479730602E-3</v>
      </c>
      <c r="AI194" s="70">
        <v>1.1544228757757622E-2</v>
      </c>
      <c r="AJ194" s="70">
        <v>1.473579444245935E-2</v>
      </c>
      <c r="AK194" s="62">
        <v>1.7226990194976144E-2</v>
      </c>
    </row>
    <row r="195" spans="2:37" x14ac:dyDescent="0.35">
      <c r="B195" s="54" t="s">
        <v>334</v>
      </c>
      <c r="C195" s="52" t="s">
        <v>232</v>
      </c>
      <c r="D195" s="52" t="s">
        <v>20</v>
      </c>
      <c r="E195" s="52" t="s">
        <v>253</v>
      </c>
      <c r="F195" s="72">
        <f t="shared" si="21"/>
        <v>3.9223523029119009E-2</v>
      </c>
      <c r="G195" s="59">
        <f t="shared" si="21"/>
        <v>4.3786244301361167E-2</v>
      </c>
      <c r="H195" s="59">
        <f t="shared" si="21"/>
        <v>4.987296904805915E-2</v>
      </c>
      <c r="I195" s="59">
        <f t="shared" si="21"/>
        <v>5.3667235505479104E-2</v>
      </c>
      <c r="J195" s="62">
        <f t="shared" si="21"/>
        <v>5.7263151848502128E-2</v>
      </c>
      <c r="K195" s="59">
        <f t="shared" si="22"/>
        <v>1.5093416291190069E-3</v>
      </c>
      <c r="L195" s="59">
        <f t="shared" si="22"/>
        <v>7.0155619013611689E-3</v>
      </c>
      <c r="M195" s="59">
        <f t="shared" si="22"/>
        <v>1.2529625648059149E-2</v>
      </c>
      <c r="N195" s="59">
        <f t="shared" si="22"/>
        <v>1.53302187054791E-2</v>
      </c>
      <c r="O195" s="62">
        <f t="shared" si="22"/>
        <v>1.760067614850213E-2</v>
      </c>
      <c r="P195" s="54" t="s">
        <v>21</v>
      </c>
      <c r="Q195" s="52" t="s">
        <v>21</v>
      </c>
      <c r="R195" s="93" t="s">
        <v>21</v>
      </c>
      <c r="S195" s="72" t="s">
        <v>21</v>
      </c>
      <c r="T195" s="62" t="str">
        <f t="shared" si="20"/>
        <v/>
      </c>
      <c r="V195" s="113">
        <v>1.11214503</v>
      </c>
      <c r="W195" s="71">
        <v>2.8570401099999998</v>
      </c>
      <c r="X195" s="71">
        <v>4.3916323799999999</v>
      </c>
      <c r="Y195" s="71">
        <v>5.6999576799999998</v>
      </c>
      <c r="Z195" s="114">
        <v>7.3120671299999991</v>
      </c>
      <c r="AB195" s="70">
        <v>3.9223523029119009E-2</v>
      </c>
      <c r="AC195" s="70">
        <v>4.3786244301361167E-2</v>
      </c>
      <c r="AD195" s="70">
        <v>4.987296904805915E-2</v>
      </c>
      <c r="AE195" s="70">
        <v>5.3667235505479104E-2</v>
      </c>
      <c r="AF195" s="62">
        <v>5.7263151848502128E-2</v>
      </c>
      <c r="AG195" s="70">
        <v>1.5093416291190069E-3</v>
      </c>
      <c r="AH195" s="70">
        <v>7.0155619013611689E-3</v>
      </c>
      <c r="AI195" s="70">
        <v>1.2529625648059149E-2</v>
      </c>
      <c r="AJ195" s="70">
        <v>1.53302187054791E-2</v>
      </c>
      <c r="AK195" s="62">
        <v>1.760067614850213E-2</v>
      </c>
    </row>
    <row r="196" spans="2:37" x14ac:dyDescent="0.35">
      <c r="B196" s="54" t="s">
        <v>335</v>
      </c>
      <c r="C196" s="52" t="s">
        <v>232</v>
      </c>
      <c r="D196" s="52" t="s">
        <v>20</v>
      </c>
      <c r="E196" s="52" t="s">
        <v>123</v>
      </c>
      <c r="F196" s="72">
        <f t="shared" si="21"/>
        <v>3.7748344196972969E-2</v>
      </c>
      <c r="G196" s="59">
        <f t="shared" si="21"/>
        <v>4.3290552931855658E-2</v>
      </c>
      <c r="H196" s="59">
        <f t="shared" si="21"/>
        <v>4.9827985989478456E-2</v>
      </c>
      <c r="I196" s="59">
        <f t="shared" si="21"/>
        <v>5.4099154319003091E-2</v>
      </c>
      <c r="J196" s="62">
        <f t="shared" si="21"/>
        <v>5.7569420478257638E-2</v>
      </c>
      <c r="K196" s="59">
        <f t="shared" si="22"/>
        <v>1.067729969729727E-4</v>
      </c>
      <c r="L196" s="59">
        <f t="shared" si="22"/>
        <v>6.5481868318556504E-3</v>
      </c>
      <c r="M196" s="59">
        <f t="shared" si="22"/>
        <v>1.2491277289478459E-2</v>
      </c>
      <c r="N196" s="59">
        <f t="shared" si="22"/>
        <v>1.5744933419003088E-2</v>
      </c>
      <c r="O196" s="62">
        <f t="shared" si="22"/>
        <v>1.7904591478257639E-2</v>
      </c>
      <c r="P196" s="54" t="s">
        <v>383</v>
      </c>
      <c r="Q196" s="52" t="s">
        <v>384</v>
      </c>
      <c r="R196" s="93">
        <v>47624</v>
      </c>
      <c r="S196" s="72">
        <v>4.7146039999999993E-2</v>
      </c>
      <c r="T196" s="62">
        <f t="shared" si="20"/>
        <v>2.6819459894784625E-3</v>
      </c>
      <c r="V196" s="113">
        <v>1.1148024400000001</v>
      </c>
      <c r="W196" s="71">
        <v>2.8649625699999999</v>
      </c>
      <c r="X196" s="71">
        <v>4.4009197100000002</v>
      </c>
      <c r="Y196" s="71">
        <v>5.7023584600000001</v>
      </c>
      <c r="Z196" s="114">
        <v>7.2978910099999998</v>
      </c>
      <c r="AB196" s="70">
        <v>3.7748344196972969E-2</v>
      </c>
      <c r="AC196" s="70">
        <v>4.3290552931855658E-2</v>
      </c>
      <c r="AD196" s="70">
        <v>4.9827985989478456E-2</v>
      </c>
      <c r="AE196" s="70">
        <v>5.4099154319003091E-2</v>
      </c>
      <c r="AF196" s="62">
        <v>5.7569420478257638E-2</v>
      </c>
      <c r="AG196" s="70">
        <v>1.067729969729727E-4</v>
      </c>
      <c r="AH196" s="70">
        <v>6.5481868318556504E-3</v>
      </c>
      <c r="AI196" s="70">
        <v>1.2491277289478459E-2</v>
      </c>
      <c r="AJ196" s="70">
        <v>1.5744933419003088E-2</v>
      </c>
      <c r="AK196" s="62">
        <v>1.7904591478257639E-2</v>
      </c>
    </row>
    <row r="197" spans="2:37" x14ac:dyDescent="0.35">
      <c r="B197" s="54" t="s">
        <v>144</v>
      </c>
      <c r="C197" s="52" t="s">
        <v>232</v>
      </c>
      <c r="D197" s="52" t="s">
        <v>20</v>
      </c>
      <c r="E197" s="52" t="s">
        <v>249</v>
      </c>
      <c r="F197" s="72">
        <f t="shared" si="21"/>
        <v>3.9243371836950675E-2</v>
      </c>
      <c r="G197" s="59">
        <f t="shared" si="21"/>
        <v>4.3982099143030459E-2</v>
      </c>
      <c r="H197" s="59">
        <f t="shared" si="21"/>
        <v>4.9809844454709137E-2</v>
      </c>
      <c r="I197" s="59">
        <f t="shared" si="21"/>
        <v>5.36160589332512E-2</v>
      </c>
      <c r="J197" s="62">
        <f t="shared" si="21"/>
        <v>5.7077127191029926E-2</v>
      </c>
      <c r="K197" s="59">
        <f t="shared" si="22"/>
        <v>1.5347002369506726E-3</v>
      </c>
      <c r="L197" s="59">
        <f t="shared" si="22"/>
        <v>7.2047220430304631E-3</v>
      </c>
      <c r="M197" s="59">
        <f t="shared" si="22"/>
        <v>1.2471200454709144E-2</v>
      </c>
      <c r="N197" s="59">
        <f t="shared" si="22"/>
        <v>1.5282199533251196E-2</v>
      </c>
      <c r="O197" s="62">
        <f t="shared" si="22"/>
        <v>1.7426069291029939E-2</v>
      </c>
      <c r="P197" s="54" t="s">
        <v>518</v>
      </c>
      <c r="Q197" s="52" t="s">
        <v>519</v>
      </c>
      <c r="R197" s="93" t="s">
        <v>32</v>
      </c>
      <c r="S197" s="72">
        <v>4.371357E-2</v>
      </c>
      <c r="T197" s="62">
        <f t="shared" si="20"/>
        <v>6.0962744547091371E-3</v>
      </c>
      <c r="V197" s="113">
        <v>1.1120613800000001</v>
      </c>
      <c r="W197" s="71">
        <v>2.8551375399999999</v>
      </c>
      <c r="X197" s="71">
        <v>4.3903797600000001</v>
      </c>
      <c r="Y197" s="71">
        <v>5.7002732700000003</v>
      </c>
      <c r="Z197" s="114">
        <v>7.3127715100000001</v>
      </c>
      <c r="AB197" s="70">
        <v>3.9243371836950675E-2</v>
      </c>
      <c r="AC197" s="70">
        <v>4.3982099143030459E-2</v>
      </c>
      <c r="AD197" s="70">
        <v>4.9809844454709137E-2</v>
      </c>
      <c r="AE197" s="70">
        <v>5.36160589332512E-2</v>
      </c>
      <c r="AF197" s="62">
        <v>5.7077127191029926E-2</v>
      </c>
      <c r="AG197" s="70">
        <v>1.5347002369506726E-3</v>
      </c>
      <c r="AH197" s="70">
        <v>7.2047220430304631E-3</v>
      </c>
      <c r="AI197" s="70">
        <v>1.2471200454709144E-2</v>
      </c>
      <c r="AJ197" s="70">
        <v>1.5282199533251196E-2</v>
      </c>
      <c r="AK197" s="62">
        <v>1.7426069291029939E-2</v>
      </c>
    </row>
    <row r="198" spans="2:37" x14ac:dyDescent="0.35">
      <c r="B198" s="54" t="s">
        <v>242</v>
      </c>
      <c r="C198" s="52" t="s">
        <v>232</v>
      </c>
      <c r="D198" s="52" t="s">
        <v>43</v>
      </c>
      <c r="E198" s="52" t="s">
        <v>347</v>
      </c>
      <c r="F198" s="72">
        <f t="shared" si="21"/>
        <v>3.7222107422942664E-2</v>
      </c>
      <c r="G198" s="59">
        <f t="shared" si="21"/>
        <v>4.2322644521385039E-2</v>
      </c>
      <c r="H198" s="59">
        <f t="shared" si="21"/>
        <v>4.8762500331448216E-2</v>
      </c>
      <c r="I198" s="59">
        <f t="shared" si="21"/>
        <v>5.3351855566206391E-2</v>
      </c>
      <c r="J198" s="62">
        <f t="shared" si="21"/>
        <v>5.7456627615452144E-2</v>
      </c>
      <c r="K198" s="59" t="str">
        <f t="shared" si="22"/>
        <v/>
      </c>
      <c r="L198" s="59">
        <f t="shared" si="22"/>
        <v>5.6022027213850339E-3</v>
      </c>
      <c r="M198" s="59">
        <f t="shared" si="22"/>
        <v>1.1454420131448217E-2</v>
      </c>
      <c r="N198" s="59">
        <f t="shared" si="22"/>
        <v>1.5009815266206393E-2</v>
      </c>
      <c r="O198" s="62">
        <f t="shared" si="22"/>
        <v>1.7769512715452136E-2</v>
      </c>
      <c r="P198" s="54" t="s">
        <v>520</v>
      </c>
      <c r="Q198" s="52" t="s">
        <v>521</v>
      </c>
      <c r="R198" s="93">
        <v>47492</v>
      </c>
      <c r="S198" s="72">
        <v>4.7266839999999997E-2</v>
      </c>
      <c r="T198" s="62">
        <f t="shared" si="20"/>
        <v>1.4956603314482189E-3</v>
      </c>
      <c r="V198" s="113">
        <v>1.11485408</v>
      </c>
      <c r="W198" s="71">
        <v>2.8676057699999999</v>
      </c>
      <c r="X198" s="71">
        <v>4.4087728500000001</v>
      </c>
      <c r="Y198" s="71">
        <v>5.7144628700000002</v>
      </c>
      <c r="Z198" s="114">
        <v>7.3051640999999998</v>
      </c>
      <c r="AB198" s="70">
        <v>3.7222107422942664E-2</v>
      </c>
      <c r="AC198" s="70">
        <v>4.2322644521385039E-2</v>
      </c>
      <c r="AD198" s="70">
        <v>4.8762500331448216E-2</v>
      </c>
      <c r="AE198" s="70">
        <v>5.3351855566206391E-2</v>
      </c>
      <c r="AF198" s="62">
        <v>5.7456627615452144E-2</v>
      </c>
      <c r="AG198" s="70" t="s">
        <v>21</v>
      </c>
      <c r="AH198" s="70">
        <v>5.6022027213850339E-3</v>
      </c>
      <c r="AI198" s="70">
        <v>1.1454420131448217E-2</v>
      </c>
      <c r="AJ198" s="70">
        <v>1.5009815266206393E-2</v>
      </c>
      <c r="AK198" s="62">
        <v>1.7769512715452136E-2</v>
      </c>
    </row>
    <row r="199" spans="2:37" x14ac:dyDescent="0.35">
      <c r="B199" s="54" t="s">
        <v>244</v>
      </c>
      <c r="C199" s="52" t="s">
        <v>232</v>
      </c>
      <c r="D199" s="52" t="s">
        <v>31</v>
      </c>
      <c r="E199" s="52" t="s">
        <v>21</v>
      </c>
      <c r="F199" s="72">
        <f t="shared" si="21"/>
        <v>3.7261103014545646E-2</v>
      </c>
      <c r="G199" s="59">
        <f t="shared" si="21"/>
        <v>4.2528863526571765E-2</v>
      </c>
      <c r="H199" s="59">
        <f t="shared" si="21"/>
        <v>4.8720076984094383E-2</v>
      </c>
      <c r="I199" s="59">
        <f t="shared" si="21"/>
        <v>5.2498421724489888E-2</v>
      </c>
      <c r="J199" s="62">
        <f t="shared" si="21"/>
        <v>5.6213201402145453E-2</v>
      </c>
      <c r="K199" s="59" t="str">
        <f t="shared" si="22"/>
        <v/>
      </c>
      <c r="L199" s="59">
        <f t="shared" si="22"/>
        <v>5.7975697265717696E-3</v>
      </c>
      <c r="M199" s="59">
        <f t="shared" si="22"/>
        <v>1.1412765784094378E-2</v>
      </c>
      <c r="N199" s="59">
        <f t="shared" si="22"/>
        <v>1.4198305924489884E-2</v>
      </c>
      <c r="O199" s="62">
        <f t="shared" si="22"/>
        <v>1.6579645802145458E-2</v>
      </c>
      <c r="P199" s="54" t="s">
        <v>522</v>
      </c>
      <c r="Q199" s="52" t="s">
        <v>523</v>
      </c>
      <c r="R199" s="93">
        <v>47491</v>
      </c>
      <c r="S199" s="72">
        <v>4.563263E-2</v>
      </c>
      <c r="T199" s="62">
        <f t="shared" si="20"/>
        <v>3.087446984094383E-3</v>
      </c>
      <c r="V199" s="113">
        <v>1.1148002799999999</v>
      </c>
      <c r="W199" s="71">
        <v>2.8659444999999999</v>
      </c>
      <c r="X199" s="71">
        <v>4.4077696399999997</v>
      </c>
      <c r="Y199" s="71">
        <v>5.7259805099999994</v>
      </c>
      <c r="Z199" s="114">
        <v>7.3494789699999989</v>
      </c>
      <c r="AB199" s="70">
        <v>3.7261103014545646E-2</v>
      </c>
      <c r="AC199" s="70">
        <v>4.2528863526571765E-2</v>
      </c>
      <c r="AD199" s="70">
        <v>4.8720076984094383E-2</v>
      </c>
      <c r="AE199" s="70">
        <v>5.2498421724489888E-2</v>
      </c>
      <c r="AF199" s="62">
        <v>5.6213201402145453E-2</v>
      </c>
      <c r="AG199" s="70" t="s">
        <v>21</v>
      </c>
      <c r="AH199" s="70">
        <v>5.7975697265717696E-3</v>
      </c>
      <c r="AI199" s="70">
        <v>1.1412765784094378E-2</v>
      </c>
      <c r="AJ199" s="70">
        <v>1.4198305924489884E-2</v>
      </c>
      <c r="AK199" s="62">
        <v>1.6579645802145458E-2</v>
      </c>
    </row>
    <row r="200" spans="2:37" x14ac:dyDescent="0.35">
      <c r="B200" s="54" t="s">
        <v>151</v>
      </c>
      <c r="C200" s="52" t="s">
        <v>232</v>
      </c>
      <c r="D200" s="52" t="s">
        <v>47</v>
      </c>
      <c r="E200" s="52" t="s">
        <v>140</v>
      </c>
      <c r="F200" s="72">
        <f t="shared" si="21"/>
        <v>3.7507642434762359E-2</v>
      </c>
      <c r="G200" s="59">
        <f t="shared" si="21"/>
        <v>4.2547020817890573E-2</v>
      </c>
      <c r="H200" s="59">
        <f t="shared" si="21"/>
        <v>4.8669842991710517E-2</v>
      </c>
      <c r="I200" s="59">
        <f t="shared" si="21"/>
        <v>5.26878165746342E-2</v>
      </c>
      <c r="J200" s="62">
        <f t="shared" si="21"/>
        <v>5.6955170279103497E-2</v>
      </c>
      <c r="K200" s="59" t="str">
        <f t="shared" si="22"/>
        <v/>
      </c>
      <c r="L200" s="59">
        <f t="shared" si="22"/>
        <v>5.8154234178905799E-3</v>
      </c>
      <c r="M200" s="59">
        <f t="shared" si="22"/>
        <v>1.1365266791710521E-2</v>
      </c>
      <c r="N200" s="59">
        <f t="shared" si="22"/>
        <v>1.4378037974634199E-2</v>
      </c>
      <c r="O200" s="62">
        <f t="shared" si="22"/>
        <v>1.728653587910349E-2</v>
      </c>
      <c r="P200" s="54" t="s">
        <v>524</v>
      </c>
      <c r="Q200" s="52" t="s">
        <v>525</v>
      </c>
      <c r="R200" s="93" t="s">
        <v>32</v>
      </c>
      <c r="S200" s="72">
        <v>4.3111050000000005E-2</v>
      </c>
      <c r="T200" s="62">
        <f t="shared" si="20"/>
        <v>5.5587929917105122E-3</v>
      </c>
      <c r="V200" s="113">
        <v>1.1143291499999999</v>
      </c>
      <c r="W200" s="71">
        <v>2.86500515</v>
      </c>
      <c r="X200" s="71">
        <v>4.4073595299999999</v>
      </c>
      <c r="Y200" s="71">
        <v>5.7232255900000002</v>
      </c>
      <c r="Z200" s="114">
        <v>7.3290826500000001</v>
      </c>
      <c r="AB200" s="70">
        <v>3.7507642434762359E-2</v>
      </c>
      <c r="AC200" s="70">
        <v>4.2547020817890573E-2</v>
      </c>
      <c r="AD200" s="70">
        <v>4.8669842991710517E-2</v>
      </c>
      <c r="AE200" s="70">
        <v>5.26878165746342E-2</v>
      </c>
      <c r="AF200" s="62">
        <v>5.6955170279103497E-2</v>
      </c>
      <c r="AG200" s="70" t="s">
        <v>21</v>
      </c>
      <c r="AH200" s="70">
        <v>5.8154234178905799E-3</v>
      </c>
      <c r="AI200" s="70">
        <v>1.1365266791710521E-2</v>
      </c>
      <c r="AJ200" s="70">
        <v>1.4378037974634199E-2</v>
      </c>
      <c r="AK200" s="62">
        <v>1.728653587910349E-2</v>
      </c>
    </row>
    <row r="201" spans="2:37" x14ac:dyDescent="0.35">
      <c r="B201" s="54" t="s">
        <v>145</v>
      </c>
      <c r="C201" s="52" t="s">
        <v>232</v>
      </c>
      <c r="D201" s="52" t="s">
        <v>69</v>
      </c>
      <c r="E201" s="52" t="s">
        <v>342</v>
      </c>
      <c r="F201" s="72">
        <f t="shared" si="21"/>
        <v>3.7345297259140341E-2</v>
      </c>
      <c r="G201" s="59">
        <f t="shared" si="21"/>
        <v>4.235446640859819E-2</v>
      </c>
      <c r="H201" s="59">
        <f t="shared" si="21"/>
        <v>4.8663778187927748E-2</v>
      </c>
      <c r="I201" s="59">
        <f t="shared" si="21"/>
        <v>5.2681843606713852E-2</v>
      </c>
      <c r="J201" s="62">
        <f t="shared" si="21"/>
        <v>5.7311654453113495E-2</v>
      </c>
      <c r="K201" s="59" t="str">
        <f t="shared" si="22"/>
        <v/>
      </c>
      <c r="L201" s="59">
        <f t="shared" si="22"/>
        <v>5.6313110085981916E-3</v>
      </c>
      <c r="M201" s="59">
        <f t="shared" si="22"/>
        <v>1.1359410087927745E-2</v>
      </c>
      <c r="N201" s="59">
        <f t="shared" si="22"/>
        <v>1.4372634306713851E-2</v>
      </c>
      <c r="O201" s="62">
        <f t="shared" si="22"/>
        <v>1.7625746853113501E-2</v>
      </c>
      <c r="P201" s="54" t="s">
        <v>526</v>
      </c>
      <c r="Q201" s="52" t="s">
        <v>527</v>
      </c>
      <c r="R201" s="93" t="s">
        <v>32</v>
      </c>
      <c r="S201" s="72">
        <v>4.8038900000000002E-2</v>
      </c>
      <c r="T201" s="62">
        <f t="shared" si="20"/>
        <v>6.2487818792774513E-4</v>
      </c>
      <c r="V201" s="113">
        <v>1.11463826</v>
      </c>
      <c r="W201" s="71">
        <v>2.8664631799999998</v>
      </c>
      <c r="X201" s="71">
        <v>4.40923234</v>
      </c>
      <c r="Y201" s="71">
        <v>5.7249565099999993</v>
      </c>
      <c r="Z201" s="114">
        <v>7.32261411</v>
      </c>
      <c r="AB201" s="70">
        <v>3.7345297259140341E-2</v>
      </c>
      <c r="AC201" s="70">
        <v>4.235446640859819E-2</v>
      </c>
      <c r="AD201" s="70">
        <v>4.8663778187927748E-2</v>
      </c>
      <c r="AE201" s="70">
        <v>5.2681843606713852E-2</v>
      </c>
      <c r="AF201" s="62">
        <v>5.7311654453113495E-2</v>
      </c>
      <c r="AG201" s="70" t="s">
        <v>21</v>
      </c>
      <c r="AH201" s="70">
        <v>5.6313110085981916E-3</v>
      </c>
      <c r="AI201" s="70">
        <v>1.1359410087927745E-2</v>
      </c>
      <c r="AJ201" s="70">
        <v>1.4372634306713851E-2</v>
      </c>
      <c r="AK201" s="62">
        <v>1.7625746853113501E-2</v>
      </c>
    </row>
    <row r="202" spans="2:37" x14ac:dyDescent="0.35">
      <c r="B202" s="54" t="s">
        <v>239</v>
      </c>
      <c r="C202" s="52" t="s">
        <v>232</v>
      </c>
      <c r="D202" s="52" t="s">
        <v>69</v>
      </c>
      <c r="E202" s="52" t="s">
        <v>123</v>
      </c>
      <c r="F202" s="72">
        <f t="shared" si="21"/>
        <v>3.7009214811455624E-2</v>
      </c>
      <c r="G202" s="59">
        <f t="shared" si="21"/>
        <v>4.2074165970670777E-2</v>
      </c>
      <c r="H202" s="59">
        <f t="shared" si="21"/>
        <v>4.8648222533882741E-2</v>
      </c>
      <c r="I202" s="59">
        <f t="shared" si="21"/>
        <v>5.2905102657597541E-2</v>
      </c>
      <c r="J202" s="62">
        <f t="shared" si="21"/>
        <v>5.668139368544875E-2</v>
      </c>
      <c r="K202" s="59" t="str">
        <f t="shared" si="22"/>
        <v/>
      </c>
      <c r="L202" s="59">
        <f t="shared" si="22"/>
        <v>5.3657832706707747E-3</v>
      </c>
      <c r="M202" s="59">
        <f t="shared" si="22"/>
        <v>1.1346413933882735E-2</v>
      </c>
      <c r="N202" s="59">
        <f t="shared" si="22"/>
        <v>1.4586617257597542E-2</v>
      </c>
      <c r="O202" s="62">
        <f t="shared" si="22"/>
        <v>1.7031216185448738E-2</v>
      </c>
      <c r="P202" s="54" t="s">
        <v>528</v>
      </c>
      <c r="Q202" s="52" t="s">
        <v>529</v>
      </c>
      <c r="R202" s="93" t="s">
        <v>32</v>
      </c>
      <c r="S202" s="72">
        <v>4.8398760000000006E-2</v>
      </c>
      <c r="T202" s="62">
        <f t="shared" si="20"/>
        <v>2.4946253388273554E-4</v>
      </c>
      <c r="V202" s="113">
        <v>1.1152413700000001</v>
      </c>
      <c r="W202" s="71">
        <v>2.8695128400000001</v>
      </c>
      <c r="X202" s="71">
        <v>4.41280158</v>
      </c>
      <c r="Y202" s="71">
        <v>5.7250721799999997</v>
      </c>
      <c r="Z202" s="114">
        <v>7.3346128200000003</v>
      </c>
      <c r="AB202" s="70">
        <v>3.7009214811455624E-2</v>
      </c>
      <c r="AC202" s="70">
        <v>4.2074165970670777E-2</v>
      </c>
      <c r="AD202" s="70">
        <v>4.8648222533882741E-2</v>
      </c>
      <c r="AE202" s="70">
        <v>5.2905102657597541E-2</v>
      </c>
      <c r="AF202" s="62">
        <v>5.668139368544875E-2</v>
      </c>
      <c r="AG202" s="70" t="s">
        <v>21</v>
      </c>
      <c r="AH202" s="70">
        <v>5.3657832706707747E-3</v>
      </c>
      <c r="AI202" s="70">
        <v>1.1346413933882735E-2</v>
      </c>
      <c r="AJ202" s="70">
        <v>1.4586617257597542E-2</v>
      </c>
      <c r="AK202" s="62">
        <v>1.7031216185448738E-2</v>
      </c>
    </row>
    <row r="203" spans="2:37" x14ac:dyDescent="0.35">
      <c r="B203" s="54" t="s">
        <v>340</v>
      </c>
      <c r="C203" s="52" t="s">
        <v>232</v>
      </c>
      <c r="D203" s="52" t="s">
        <v>20</v>
      </c>
      <c r="E203" s="52" t="s">
        <v>243</v>
      </c>
      <c r="F203" s="72">
        <f t="shared" si="21"/>
        <v>3.8184287227551357E-2</v>
      </c>
      <c r="G203" s="59">
        <f t="shared" si="21"/>
        <v>4.3355906163236153E-2</v>
      </c>
      <c r="H203" s="59">
        <f t="shared" si="21"/>
        <v>4.9642220122687347E-2</v>
      </c>
      <c r="I203" s="59">
        <f t="shared" si="21"/>
        <v>5.3220805562771929E-2</v>
      </c>
      <c r="J203" s="62">
        <f t="shared" si="21"/>
        <v>5.6616194579743269E-2</v>
      </c>
      <c r="K203" s="59">
        <f t="shared" si="22"/>
        <v>5.1249752755135828E-4</v>
      </c>
      <c r="L203" s="59">
        <f t="shared" si="22"/>
        <v>6.6051053632361582E-3</v>
      </c>
      <c r="M203" s="59">
        <f t="shared" si="22"/>
        <v>1.2310760722687341E-2</v>
      </c>
      <c r="N203" s="59">
        <f t="shared" si="22"/>
        <v>1.4908458162771926E-2</v>
      </c>
      <c r="O203" s="62">
        <f t="shared" si="22"/>
        <v>1.6987133279743275E-2</v>
      </c>
      <c r="P203" s="54" t="s">
        <v>21</v>
      </c>
      <c r="Q203" s="52" t="s">
        <v>21</v>
      </c>
      <c r="R203" s="93" t="s">
        <v>21</v>
      </c>
      <c r="S203" s="72" t="s">
        <v>21</v>
      </c>
      <c r="T203" s="62" t="str">
        <f t="shared" si="20"/>
        <v/>
      </c>
      <c r="V203" s="113">
        <v>1.11409004</v>
      </c>
      <c r="W203" s="71">
        <v>2.86357632</v>
      </c>
      <c r="X203" s="71">
        <v>4.4010976099999999</v>
      </c>
      <c r="Y203" s="71">
        <v>5.7135831999999995</v>
      </c>
      <c r="Z203" s="114">
        <v>7.3378516600000001</v>
      </c>
      <c r="AB203" s="70">
        <v>3.8184287227551357E-2</v>
      </c>
      <c r="AC203" s="70">
        <v>4.3355906163236153E-2</v>
      </c>
      <c r="AD203" s="70">
        <v>4.9642220122687347E-2</v>
      </c>
      <c r="AE203" s="70">
        <v>5.3220805562771929E-2</v>
      </c>
      <c r="AF203" s="62">
        <v>5.6616194579743269E-2</v>
      </c>
      <c r="AG203" s="70">
        <v>5.1249752755135828E-4</v>
      </c>
      <c r="AH203" s="70">
        <v>6.6051053632361582E-3</v>
      </c>
      <c r="AI203" s="70">
        <v>1.2310760722687341E-2</v>
      </c>
      <c r="AJ203" s="70">
        <v>1.4908458162771926E-2</v>
      </c>
      <c r="AK203" s="62">
        <v>1.6987133279743275E-2</v>
      </c>
    </row>
    <row r="204" spans="2:37" x14ac:dyDescent="0.35">
      <c r="B204" s="54" t="s">
        <v>176</v>
      </c>
      <c r="C204" s="52" t="s">
        <v>232</v>
      </c>
      <c r="D204" s="52" t="s">
        <v>47</v>
      </c>
      <c r="E204" s="52" t="s">
        <v>21</v>
      </c>
      <c r="F204" s="72">
        <f t="shared" si="21"/>
        <v>3.7114832783320867E-2</v>
      </c>
      <c r="G204" s="59">
        <f t="shared" si="21"/>
        <v>4.1926212336481965E-2</v>
      </c>
      <c r="H204" s="59">
        <f t="shared" si="21"/>
        <v>4.8597734820740299E-2</v>
      </c>
      <c r="I204" s="59">
        <f t="shared" si="21"/>
        <v>5.2950305388648915E-2</v>
      </c>
      <c r="J204" s="62">
        <f t="shared" si="21"/>
        <v>5.7439718322239014E-2</v>
      </c>
      <c r="K204" s="59" t="str">
        <f t="shared" si="22"/>
        <v/>
      </c>
      <c r="L204" s="59">
        <f t="shared" si="22"/>
        <v>5.2230290364819612E-3</v>
      </c>
      <c r="M204" s="59">
        <f t="shared" si="22"/>
        <v>1.1297828520740301E-2</v>
      </c>
      <c r="N204" s="59">
        <f t="shared" si="22"/>
        <v>1.4630429888648919E-2</v>
      </c>
      <c r="O204" s="62">
        <f t="shared" si="22"/>
        <v>1.7754147022239024E-2</v>
      </c>
      <c r="P204" s="54" t="s">
        <v>21</v>
      </c>
      <c r="Q204" s="52" t="s">
        <v>21</v>
      </c>
      <c r="R204" s="93" t="s">
        <v>21</v>
      </c>
      <c r="S204" s="72" t="s">
        <v>21</v>
      </c>
      <c r="T204" s="62" t="str">
        <f t="shared" si="20"/>
        <v/>
      </c>
      <c r="V204" s="113">
        <v>1.1150661100000001</v>
      </c>
      <c r="W204" s="71">
        <v>2.87034594</v>
      </c>
      <c r="X204" s="71">
        <v>4.4145813</v>
      </c>
      <c r="Y204" s="71">
        <v>5.7267518500000003</v>
      </c>
      <c r="Z204" s="114">
        <v>7.3204946600000005</v>
      </c>
      <c r="AB204" s="70">
        <v>3.7114832783320867E-2</v>
      </c>
      <c r="AC204" s="70">
        <v>4.1926212336481965E-2</v>
      </c>
      <c r="AD204" s="70">
        <v>4.8597734820740299E-2</v>
      </c>
      <c r="AE204" s="70">
        <v>5.2950305388648915E-2</v>
      </c>
      <c r="AF204" s="62">
        <v>5.7439718322239014E-2</v>
      </c>
      <c r="AG204" s="70" t="s">
        <v>21</v>
      </c>
      <c r="AH204" s="70">
        <v>5.2230290364819612E-3</v>
      </c>
      <c r="AI204" s="70">
        <v>1.1297828520740301E-2</v>
      </c>
      <c r="AJ204" s="70">
        <v>1.4630429888648919E-2</v>
      </c>
      <c r="AK204" s="62">
        <v>1.7754147022239024E-2</v>
      </c>
    </row>
    <row r="205" spans="2:37" x14ac:dyDescent="0.35">
      <c r="B205" s="54" t="s">
        <v>146</v>
      </c>
      <c r="C205" s="52" t="s">
        <v>232</v>
      </c>
      <c r="D205" s="52" t="s">
        <v>69</v>
      </c>
      <c r="E205" s="52" t="s">
        <v>128</v>
      </c>
      <c r="F205" s="72">
        <f t="shared" si="21"/>
        <v>3.6977920661407176E-2</v>
      </c>
      <c r="G205" s="59">
        <f t="shared" si="21"/>
        <v>4.2108325133781536E-2</v>
      </c>
      <c r="H205" s="59">
        <f t="shared" si="21"/>
        <v>4.8549299791493881E-2</v>
      </c>
      <c r="I205" s="59">
        <f t="shared" si="21"/>
        <v>5.2617172899641219E-2</v>
      </c>
      <c r="J205" s="62">
        <f t="shared" si="21"/>
        <v>5.6658007169524044E-2</v>
      </c>
      <c r="K205" s="59" t="str">
        <f t="shared" si="22"/>
        <v/>
      </c>
      <c r="L205" s="59">
        <f t="shared" si="22"/>
        <v>5.3971045337815309E-3</v>
      </c>
      <c r="M205" s="59">
        <f t="shared" si="22"/>
        <v>1.1251341391493884E-2</v>
      </c>
      <c r="N205" s="59">
        <f t="shared" si="22"/>
        <v>1.431227549964122E-2</v>
      </c>
      <c r="O205" s="62">
        <f t="shared" si="22"/>
        <v>1.7006123469524053E-2</v>
      </c>
      <c r="P205" s="54" t="s">
        <v>530</v>
      </c>
      <c r="Q205" s="52" t="s">
        <v>531</v>
      </c>
      <c r="R205" s="93" t="s">
        <v>32</v>
      </c>
      <c r="S205" s="72">
        <v>4.5133270000000003E-2</v>
      </c>
      <c r="T205" s="62">
        <f t="shared" si="20"/>
        <v>3.4160297914938784E-3</v>
      </c>
      <c r="V205" s="113">
        <v>1.11531924</v>
      </c>
      <c r="W205" s="71">
        <v>2.8694470299999999</v>
      </c>
      <c r="X205" s="71">
        <v>4.4136642099999994</v>
      </c>
      <c r="Y205" s="71">
        <v>5.7300750200000001</v>
      </c>
      <c r="Z205" s="114">
        <v>7.3417018199999999</v>
      </c>
      <c r="AB205" s="70">
        <v>3.6977920661407176E-2</v>
      </c>
      <c r="AC205" s="70">
        <v>4.2108325133781536E-2</v>
      </c>
      <c r="AD205" s="70">
        <v>4.8549299791493881E-2</v>
      </c>
      <c r="AE205" s="70">
        <v>5.2617172899641219E-2</v>
      </c>
      <c r="AF205" s="62">
        <v>5.6658007169524044E-2</v>
      </c>
      <c r="AG205" s="70" t="s">
        <v>21</v>
      </c>
      <c r="AH205" s="70">
        <v>5.3971045337815309E-3</v>
      </c>
      <c r="AI205" s="70">
        <v>1.1251341391493884E-2</v>
      </c>
      <c r="AJ205" s="70">
        <v>1.431227549964122E-2</v>
      </c>
      <c r="AK205" s="62">
        <v>1.7006123469524053E-2</v>
      </c>
    </row>
    <row r="206" spans="2:37" x14ac:dyDescent="0.35">
      <c r="B206" s="54" t="s">
        <v>325</v>
      </c>
      <c r="C206" s="52" t="s">
        <v>232</v>
      </c>
      <c r="D206" s="52" t="s">
        <v>167</v>
      </c>
      <c r="E206" s="52" t="s">
        <v>81</v>
      </c>
      <c r="F206" s="72">
        <f t="shared" si="21"/>
        <v>3.759935710769801E-2</v>
      </c>
      <c r="G206" s="59">
        <f t="shared" si="21"/>
        <v>4.276262990689108E-2</v>
      </c>
      <c r="H206" s="59">
        <f t="shared" si="21"/>
        <v>4.9479249219239733E-2</v>
      </c>
      <c r="I206" s="59">
        <f t="shared" si="21"/>
        <v>5.4568734267333698E-2</v>
      </c>
      <c r="J206" s="62">
        <f t="shared" si="21"/>
        <v>5.8289978818205586E-2</v>
      </c>
      <c r="K206" s="59" t="str">
        <f t="shared" si="22"/>
        <v/>
      </c>
      <c r="L206" s="59">
        <f t="shared" si="22"/>
        <v>6.0450005068910769E-3</v>
      </c>
      <c r="M206" s="59">
        <f t="shared" si="22"/>
        <v>1.2161105719239734E-2</v>
      </c>
      <c r="N206" s="59">
        <f t="shared" si="22"/>
        <v>1.6192901367333701E-2</v>
      </c>
      <c r="O206" s="62">
        <f t="shared" si="22"/>
        <v>1.8594273418205572E-2</v>
      </c>
      <c r="P206" s="54" t="s">
        <v>379</v>
      </c>
      <c r="Q206" s="52" t="s">
        <v>380</v>
      </c>
      <c r="R206" s="93">
        <v>47588</v>
      </c>
      <c r="S206" s="72">
        <v>4.6437020000000002E-2</v>
      </c>
      <c r="T206" s="62">
        <f t="shared" si="20"/>
        <v>3.042229219239731E-3</v>
      </c>
      <c r="V206" s="113">
        <v>1.1151043899999999</v>
      </c>
      <c r="W206" s="71">
        <v>2.8684510699999999</v>
      </c>
      <c r="X206" s="71">
        <v>4.40811054</v>
      </c>
      <c r="Y206" s="71">
        <v>5.7029530099999999</v>
      </c>
      <c r="Z206" s="114">
        <v>7.2812555000000003</v>
      </c>
      <c r="AB206" s="70">
        <v>3.759935710769801E-2</v>
      </c>
      <c r="AC206" s="70">
        <v>4.276262990689108E-2</v>
      </c>
      <c r="AD206" s="70">
        <v>4.9479249219239733E-2</v>
      </c>
      <c r="AE206" s="70">
        <v>5.4568734267333698E-2</v>
      </c>
      <c r="AF206" s="62">
        <v>5.8289978818205586E-2</v>
      </c>
      <c r="AG206" s="70" t="s">
        <v>21</v>
      </c>
      <c r="AH206" s="70">
        <v>6.0450005068910769E-3</v>
      </c>
      <c r="AI206" s="70">
        <v>1.2161105719239734E-2</v>
      </c>
      <c r="AJ206" s="70">
        <v>1.6192901367333701E-2</v>
      </c>
      <c r="AK206" s="62">
        <v>1.8594273418205572E-2</v>
      </c>
    </row>
    <row r="207" spans="2:37" x14ac:dyDescent="0.35">
      <c r="B207" s="54" t="s">
        <v>354</v>
      </c>
      <c r="C207" s="52" t="s">
        <v>232</v>
      </c>
      <c r="D207" s="52" t="s">
        <v>20</v>
      </c>
      <c r="E207" s="52" t="s">
        <v>21</v>
      </c>
      <c r="F207" s="72">
        <f t="shared" si="21"/>
        <v>3.8328285636904096E-2</v>
      </c>
      <c r="G207" s="59">
        <f t="shared" si="21"/>
        <v>4.3378651306881288E-2</v>
      </c>
      <c r="H207" s="59">
        <f t="shared" si="21"/>
        <v>4.9139489036120206E-2</v>
      </c>
      <c r="I207" s="59">
        <f t="shared" si="21"/>
        <v>5.2695344124190045E-2</v>
      </c>
      <c r="J207" s="62">
        <f t="shared" si="21"/>
        <v>5.5982643060868087E-2</v>
      </c>
      <c r="K207" s="59">
        <f t="shared" si="22"/>
        <v>6.4759363690409556E-4</v>
      </c>
      <c r="L207" s="59">
        <f t="shared" si="22"/>
        <v>6.6254993068812877E-3</v>
      </c>
      <c r="M207" s="59">
        <f t="shared" si="22"/>
        <v>1.183172393612021E-2</v>
      </c>
      <c r="N207" s="59">
        <f t="shared" si="22"/>
        <v>1.4406847824190043E-2</v>
      </c>
      <c r="O207" s="62">
        <f t="shared" si="22"/>
        <v>1.6378064160868094E-2</v>
      </c>
      <c r="P207" s="54" t="s">
        <v>393</v>
      </c>
      <c r="Q207" s="52" t="s">
        <v>394</v>
      </c>
      <c r="R207" s="93" t="s">
        <v>32</v>
      </c>
      <c r="S207" s="72">
        <v>4.4948719999999998E-2</v>
      </c>
      <c r="T207" s="62">
        <f t="shared" si="20"/>
        <v>4.190769036120208E-3</v>
      </c>
      <c r="V207" s="113">
        <v>1.1137988999999999</v>
      </c>
      <c r="W207" s="71">
        <v>2.8629977499999999</v>
      </c>
      <c r="X207" s="71">
        <v>4.4053835899999996</v>
      </c>
      <c r="Y207" s="71">
        <v>5.7269863499999998</v>
      </c>
      <c r="Z207" s="114">
        <v>7.3695568800000002</v>
      </c>
      <c r="AB207" s="70">
        <v>3.8328285636904096E-2</v>
      </c>
      <c r="AC207" s="70">
        <v>4.3378651306881288E-2</v>
      </c>
      <c r="AD207" s="70">
        <v>4.9139489036120206E-2</v>
      </c>
      <c r="AE207" s="70">
        <v>5.2695344124190045E-2</v>
      </c>
      <c r="AF207" s="62">
        <v>5.5982643060868087E-2</v>
      </c>
      <c r="AG207" s="70">
        <v>6.4759363690409556E-4</v>
      </c>
      <c r="AH207" s="70">
        <v>6.6254993068812877E-3</v>
      </c>
      <c r="AI207" s="70">
        <v>1.183172393612021E-2</v>
      </c>
      <c r="AJ207" s="70">
        <v>1.4406847824190043E-2</v>
      </c>
      <c r="AK207" s="62">
        <v>1.6378064160868094E-2</v>
      </c>
    </row>
    <row r="208" spans="2:37" x14ac:dyDescent="0.35">
      <c r="B208" s="54" t="s">
        <v>336</v>
      </c>
      <c r="C208" s="52" t="s">
        <v>232</v>
      </c>
      <c r="D208" s="52" t="s">
        <v>69</v>
      </c>
      <c r="E208" s="52" t="s">
        <v>128</v>
      </c>
      <c r="F208" s="72">
        <f t="shared" si="21"/>
        <v>3.7050535661782825E-2</v>
      </c>
      <c r="G208" s="59">
        <f t="shared" si="21"/>
        <v>4.2173764548984069E-2</v>
      </c>
      <c r="H208" s="59">
        <f t="shared" si="21"/>
        <v>4.7991653659450989E-2</v>
      </c>
      <c r="I208" s="59">
        <f t="shared" si="21"/>
        <v>5.182989138510595E-2</v>
      </c>
      <c r="J208" s="62">
        <f t="shared" si="21"/>
        <v>5.589752098461729E-2</v>
      </c>
      <c r="K208" s="59" t="str">
        <f t="shared" si="22"/>
        <v/>
      </c>
      <c r="L208" s="59">
        <f t="shared" si="22"/>
        <v>5.4585872489840686E-3</v>
      </c>
      <c r="M208" s="59">
        <f t="shared" si="22"/>
        <v>1.0719649259450984E-2</v>
      </c>
      <c r="N208" s="59">
        <f t="shared" si="22"/>
        <v>1.3562090485105947E-2</v>
      </c>
      <c r="O208" s="62">
        <f t="shared" si="22"/>
        <v>1.627632818461729E-2</v>
      </c>
      <c r="P208" s="54" t="s">
        <v>21</v>
      </c>
      <c r="Q208" s="52" t="s">
        <v>21</v>
      </c>
      <c r="R208" s="93" t="s">
        <v>21</v>
      </c>
      <c r="S208" s="72" t="s">
        <v>21</v>
      </c>
      <c r="T208" s="62" t="str">
        <f t="shared" si="20"/>
        <v/>
      </c>
      <c r="V208" s="113">
        <v>1.1151971599999999</v>
      </c>
      <c r="W208" s="71">
        <v>2.8688355900000002</v>
      </c>
      <c r="X208" s="71">
        <v>4.4185129199999995</v>
      </c>
      <c r="Y208" s="71">
        <v>5.7469078900000001</v>
      </c>
      <c r="Z208" s="114">
        <v>7.3789744600000002</v>
      </c>
      <c r="AB208" s="70">
        <v>3.7050535661782825E-2</v>
      </c>
      <c r="AC208" s="70">
        <v>4.2173764548984069E-2</v>
      </c>
      <c r="AD208" s="70">
        <v>4.7991653659450989E-2</v>
      </c>
      <c r="AE208" s="70">
        <v>5.182989138510595E-2</v>
      </c>
      <c r="AF208" s="62">
        <v>5.589752098461729E-2</v>
      </c>
      <c r="AG208" s="70" t="s">
        <v>21</v>
      </c>
      <c r="AH208" s="70">
        <v>5.4585872489840686E-3</v>
      </c>
      <c r="AI208" s="70">
        <v>1.0719649259450984E-2</v>
      </c>
      <c r="AJ208" s="70">
        <v>1.3562090485105947E-2</v>
      </c>
      <c r="AK208" s="62">
        <v>1.627632818461729E-2</v>
      </c>
    </row>
    <row r="209" spans="2:37" x14ac:dyDescent="0.35">
      <c r="B209" s="54" t="s">
        <v>348</v>
      </c>
      <c r="C209" s="52" t="s">
        <v>232</v>
      </c>
      <c r="D209" s="52" t="s">
        <v>20</v>
      </c>
      <c r="E209" s="52" t="s">
        <v>532</v>
      </c>
      <c r="F209" s="72">
        <f t="shared" si="21"/>
        <v>3.7721071664330648E-2</v>
      </c>
      <c r="G209" s="59">
        <f t="shared" si="21"/>
        <v>4.2483230851167834E-2</v>
      </c>
      <c r="H209" s="59">
        <f t="shared" si="21"/>
        <v>4.8679590832552272E-2</v>
      </c>
      <c r="I209" s="59">
        <f t="shared" si="21"/>
        <v>5.2706980889444865E-2</v>
      </c>
      <c r="J209" s="62">
        <f t="shared" si="21"/>
        <v>5.5948197389735783E-2</v>
      </c>
      <c r="K209" s="59">
        <f t="shared" si="22"/>
        <v>7.9129864330650286E-5</v>
      </c>
      <c r="L209" s="59">
        <f t="shared" si="22"/>
        <v>5.776947651167829E-3</v>
      </c>
      <c r="M209" s="59">
        <f t="shared" si="22"/>
        <v>1.1398934932552268E-2</v>
      </c>
      <c r="N209" s="59">
        <f t="shared" si="22"/>
        <v>1.4421393789444858E-2</v>
      </c>
      <c r="O209" s="62">
        <f t="shared" si="22"/>
        <v>1.6353547289735784E-2</v>
      </c>
      <c r="P209" s="54" t="s">
        <v>387</v>
      </c>
      <c r="Q209" s="52" t="s">
        <v>388</v>
      </c>
      <c r="R209" s="93">
        <v>47529</v>
      </c>
      <c r="S209" s="72">
        <v>4.5693060000000001E-2</v>
      </c>
      <c r="T209" s="62">
        <f t="shared" si="20"/>
        <v>2.9865308325522713E-3</v>
      </c>
      <c r="V209" s="113">
        <v>1.11487684</v>
      </c>
      <c r="W209" s="71">
        <v>2.86987894</v>
      </c>
      <c r="X209" s="71">
        <v>4.4185975400000004</v>
      </c>
      <c r="Y209" s="71">
        <v>5.74217069</v>
      </c>
      <c r="Z209" s="114">
        <v>7.37978544</v>
      </c>
      <c r="AB209" s="70">
        <v>3.7721071664330648E-2</v>
      </c>
      <c r="AC209" s="70">
        <v>4.2483230851167834E-2</v>
      </c>
      <c r="AD209" s="70">
        <v>4.8679590832552272E-2</v>
      </c>
      <c r="AE209" s="70">
        <v>5.2706980889444865E-2</v>
      </c>
      <c r="AF209" s="62">
        <v>5.5948197389735783E-2</v>
      </c>
      <c r="AG209" s="70">
        <v>7.9129864330650286E-5</v>
      </c>
      <c r="AH209" s="70">
        <v>5.776947651167829E-3</v>
      </c>
      <c r="AI209" s="70">
        <v>1.1398934932552268E-2</v>
      </c>
      <c r="AJ209" s="70">
        <v>1.4421393789444858E-2</v>
      </c>
      <c r="AK209" s="62">
        <v>1.6353547289735784E-2</v>
      </c>
    </row>
    <row r="210" spans="2:37" x14ac:dyDescent="0.35">
      <c r="B210" s="54" t="s">
        <v>251</v>
      </c>
      <c r="C210" s="52" t="s">
        <v>232</v>
      </c>
      <c r="D210" s="52" t="s">
        <v>53</v>
      </c>
      <c r="E210" s="52" t="s">
        <v>125</v>
      </c>
      <c r="F210" s="72">
        <f t="shared" si="21"/>
        <v>3.6791493121775473E-2</v>
      </c>
      <c r="G210" s="59">
        <f t="shared" si="21"/>
        <v>4.1632575116394517E-2</v>
      </c>
      <c r="H210" s="59">
        <f t="shared" si="21"/>
        <v>4.7509222867452169E-2</v>
      </c>
      <c r="I210" s="59">
        <f t="shared" si="21"/>
        <v>5.1260567743352643E-2</v>
      </c>
      <c r="J210" s="62">
        <f t="shared" si="21"/>
        <v>5.4950518367243219E-2</v>
      </c>
      <c r="K210" s="59" t="str">
        <f t="shared" si="22"/>
        <v/>
      </c>
      <c r="L210" s="59">
        <f t="shared" si="22"/>
        <v>4.9425118163945181E-3</v>
      </c>
      <c r="M210" s="59">
        <f t="shared" si="22"/>
        <v>1.0261026467452168E-2</v>
      </c>
      <c r="N210" s="59">
        <f t="shared" si="22"/>
        <v>1.3021228143352642E-2</v>
      </c>
      <c r="O210" s="62">
        <f t="shared" si="22"/>
        <v>1.5372882667243222E-2</v>
      </c>
      <c r="P210" s="54" t="s">
        <v>533</v>
      </c>
      <c r="Q210" s="52" t="s">
        <v>534</v>
      </c>
      <c r="R210" s="93" t="s">
        <v>32</v>
      </c>
      <c r="S210" s="72">
        <v>4.7178909999999998E-2</v>
      </c>
      <c r="T210" s="62">
        <f t="shared" si="20"/>
        <v>3.3031286745217187E-4</v>
      </c>
      <c r="V210" s="113">
        <v>1.11567343</v>
      </c>
      <c r="W210" s="71">
        <v>2.8733613500000001</v>
      </c>
      <c r="X210" s="71">
        <v>4.4287522500000005</v>
      </c>
      <c r="Y210" s="71">
        <v>5.7652067100000002</v>
      </c>
      <c r="Z210" s="114">
        <v>7.4197421099999996</v>
      </c>
      <c r="AB210" s="70">
        <v>3.6791493121775473E-2</v>
      </c>
      <c r="AC210" s="70">
        <v>4.1632575116394517E-2</v>
      </c>
      <c r="AD210" s="70">
        <v>4.7509222867452169E-2</v>
      </c>
      <c r="AE210" s="70">
        <v>5.1260567743352643E-2</v>
      </c>
      <c r="AF210" s="62">
        <v>5.4950518367243219E-2</v>
      </c>
      <c r="AG210" s="70" t="s">
        <v>21</v>
      </c>
      <c r="AH210" s="70">
        <v>4.9425118163945181E-3</v>
      </c>
      <c r="AI210" s="70">
        <v>1.0261026467452168E-2</v>
      </c>
      <c r="AJ210" s="70">
        <v>1.3021228143352642E-2</v>
      </c>
      <c r="AK210" s="62">
        <v>1.5372882667243222E-2</v>
      </c>
    </row>
    <row r="211" spans="2:37" x14ac:dyDescent="0.35">
      <c r="B211" s="54" t="s">
        <v>143</v>
      </c>
      <c r="C211" s="52" t="s">
        <v>232</v>
      </c>
      <c r="D211" s="52" t="s">
        <v>20</v>
      </c>
      <c r="E211" s="52" t="s">
        <v>57</v>
      </c>
      <c r="F211" s="72">
        <f t="shared" si="21"/>
        <v>3.7855696022915553E-2</v>
      </c>
      <c r="G211" s="59">
        <f t="shared" si="21"/>
        <v>4.2465987536040882E-2</v>
      </c>
      <c r="H211" s="59">
        <f t="shared" si="21"/>
        <v>4.8502441523830632E-2</v>
      </c>
      <c r="I211" s="59">
        <f t="shared" si="21"/>
        <v>5.2229172387966635E-2</v>
      </c>
      <c r="J211" s="62">
        <f t="shared" si="21"/>
        <v>5.5935180021045604E-2</v>
      </c>
      <c r="K211" s="59">
        <f t="shared" si="22"/>
        <v>2.1363082291555886E-4</v>
      </c>
      <c r="L211" s="59">
        <f t="shared" si="22"/>
        <v>5.7628116360408793E-3</v>
      </c>
      <c r="M211" s="59">
        <f t="shared" si="22"/>
        <v>1.1232153223830633E-2</v>
      </c>
      <c r="N211" s="59">
        <f t="shared" si="22"/>
        <v>1.3970314987966637E-2</v>
      </c>
      <c r="O211" s="62">
        <f t="shared" si="22"/>
        <v>1.6340627221045609E-2</v>
      </c>
      <c r="P211" s="54" t="s">
        <v>535</v>
      </c>
      <c r="Q211" s="52" t="s">
        <v>536</v>
      </c>
      <c r="R211" s="93">
        <v>47498</v>
      </c>
      <c r="S211" s="72">
        <v>4.5631319999999996E-2</v>
      </c>
      <c r="T211" s="62">
        <f t="shared" si="20"/>
        <v>2.8711215238306359E-3</v>
      </c>
      <c r="V211" s="113">
        <v>1.1145810299999999</v>
      </c>
      <c r="W211" s="71">
        <v>2.8693518399999998</v>
      </c>
      <c r="X211" s="71">
        <v>4.4197839700000001</v>
      </c>
      <c r="Y211" s="71">
        <v>5.7478134499999998</v>
      </c>
      <c r="Z211" s="114">
        <v>7.3890567599999999</v>
      </c>
      <c r="AB211" s="70">
        <v>3.7855696022915553E-2</v>
      </c>
      <c r="AC211" s="70">
        <v>4.2465987536040882E-2</v>
      </c>
      <c r="AD211" s="70">
        <v>4.8502441523830632E-2</v>
      </c>
      <c r="AE211" s="70">
        <v>5.2229172387966635E-2</v>
      </c>
      <c r="AF211" s="62">
        <v>5.5935180021045604E-2</v>
      </c>
      <c r="AG211" s="70">
        <v>2.1363082291555886E-4</v>
      </c>
      <c r="AH211" s="70">
        <v>5.7628116360408793E-3</v>
      </c>
      <c r="AI211" s="70">
        <v>1.1232153223830633E-2</v>
      </c>
      <c r="AJ211" s="70">
        <v>1.3970314987966637E-2</v>
      </c>
      <c r="AK211" s="62">
        <v>1.6340627221045609E-2</v>
      </c>
    </row>
    <row r="212" spans="2:37" x14ac:dyDescent="0.35">
      <c r="B212" s="54" t="s">
        <v>257</v>
      </c>
      <c r="C212" s="52" t="s">
        <v>232</v>
      </c>
      <c r="D212" s="52" t="s">
        <v>69</v>
      </c>
      <c r="E212" s="52" t="s">
        <v>21</v>
      </c>
      <c r="F212" s="72">
        <f t="shared" si="21"/>
        <v>3.7175605314927515E-2</v>
      </c>
      <c r="G212" s="59">
        <f t="shared" si="21"/>
        <v>4.1675364264997752E-2</v>
      </c>
      <c r="H212" s="59">
        <f t="shared" si="21"/>
        <v>4.7452926434587303E-2</v>
      </c>
      <c r="I212" s="59">
        <f t="shared" si="21"/>
        <v>5.0978182701456279E-2</v>
      </c>
      <c r="J212" s="62">
        <f t="shared" si="21"/>
        <v>5.4343893346442393E-2</v>
      </c>
      <c r="K212" s="59" t="str">
        <f t="shared" si="22"/>
        <v/>
      </c>
      <c r="L212" s="59">
        <f t="shared" si="22"/>
        <v>4.9812851649977579E-3</v>
      </c>
      <c r="M212" s="59">
        <f t="shared" si="22"/>
        <v>1.0205755034587307E-2</v>
      </c>
      <c r="N212" s="59">
        <f t="shared" si="22"/>
        <v>1.2750637001456287E-2</v>
      </c>
      <c r="O212" s="62">
        <f t="shared" si="22"/>
        <v>1.4790093746442391E-2</v>
      </c>
      <c r="P212" s="54" t="s">
        <v>537</v>
      </c>
      <c r="Q212" s="52" t="s">
        <v>538</v>
      </c>
      <c r="R212" s="93" t="s">
        <v>32</v>
      </c>
      <c r="S212" s="72">
        <v>3.9322339999999997E-2</v>
      </c>
      <c r="T212" s="62">
        <f t="shared" si="20"/>
        <v>8.1305864345873058E-3</v>
      </c>
      <c r="V212" s="113">
        <v>1.1149841700000001</v>
      </c>
      <c r="W212" s="71">
        <v>2.8720585600000001</v>
      </c>
      <c r="X212" s="71">
        <v>4.42795089</v>
      </c>
      <c r="Y212" s="71">
        <v>5.7687115499999999</v>
      </c>
      <c r="Z212" s="114">
        <v>7.4391596500000006</v>
      </c>
      <c r="AB212" s="70">
        <v>3.7175605314927515E-2</v>
      </c>
      <c r="AC212" s="70">
        <v>4.1675364264997752E-2</v>
      </c>
      <c r="AD212" s="70">
        <v>4.7452926434587303E-2</v>
      </c>
      <c r="AE212" s="70">
        <v>5.0978182701456279E-2</v>
      </c>
      <c r="AF212" s="62">
        <v>5.4343893346442393E-2</v>
      </c>
      <c r="AG212" s="70" t="s">
        <v>21</v>
      </c>
      <c r="AH212" s="70">
        <v>4.9812851649977579E-3</v>
      </c>
      <c r="AI212" s="70">
        <v>1.0205755034587307E-2</v>
      </c>
      <c r="AJ212" s="70">
        <v>1.2750637001456287E-2</v>
      </c>
      <c r="AK212" s="62">
        <v>1.4790093746442391E-2</v>
      </c>
    </row>
    <row r="213" spans="2:37" x14ac:dyDescent="0.35">
      <c r="B213" s="54" t="s">
        <v>252</v>
      </c>
      <c r="C213" s="52" t="s">
        <v>232</v>
      </c>
      <c r="D213" s="52" t="s">
        <v>20</v>
      </c>
      <c r="E213" s="52" t="s">
        <v>21</v>
      </c>
      <c r="F213" s="72">
        <f t="shared" si="21"/>
        <v>3.809440416590093E-2</v>
      </c>
      <c r="G213" s="59">
        <f t="shared" si="21"/>
        <v>4.3345360253206504E-2</v>
      </c>
      <c r="H213" s="59">
        <f t="shared" si="21"/>
        <v>4.8422059804837964E-2</v>
      </c>
      <c r="I213" s="59">
        <f t="shared" si="21"/>
        <v>5.1405469154416933E-2</v>
      </c>
      <c r="J213" s="62">
        <f t="shared" si="21"/>
        <v>5.5133088637455988E-2</v>
      </c>
      <c r="K213" s="59">
        <f t="shared" si="22"/>
        <v>4.2401266590093561E-4</v>
      </c>
      <c r="L213" s="59">
        <f t="shared" si="22"/>
        <v>6.5938013532065021E-3</v>
      </c>
      <c r="M213" s="59">
        <f t="shared" si="22"/>
        <v>1.1148820604837956E-2</v>
      </c>
      <c r="N213" s="59">
        <f t="shared" si="22"/>
        <v>1.3177363054416937E-2</v>
      </c>
      <c r="O213" s="62">
        <f t="shared" si="22"/>
        <v>1.5556000437455988E-2</v>
      </c>
      <c r="P213" s="54" t="s">
        <v>539</v>
      </c>
      <c r="Q213" s="52" t="s">
        <v>540</v>
      </c>
      <c r="R213" s="93">
        <v>47545</v>
      </c>
      <c r="S213" s="72">
        <v>4.3004970000000003E-2</v>
      </c>
      <c r="T213" s="62">
        <f t="shared" si="20"/>
        <v>5.4170898048379601E-3</v>
      </c>
      <c r="V213" s="113">
        <v>1.1142554199999999</v>
      </c>
      <c r="W213" s="71">
        <v>2.8630821699999998</v>
      </c>
      <c r="X213" s="71">
        <v>4.4127032699999997</v>
      </c>
      <c r="Y213" s="71">
        <v>5.7551225600000002</v>
      </c>
      <c r="Z213" s="114">
        <v>7.4273772300000003</v>
      </c>
      <c r="AB213" s="70">
        <v>3.809440416590093E-2</v>
      </c>
      <c r="AC213" s="70">
        <v>4.3345360253206504E-2</v>
      </c>
      <c r="AD213" s="70">
        <v>4.8422059804837964E-2</v>
      </c>
      <c r="AE213" s="70">
        <v>5.1405469154416933E-2</v>
      </c>
      <c r="AF213" s="62">
        <v>5.5133088637455988E-2</v>
      </c>
      <c r="AG213" s="70">
        <v>4.2401266590093561E-4</v>
      </c>
      <c r="AH213" s="70">
        <v>6.5938013532065021E-3</v>
      </c>
      <c r="AI213" s="70">
        <v>1.1148820604837956E-2</v>
      </c>
      <c r="AJ213" s="70">
        <v>1.3177363054416937E-2</v>
      </c>
      <c r="AK213" s="62">
        <v>1.5556000437455988E-2</v>
      </c>
    </row>
    <row r="214" spans="2:37" x14ac:dyDescent="0.35">
      <c r="B214" s="54" t="s">
        <v>153</v>
      </c>
      <c r="C214" s="52" t="s">
        <v>232</v>
      </c>
      <c r="D214" s="52" t="s">
        <v>20</v>
      </c>
      <c r="E214" s="52" t="s">
        <v>133</v>
      </c>
      <c r="F214" s="72">
        <f t="shared" si="21"/>
        <v>3.727129462642112E-2</v>
      </c>
      <c r="G214" s="59">
        <f t="shared" si="21"/>
        <v>4.2031654463002811E-2</v>
      </c>
      <c r="H214" s="59">
        <f t="shared" si="21"/>
        <v>4.8356290958314674E-2</v>
      </c>
      <c r="I214" s="59">
        <f t="shared" si="21"/>
        <v>5.23755886348478E-2</v>
      </c>
      <c r="J214" s="62">
        <f t="shared" si="21"/>
        <v>5.5689828862815934E-2</v>
      </c>
      <c r="K214" s="59" t="str">
        <f t="shared" si="22"/>
        <v/>
      </c>
      <c r="L214" s="59">
        <f t="shared" si="22"/>
        <v>5.3479641630028128E-3</v>
      </c>
      <c r="M214" s="59">
        <f t="shared" si="22"/>
        <v>1.1093390958314676E-2</v>
      </c>
      <c r="N214" s="59">
        <f t="shared" si="22"/>
        <v>1.4109380334847802E-2</v>
      </c>
      <c r="O214" s="62">
        <f t="shared" si="22"/>
        <v>1.610853606281594E-2</v>
      </c>
      <c r="P214" s="54" t="s">
        <v>541</v>
      </c>
      <c r="Q214" s="52" t="s">
        <v>542</v>
      </c>
      <c r="R214" s="93">
        <v>47529</v>
      </c>
      <c r="S214" s="72">
        <v>4.5490300000000004E-2</v>
      </c>
      <c r="T214" s="62">
        <f t="shared" si="20"/>
        <v>2.8659909583146695E-3</v>
      </c>
      <c r="V214" s="113">
        <v>1.11569494</v>
      </c>
      <c r="W214" s="71">
        <v>2.87442193</v>
      </c>
      <c r="X214" s="71">
        <v>4.4260545100000002</v>
      </c>
      <c r="Y214" s="71">
        <v>5.7520210399999998</v>
      </c>
      <c r="Z214" s="114">
        <v>7.3962179599999995</v>
      </c>
      <c r="AB214" s="70">
        <v>3.727129462642112E-2</v>
      </c>
      <c r="AC214" s="70">
        <v>4.2031654463002811E-2</v>
      </c>
      <c r="AD214" s="70">
        <v>4.8356290958314674E-2</v>
      </c>
      <c r="AE214" s="70">
        <v>5.23755886348478E-2</v>
      </c>
      <c r="AF214" s="62">
        <v>5.5689828862815934E-2</v>
      </c>
      <c r="AG214" s="70" t="s">
        <v>21</v>
      </c>
      <c r="AH214" s="70">
        <v>5.3479641630028128E-3</v>
      </c>
      <c r="AI214" s="70">
        <v>1.1093390958314676E-2</v>
      </c>
      <c r="AJ214" s="70">
        <v>1.4109380334847802E-2</v>
      </c>
      <c r="AK214" s="62">
        <v>1.610853606281594E-2</v>
      </c>
    </row>
    <row r="215" spans="2:37" x14ac:dyDescent="0.35">
      <c r="B215" s="54" t="s">
        <v>343</v>
      </c>
      <c r="C215" s="52" t="s">
        <v>232</v>
      </c>
      <c r="D215" s="52" t="s">
        <v>31</v>
      </c>
      <c r="E215" s="52" t="s">
        <v>21</v>
      </c>
      <c r="F215" s="72">
        <f t="shared" si="21"/>
        <v>3.7198020782231847E-2</v>
      </c>
      <c r="G215" s="59">
        <f t="shared" si="21"/>
        <v>4.147094952261237E-2</v>
      </c>
      <c r="H215" s="59">
        <f t="shared" si="21"/>
        <v>4.7298360235418328E-2</v>
      </c>
      <c r="I215" s="59">
        <f t="shared" si="21"/>
        <v>5.0958599566675124E-2</v>
      </c>
      <c r="J215" s="62">
        <f t="shared" si="21"/>
        <v>5.4457442915412539E-2</v>
      </c>
      <c r="K215" s="59" t="str">
        <f t="shared" si="22"/>
        <v/>
      </c>
      <c r="L215" s="59">
        <f t="shared" si="22"/>
        <v>4.7899913226123626E-3</v>
      </c>
      <c r="M215" s="59">
        <f t="shared" si="22"/>
        <v>1.0061314535418324E-2</v>
      </c>
      <c r="N215" s="59">
        <f t="shared" si="22"/>
        <v>1.2734281866675121E-2</v>
      </c>
      <c r="O215" s="62">
        <f t="shared" si="22"/>
        <v>1.4901163515412543E-2</v>
      </c>
      <c r="P215" s="54" t="s">
        <v>21</v>
      </c>
      <c r="Q215" s="52" t="s">
        <v>21</v>
      </c>
      <c r="R215" s="93" t="s">
        <v>21</v>
      </c>
      <c r="S215" s="72" t="s">
        <v>21</v>
      </c>
      <c r="T215" s="62" t="str">
        <f t="shared" si="20"/>
        <v/>
      </c>
      <c r="V215" s="113">
        <v>1.11487778</v>
      </c>
      <c r="W215" s="71">
        <v>2.8726104800000001</v>
      </c>
      <c r="X215" s="71">
        <v>4.4305471299999999</v>
      </c>
      <c r="Y215" s="71">
        <v>5.7715342099999996</v>
      </c>
      <c r="Z215" s="114">
        <v>7.4384601199999993</v>
      </c>
      <c r="AB215" s="70">
        <v>3.7198020782231847E-2</v>
      </c>
      <c r="AC215" s="70">
        <v>4.147094952261237E-2</v>
      </c>
      <c r="AD215" s="70">
        <v>4.7298360235418328E-2</v>
      </c>
      <c r="AE215" s="70">
        <v>5.0958599566675124E-2</v>
      </c>
      <c r="AF215" s="62">
        <v>5.4457442915412539E-2</v>
      </c>
      <c r="AG215" s="70" t="s">
        <v>21</v>
      </c>
      <c r="AH215" s="70">
        <v>4.7899913226123626E-3</v>
      </c>
      <c r="AI215" s="70">
        <v>1.0061314535418324E-2</v>
      </c>
      <c r="AJ215" s="70">
        <v>1.2734281866675121E-2</v>
      </c>
      <c r="AK215" s="62">
        <v>1.4901163515412543E-2</v>
      </c>
    </row>
    <row r="216" spans="2:37" x14ac:dyDescent="0.35">
      <c r="B216" s="54" t="s">
        <v>357</v>
      </c>
      <c r="C216" s="52" t="s">
        <v>232</v>
      </c>
      <c r="D216" s="52" t="s">
        <v>20</v>
      </c>
      <c r="E216" s="52" t="s">
        <v>21</v>
      </c>
      <c r="F216" s="72">
        <f t="shared" si="21"/>
        <v>3.7720972732478826E-2</v>
      </c>
      <c r="G216" s="59">
        <f t="shared" si="21"/>
        <v>4.2413578759480999E-2</v>
      </c>
      <c r="H216" s="59">
        <f t="shared" si="21"/>
        <v>4.8213373312933239E-2</v>
      </c>
      <c r="I216" s="59">
        <f t="shared" si="21"/>
        <v>5.1764302346882472E-2</v>
      </c>
      <c r="J216" s="62">
        <f t="shared" si="21"/>
        <v>5.5086572884891549E-2</v>
      </c>
      <c r="K216" s="59">
        <f t="shared" si="22"/>
        <v>7.6951432478822301E-5</v>
      </c>
      <c r="L216" s="59">
        <f t="shared" si="22"/>
        <v>5.7092127594810058E-3</v>
      </c>
      <c r="M216" s="59">
        <f t="shared" si="22"/>
        <v>1.0953932912933239E-2</v>
      </c>
      <c r="N216" s="59">
        <f t="shared" si="22"/>
        <v>1.3523860346882476E-2</v>
      </c>
      <c r="O216" s="62">
        <f t="shared" si="22"/>
        <v>1.5524626484891543E-2</v>
      </c>
      <c r="P216" s="54" t="s">
        <v>21</v>
      </c>
      <c r="Q216" s="52" t="s">
        <v>21</v>
      </c>
      <c r="R216" s="93" t="s">
        <v>21</v>
      </c>
      <c r="S216" s="72" t="s">
        <v>21</v>
      </c>
      <c r="T216" s="62" t="str">
        <f t="shared" si="20"/>
        <v/>
      </c>
      <c r="V216" s="113">
        <v>1.1148834999999999</v>
      </c>
      <c r="W216" s="71">
        <v>2.8693267599999999</v>
      </c>
      <c r="X216" s="71">
        <v>4.4229312499999995</v>
      </c>
      <c r="Y216" s="71">
        <v>5.7584231399999997</v>
      </c>
      <c r="Z216" s="114">
        <v>7.4203432500000002</v>
      </c>
      <c r="AB216" s="70">
        <v>3.7720972732478826E-2</v>
      </c>
      <c r="AC216" s="70">
        <v>4.2413578759480999E-2</v>
      </c>
      <c r="AD216" s="70">
        <v>4.8213373312933239E-2</v>
      </c>
      <c r="AE216" s="70">
        <v>5.1764302346882472E-2</v>
      </c>
      <c r="AF216" s="62">
        <v>5.5086572884891549E-2</v>
      </c>
      <c r="AG216" s="70">
        <v>7.6951432478822301E-5</v>
      </c>
      <c r="AH216" s="70">
        <v>5.7092127594810058E-3</v>
      </c>
      <c r="AI216" s="70">
        <v>1.0953932912933239E-2</v>
      </c>
      <c r="AJ216" s="70">
        <v>1.3523860346882476E-2</v>
      </c>
      <c r="AK216" s="62">
        <v>1.5524626484891543E-2</v>
      </c>
    </row>
    <row r="217" spans="2:37" x14ac:dyDescent="0.35">
      <c r="B217" s="54" t="s">
        <v>360</v>
      </c>
      <c r="C217" s="52" t="s">
        <v>232</v>
      </c>
      <c r="D217" s="52" t="s">
        <v>20</v>
      </c>
      <c r="E217" s="52" t="s">
        <v>543</v>
      </c>
      <c r="F217" s="72">
        <f t="shared" si="21"/>
        <v>3.7816753197027202E-2</v>
      </c>
      <c r="G217" s="59">
        <f t="shared" si="21"/>
        <v>4.2399050882486078E-2</v>
      </c>
      <c r="H217" s="59">
        <f t="shared" si="21"/>
        <v>4.821118674783368E-2</v>
      </c>
      <c r="I217" s="59">
        <f t="shared" si="21"/>
        <v>5.1745152046757337E-2</v>
      </c>
      <c r="J217" s="62">
        <f t="shared" si="21"/>
        <v>5.5183963431843126E-2</v>
      </c>
      <c r="K217" s="59">
        <f t="shared" si="22"/>
        <v>1.6930169702719915E-4</v>
      </c>
      <c r="L217" s="59">
        <f t="shared" si="22"/>
        <v>5.6956871824860797E-3</v>
      </c>
      <c r="M217" s="59">
        <f t="shared" si="22"/>
        <v>1.0952098347833681E-2</v>
      </c>
      <c r="N217" s="59">
        <f t="shared" si="22"/>
        <v>1.3506052646757336E-2</v>
      </c>
      <c r="O217" s="62">
        <f t="shared" si="22"/>
        <v>1.561788373184313E-2</v>
      </c>
      <c r="P217" s="54" t="s">
        <v>21</v>
      </c>
      <c r="Q217" s="52" t="s">
        <v>21</v>
      </c>
      <c r="R217" s="93" t="s">
        <v>21</v>
      </c>
      <c r="S217" s="72" t="s">
        <v>21</v>
      </c>
      <c r="T217" s="62" t="str">
        <f t="shared" si="20"/>
        <v/>
      </c>
      <c r="V217" s="113">
        <v>1.1147041799999999</v>
      </c>
      <c r="W217" s="71">
        <v>2.8696295599999999</v>
      </c>
      <c r="X217" s="71">
        <v>4.4233802899999999</v>
      </c>
      <c r="Y217" s="71">
        <v>5.7587728900000004</v>
      </c>
      <c r="Z217" s="114">
        <v>7.41841858</v>
      </c>
      <c r="AB217" s="70">
        <v>3.7816753197027202E-2</v>
      </c>
      <c r="AC217" s="70">
        <v>4.2399050882486078E-2</v>
      </c>
      <c r="AD217" s="70">
        <v>4.821118674783368E-2</v>
      </c>
      <c r="AE217" s="70">
        <v>5.1745152046757337E-2</v>
      </c>
      <c r="AF217" s="62">
        <v>5.5183963431843126E-2</v>
      </c>
      <c r="AG217" s="70">
        <v>1.6930169702719915E-4</v>
      </c>
      <c r="AH217" s="70">
        <v>5.6956871824860797E-3</v>
      </c>
      <c r="AI217" s="70">
        <v>1.0952098347833681E-2</v>
      </c>
      <c r="AJ217" s="70">
        <v>1.3506052646757336E-2</v>
      </c>
      <c r="AK217" s="62">
        <v>1.561788373184313E-2</v>
      </c>
    </row>
    <row r="218" spans="2:37" x14ac:dyDescent="0.35">
      <c r="B218" s="54" t="s">
        <v>258</v>
      </c>
      <c r="C218" s="52" t="s">
        <v>232</v>
      </c>
      <c r="D218" s="52" t="s">
        <v>31</v>
      </c>
      <c r="E218" s="52" t="s">
        <v>21</v>
      </c>
      <c r="F218" s="72">
        <f t="shared" si="21"/>
        <v>3.6869295770701083E-2</v>
      </c>
      <c r="G218" s="59">
        <f t="shared" si="21"/>
        <v>4.1395748936786533E-2</v>
      </c>
      <c r="H218" s="59">
        <f t="shared" si="21"/>
        <v>4.7194454110066536E-2</v>
      </c>
      <c r="I218" s="59">
        <f t="shared" si="21"/>
        <v>5.0566914296142927E-2</v>
      </c>
      <c r="J218" s="62">
        <f t="shared" si="21"/>
        <v>5.3448955153163377E-2</v>
      </c>
      <c r="K218" s="59" t="str">
        <f t="shared" si="22"/>
        <v/>
      </c>
      <c r="L218" s="59">
        <f t="shared" si="22"/>
        <v>4.7167971367865352E-3</v>
      </c>
      <c r="M218" s="59">
        <f t="shared" si="22"/>
        <v>9.9614407100665336E-3</v>
      </c>
      <c r="N218" s="59">
        <f t="shared" si="22"/>
        <v>1.2360582896142934E-2</v>
      </c>
      <c r="O218" s="62">
        <f t="shared" si="22"/>
        <v>1.3934689353163382E-2</v>
      </c>
      <c r="P218" s="54" t="s">
        <v>544</v>
      </c>
      <c r="Q218" s="52" t="s">
        <v>545</v>
      </c>
      <c r="R218" s="93">
        <v>47517</v>
      </c>
      <c r="S218" s="72">
        <v>4.4479300000000006E-2</v>
      </c>
      <c r="T218" s="62">
        <f t="shared" si="20"/>
        <v>2.7151541100665297E-3</v>
      </c>
      <c r="V218" s="113">
        <v>1.1155155800000001</v>
      </c>
      <c r="W218" s="71">
        <v>2.8742049000000001</v>
      </c>
      <c r="X218" s="71">
        <v>4.4332512299999998</v>
      </c>
      <c r="Y218" s="71">
        <v>5.77963643</v>
      </c>
      <c r="Z218" s="114">
        <v>7.4713409300000002</v>
      </c>
      <c r="AB218" s="70">
        <v>3.6869295770701083E-2</v>
      </c>
      <c r="AC218" s="70">
        <v>4.1395748936786533E-2</v>
      </c>
      <c r="AD218" s="70">
        <v>4.7194454110066536E-2</v>
      </c>
      <c r="AE218" s="70">
        <v>5.0566914296142927E-2</v>
      </c>
      <c r="AF218" s="62">
        <v>5.3448955153163377E-2</v>
      </c>
      <c r="AG218" s="70" t="s">
        <v>21</v>
      </c>
      <c r="AH218" s="70">
        <v>4.7167971367865352E-3</v>
      </c>
      <c r="AI218" s="70">
        <v>9.9614407100665336E-3</v>
      </c>
      <c r="AJ218" s="70">
        <v>1.2360582896142934E-2</v>
      </c>
      <c r="AK218" s="62">
        <v>1.3934689353163382E-2</v>
      </c>
    </row>
    <row r="219" spans="2:37" x14ac:dyDescent="0.35">
      <c r="B219" s="54" t="s">
        <v>344</v>
      </c>
      <c r="C219" s="52" t="s">
        <v>232</v>
      </c>
      <c r="D219" s="52" t="s">
        <v>97</v>
      </c>
      <c r="E219" s="52" t="s">
        <v>225</v>
      </c>
      <c r="F219" s="72">
        <f t="shared" si="21"/>
        <v>3.6622292461512905E-2</v>
      </c>
      <c r="G219" s="59">
        <f t="shared" si="21"/>
        <v>4.1576318861009792E-2</v>
      </c>
      <c r="H219" s="59">
        <f t="shared" si="21"/>
        <v>4.7149463162466113E-2</v>
      </c>
      <c r="I219" s="59">
        <f t="shared" si="21"/>
        <v>5.0906578347642471E-2</v>
      </c>
      <c r="J219" s="62">
        <f t="shared" si="21"/>
        <v>5.4310998903722443E-2</v>
      </c>
      <c r="K219" s="59" t="str">
        <f t="shared" si="22"/>
        <v/>
      </c>
      <c r="L219" s="59">
        <f t="shared" si="22"/>
        <v>4.8888588610097906E-3</v>
      </c>
      <c r="M219" s="59">
        <f t="shared" si="22"/>
        <v>9.9180819624661194E-3</v>
      </c>
      <c r="N219" s="59">
        <f t="shared" si="22"/>
        <v>1.2683493147642472E-2</v>
      </c>
      <c r="O219" s="62">
        <f t="shared" si="22"/>
        <v>1.4760587803722448E-2</v>
      </c>
      <c r="P219" s="54" t="s">
        <v>21</v>
      </c>
      <c r="Q219" s="52" t="s">
        <v>21</v>
      </c>
      <c r="R219" s="93" t="s">
        <v>21</v>
      </c>
      <c r="S219" s="72" t="s">
        <v>21</v>
      </c>
      <c r="T219" s="62" t="str">
        <f t="shared" si="20"/>
        <v/>
      </c>
      <c r="V219" s="113">
        <v>1.11598898</v>
      </c>
      <c r="W219" s="71">
        <v>2.8739179699999999</v>
      </c>
      <c r="X219" s="71">
        <v>4.4330051600000004</v>
      </c>
      <c r="Y219" s="71">
        <v>5.7750238600000001</v>
      </c>
      <c r="Z219" s="114">
        <v>7.4451389600000004</v>
      </c>
      <c r="AB219" s="70">
        <v>3.6622292461512905E-2</v>
      </c>
      <c r="AC219" s="70">
        <v>4.1576318861009792E-2</v>
      </c>
      <c r="AD219" s="70">
        <v>4.7149463162466113E-2</v>
      </c>
      <c r="AE219" s="70">
        <v>5.0906578347642471E-2</v>
      </c>
      <c r="AF219" s="62">
        <v>5.4310998903722443E-2</v>
      </c>
      <c r="AG219" s="70" t="s">
        <v>21</v>
      </c>
      <c r="AH219" s="70">
        <v>4.8888588610097906E-3</v>
      </c>
      <c r="AI219" s="70">
        <v>9.9180819624661194E-3</v>
      </c>
      <c r="AJ219" s="70">
        <v>1.2683493147642472E-2</v>
      </c>
      <c r="AK219" s="62">
        <v>1.4760587803722448E-2</v>
      </c>
    </row>
    <row r="220" spans="2:37" x14ac:dyDescent="0.35">
      <c r="B220" s="54" t="s">
        <v>353</v>
      </c>
      <c r="C220" s="52" t="s">
        <v>232</v>
      </c>
      <c r="D220" s="52" t="s">
        <v>31</v>
      </c>
      <c r="E220" s="52" t="s">
        <v>546</v>
      </c>
      <c r="F220" s="72">
        <f t="shared" si="21"/>
        <v>3.6566910863456321E-2</v>
      </c>
      <c r="G220" s="59">
        <f t="shared" si="21"/>
        <v>4.1351679034738312E-2</v>
      </c>
      <c r="H220" s="59">
        <f t="shared" si="21"/>
        <v>4.7141136602987133E-2</v>
      </c>
      <c r="I220" s="59">
        <f t="shared" si="21"/>
        <v>5.0754680582797154E-2</v>
      </c>
      <c r="J220" s="62">
        <f t="shared" si="21"/>
        <v>5.4294665725508617E-2</v>
      </c>
      <c r="K220" s="59" t="str">
        <f t="shared" si="22"/>
        <v/>
      </c>
      <c r="L220" s="59">
        <f t="shared" si="22"/>
        <v>4.6745327347383105E-3</v>
      </c>
      <c r="M220" s="59">
        <f t="shared" si="22"/>
        <v>9.9106065029871317E-3</v>
      </c>
      <c r="N220" s="59">
        <f t="shared" si="22"/>
        <v>1.2539575382797152E-2</v>
      </c>
      <c r="O220" s="62">
        <f t="shared" si="22"/>
        <v>1.4744866425508624E-2</v>
      </c>
      <c r="P220" s="54" t="s">
        <v>21</v>
      </c>
      <c r="Q220" s="52" t="s">
        <v>21</v>
      </c>
      <c r="R220" s="93" t="s">
        <v>21</v>
      </c>
      <c r="S220" s="72" t="s">
        <v>21</v>
      </c>
      <c r="T220" s="62" t="str">
        <f t="shared" si="20"/>
        <v/>
      </c>
      <c r="V220" s="113">
        <v>1.11608705</v>
      </c>
      <c r="W220" s="71">
        <v>2.8754814999999998</v>
      </c>
      <c r="X220" s="71">
        <v>4.4350629699999997</v>
      </c>
      <c r="Y220" s="71">
        <v>5.7788875500000003</v>
      </c>
      <c r="Z220" s="114">
        <v>7.4499595099999993</v>
      </c>
      <c r="AB220" s="70">
        <v>3.6566910863456321E-2</v>
      </c>
      <c r="AC220" s="70">
        <v>4.1351679034738312E-2</v>
      </c>
      <c r="AD220" s="70">
        <v>4.7141136602987133E-2</v>
      </c>
      <c r="AE220" s="70">
        <v>5.0754680582797154E-2</v>
      </c>
      <c r="AF220" s="62">
        <v>5.4294665725508617E-2</v>
      </c>
      <c r="AG220" s="70" t="s">
        <v>21</v>
      </c>
      <c r="AH220" s="70">
        <v>4.6745327347383105E-3</v>
      </c>
      <c r="AI220" s="70">
        <v>9.9106065029871317E-3</v>
      </c>
      <c r="AJ220" s="70">
        <v>1.2539575382797152E-2</v>
      </c>
      <c r="AK220" s="62">
        <v>1.4744866425508624E-2</v>
      </c>
    </row>
    <row r="221" spans="2:37" x14ac:dyDescent="0.35">
      <c r="B221" s="54" t="s">
        <v>361</v>
      </c>
      <c r="C221" s="52" t="s">
        <v>232</v>
      </c>
      <c r="D221" s="52" t="s">
        <v>304</v>
      </c>
      <c r="E221" s="52" t="s">
        <v>21</v>
      </c>
      <c r="F221" s="72">
        <f t="shared" si="21"/>
        <v>3.6732431489913647E-2</v>
      </c>
      <c r="G221" s="59">
        <f t="shared" si="21"/>
        <v>4.1388309831812513E-2</v>
      </c>
      <c r="H221" s="59">
        <f t="shared" si="21"/>
        <v>4.7092904061093649E-2</v>
      </c>
      <c r="I221" s="59">
        <f t="shared" si="21"/>
        <v>5.056268596692811E-2</v>
      </c>
      <c r="J221" s="62">
        <f t="shared" si="21"/>
        <v>5.3678482668274484E-2</v>
      </c>
      <c r="K221" s="59" t="str">
        <f t="shared" si="22"/>
        <v/>
      </c>
      <c r="L221" s="59">
        <f t="shared" si="22"/>
        <v>4.7086855318125165E-3</v>
      </c>
      <c r="M221" s="59">
        <f t="shared" si="22"/>
        <v>9.8639077610936498E-3</v>
      </c>
      <c r="N221" s="59">
        <f t="shared" si="22"/>
        <v>1.2355826466928111E-2</v>
      </c>
      <c r="O221" s="62">
        <f t="shared" si="22"/>
        <v>1.4153972268274478E-2</v>
      </c>
      <c r="P221" s="54" t="s">
        <v>21</v>
      </c>
      <c r="Q221" s="52" t="s">
        <v>21</v>
      </c>
      <c r="R221" s="93" t="s">
        <v>21</v>
      </c>
      <c r="S221" s="72" t="s">
        <v>21</v>
      </c>
      <c r="T221" s="62" t="str">
        <f t="shared" si="20"/>
        <v/>
      </c>
      <c r="V221" s="113">
        <v>1.11578814</v>
      </c>
      <c r="W221" s="71">
        <v>2.8747363899999998</v>
      </c>
      <c r="X221" s="71">
        <v>4.4347888699999993</v>
      </c>
      <c r="Y221" s="71">
        <v>5.7814347799999997</v>
      </c>
      <c r="Z221" s="114">
        <v>7.4676628599999999</v>
      </c>
      <c r="AB221" s="70">
        <v>3.6732431489913647E-2</v>
      </c>
      <c r="AC221" s="70">
        <v>4.1388309831812513E-2</v>
      </c>
      <c r="AD221" s="70">
        <v>4.7092904061093649E-2</v>
      </c>
      <c r="AE221" s="70">
        <v>5.056268596692811E-2</v>
      </c>
      <c r="AF221" s="62">
        <v>5.3678482668274484E-2</v>
      </c>
      <c r="AG221" s="70" t="s">
        <v>21</v>
      </c>
      <c r="AH221" s="70">
        <v>4.7086855318125165E-3</v>
      </c>
      <c r="AI221" s="70">
        <v>9.8639077610936498E-3</v>
      </c>
      <c r="AJ221" s="70">
        <v>1.2355826466928111E-2</v>
      </c>
      <c r="AK221" s="62">
        <v>1.4153972268274478E-2</v>
      </c>
    </row>
    <row r="222" spans="2:37" x14ac:dyDescent="0.35">
      <c r="B222" s="54" t="s">
        <v>346</v>
      </c>
      <c r="C222" s="52" t="s">
        <v>232</v>
      </c>
      <c r="D222" s="52" t="s">
        <v>97</v>
      </c>
      <c r="E222" s="52" t="s">
        <v>21</v>
      </c>
      <c r="F222" s="72">
        <f t="shared" si="21"/>
        <v>3.6738551407988998E-2</v>
      </c>
      <c r="G222" s="59">
        <f t="shared" si="21"/>
        <v>4.139827892363613E-2</v>
      </c>
      <c r="H222" s="59">
        <f t="shared" si="21"/>
        <v>4.7092721611264647E-2</v>
      </c>
      <c r="I222" s="59">
        <f t="shared" si="21"/>
        <v>5.041806625414743E-2</v>
      </c>
      <c r="J222" s="62">
        <f t="shared" si="21"/>
        <v>5.404123674096787E-2</v>
      </c>
      <c r="K222" s="59" t="str">
        <f t="shared" si="22"/>
        <v/>
      </c>
      <c r="L222" s="59">
        <f t="shared" si="22"/>
        <v>4.7185687236361209E-3</v>
      </c>
      <c r="M222" s="59">
        <f t="shared" si="22"/>
        <v>9.8639717112646557E-3</v>
      </c>
      <c r="N222" s="59">
        <f t="shared" si="22"/>
        <v>1.2218176854147432E-2</v>
      </c>
      <c r="O222" s="62">
        <f t="shared" si="22"/>
        <v>1.4499607840967873E-2</v>
      </c>
      <c r="P222" s="54" t="s">
        <v>21</v>
      </c>
      <c r="Q222" s="52" t="s">
        <v>21</v>
      </c>
      <c r="R222" s="93" t="s">
        <v>21</v>
      </c>
      <c r="S222" s="72" t="s">
        <v>21</v>
      </c>
      <c r="T222" s="62" t="str">
        <f t="shared" si="20"/>
        <v/>
      </c>
      <c r="V222" s="113">
        <v>1.1157713899999999</v>
      </c>
      <c r="W222" s="71">
        <v>2.8746425100000002</v>
      </c>
      <c r="X222" s="71">
        <v>4.4346742100000007</v>
      </c>
      <c r="Y222" s="71">
        <v>5.7832955999999998</v>
      </c>
      <c r="Z222" s="114">
        <v>7.4622894899999999</v>
      </c>
      <c r="AB222" s="70">
        <v>3.6738551407988998E-2</v>
      </c>
      <c r="AC222" s="70">
        <v>4.139827892363613E-2</v>
      </c>
      <c r="AD222" s="70">
        <v>4.7092721611264647E-2</v>
      </c>
      <c r="AE222" s="70">
        <v>5.041806625414743E-2</v>
      </c>
      <c r="AF222" s="62">
        <v>5.404123674096787E-2</v>
      </c>
      <c r="AG222" s="70" t="s">
        <v>21</v>
      </c>
      <c r="AH222" s="70">
        <v>4.7185687236361209E-3</v>
      </c>
      <c r="AI222" s="70">
        <v>9.8639717112646557E-3</v>
      </c>
      <c r="AJ222" s="70">
        <v>1.2218176854147432E-2</v>
      </c>
      <c r="AK222" s="62">
        <v>1.4499607840967873E-2</v>
      </c>
    </row>
    <row r="223" spans="2:37" x14ac:dyDescent="0.35">
      <c r="B223" s="54" t="s">
        <v>250</v>
      </c>
      <c r="C223" s="52" t="s">
        <v>232</v>
      </c>
      <c r="D223" s="52" t="s">
        <v>43</v>
      </c>
      <c r="E223" s="52" t="s">
        <v>123</v>
      </c>
      <c r="F223" s="72">
        <f t="shared" si="21"/>
        <v>3.6840839343179901E-2</v>
      </c>
      <c r="G223" s="59">
        <f t="shared" si="21"/>
        <v>4.134711139409647E-2</v>
      </c>
      <c r="H223" s="59">
        <f t="shared" si="21"/>
        <v>4.7038169579884964E-2</v>
      </c>
      <c r="I223" s="59">
        <f t="shared" si="21"/>
        <v>5.0702085855396657E-2</v>
      </c>
      <c r="J223" s="62">
        <f t="shared" si="21"/>
        <v>5.4287759374874643E-2</v>
      </c>
      <c r="K223" s="59" t="str">
        <f t="shared" si="22"/>
        <v/>
      </c>
      <c r="L223" s="59">
        <f t="shared" si="22"/>
        <v>4.6708855940964713E-3</v>
      </c>
      <c r="M223" s="59">
        <f t="shared" si="22"/>
        <v>9.8127983798849648E-3</v>
      </c>
      <c r="N223" s="59">
        <f t="shared" si="22"/>
        <v>1.2489396055396656E-2</v>
      </c>
      <c r="O223" s="62">
        <f t="shared" si="22"/>
        <v>1.4737989274874644E-2</v>
      </c>
      <c r="P223" s="54" t="s">
        <v>21</v>
      </c>
      <c r="Q223" s="52" t="s">
        <v>21</v>
      </c>
      <c r="R223" s="93" t="s">
        <v>21</v>
      </c>
      <c r="S223" s="72" t="s">
        <v>21</v>
      </c>
      <c r="T223" s="62" t="str">
        <f t="shared" si="20"/>
        <v/>
      </c>
      <c r="V223" s="113">
        <v>1.1155603599999999</v>
      </c>
      <c r="W223" s="71">
        <v>2.8745809499999999</v>
      </c>
      <c r="X223" s="71">
        <v>4.4352677600000003</v>
      </c>
      <c r="Y223" s="71">
        <v>5.78011155</v>
      </c>
      <c r="Z223" s="114">
        <v>7.4514941800000001</v>
      </c>
      <c r="AB223" s="70">
        <v>3.6840839343179901E-2</v>
      </c>
      <c r="AC223" s="70">
        <v>4.134711139409647E-2</v>
      </c>
      <c r="AD223" s="70">
        <v>4.7038169579884964E-2</v>
      </c>
      <c r="AE223" s="70">
        <v>5.0702085855396657E-2</v>
      </c>
      <c r="AF223" s="62">
        <v>5.4287759374874643E-2</v>
      </c>
      <c r="AG223" s="70" t="s">
        <v>21</v>
      </c>
      <c r="AH223" s="70">
        <v>4.6708855940964713E-3</v>
      </c>
      <c r="AI223" s="70">
        <v>9.8127983798849648E-3</v>
      </c>
      <c r="AJ223" s="70">
        <v>1.2489396055396656E-2</v>
      </c>
      <c r="AK223" s="62">
        <v>1.4737989274874644E-2</v>
      </c>
    </row>
    <row r="224" spans="2:37" x14ac:dyDescent="0.35">
      <c r="B224" s="54" t="s">
        <v>259</v>
      </c>
      <c r="C224" s="52" t="s">
        <v>232</v>
      </c>
      <c r="D224" s="52" t="s">
        <v>31</v>
      </c>
      <c r="E224" s="52" t="s">
        <v>36</v>
      </c>
      <c r="F224" s="72">
        <f t="shared" si="21"/>
        <v>3.6847641478811553E-2</v>
      </c>
      <c r="G224" s="59">
        <f t="shared" si="21"/>
        <v>4.1342826039455632E-2</v>
      </c>
      <c r="H224" s="59">
        <f t="shared" si="21"/>
        <v>4.6990295980504485E-2</v>
      </c>
      <c r="I224" s="59">
        <f t="shared" si="21"/>
        <v>5.0413437880621713E-2</v>
      </c>
      <c r="J224" s="62">
        <f t="shared" si="21"/>
        <v>5.3897690348693073E-2</v>
      </c>
      <c r="K224" s="59" t="str">
        <f t="shared" si="22"/>
        <v/>
      </c>
      <c r="L224" s="59">
        <f t="shared" si="22"/>
        <v>4.6644787394556353E-3</v>
      </c>
      <c r="M224" s="59">
        <f t="shared" si="22"/>
        <v>9.7655005805044898E-3</v>
      </c>
      <c r="N224" s="59">
        <f t="shared" si="22"/>
        <v>1.2212912180621718E-2</v>
      </c>
      <c r="O224" s="62">
        <f t="shared" si="22"/>
        <v>1.4362110848693077E-2</v>
      </c>
      <c r="P224" s="54" t="s">
        <v>547</v>
      </c>
      <c r="Q224" s="52" t="s">
        <v>548</v>
      </c>
      <c r="R224" s="93">
        <v>47660</v>
      </c>
      <c r="S224" s="72">
        <v>4.4340270000000001E-2</v>
      </c>
      <c r="T224" s="62">
        <f t="shared" si="20"/>
        <v>2.6500259805044835E-3</v>
      </c>
      <c r="V224" s="113">
        <v>1.1155818499999999</v>
      </c>
      <c r="W224" s="71">
        <v>2.8746624399999998</v>
      </c>
      <c r="X224" s="71">
        <v>4.4358720099999998</v>
      </c>
      <c r="Y224" s="71">
        <v>5.7847780799999997</v>
      </c>
      <c r="Z224" s="114">
        <v>7.4667432900000001</v>
      </c>
      <c r="AB224" s="70">
        <v>3.6847641478811553E-2</v>
      </c>
      <c r="AC224" s="70">
        <v>4.1342826039455632E-2</v>
      </c>
      <c r="AD224" s="70">
        <v>4.6990295980504485E-2</v>
      </c>
      <c r="AE224" s="70">
        <v>5.0413437880621713E-2</v>
      </c>
      <c r="AF224" s="62">
        <v>5.3897690348693073E-2</v>
      </c>
      <c r="AG224" s="70" t="s">
        <v>21</v>
      </c>
      <c r="AH224" s="70">
        <v>4.6644787394556353E-3</v>
      </c>
      <c r="AI224" s="70">
        <v>9.7655005805044898E-3</v>
      </c>
      <c r="AJ224" s="70">
        <v>1.2212912180621718E-2</v>
      </c>
      <c r="AK224" s="62">
        <v>1.4362110848693077E-2</v>
      </c>
    </row>
    <row r="225" spans="2:37" x14ac:dyDescent="0.35">
      <c r="B225" s="54" t="s">
        <v>248</v>
      </c>
      <c r="C225" s="52" t="s">
        <v>232</v>
      </c>
      <c r="D225" s="52" t="s">
        <v>97</v>
      </c>
      <c r="E225" s="52" t="s">
        <v>159</v>
      </c>
      <c r="F225" s="72">
        <f t="shared" ref="F225:J275" si="23">IF(ISNUMBER(AB225),AB225-((C$4-C$3)/V225),"")</f>
        <v>3.6897220423511248E-2</v>
      </c>
      <c r="G225" s="59">
        <f t="shared" si="23"/>
        <v>4.1362069853763124E-2</v>
      </c>
      <c r="H225" s="59">
        <f t="shared" si="23"/>
        <v>4.6990218190151416E-2</v>
      </c>
      <c r="I225" s="59">
        <f t="shared" si="23"/>
        <v>5.0365369852280364E-2</v>
      </c>
      <c r="J225" s="62">
        <f t="shared" si="23"/>
        <v>5.3848348464329988E-2</v>
      </c>
      <c r="K225" s="59" t="str">
        <f t="shared" ref="K225:O275" si="24">IF(ISNUMBER(AG225),IF(AG225-((C$4-C$3)/V225)&lt;0,"",AG225-((C$4-C$3)/V225)),"")</f>
        <v/>
      </c>
      <c r="L225" s="59">
        <f t="shared" si="24"/>
        <v>4.6834368537631219E-3</v>
      </c>
      <c r="M225" s="59">
        <f t="shared" si="24"/>
        <v>9.7657899901514265E-3</v>
      </c>
      <c r="N225" s="59">
        <f t="shared" si="24"/>
        <v>1.2167329752280359E-2</v>
      </c>
      <c r="O225" s="62">
        <f t="shared" si="24"/>
        <v>1.4314705964329988E-2</v>
      </c>
      <c r="P225" s="54" t="s">
        <v>549</v>
      </c>
      <c r="Q225" s="52" t="s">
        <v>550</v>
      </c>
      <c r="R225" s="93">
        <v>47551</v>
      </c>
      <c r="S225" s="72">
        <v>4.2524439999999997E-2</v>
      </c>
      <c r="T225" s="62">
        <f t="shared" si="20"/>
        <v>4.465778190151419E-3</v>
      </c>
      <c r="V225" s="113">
        <v>1.1154802099999999</v>
      </c>
      <c r="W225" s="71">
        <v>2.8743605900000002</v>
      </c>
      <c r="X225" s="71">
        <v>4.4355395300000007</v>
      </c>
      <c r="Y225" s="71">
        <v>5.7851286399999999</v>
      </c>
      <c r="Z225" s="114">
        <v>7.4685637200000006</v>
      </c>
      <c r="AB225" s="70">
        <v>3.6897220423511248E-2</v>
      </c>
      <c r="AC225" s="70">
        <v>4.1362069853763124E-2</v>
      </c>
      <c r="AD225" s="70">
        <v>4.6990218190151416E-2</v>
      </c>
      <c r="AE225" s="70">
        <v>5.0365369852280364E-2</v>
      </c>
      <c r="AF225" s="62">
        <v>5.3848348464329988E-2</v>
      </c>
      <c r="AG225" s="70" t="s">
        <v>21</v>
      </c>
      <c r="AH225" s="70">
        <v>4.6834368537631219E-3</v>
      </c>
      <c r="AI225" s="70">
        <v>9.7657899901514265E-3</v>
      </c>
      <c r="AJ225" s="70">
        <v>1.2167329752280359E-2</v>
      </c>
      <c r="AK225" s="62">
        <v>1.4314705964329988E-2</v>
      </c>
    </row>
    <row r="226" spans="2:37" x14ac:dyDescent="0.35">
      <c r="B226" s="54" t="s">
        <v>245</v>
      </c>
      <c r="C226" s="52" t="s">
        <v>232</v>
      </c>
      <c r="D226" s="52" t="s">
        <v>20</v>
      </c>
      <c r="E226" s="52" t="s">
        <v>21</v>
      </c>
      <c r="F226" s="72">
        <f t="shared" si="23"/>
        <v>3.7749176825709427E-2</v>
      </c>
      <c r="G226" s="59">
        <f t="shared" si="23"/>
        <v>4.2370614605399655E-2</v>
      </c>
      <c r="H226" s="59">
        <f t="shared" si="23"/>
        <v>4.788071069446783E-2</v>
      </c>
      <c r="I226" s="59">
        <f t="shared" si="23"/>
        <v>5.1355792523765195E-2</v>
      </c>
      <c r="J226" s="62">
        <f t="shared" si="23"/>
        <v>5.466887292490908E-2</v>
      </c>
      <c r="K226" s="59">
        <f t="shared" si="24"/>
        <v>1.0534682570942106E-4</v>
      </c>
      <c r="L226" s="59">
        <f t="shared" si="24"/>
        <v>5.6691158053996521E-3</v>
      </c>
      <c r="M226" s="59">
        <f t="shared" si="24"/>
        <v>1.0637843894467825E-2</v>
      </c>
      <c r="N226" s="59">
        <f t="shared" si="24"/>
        <v>1.3135642823765194E-2</v>
      </c>
      <c r="O226" s="62">
        <f t="shared" si="24"/>
        <v>1.512488272490908E-2</v>
      </c>
      <c r="P226" s="54" t="s">
        <v>246</v>
      </c>
      <c r="Q226" s="52" t="s">
        <v>247</v>
      </c>
      <c r="R226" s="93">
        <v>47543</v>
      </c>
      <c r="S226" s="72">
        <v>4.3918579999999999E-2</v>
      </c>
      <c r="T226" s="62">
        <f t="shared" si="20"/>
        <v>3.9621306944678317E-3</v>
      </c>
      <c r="V226" s="113">
        <v>1.1148339199999999</v>
      </c>
      <c r="W226" s="71">
        <v>2.8704525699999999</v>
      </c>
      <c r="X226" s="71">
        <v>4.4269990999999997</v>
      </c>
      <c r="Y226" s="71">
        <v>5.7690183300000006</v>
      </c>
      <c r="Z226" s="114">
        <v>7.4426139999999998</v>
      </c>
      <c r="AB226" s="70">
        <v>3.7749176825709427E-2</v>
      </c>
      <c r="AC226" s="70">
        <v>4.2370614605399655E-2</v>
      </c>
      <c r="AD226" s="70">
        <v>4.788071069446783E-2</v>
      </c>
      <c r="AE226" s="70">
        <v>5.1355792523765195E-2</v>
      </c>
      <c r="AF226" s="62">
        <v>5.466887292490908E-2</v>
      </c>
      <c r="AG226" s="70">
        <v>1.0534682570942106E-4</v>
      </c>
      <c r="AH226" s="70">
        <v>5.6691158053996521E-3</v>
      </c>
      <c r="AI226" s="70">
        <v>1.0637843894467825E-2</v>
      </c>
      <c r="AJ226" s="70">
        <v>1.3135642823765194E-2</v>
      </c>
      <c r="AK226" s="62">
        <v>1.512488272490908E-2</v>
      </c>
    </row>
    <row r="227" spans="2:37" x14ac:dyDescent="0.35">
      <c r="B227" s="54" t="s">
        <v>350</v>
      </c>
      <c r="C227" s="52" t="s">
        <v>232</v>
      </c>
      <c r="D227" s="52" t="s">
        <v>20</v>
      </c>
      <c r="E227" s="52" t="s">
        <v>21</v>
      </c>
      <c r="F227" s="72">
        <f t="shared" si="23"/>
        <v>3.7379721227323179E-2</v>
      </c>
      <c r="G227" s="59">
        <f t="shared" si="23"/>
        <v>4.1954104731915257E-2</v>
      </c>
      <c r="H227" s="59">
        <f t="shared" si="23"/>
        <v>4.7779692218005029E-2</v>
      </c>
      <c r="I227" s="59">
        <f t="shared" si="23"/>
        <v>5.1261424004776769E-2</v>
      </c>
      <c r="J227" s="62">
        <f t="shared" si="23"/>
        <v>5.4220833173277125E-2</v>
      </c>
      <c r="K227" s="59" t="str">
        <f t="shared" si="24"/>
        <v/>
      </c>
      <c r="L227" s="59">
        <f t="shared" si="24"/>
        <v>5.2740799319152595E-3</v>
      </c>
      <c r="M227" s="59">
        <f t="shared" si="24"/>
        <v>1.0543802218005025E-2</v>
      </c>
      <c r="N227" s="59">
        <f t="shared" si="24"/>
        <v>1.3047446304776771E-2</v>
      </c>
      <c r="O227" s="62">
        <f t="shared" si="24"/>
        <v>1.4697856073277133E-2</v>
      </c>
      <c r="P227" s="54" t="s">
        <v>391</v>
      </c>
      <c r="Q227" s="52" t="s">
        <v>392</v>
      </c>
      <c r="R227" s="93">
        <v>47802</v>
      </c>
      <c r="S227" s="72">
        <v>4.5271419999999993E-2</v>
      </c>
      <c r="T227" s="62">
        <f t="shared" si="20"/>
        <v>2.5082722180050365E-3</v>
      </c>
      <c r="V227" s="113">
        <v>1.11549086</v>
      </c>
      <c r="W227" s="71">
        <v>2.8738289899999998</v>
      </c>
      <c r="X227" s="71">
        <v>4.4318529699999996</v>
      </c>
      <c r="Y227" s="71">
        <v>5.7745768499999999</v>
      </c>
      <c r="Z227" s="114">
        <v>7.4577056700000002</v>
      </c>
      <c r="AB227" s="70">
        <v>3.7379721227323179E-2</v>
      </c>
      <c r="AC227" s="70">
        <v>4.1954104731915257E-2</v>
      </c>
      <c r="AD227" s="70">
        <v>4.7779692218005029E-2</v>
      </c>
      <c r="AE227" s="70">
        <v>5.1261424004776769E-2</v>
      </c>
      <c r="AF227" s="62">
        <v>5.4220833173277125E-2</v>
      </c>
      <c r="AG227" s="70" t="s">
        <v>21</v>
      </c>
      <c r="AH227" s="70">
        <v>5.2740799319152595E-3</v>
      </c>
      <c r="AI227" s="70">
        <v>1.0543802218005025E-2</v>
      </c>
      <c r="AJ227" s="70">
        <v>1.3047446304776771E-2</v>
      </c>
      <c r="AK227" s="62">
        <v>1.4697856073277133E-2</v>
      </c>
    </row>
    <row r="228" spans="2:37" x14ac:dyDescent="0.35">
      <c r="B228" s="54" t="s">
        <v>254</v>
      </c>
      <c r="C228" s="52" t="s">
        <v>232</v>
      </c>
      <c r="D228" s="52" t="s">
        <v>255</v>
      </c>
      <c r="E228" s="52" t="s">
        <v>103</v>
      </c>
      <c r="F228" s="72">
        <f t="shared" si="23"/>
        <v>3.6818751578280524E-2</v>
      </c>
      <c r="G228" s="59">
        <f t="shared" si="23"/>
        <v>4.0998236252324911E-2</v>
      </c>
      <c r="H228" s="59">
        <f t="shared" si="23"/>
        <v>4.6566575595656301E-2</v>
      </c>
      <c r="I228" s="59">
        <f t="shared" si="23"/>
        <v>5.0142046715143426E-2</v>
      </c>
      <c r="J228" s="62">
        <f t="shared" si="23"/>
        <v>5.3622652589983194E-2</v>
      </c>
      <c r="K228" s="59" t="str">
        <f t="shared" si="24"/>
        <v/>
      </c>
      <c r="L228" s="59">
        <f t="shared" si="24"/>
        <v>4.3362786523249127E-3</v>
      </c>
      <c r="M228" s="59">
        <f t="shared" si="24"/>
        <v>9.3622332956562991E-3</v>
      </c>
      <c r="N228" s="59">
        <f t="shared" si="24"/>
        <v>1.1954543515143421E-2</v>
      </c>
      <c r="O228" s="62">
        <f t="shared" si="24"/>
        <v>1.4099455189983191E-2</v>
      </c>
      <c r="P228" s="54" t="s">
        <v>551</v>
      </c>
      <c r="Q228" s="52" t="s">
        <v>552</v>
      </c>
      <c r="R228" s="93" t="s">
        <v>32</v>
      </c>
      <c r="S228" s="72">
        <v>4.2852189999999998E-2</v>
      </c>
      <c r="T228" s="62">
        <f t="shared" si="20"/>
        <v>3.7143855956563027E-3</v>
      </c>
      <c r="V228" s="113">
        <v>1.1156156400000001</v>
      </c>
      <c r="W228" s="71">
        <v>2.8768520799999999</v>
      </c>
      <c r="X228" s="71">
        <v>4.4429456499999995</v>
      </c>
      <c r="Y228" s="71">
        <v>5.7961337500000001</v>
      </c>
      <c r="Z228" s="114">
        <v>7.4844060299999997</v>
      </c>
      <c r="AB228" s="70">
        <v>3.6818751578280524E-2</v>
      </c>
      <c r="AC228" s="70">
        <v>4.0998236252324911E-2</v>
      </c>
      <c r="AD228" s="70">
        <v>4.6566575595656301E-2</v>
      </c>
      <c r="AE228" s="70">
        <v>5.0142046715143426E-2</v>
      </c>
      <c r="AF228" s="62">
        <v>5.3622652589983194E-2</v>
      </c>
      <c r="AG228" s="70" t="s">
        <v>21</v>
      </c>
      <c r="AH228" s="70">
        <v>4.3362786523249127E-3</v>
      </c>
      <c r="AI228" s="70">
        <v>9.3622332956562991E-3</v>
      </c>
      <c r="AJ228" s="70">
        <v>1.1954543515143421E-2</v>
      </c>
      <c r="AK228" s="62">
        <v>1.4099455189983191E-2</v>
      </c>
    </row>
    <row r="229" spans="2:37" x14ac:dyDescent="0.35">
      <c r="B229" s="54" t="s">
        <v>156</v>
      </c>
      <c r="C229" s="52" t="s">
        <v>232</v>
      </c>
      <c r="D229" s="52" t="s">
        <v>31</v>
      </c>
      <c r="E229" s="52" t="s">
        <v>553</v>
      </c>
      <c r="F229" s="72">
        <f t="shared" si="23"/>
        <v>3.6483917563320201E-2</v>
      </c>
      <c r="G229" s="59">
        <f t="shared" si="23"/>
        <v>4.0874212826398214E-2</v>
      </c>
      <c r="H229" s="59">
        <f t="shared" si="23"/>
        <v>4.651254349094136E-2</v>
      </c>
      <c r="I229" s="59">
        <f t="shared" si="23"/>
        <v>4.9991657997980284E-2</v>
      </c>
      <c r="J229" s="62">
        <f t="shared" si="23"/>
        <v>5.3468254662460545E-2</v>
      </c>
      <c r="K229" s="59" t="str">
        <f t="shared" si="24"/>
        <v/>
      </c>
      <c r="L229" s="59">
        <f t="shared" si="24"/>
        <v>4.2162640263982091E-3</v>
      </c>
      <c r="M229" s="59">
        <f t="shared" si="24"/>
        <v>9.3098734909413689E-3</v>
      </c>
      <c r="N229" s="59">
        <f t="shared" si="24"/>
        <v>1.1810725897980287E-2</v>
      </c>
      <c r="O229" s="62">
        <f t="shared" si="24"/>
        <v>1.3950923062460542E-2</v>
      </c>
      <c r="P229" s="54" t="s">
        <v>21</v>
      </c>
      <c r="Q229" s="52" t="s">
        <v>21</v>
      </c>
      <c r="R229" s="93" t="s">
        <v>21</v>
      </c>
      <c r="S229" s="72" t="s">
        <v>21</v>
      </c>
      <c r="T229" s="62" t="str">
        <f t="shared" si="20"/>
        <v/>
      </c>
      <c r="V229" s="113">
        <v>1.11626658</v>
      </c>
      <c r="W229" s="71">
        <v>2.8787762200000002</v>
      </c>
      <c r="X229" s="71">
        <v>4.4455804500000005</v>
      </c>
      <c r="Y229" s="71">
        <v>5.8007317699999996</v>
      </c>
      <c r="Z229" s="114">
        <v>7.4930482500000011</v>
      </c>
      <c r="AB229" s="70">
        <v>3.6483917563320201E-2</v>
      </c>
      <c r="AC229" s="70">
        <v>4.0874212826398214E-2</v>
      </c>
      <c r="AD229" s="70">
        <v>4.651254349094136E-2</v>
      </c>
      <c r="AE229" s="70">
        <v>4.9991657997980284E-2</v>
      </c>
      <c r="AF229" s="62">
        <v>5.3468254662460545E-2</v>
      </c>
      <c r="AG229" s="70" t="s">
        <v>21</v>
      </c>
      <c r="AH229" s="70">
        <v>4.2162640263982091E-3</v>
      </c>
      <c r="AI229" s="70">
        <v>9.3098734909413689E-3</v>
      </c>
      <c r="AJ229" s="70">
        <v>1.1810725897980287E-2</v>
      </c>
      <c r="AK229" s="62">
        <v>1.3950923062460542E-2</v>
      </c>
    </row>
    <row r="230" spans="2:37" x14ac:dyDescent="0.35">
      <c r="B230" s="54" t="s">
        <v>148</v>
      </c>
      <c r="C230" s="52" t="s">
        <v>232</v>
      </c>
      <c r="D230" s="52" t="s">
        <v>97</v>
      </c>
      <c r="E230" s="52" t="s">
        <v>345</v>
      </c>
      <c r="F230" s="72">
        <f t="shared" si="23"/>
        <v>3.6375314074155049E-2</v>
      </c>
      <c r="G230" s="59">
        <f t="shared" si="23"/>
        <v>4.1031904160071082E-2</v>
      </c>
      <c r="H230" s="59">
        <f t="shared" si="23"/>
        <v>4.6464588057912169E-2</v>
      </c>
      <c r="I230" s="59">
        <f t="shared" si="23"/>
        <v>5.0040883234559269E-2</v>
      </c>
      <c r="J230" s="62">
        <f t="shared" si="23"/>
        <v>5.3611787048778704E-2</v>
      </c>
      <c r="K230" s="59" t="str">
        <f t="shared" si="24"/>
        <v/>
      </c>
      <c r="L230" s="59">
        <f t="shared" si="24"/>
        <v>4.3681267600710781E-3</v>
      </c>
      <c r="M230" s="59">
        <f t="shared" si="24"/>
        <v>9.26468065791217E-3</v>
      </c>
      <c r="N230" s="59">
        <f t="shared" si="24"/>
        <v>1.1857839234559266E-2</v>
      </c>
      <c r="O230" s="62">
        <f t="shared" si="24"/>
        <v>1.4088637548778702E-2</v>
      </c>
      <c r="P230" s="54" t="s">
        <v>554</v>
      </c>
      <c r="Q230" s="52" t="s">
        <v>555</v>
      </c>
      <c r="R230" s="93" t="s">
        <v>32</v>
      </c>
      <c r="S230" s="72">
        <v>4.5901569999999996E-2</v>
      </c>
      <c r="T230" s="62">
        <f t="shared" si="20"/>
        <v>5.6301805791217352E-4</v>
      </c>
      <c r="V230" s="113">
        <v>1.1164566199999999</v>
      </c>
      <c r="W230" s="71">
        <v>2.87812154</v>
      </c>
      <c r="X230" s="71">
        <v>4.4450557000000002</v>
      </c>
      <c r="Y230" s="71">
        <v>5.7997845000000003</v>
      </c>
      <c r="Z230" s="114">
        <v>7.488577170000001</v>
      </c>
      <c r="AB230" s="70">
        <v>3.6375314074155049E-2</v>
      </c>
      <c r="AC230" s="70">
        <v>4.1031904160071082E-2</v>
      </c>
      <c r="AD230" s="70">
        <v>4.6464588057912169E-2</v>
      </c>
      <c r="AE230" s="70">
        <v>5.0040883234559269E-2</v>
      </c>
      <c r="AF230" s="62">
        <v>5.3611787048778704E-2</v>
      </c>
      <c r="AG230" s="70" t="s">
        <v>21</v>
      </c>
      <c r="AH230" s="70">
        <v>4.3681267600710781E-3</v>
      </c>
      <c r="AI230" s="70">
        <v>9.26468065791217E-3</v>
      </c>
      <c r="AJ230" s="70">
        <v>1.1857839234559266E-2</v>
      </c>
      <c r="AK230" s="62">
        <v>1.4088637548778702E-2</v>
      </c>
    </row>
    <row r="231" spans="2:37" x14ac:dyDescent="0.35">
      <c r="B231" s="54" t="s">
        <v>352</v>
      </c>
      <c r="C231" s="52" t="s">
        <v>232</v>
      </c>
      <c r="D231" s="52" t="s">
        <v>20</v>
      </c>
      <c r="E231" s="52" t="s">
        <v>21</v>
      </c>
      <c r="F231" s="72">
        <f t="shared" si="23"/>
        <v>3.7233941279627279E-2</v>
      </c>
      <c r="G231" s="59">
        <f t="shared" si="23"/>
        <v>4.1841438378714881E-2</v>
      </c>
      <c r="H231" s="59">
        <f t="shared" si="23"/>
        <v>4.7468390865958235E-2</v>
      </c>
      <c r="I231" s="59">
        <f t="shared" si="23"/>
        <v>5.1245399760522052E-2</v>
      </c>
      <c r="J231" s="62">
        <f t="shared" si="23"/>
        <v>5.4539326375002577E-2</v>
      </c>
      <c r="K231" s="59" t="str">
        <f t="shared" si="24"/>
        <v/>
      </c>
      <c r="L231" s="59">
        <f t="shared" si="24"/>
        <v>5.1611144787148816E-3</v>
      </c>
      <c r="M231" s="59">
        <f t="shared" si="24"/>
        <v>1.0243214165958227E-2</v>
      </c>
      <c r="N231" s="59">
        <f t="shared" si="24"/>
        <v>1.3029002760522048E-2</v>
      </c>
      <c r="O231" s="62">
        <f t="shared" si="24"/>
        <v>1.5001357675002575E-2</v>
      </c>
      <c r="P231" s="54" t="s">
        <v>21</v>
      </c>
      <c r="Q231" s="52" t="s">
        <v>21</v>
      </c>
      <c r="R231" s="93" t="s">
        <v>21</v>
      </c>
      <c r="S231" s="72" t="s">
        <v>21</v>
      </c>
      <c r="T231" s="62" t="str">
        <f t="shared" si="20"/>
        <v/>
      </c>
      <c r="V231" s="113">
        <v>1.1158321800000002</v>
      </c>
      <c r="W231" s="71">
        <v>2.8757782999999999</v>
      </c>
      <c r="X231" s="71">
        <v>4.4376264999999995</v>
      </c>
      <c r="Y231" s="71">
        <v>5.7808104399999998</v>
      </c>
      <c r="Z231" s="114">
        <v>7.4552133000000005</v>
      </c>
      <c r="AB231" s="70">
        <v>3.7233941279627279E-2</v>
      </c>
      <c r="AC231" s="70">
        <v>4.1841438378714881E-2</v>
      </c>
      <c r="AD231" s="70">
        <v>4.7468390865958235E-2</v>
      </c>
      <c r="AE231" s="70">
        <v>5.1245399760522052E-2</v>
      </c>
      <c r="AF231" s="62">
        <v>5.4539326375002577E-2</v>
      </c>
      <c r="AG231" s="70" t="s">
        <v>21</v>
      </c>
      <c r="AH231" s="70">
        <v>5.1611144787148816E-3</v>
      </c>
      <c r="AI231" s="70">
        <v>1.0243214165958227E-2</v>
      </c>
      <c r="AJ231" s="70">
        <v>1.3029002760522048E-2</v>
      </c>
      <c r="AK231" s="62">
        <v>1.5001357675002575E-2</v>
      </c>
    </row>
    <row r="232" spans="2:37" x14ac:dyDescent="0.35">
      <c r="B232" s="54" t="s">
        <v>373</v>
      </c>
      <c r="C232" s="52" t="s">
        <v>232</v>
      </c>
      <c r="D232" s="52" t="s">
        <v>69</v>
      </c>
      <c r="E232" s="52" t="s">
        <v>21</v>
      </c>
      <c r="F232" s="72">
        <f t="shared" si="23"/>
        <v>3.6515474813271782E-2</v>
      </c>
      <c r="G232" s="59">
        <f t="shared" si="23"/>
        <v>4.0945636840779655E-2</v>
      </c>
      <c r="H232" s="59">
        <f t="shared" si="23"/>
        <v>4.6409825216906411E-2</v>
      </c>
      <c r="I232" s="59">
        <f t="shared" si="23"/>
        <v>4.9552560775033457E-2</v>
      </c>
      <c r="J232" s="62">
        <f t="shared" si="23"/>
        <v>5.2408043996711472E-2</v>
      </c>
      <c r="K232" s="59" t="str">
        <f t="shared" si="24"/>
        <v/>
      </c>
      <c r="L232" s="59">
        <f t="shared" si="24"/>
        <v>4.2862276407796569E-3</v>
      </c>
      <c r="M232" s="59">
        <f t="shared" si="24"/>
        <v>9.2128358169064097E-3</v>
      </c>
      <c r="N232" s="59">
        <f t="shared" si="24"/>
        <v>1.1392131975033453E-2</v>
      </c>
      <c r="O232" s="62">
        <f t="shared" si="24"/>
        <v>1.2932985996711471E-2</v>
      </c>
      <c r="P232" s="54" t="s">
        <v>21</v>
      </c>
      <c r="Q232" s="52" t="s">
        <v>21</v>
      </c>
      <c r="R232" s="93" t="s">
        <v>21</v>
      </c>
      <c r="S232" s="72" t="s">
        <v>21</v>
      </c>
      <c r="T232" s="62" t="str">
        <f t="shared" si="20"/>
        <v/>
      </c>
      <c r="V232" s="113">
        <v>1.11618281</v>
      </c>
      <c r="W232" s="71">
        <v>2.8781726600000002</v>
      </c>
      <c r="X232" s="71">
        <v>4.44585352</v>
      </c>
      <c r="Y232" s="71">
        <v>5.8073151300000001</v>
      </c>
      <c r="Z232" s="114">
        <v>7.5264751099999998</v>
      </c>
      <c r="AB232" s="70">
        <v>3.6515474813271782E-2</v>
      </c>
      <c r="AC232" s="70">
        <v>4.0945636840779655E-2</v>
      </c>
      <c r="AD232" s="70">
        <v>4.6409825216906411E-2</v>
      </c>
      <c r="AE232" s="70">
        <v>4.9552560775033457E-2</v>
      </c>
      <c r="AF232" s="62">
        <v>5.2408043996711472E-2</v>
      </c>
      <c r="AG232" s="70" t="s">
        <v>21</v>
      </c>
      <c r="AH232" s="70">
        <v>4.2862276407796569E-3</v>
      </c>
      <c r="AI232" s="70">
        <v>9.2128358169064097E-3</v>
      </c>
      <c r="AJ232" s="70">
        <v>1.1392131975033453E-2</v>
      </c>
      <c r="AK232" s="62">
        <v>1.2932985996711471E-2</v>
      </c>
    </row>
    <row r="233" spans="2:37" x14ac:dyDescent="0.35">
      <c r="B233" s="54" t="s">
        <v>374</v>
      </c>
      <c r="C233" s="52" t="s">
        <v>232</v>
      </c>
      <c r="D233" s="52" t="s">
        <v>20</v>
      </c>
      <c r="E233" s="52" t="s">
        <v>556</v>
      </c>
      <c r="F233" s="72">
        <f t="shared" si="23"/>
        <v>3.680084617184208E-2</v>
      </c>
      <c r="G233" s="59">
        <f t="shared" si="23"/>
        <v>4.0730111900326257E-2</v>
      </c>
      <c r="H233" s="59">
        <f t="shared" si="23"/>
        <v>4.5462948906494362E-2</v>
      </c>
      <c r="I233" s="59">
        <f t="shared" si="23"/>
        <v>4.8364549204962089E-2</v>
      </c>
      <c r="J233" s="62">
        <f t="shared" si="23"/>
        <v>5.0934808388200699E-2</v>
      </c>
      <c r="K233" s="59" t="str">
        <f t="shared" si="24"/>
        <v/>
      </c>
      <c r="L233" s="59">
        <f t="shared" si="24"/>
        <v>4.1006966003262549E-3</v>
      </c>
      <c r="M233" s="59">
        <f t="shared" si="24"/>
        <v>8.3291119064943641E-3</v>
      </c>
      <c r="N233" s="59">
        <f t="shared" si="24"/>
        <v>1.0275251104962085E-2</v>
      </c>
      <c r="O233" s="62">
        <f t="shared" si="24"/>
        <v>1.1529619688200696E-2</v>
      </c>
      <c r="P233" s="54" t="s">
        <v>21</v>
      </c>
      <c r="Q233" s="52" t="s">
        <v>21</v>
      </c>
      <c r="R233" s="93" t="s">
        <v>21</v>
      </c>
      <c r="S233" s="72" t="s">
        <v>21</v>
      </c>
      <c r="T233" s="62" t="str">
        <f t="shared" si="20"/>
        <v/>
      </c>
      <c r="V233" s="113">
        <v>1.11659277</v>
      </c>
      <c r="W233" s="71">
        <v>2.8832853900000002</v>
      </c>
      <c r="X233" s="71">
        <v>4.4669062000000004</v>
      </c>
      <c r="Y233" s="71">
        <v>5.8543816899999994</v>
      </c>
      <c r="Z233" s="114">
        <v>7.6241325799999995</v>
      </c>
      <c r="AB233" s="70">
        <v>3.680084617184208E-2</v>
      </c>
      <c r="AC233" s="70">
        <v>4.0730111900326257E-2</v>
      </c>
      <c r="AD233" s="70">
        <v>4.5462948906494362E-2</v>
      </c>
      <c r="AE233" s="70">
        <v>4.8364549204962089E-2</v>
      </c>
      <c r="AF233" s="62">
        <v>5.0934808388200699E-2</v>
      </c>
      <c r="AG233" s="70" t="s">
        <v>21</v>
      </c>
      <c r="AH233" s="70">
        <v>4.1006966003262549E-3</v>
      </c>
      <c r="AI233" s="70">
        <v>8.3291119064943641E-3</v>
      </c>
      <c r="AJ233" s="70">
        <v>1.0275251104962085E-2</v>
      </c>
      <c r="AK233" s="62">
        <v>1.1529619688200696E-2</v>
      </c>
    </row>
    <row r="234" spans="2:37" x14ac:dyDescent="0.35">
      <c r="B234" s="54" t="s">
        <v>157</v>
      </c>
      <c r="C234" s="52" t="s">
        <v>232</v>
      </c>
      <c r="D234" s="52" t="s">
        <v>31</v>
      </c>
      <c r="E234" s="52" t="s">
        <v>21</v>
      </c>
      <c r="F234" s="72">
        <f t="shared" si="23"/>
        <v>3.6980512873453768E-2</v>
      </c>
      <c r="G234" s="59">
        <f t="shared" si="23"/>
        <v>4.1048935164476767E-2</v>
      </c>
      <c r="H234" s="59">
        <f t="shared" si="23"/>
        <v>4.6366422843573382E-2</v>
      </c>
      <c r="I234" s="59">
        <f t="shared" si="23"/>
        <v>4.9702919881805807E-2</v>
      </c>
      <c r="J234" s="62">
        <f t="shared" si="23"/>
        <v>5.2891003117896407E-2</v>
      </c>
      <c r="K234" s="59" t="str">
        <f t="shared" si="24"/>
        <v/>
      </c>
      <c r="L234" s="59">
        <f t="shared" si="24"/>
        <v>4.3827009644767656E-3</v>
      </c>
      <c r="M234" s="59">
        <f t="shared" si="24"/>
        <v>9.1695310435733878E-3</v>
      </c>
      <c r="N234" s="59">
        <f t="shared" si="24"/>
        <v>1.1533639281805803E-2</v>
      </c>
      <c r="O234" s="62">
        <f t="shared" si="24"/>
        <v>1.3394867817896405E-2</v>
      </c>
      <c r="P234" s="54" t="s">
        <v>21</v>
      </c>
      <c r="Q234" s="52" t="s">
        <v>21</v>
      </c>
      <c r="R234" s="93" t="s">
        <v>21</v>
      </c>
      <c r="S234" s="72" t="s">
        <v>21</v>
      </c>
      <c r="T234" s="62" t="str">
        <f t="shared" si="20"/>
        <v/>
      </c>
      <c r="V234" s="113">
        <v>1.1153422399999999</v>
      </c>
      <c r="W234" s="71">
        <v>2.8760727699999999</v>
      </c>
      <c r="X234" s="71">
        <v>4.4441503299999994</v>
      </c>
      <c r="Y234" s="71">
        <v>5.8039343499999996</v>
      </c>
      <c r="Z234" s="114">
        <v>7.5113534199999998</v>
      </c>
      <c r="AB234" s="70">
        <v>3.6980512873453768E-2</v>
      </c>
      <c r="AC234" s="70">
        <v>4.1048935164476767E-2</v>
      </c>
      <c r="AD234" s="70">
        <v>4.6366422843573382E-2</v>
      </c>
      <c r="AE234" s="70">
        <v>4.9702919881805807E-2</v>
      </c>
      <c r="AF234" s="62">
        <v>5.2891003117896407E-2</v>
      </c>
      <c r="AG234" s="70" t="s">
        <v>21</v>
      </c>
      <c r="AH234" s="70">
        <v>4.3827009644767656E-3</v>
      </c>
      <c r="AI234" s="70">
        <v>9.1695310435733878E-3</v>
      </c>
      <c r="AJ234" s="70">
        <v>1.1533639281805803E-2</v>
      </c>
      <c r="AK234" s="62">
        <v>1.3394867817896405E-2</v>
      </c>
    </row>
    <row r="235" spans="2:37" x14ac:dyDescent="0.35">
      <c r="B235" s="54" t="s">
        <v>260</v>
      </c>
      <c r="C235" s="52" t="s">
        <v>232</v>
      </c>
      <c r="D235" s="52" t="s">
        <v>43</v>
      </c>
      <c r="E235" s="52" t="s">
        <v>21</v>
      </c>
      <c r="F235" s="72">
        <f t="shared" si="23"/>
        <v>3.6797555546725119E-2</v>
      </c>
      <c r="G235" s="59">
        <f t="shared" si="23"/>
        <v>4.1244834784830979E-2</v>
      </c>
      <c r="H235" s="59">
        <f t="shared" si="23"/>
        <v>4.6317973589145765E-2</v>
      </c>
      <c r="I235" s="59">
        <f t="shared" si="23"/>
        <v>4.9413036067095538E-2</v>
      </c>
      <c r="J235" s="62">
        <f t="shared" si="23"/>
        <v>5.2592563050434721E-2</v>
      </c>
      <c r="K235" s="59" t="str">
        <f t="shared" si="24"/>
        <v/>
      </c>
      <c r="L235" s="59">
        <f t="shared" si="24"/>
        <v>4.5720099848309886E-3</v>
      </c>
      <c r="M235" s="59">
        <f t="shared" si="24"/>
        <v>9.12451038914577E-3</v>
      </c>
      <c r="N235" s="59">
        <f t="shared" si="24"/>
        <v>1.1257545467095535E-2</v>
      </c>
      <c r="O235" s="62">
        <f t="shared" si="24"/>
        <v>1.3107190150434728E-2</v>
      </c>
      <c r="P235" s="54" t="s">
        <v>21</v>
      </c>
      <c r="Q235" s="52" t="s">
        <v>21</v>
      </c>
      <c r="R235" s="93" t="s">
        <v>21</v>
      </c>
      <c r="S235" s="72" t="s">
        <v>21</v>
      </c>
      <c r="T235" s="62" t="str">
        <f t="shared" si="20"/>
        <v/>
      </c>
      <c r="V235" s="113">
        <v>1.1156578100000001</v>
      </c>
      <c r="W235" s="71">
        <v>2.8753949800000003</v>
      </c>
      <c r="X235" s="71">
        <v>4.4434980499999996</v>
      </c>
      <c r="Y235" s="71">
        <v>5.8075029999999996</v>
      </c>
      <c r="Z235" s="114">
        <v>7.5237175700000005</v>
      </c>
      <c r="AB235" s="70">
        <v>3.6797555546725119E-2</v>
      </c>
      <c r="AC235" s="70">
        <v>4.1244834784830979E-2</v>
      </c>
      <c r="AD235" s="70">
        <v>4.6317973589145765E-2</v>
      </c>
      <c r="AE235" s="70">
        <v>4.9413036067095538E-2</v>
      </c>
      <c r="AF235" s="62">
        <v>5.2592563050434721E-2</v>
      </c>
      <c r="AG235" s="70" t="s">
        <v>21</v>
      </c>
      <c r="AH235" s="70">
        <v>4.5720099848309886E-3</v>
      </c>
      <c r="AI235" s="70">
        <v>9.12451038914577E-3</v>
      </c>
      <c r="AJ235" s="70">
        <v>1.1257545467095535E-2</v>
      </c>
      <c r="AK235" s="62">
        <v>1.3107190150434728E-2</v>
      </c>
    </row>
    <row r="236" spans="2:37" x14ac:dyDescent="0.35">
      <c r="B236" s="54" t="s">
        <v>322</v>
      </c>
      <c r="C236" s="52" t="s">
        <v>232</v>
      </c>
      <c r="D236" s="52" t="s">
        <v>31</v>
      </c>
      <c r="E236" s="52" t="s">
        <v>256</v>
      </c>
      <c r="F236" s="72">
        <f t="shared" si="23"/>
        <v>3.6309697077146E-2</v>
      </c>
      <c r="G236" s="59">
        <f t="shared" si="23"/>
        <v>4.0713541029317638E-2</v>
      </c>
      <c r="H236" s="59">
        <f t="shared" si="23"/>
        <v>4.6199267630168059E-2</v>
      </c>
      <c r="I236" s="59">
        <f t="shared" si="23"/>
        <v>5.0549972368279163E-2</v>
      </c>
      <c r="J236" s="62">
        <f t="shared" si="23"/>
        <v>5.4045107099662391E-2</v>
      </c>
      <c r="K236" s="59" t="str">
        <f t="shared" si="24"/>
        <v/>
      </c>
      <c r="L236" s="59">
        <f t="shared" si="24"/>
        <v>4.0623984293176414E-3</v>
      </c>
      <c r="M236" s="59">
        <f t="shared" si="24"/>
        <v>9.0106913301680556E-3</v>
      </c>
      <c r="N236" s="59">
        <f t="shared" si="24"/>
        <v>1.2342612668279167E-2</v>
      </c>
      <c r="O236" s="62">
        <f t="shared" si="24"/>
        <v>1.4507837999662394E-2</v>
      </c>
      <c r="P236" s="54" t="s">
        <v>21</v>
      </c>
      <c r="Q236" s="52" t="s">
        <v>21</v>
      </c>
      <c r="R236" s="93" t="s">
        <v>21</v>
      </c>
      <c r="S236" s="72" t="s">
        <v>21</v>
      </c>
      <c r="T236" s="62" t="str">
        <f t="shared" si="20"/>
        <v/>
      </c>
      <c r="V236" s="113">
        <v>1.1165964100000001</v>
      </c>
      <c r="W236" s="71">
        <v>2.8803562</v>
      </c>
      <c r="X236" s="71">
        <v>4.4505734800000001</v>
      </c>
      <c r="Y236" s="71">
        <v>5.7986130899999999</v>
      </c>
      <c r="Z236" s="114">
        <v>7.4730468800000001</v>
      </c>
      <c r="AB236" s="70">
        <v>3.6309697077146E-2</v>
      </c>
      <c r="AC236" s="70">
        <v>4.0713541029317638E-2</v>
      </c>
      <c r="AD236" s="70">
        <v>4.6199267630168059E-2</v>
      </c>
      <c r="AE236" s="70">
        <v>5.0549972368279163E-2</v>
      </c>
      <c r="AF236" s="62">
        <v>5.4045107099662391E-2</v>
      </c>
      <c r="AG236" s="70" t="s">
        <v>21</v>
      </c>
      <c r="AH236" s="70">
        <v>4.0623984293176414E-3</v>
      </c>
      <c r="AI236" s="70">
        <v>9.0106913301680556E-3</v>
      </c>
      <c r="AJ236" s="70">
        <v>1.2342612668279167E-2</v>
      </c>
      <c r="AK236" s="62">
        <v>1.4507837999662394E-2</v>
      </c>
    </row>
    <row r="237" spans="2:37" x14ac:dyDescent="0.35">
      <c r="B237" s="54" t="s">
        <v>365</v>
      </c>
      <c r="C237" s="52" t="s">
        <v>232</v>
      </c>
      <c r="D237" s="52" t="s">
        <v>69</v>
      </c>
      <c r="E237" s="52" t="s">
        <v>21</v>
      </c>
      <c r="F237" s="72">
        <f t="shared" si="23"/>
        <v>3.689859530447584E-2</v>
      </c>
      <c r="G237" s="59">
        <f t="shared" si="23"/>
        <v>4.0873328335444936E-2</v>
      </c>
      <c r="H237" s="59">
        <f t="shared" si="23"/>
        <v>4.6152187457743139E-2</v>
      </c>
      <c r="I237" s="59">
        <f t="shared" si="23"/>
        <v>4.9396005024673888E-2</v>
      </c>
      <c r="J237" s="62">
        <f t="shared" si="23"/>
        <v>5.2389530492800443E-2</v>
      </c>
      <c r="K237" s="59" t="str">
        <f t="shared" si="24"/>
        <v/>
      </c>
      <c r="L237" s="59">
        <f t="shared" si="24"/>
        <v>4.2166289354449377E-3</v>
      </c>
      <c r="M237" s="59">
        <f t="shared" si="24"/>
        <v>8.9663282577431471E-3</v>
      </c>
      <c r="N237" s="59">
        <f t="shared" si="24"/>
        <v>1.1241552224673887E-2</v>
      </c>
      <c r="O237" s="62">
        <f t="shared" si="24"/>
        <v>1.2913893792800449E-2</v>
      </c>
      <c r="P237" s="54" t="s">
        <v>21</v>
      </c>
      <c r="Q237" s="52" t="s">
        <v>21</v>
      </c>
      <c r="R237" s="93" t="s">
        <v>21</v>
      </c>
      <c r="S237" s="72" t="s">
        <v>21</v>
      </c>
      <c r="T237" s="62" t="str">
        <f t="shared" si="20"/>
        <v/>
      </c>
      <c r="V237" s="113">
        <v>1.1154672799999998</v>
      </c>
      <c r="W237" s="71">
        <v>2.8773690899999997</v>
      </c>
      <c r="X237" s="71">
        <v>4.4478884900000004</v>
      </c>
      <c r="Y237" s="71">
        <v>5.8121380299999998</v>
      </c>
      <c r="Z237" s="114">
        <v>7.532137060000001</v>
      </c>
      <c r="AB237" s="70">
        <v>3.689859530447584E-2</v>
      </c>
      <c r="AC237" s="70">
        <v>4.0873328335444936E-2</v>
      </c>
      <c r="AD237" s="70">
        <v>4.6152187457743139E-2</v>
      </c>
      <c r="AE237" s="70">
        <v>4.9396005024673888E-2</v>
      </c>
      <c r="AF237" s="62">
        <v>5.2389530492800443E-2</v>
      </c>
      <c r="AG237" s="70" t="s">
        <v>21</v>
      </c>
      <c r="AH237" s="70">
        <v>4.2166289354449377E-3</v>
      </c>
      <c r="AI237" s="70">
        <v>8.9663282577431471E-3</v>
      </c>
      <c r="AJ237" s="70">
        <v>1.1241552224673887E-2</v>
      </c>
      <c r="AK237" s="62">
        <v>1.2913893792800449E-2</v>
      </c>
    </row>
    <row r="238" spans="2:37" x14ac:dyDescent="0.35">
      <c r="B238" s="54" t="s">
        <v>374</v>
      </c>
      <c r="C238" s="52" t="s">
        <v>232</v>
      </c>
      <c r="D238" s="52" t="s">
        <v>20</v>
      </c>
      <c r="E238" s="52" t="s">
        <v>249</v>
      </c>
      <c r="F238" s="72">
        <f t="shared" si="23"/>
        <v>3.680084617184208E-2</v>
      </c>
      <c r="G238" s="59">
        <f t="shared" si="23"/>
        <v>4.0730111900326257E-2</v>
      </c>
      <c r="H238" s="59">
        <f t="shared" si="23"/>
        <v>4.5462948906494362E-2</v>
      </c>
      <c r="I238" s="59">
        <f t="shared" si="23"/>
        <v>4.8364549204962089E-2</v>
      </c>
      <c r="J238" s="62">
        <f t="shared" si="23"/>
        <v>5.0934808388200699E-2</v>
      </c>
      <c r="K238" s="59" t="str">
        <f t="shared" si="24"/>
        <v/>
      </c>
      <c r="L238" s="59">
        <f t="shared" si="24"/>
        <v>4.1006966003262549E-3</v>
      </c>
      <c r="M238" s="59">
        <f t="shared" si="24"/>
        <v>8.3291119064943641E-3</v>
      </c>
      <c r="N238" s="59">
        <f t="shared" si="24"/>
        <v>1.0275251104962085E-2</v>
      </c>
      <c r="O238" s="62">
        <f t="shared" si="24"/>
        <v>1.1529619688200696E-2</v>
      </c>
      <c r="P238" s="54" t="s">
        <v>21</v>
      </c>
      <c r="Q238" s="52" t="s">
        <v>21</v>
      </c>
      <c r="R238" s="93" t="s">
        <v>21</v>
      </c>
      <c r="S238" s="72" t="s">
        <v>21</v>
      </c>
      <c r="T238" s="62" t="str">
        <f t="shared" si="20"/>
        <v/>
      </c>
      <c r="V238" s="113">
        <v>1.11659277</v>
      </c>
      <c r="W238" s="71">
        <v>2.8832853900000002</v>
      </c>
      <c r="X238" s="71">
        <v>4.4669062000000004</v>
      </c>
      <c r="Y238" s="71">
        <v>5.8543816899999994</v>
      </c>
      <c r="Z238" s="114">
        <v>7.6241325799999995</v>
      </c>
      <c r="AB238" s="70">
        <v>3.680084617184208E-2</v>
      </c>
      <c r="AC238" s="70">
        <v>4.0730111900326257E-2</v>
      </c>
      <c r="AD238" s="70">
        <v>4.5462948906494362E-2</v>
      </c>
      <c r="AE238" s="70">
        <v>4.8364549204962089E-2</v>
      </c>
      <c r="AF238" s="62">
        <v>5.0934808388200699E-2</v>
      </c>
      <c r="AG238" s="70" t="s">
        <v>21</v>
      </c>
      <c r="AH238" s="70">
        <v>4.1006966003262549E-3</v>
      </c>
      <c r="AI238" s="70">
        <v>8.3291119064943641E-3</v>
      </c>
      <c r="AJ238" s="70">
        <v>1.0275251104962085E-2</v>
      </c>
      <c r="AK238" s="62">
        <v>1.1529619688200696E-2</v>
      </c>
    </row>
    <row r="239" spans="2:37" x14ac:dyDescent="0.35">
      <c r="B239" s="54" t="s">
        <v>357</v>
      </c>
      <c r="C239" s="52" t="s">
        <v>232</v>
      </c>
      <c r="D239" s="52" t="s">
        <v>20</v>
      </c>
      <c r="E239" s="52" t="s">
        <v>58</v>
      </c>
      <c r="F239" s="72">
        <f t="shared" si="23"/>
        <v>3.7720972732478826E-2</v>
      </c>
      <c r="G239" s="59">
        <f t="shared" si="23"/>
        <v>4.2413578759480999E-2</v>
      </c>
      <c r="H239" s="59">
        <f t="shared" si="23"/>
        <v>4.8213373312933239E-2</v>
      </c>
      <c r="I239" s="59">
        <f t="shared" si="23"/>
        <v>5.1764302346882472E-2</v>
      </c>
      <c r="J239" s="62">
        <f t="shared" si="23"/>
        <v>5.5086572884891549E-2</v>
      </c>
      <c r="K239" s="59">
        <f t="shared" si="24"/>
        <v>7.6951432478822301E-5</v>
      </c>
      <c r="L239" s="59">
        <f t="shared" si="24"/>
        <v>5.7092127594810058E-3</v>
      </c>
      <c r="M239" s="59">
        <f t="shared" si="24"/>
        <v>1.0953932912933239E-2</v>
      </c>
      <c r="N239" s="59">
        <f t="shared" si="24"/>
        <v>1.3523860346882476E-2</v>
      </c>
      <c r="O239" s="62">
        <f t="shared" si="24"/>
        <v>1.5524626484891543E-2</v>
      </c>
      <c r="P239" s="54" t="s">
        <v>21</v>
      </c>
      <c r="Q239" s="52" t="s">
        <v>21</v>
      </c>
      <c r="R239" s="93" t="s">
        <v>21</v>
      </c>
      <c r="S239" s="72" t="s">
        <v>21</v>
      </c>
      <c r="T239" s="62" t="str">
        <f t="shared" si="20"/>
        <v/>
      </c>
      <c r="V239" s="113">
        <v>1.1148834999999999</v>
      </c>
      <c r="W239" s="71">
        <v>2.8693267599999999</v>
      </c>
      <c r="X239" s="71">
        <v>4.4229312499999995</v>
      </c>
      <c r="Y239" s="71">
        <v>5.7584231399999997</v>
      </c>
      <c r="Z239" s="114">
        <v>7.4203432500000002</v>
      </c>
      <c r="AB239" s="70">
        <v>3.7720972732478826E-2</v>
      </c>
      <c r="AC239" s="70">
        <v>4.2413578759480999E-2</v>
      </c>
      <c r="AD239" s="70">
        <v>4.8213373312933239E-2</v>
      </c>
      <c r="AE239" s="70">
        <v>5.1764302346882472E-2</v>
      </c>
      <c r="AF239" s="62">
        <v>5.5086572884891549E-2</v>
      </c>
      <c r="AG239" s="70">
        <v>7.6951432478822301E-5</v>
      </c>
      <c r="AH239" s="70">
        <v>5.7092127594810058E-3</v>
      </c>
      <c r="AI239" s="70">
        <v>1.0953932912933239E-2</v>
      </c>
      <c r="AJ239" s="70">
        <v>1.3523860346882476E-2</v>
      </c>
      <c r="AK239" s="62">
        <v>1.5524626484891543E-2</v>
      </c>
    </row>
    <row r="240" spans="2:37" x14ac:dyDescent="0.35">
      <c r="B240" s="54" t="s">
        <v>261</v>
      </c>
      <c r="C240" s="52" t="s">
        <v>232</v>
      </c>
      <c r="D240" s="52" t="s">
        <v>62</v>
      </c>
      <c r="E240" s="52" t="s">
        <v>128</v>
      </c>
      <c r="F240" s="72">
        <f t="shared" si="23"/>
        <v>3.6909775966533581E-2</v>
      </c>
      <c r="G240" s="59">
        <f t="shared" si="23"/>
        <v>4.0971221297421319E-2</v>
      </c>
      <c r="H240" s="59">
        <f t="shared" si="23"/>
        <v>4.6051937462315E-2</v>
      </c>
      <c r="I240" s="59">
        <f t="shared" si="23"/>
        <v>4.924870550753855E-2</v>
      </c>
      <c r="J240" s="62">
        <f t="shared" si="23"/>
        <v>5.219087794175703E-2</v>
      </c>
      <c r="K240" s="59" t="str">
        <f t="shared" si="24"/>
        <v/>
      </c>
      <c r="L240" s="59">
        <f t="shared" si="24"/>
        <v>4.3106652974213115E-3</v>
      </c>
      <c r="M240" s="59">
        <f t="shared" si="24"/>
        <v>8.8706966623149971E-3</v>
      </c>
      <c r="N240" s="59">
        <f t="shared" si="24"/>
        <v>1.1100559007538549E-2</v>
      </c>
      <c r="O240" s="62">
        <f t="shared" si="24"/>
        <v>1.2722206041757033E-2</v>
      </c>
      <c r="P240" s="54" t="s">
        <v>557</v>
      </c>
      <c r="Q240" s="52" t="s">
        <v>558</v>
      </c>
      <c r="R240" s="93">
        <v>47649</v>
      </c>
      <c r="S240" s="72">
        <v>4.1970900000000005E-2</v>
      </c>
      <c r="T240" s="62">
        <f t="shared" si="20"/>
        <v>4.0810374623149945E-3</v>
      </c>
      <c r="V240" s="113">
        <v>1.1154407799999999</v>
      </c>
      <c r="W240" s="71">
        <v>2.8767112699999999</v>
      </c>
      <c r="X240" s="71">
        <v>4.4480435800000002</v>
      </c>
      <c r="Y240" s="71">
        <v>5.8146572899999995</v>
      </c>
      <c r="Z240" s="114">
        <v>7.5400619000000004</v>
      </c>
      <c r="AB240" s="70">
        <v>3.6909775966533581E-2</v>
      </c>
      <c r="AC240" s="70">
        <v>4.0971221297421319E-2</v>
      </c>
      <c r="AD240" s="70">
        <v>4.6051937462315E-2</v>
      </c>
      <c r="AE240" s="70">
        <v>4.924870550753855E-2</v>
      </c>
      <c r="AF240" s="62">
        <v>5.219087794175703E-2</v>
      </c>
      <c r="AG240" s="70" t="s">
        <v>21</v>
      </c>
      <c r="AH240" s="70">
        <v>4.3106652974213115E-3</v>
      </c>
      <c r="AI240" s="70">
        <v>8.8706966623149971E-3</v>
      </c>
      <c r="AJ240" s="70">
        <v>1.1100559007538549E-2</v>
      </c>
      <c r="AK240" s="62">
        <v>1.2722206041757033E-2</v>
      </c>
    </row>
    <row r="241" spans="2:37" x14ac:dyDescent="0.35">
      <c r="B241" s="54" t="s">
        <v>370</v>
      </c>
      <c r="C241" s="52" t="s">
        <v>232</v>
      </c>
      <c r="D241" s="52" t="s">
        <v>69</v>
      </c>
      <c r="E241" s="52" t="s">
        <v>21</v>
      </c>
      <c r="F241" s="72">
        <f t="shared" si="23"/>
        <v>3.6365754208668069E-2</v>
      </c>
      <c r="G241" s="59">
        <f t="shared" si="23"/>
        <v>4.0901794620197982E-2</v>
      </c>
      <c r="H241" s="59">
        <f t="shared" si="23"/>
        <v>4.5997385228578103E-2</v>
      </c>
      <c r="I241" s="59">
        <f t="shared" si="23"/>
        <v>4.94366150411732E-2</v>
      </c>
      <c r="J241" s="62">
        <f t="shared" si="23"/>
        <v>5.2666766441161438E-2</v>
      </c>
      <c r="K241" s="59" t="str">
        <f t="shared" si="24"/>
        <v/>
      </c>
      <c r="L241" s="59">
        <f t="shared" si="24"/>
        <v>4.2441705201979769E-3</v>
      </c>
      <c r="M241" s="59">
        <f t="shared" si="24"/>
        <v>8.8187080285781032E-3</v>
      </c>
      <c r="N241" s="59">
        <f t="shared" si="24"/>
        <v>1.1280416141173198E-2</v>
      </c>
      <c r="O241" s="62">
        <f t="shared" si="24"/>
        <v>1.3180706141161444E-2</v>
      </c>
      <c r="P241" s="54" t="s">
        <v>401</v>
      </c>
      <c r="Q241" s="52" t="s">
        <v>402</v>
      </c>
      <c r="R241" s="93">
        <v>47802</v>
      </c>
      <c r="S241" s="72">
        <v>4.6265760000000003E-2</v>
      </c>
      <c r="T241" s="62">
        <f t="shared" si="20"/>
        <v>-2.6837477142190036E-4</v>
      </c>
      <c r="V241" s="113">
        <v>1.1164666300000001</v>
      </c>
      <c r="W241" s="71">
        <v>2.87894446</v>
      </c>
      <c r="X241" s="71">
        <v>4.4508135900000001</v>
      </c>
      <c r="Y241" s="71">
        <v>5.8147617299999999</v>
      </c>
      <c r="Z241" s="114">
        <v>7.5275936799999998</v>
      </c>
      <c r="AB241" s="70">
        <v>3.6365754208668069E-2</v>
      </c>
      <c r="AC241" s="70">
        <v>4.0901794620197982E-2</v>
      </c>
      <c r="AD241" s="70">
        <v>4.5997385228578103E-2</v>
      </c>
      <c r="AE241" s="70">
        <v>4.94366150411732E-2</v>
      </c>
      <c r="AF241" s="62">
        <v>5.2666766441161438E-2</v>
      </c>
      <c r="AG241" s="70" t="s">
        <v>21</v>
      </c>
      <c r="AH241" s="70">
        <v>4.2441705201979769E-3</v>
      </c>
      <c r="AI241" s="70">
        <v>8.8187080285781032E-3</v>
      </c>
      <c r="AJ241" s="70">
        <v>1.1280416141173198E-2</v>
      </c>
      <c r="AK241" s="62">
        <v>1.3180706141161444E-2</v>
      </c>
    </row>
    <row r="242" spans="2:37" x14ac:dyDescent="0.35">
      <c r="B242" s="54" t="s">
        <v>263</v>
      </c>
      <c r="C242" s="52" t="s">
        <v>232</v>
      </c>
      <c r="D242" s="52" t="s">
        <v>31</v>
      </c>
      <c r="E242" s="52" t="s">
        <v>21</v>
      </c>
      <c r="F242" s="72">
        <f t="shared" si="23"/>
        <v>3.6655024038173091E-2</v>
      </c>
      <c r="G242" s="59">
        <f t="shared" si="23"/>
        <v>4.0626612705950964E-2</v>
      </c>
      <c r="H242" s="59">
        <f t="shared" si="23"/>
        <v>4.5989256104199384E-2</v>
      </c>
      <c r="I242" s="59">
        <f t="shared" si="23"/>
        <v>4.9332676174171239E-2</v>
      </c>
      <c r="J242" s="62">
        <f t="shared" si="23"/>
        <v>5.2043614480283322E-2</v>
      </c>
      <c r="K242" s="59" t="str">
        <f t="shared" si="24"/>
        <v/>
      </c>
      <c r="L242" s="59">
        <f t="shared" si="24"/>
        <v>3.9808174059509684E-3</v>
      </c>
      <c r="M242" s="59">
        <f t="shared" si="24"/>
        <v>8.811064504199384E-3</v>
      </c>
      <c r="N242" s="59">
        <f t="shared" si="24"/>
        <v>1.1181522774171237E-2</v>
      </c>
      <c r="O242" s="62">
        <f t="shared" si="24"/>
        <v>1.2583254380283317E-2</v>
      </c>
      <c r="P242" s="54" t="s">
        <v>21</v>
      </c>
      <c r="Q242" s="52" t="s">
        <v>21</v>
      </c>
      <c r="R242" s="93" t="s">
        <v>21</v>
      </c>
      <c r="S242" s="72" t="s">
        <v>21</v>
      </c>
      <c r="T242" s="62" t="str">
        <f t="shared" si="20"/>
        <v/>
      </c>
      <c r="V242" s="113">
        <v>1.11592084</v>
      </c>
      <c r="W242" s="71">
        <v>2.8796980100000003</v>
      </c>
      <c r="X242" s="71">
        <v>4.4522663599999994</v>
      </c>
      <c r="Y242" s="71">
        <v>5.81742895</v>
      </c>
      <c r="Z242" s="114">
        <v>7.5448504500000002</v>
      </c>
      <c r="AB242" s="70">
        <v>3.6655024038173091E-2</v>
      </c>
      <c r="AC242" s="70">
        <v>4.0626612705950964E-2</v>
      </c>
      <c r="AD242" s="70">
        <v>4.5989256104199384E-2</v>
      </c>
      <c r="AE242" s="70">
        <v>4.9332676174171239E-2</v>
      </c>
      <c r="AF242" s="62">
        <v>5.2043614480283322E-2</v>
      </c>
      <c r="AG242" s="70" t="s">
        <v>21</v>
      </c>
      <c r="AH242" s="70">
        <v>3.9808174059509684E-3</v>
      </c>
      <c r="AI242" s="70">
        <v>8.811064504199384E-3</v>
      </c>
      <c r="AJ242" s="70">
        <v>1.1181522774171237E-2</v>
      </c>
      <c r="AK242" s="62">
        <v>1.2583254380283317E-2</v>
      </c>
    </row>
    <row r="243" spans="2:37" x14ac:dyDescent="0.35">
      <c r="B243" s="54" t="s">
        <v>376</v>
      </c>
      <c r="C243" s="52" t="s">
        <v>232</v>
      </c>
      <c r="D243" s="52" t="s">
        <v>20</v>
      </c>
      <c r="E243" s="52" t="s">
        <v>21</v>
      </c>
      <c r="F243" s="72">
        <f t="shared" si="23"/>
        <v>3.703670872651578E-2</v>
      </c>
      <c r="G243" s="59">
        <f t="shared" si="23"/>
        <v>4.117606341047754E-2</v>
      </c>
      <c r="H243" s="59">
        <f t="shared" si="23"/>
        <v>4.6923314427798471E-2</v>
      </c>
      <c r="I243" s="59">
        <f t="shared" si="23"/>
        <v>5.0127499924991825E-2</v>
      </c>
      <c r="J243" s="62">
        <f t="shared" si="23"/>
        <v>5.3112932345221395E-2</v>
      </c>
      <c r="K243" s="59" t="str">
        <f t="shared" si="24"/>
        <v/>
      </c>
      <c r="L243" s="59">
        <f t="shared" si="24"/>
        <v>4.5261334104775451E-3</v>
      </c>
      <c r="M243" s="59">
        <f t="shared" si="24"/>
        <v>9.7244631277984776E-3</v>
      </c>
      <c r="N243" s="59">
        <f t="shared" si="24"/>
        <v>1.196425222499182E-2</v>
      </c>
      <c r="O243" s="62">
        <f t="shared" si="24"/>
        <v>1.3631453945221386E-2</v>
      </c>
      <c r="P243" s="54" t="s">
        <v>405</v>
      </c>
      <c r="Q243" s="52" t="s">
        <v>406</v>
      </c>
      <c r="R243" s="93">
        <v>47825</v>
      </c>
      <c r="S243" s="72">
        <v>4.527759E-2</v>
      </c>
      <c r="T243" s="62">
        <f t="shared" si="20"/>
        <v>1.6457244277984714E-3</v>
      </c>
      <c r="V243" s="113">
        <v>1.1161664599999999</v>
      </c>
      <c r="W243" s="71">
        <v>2.8800144599999999</v>
      </c>
      <c r="X243" s="71">
        <v>4.4482446299999996</v>
      </c>
      <c r="Y243" s="71">
        <v>5.8062999299999998</v>
      </c>
      <c r="Z243" s="114">
        <v>7.5185257099999996</v>
      </c>
      <c r="AB243" s="70">
        <v>3.703670872651578E-2</v>
      </c>
      <c r="AC243" s="70">
        <v>4.117606341047754E-2</v>
      </c>
      <c r="AD243" s="70">
        <v>4.6923314427798471E-2</v>
      </c>
      <c r="AE243" s="70">
        <v>5.0127499924991825E-2</v>
      </c>
      <c r="AF243" s="62">
        <v>5.3112932345221395E-2</v>
      </c>
      <c r="AG243" s="70" t="s">
        <v>21</v>
      </c>
      <c r="AH243" s="70">
        <v>4.5261334104775451E-3</v>
      </c>
      <c r="AI243" s="70">
        <v>9.7244631277984776E-3</v>
      </c>
      <c r="AJ243" s="70">
        <v>1.196425222499182E-2</v>
      </c>
      <c r="AK243" s="62">
        <v>1.3631453945221386E-2</v>
      </c>
    </row>
    <row r="244" spans="2:37" x14ac:dyDescent="0.35">
      <c r="B244" s="54" t="s">
        <v>362</v>
      </c>
      <c r="C244" s="52" t="s">
        <v>232</v>
      </c>
      <c r="D244" s="52" t="s">
        <v>20</v>
      </c>
      <c r="E244" s="52" t="s">
        <v>21</v>
      </c>
      <c r="F244" s="72">
        <f t="shared" si="23"/>
        <v>3.7063028017570235E-2</v>
      </c>
      <c r="G244" s="59">
        <f t="shared" si="23"/>
        <v>4.1644319871034396E-2</v>
      </c>
      <c r="H244" s="59">
        <f t="shared" si="23"/>
        <v>4.6839471412688946E-2</v>
      </c>
      <c r="I244" s="59">
        <f t="shared" si="23"/>
        <v>4.9809310411387107E-2</v>
      </c>
      <c r="J244" s="62">
        <f t="shared" si="23"/>
        <v>5.2555318021460226E-2</v>
      </c>
      <c r="K244" s="59" t="str">
        <f t="shared" si="24"/>
        <v/>
      </c>
      <c r="L244" s="59">
        <f t="shared" si="24"/>
        <v>4.9737045710343923E-3</v>
      </c>
      <c r="M244" s="59">
        <f t="shared" si="24"/>
        <v>9.6436557126889384E-3</v>
      </c>
      <c r="N244" s="59">
        <f t="shared" si="24"/>
        <v>1.1658926911387112E-2</v>
      </c>
      <c r="O244" s="62">
        <f t="shared" si="24"/>
        <v>1.3095704921460231E-2</v>
      </c>
      <c r="P244" s="54" t="s">
        <v>21</v>
      </c>
      <c r="Q244" s="52" t="s">
        <v>21</v>
      </c>
      <c r="R244" s="93" t="s">
        <v>21</v>
      </c>
      <c r="S244" s="72" t="s">
        <v>21</v>
      </c>
      <c r="T244" s="62" t="str">
        <f t="shared" si="20"/>
        <v/>
      </c>
      <c r="V244" s="113">
        <v>1.1161273500000002</v>
      </c>
      <c r="W244" s="71">
        <v>2.8770377900000002</v>
      </c>
      <c r="X244" s="71">
        <v>4.44544271</v>
      </c>
      <c r="Y244" s="71">
        <v>5.8084217000000002</v>
      </c>
      <c r="Z244" s="114">
        <v>7.5304678900000006</v>
      </c>
      <c r="AB244" s="70">
        <v>3.7063028017570235E-2</v>
      </c>
      <c r="AC244" s="70">
        <v>4.1644319871034396E-2</v>
      </c>
      <c r="AD244" s="70">
        <v>4.6839471412688946E-2</v>
      </c>
      <c r="AE244" s="70">
        <v>4.9809310411387107E-2</v>
      </c>
      <c r="AF244" s="62">
        <v>5.2555318021460226E-2</v>
      </c>
      <c r="AG244" s="70" t="s">
        <v>21</v>
      </c>
      <c r="AH244" s="70">
        <v>4.9737045710343923E-3</v>
      </c>
      <c r="AI244" s="70">
        <v>9.6436557126889384E-3</v>
      </c>
      <c r="AJ244" s="70">
        <v>1.1658926911387112E-2</v>
      </c>
      <c r="AK244" s="62">
        <v>1.3095704921460231E-2</v>
      </c>
    </row>
    <row r="245" spans="2:37" x14ac:dyDescent="0.35">
      <c r="B245" s="54" t="s">
        <v>363</v>
      </c>
      <c r="C245" s="52" t="s">
        <v>232</v>
      </c>
      <c r="D245" s="52" t="s">
        <v>20</v>
      </c>
      <c r="E245" s="52" t="s">
        <v>21</v>
      </c>
      <c r="F245" s="72">
        <f t="shared" si="23"/>
        <v>3.7005042620435379E-2</v>
      </c>
      <c r="G245" s="59">
        <f t="shared" si="23"/>
        <v>4.1465800286746339E-2</v>
      </c>
      <c r="H245" s="59">
        <f t="shared" si="23"/>
        <v>4.6801168131452506E-2</v>
      </c>
      <c r="I245" s="59">
        <f t="shared" si="23"/>
        <v>5.0243809075465523E-2</v>
      </c>
      <c r="J245" s="62">
        <f t="shared" si="23"/>
        <v>5.3564876821617841E-2</v>
      </c>
      <c r="K245" s="59" t="str">
        <f t="shared" si="24"/>
        <v/>
      </c>
      <c r="L245" s="59">
        <f t="shared" si="24"/>
        <v>4.8044101867463383E-3</v>
      </c>
      <c r="M245" s="59">
        <f t="shared" si="24"/>
        <v>9.6081892314525078E-3</v>
      </c>
      <c r="N245" s="59">
        <f t="shared" si="24"/>
        <v>1.2073611675465527E-2</v>
      </c>
      <c r="O245" s="62">
        <f t="shared" si="24"/>
        <v>1.4064443921617837E-2</v>
      </c>
      <c r="P245" s="54" t="s">
        <v>21</v>
      </c>
      <c r="Q245" s="52" t="s">
        <v>21</v>
      </c>
      <c r="R245" s="93" t="s">
        <v>21</v>
      </c>
      <c r="S245" s="72" t="s">
        <v>21</v>
      </c>
      <c r="T245" s="62" t="str">
        <f t="shared" si="20"/>
        <v/>
      </c>
      <c r="V245" s="113">
        <v>1.11621437</v>
      </c>
      <c r="W245" s="71">
        <v>2.8782733</v>
      </c>
      <c r="X245" s="71">
        <v>4.4476317700000001</v>
      </c>
      <c r="Y245" s="71">
        <v>5.8074893200000002</v>
      </c>
      <c r="Z245" s="114">
        <v>7.5084069599999994</v>
      </c>
      <c r="AB245" s="70">
        <v>3.7005042620435379E-2</v>
      </c>
      <c r="AC245" s="70">
        <v>4.1465800286746339E-2</v>
      </c>
      <c r="AD245" s="70">
        <v>4.6801168131452506E-2</v>
      </c>
      <c r="AE245" s="70">
        <v>5.0243809075465523E-2</v>
      </c>
      <c r="AF245" s="62">
        <v>5.3564876821617841E-2</v>
      </c>
      <c r="AG245" s="70" t="s">
        <v>21</v>
      </c>
      <c r="AH245" s="70">
        <v>4.8044101867463383E-3</v>
      </c>
      <c r="AI245" s="70">
        <v>9.6081892314525078E-3</v>
      </c>
      <c r="AJ245" s="70">
        <v>1.2073611675465527E-2</v>
      </c>
      <c r="AK245" s="62">
        <v>1.4064443921617837E-2</v>
      </c>
    </row>
    <row r="246" spans="2:37" x14ac:dyDescent="0.35">
      <c r="B246" s="54" t="s">
        <v>366</v>
      </c>
      <c r="C246" s="52" t="s">
        <v>232</v>
      </c>
      <c r="D246" s="52" t="s">
        <v>20</v>
      </c>
      <c r="E246" s="52" t="s">
        <v>264</v>
      </c>
      <c r="F246" s="72">
        <f t="shared" si="23"/>
        <v>3.7110372865467804E-2</v>
      </c>
      <c r="G246" s="59">
        <f t="shared" si="23"/>
        <v>4.1512646200559604E-2</v>
      </c>
      <c r="H246" s="59">
        <f t="shared" si="23"/>
        <v>4.6786642955481773E-2</v>
      </c>
      <c r="I246" s="59">
        <f t="shared" si="23"/>
        <v>5.023957337127638E-2</v>
      </c>
      <c r="J246" s="62">
        <f t="shared" si="23"/>
        <v>5.3723175820407573E-2</v>
      </c>
      <c r="K246" s="59" t="str">
        <f t="shared" si="24"/>
        <v/>
      </c>
      <c r="L246" s="59">
        <f t="shared" si="24"/>
        <v>4.8483135005596076E-3</v>
      </c>
      <c r="M246" s="59">
        <f t="shared" si="24"/>
        <v>9.5936801554817788E-3</v>
      </c>
      <c r="N246" s="59">
        <f t="shared" si="24"/>
        <v>1.2069663971276384E-2</v>
      </c>
      <c r="O246" s="62">
        <f t="shared" si="24"/>
        <v>1.4216061820407569E-2</v>
      </c>
      <c r="P246" s="54" t="s">
        <v>397</v>
      </c>
      <c r="Q246" s="52" t="s">
        <v>398</v>
      </c>
      <c r="R246" s="93">
        <v>47710</v>
      </c>
      <c r="S246" s="72">
        <v>4.6659240000000005E-2</v>
      </c>
      <c r="T246" s="62">
        <f t="shared" si="20"/>
        <v>1.2740295548176878E-4</v>
      </c>
      <c r="V246" s="113">
        <v>1.11604584</v>
      </c>
      <c r="W246" s="71">
        <v>2.8780508299999998</v>
      </c>
      <c r="X246" s="71">
        <v>4.4472224599999999</v>
      </c>
      <c r="Y246" s="71">
        <v>5.8055640300000002</v>
      </c>
      <c r="Z246" s="114">
        <v>7.5022686099999998</v>
      </c>
      <c r="AB246" s="70">
        <v>3.7110372865467804E-2</v>
      </c>
      <c r="AC246" s="70">
        <v>4.1512646200559604E-2</v>
      </c>
      <c r="AD246" s="70">
        <v>4.6786642955481773E-2</v>
      </c>
      <c r="AE246" s="70">
        <v>5.023957337127638E-2</v>
      </c>
      <c r="AF246" s="62">
        <v>5.3723175820407573E-2</v>
      </c>
      <c r="AG246" s="70" t="s">
        <v>21</v>
      </c>
      <c r="AH246" s="70">
        <v>4.8483135005596076E-3</v>
      </c>
      <c r="AI246" s="70">
        <v>9.5936801554817788E-3</v>
      </c>
      <c r="AJ246" s="70">
        <v>1.2069663971276384E-2</v>
      </c>
      <c r="AK246" s="62">
        <v>1.4216061820407569E-2</v>
      </c>
    </row>
    <row r="247" spans="2:37" x14ac:dyDescent="0.35">
      <c r="B247" s="54" t="s">
        <v>364</v>
      </c>
      <c r="C247" s="52" t="s">
        <v>232</v>
      </c>
      <c r="D247" s="52" t="s">
        <v>20</v>
      </c>
      <c r="E247" s="52" t="s">
        <v>112</v>
      </c>
      <c r="F247" s="72">
        <f t="shared" si="23"/>
        <v>3.7154535191285143E-2</v>
      </c>
      <c r="G247" s="59">
        <f t="shared" si="23"/>
        <v>4.1194640347434364E-2</v>
      </c>
      <c r="H247" s="59">
        <f t="shared" si="23"/>
        <v>4.6774691428489848E-2</v>
      </c>
      <c r="I247" s="59">
        <f t="shared" si="23"/>
        <v>5.0096199968892877E-2</v>
      </c>
      <c r="J247" s="62">
        <f t="shared" si="23"/>
        <v>5.3187771665352671E-2</v>
      </c>
      <c r="K247" s="59" t="str">
        <f t="shared" si="24"/>
        <v/>
      </c>
      <c r="L247" s="59">
        <f t="shared" si="24"/>
        <v>4.5440207474343654E-3</v>
      </c>
      <c r="M247" s="59">
        <f t="shared" si="24"/>
        <v>9.5823375284898454E-3</v>
      </c>
      <c r="N247" s="59">
        <f t="shared" si="24"/>
        <v>1.1933361868892873E-2</v>
      </c>
      <c r="O247" s="62">
        <f t="shared" si="24"/>
        <v>1.3703209765352676E-2</v>
      </c>
      <c r="P247" s="54" t="s">
        <v>395</v>
      </c>
      <c r="Q247" s="52" t="s">
        <v>396</v>
      </c>
      <c r="R247" s="93">
        <v>47708</v>
      </c>
      <c r="S247" s="72">
        <v>4.3553259999999996E-2</v>
      </c>
      <c r="T247" s="62">
        <f t="shared" si="20"/>
        <v>3.2214314284898515E-3</v>
      </c>
      <c r="V247" s="113">
        <v>1.1159643000000001</v>
      </c>
      <c r="W247" s="71">
        <v>2.8791323499999999</v>
      </c>
      <c r="X247" s="71">
        <v>4.4497476699999998</v>
      </c>
      <c r="Y247" s="71">
        <v>5.8096738400000003</v>
      </c>
      <c r="Z247" s="114">
        <v>7.51895939</v>
      </c>
      <c r="AB247" s="70">
        <v>3.7154535191285143E-2</v>
      </c>
      <c r="AC247" s="70">
        <v>4.1194640347434364E-2</v>
      </c>
      <c r="AD247" s="70">
        <v>4.6774691428489848E-2</v>
      </c>
      <c r="AE247" s="70">
        <v>5.0096199968892877E-2</v>
      </c>
      <c r="AF247" s="62">
        <v>5.3187771665352671E-2</v>
      </c>
      <c r="AG247" s="70" t="s">
        <v>21</v>
      </c>
      <c r="AH247" s="70">
        <v>4.5440207474343654E-3</v>
      </c>
      <c r="AI247" s="70">
        <v>9.5823375284898454E-3</v>
      </c>
      <c r="AJ247" s="70">
        <v>1.1933361868892873E-2</v>
      </c>
      <c r="AK247" s="62">
        <v>1.3703209765352676E-2</v>
      </c>
    </row>
    <row r="248" spans="2:37" x14ac:dyDescent="0.35">
      <c r="B248" s="54" t="s">
        <v>355</v>
      </c>
      <c r="C248" s="52" t="s">
        <v>232</v>
      </c>
      <c r="D248" s="52" t="s">
        <v>20</v>
      </c>
      <c r="E248" s="52" t="s">
        <v>21</v>
      </c>
      <c r="F248" s="72">
        <f t="shared" si="23"/>
        <v>3.6867348677953271E-2</v>
      </c>
      <c r="G248" s="59">
        <f t="shared" si="23"/>
        <v>4.1154384212809036E-2</v>
      </c>
      <c r="H248" s="59">
        <f t="shared" si="23"/>
        <v>4.6746407086744803E-2</v>
      </c>
      <c r="I248" s="59">
        <f t="shared" si="23"/>
        <v>5.0584625795512643E-2</v>
      </c>
      <c r="J248" s="62">
        <f t="shared" si="23"/>
        <v>5.412513962523121E-2</v>
      </c>
      <c r="K248" s="59" t="str">
        <f t="shared" si="24"/>
        <v/>
      </c>
      <c r="L248" s="59">
        <f t="shared" si="24"/>
        <v>4.5078653128090389E-3</v>
      </c>
      <c r="M248" s="59">
        <f t="shared" si="24"/>
        <v>9.557151686744805E-3</v>
      </c>
      <c r="N248" s="59">
        <f t="shared" si="24"/>
        <v>1.2401240595512638E-2</v>
      </c>
      <c r="O248" s="62">
        <f t="shared" si="24"/>
        <v>1.4605540325231205E-2</v>
      </c>
      <c r="P248" s="54" t="s">
        <v>21</v>
      </c>
      <c r="Q248" s="52" t="s">
        <v>21</v>
      </c>
      <c r="R248" s="93" t="s">
        <v>21</v>
      </c>
      <c r="S248" s="72" t="s">
        <v>21</v>
      </c>
      <c r="T248" s="62" t="str">
        <f t="shared" si="20"/>
        <v/>
      </c>
      <c r="V248" s="113">
        <v>1.11646343</v>
      </c>
      <c r="W248" s="71">
        <v>2.8806573100000001</v>
      </c>
      <c r="X248" s="71">
        <v>4.4512644400000001</v>
      </c>
      <c r="Y248" s="71">
        <v>5.80414429</v>
      </c>
      <c r="Z248" s="114">
        <v>7.4895601300000001</v>
      </c>
      <c r="AB248" s="70">
        <v>3.6867348677953271E-2</v>
      </c>
      <c r="AC248" s="70">
        <v>4.1154384212809036E-2</v>
      </c>
      <c r="AD248" s="70">
        <v>4.6746407086744803E-2</v>
      </c>
      <c r="AE248" s="70">
        <v>5.0584625795512643E-2</v>
      </c>
      <c r="AF248" s="62">
        <v>5.412513962523121E-2</v>
      </c>
      <c r="AG248" s="70" t="s">
        <v>21</v>
      </c>
      <c r="AH248" s="70">
        <v>4.5078653128090389E-3</v>
      </c>
      <c r="AI248" s="70">
        <v>9.557151686744805E-3</v>
      </c>
      <c r="AJ248" s="70">
        <v>1.2401240595512638E-2</v>
      </c>
      <c r="AK248" s="62">
        <v>1.4605540325231205E-2</v>
      </c>
    </row>
    <row r="249" spans="2:37" x14ac:dyDescent="0.35">
      <c r="B249" s="54" t="s">
        <v>358</v>
      </c>
      <c r="C249" s="52" t="s">
        <v>232</v>
      </c>
      <c r="D249" s="52" t="s">
        <v>20</v>
      </c>
      <c r="E249" s="52" t="s">
        <v>21</v>
      </c>
      <c r="F249" s="72">
        <f t="shared" si="23"/>
        <v>3.7064903225690053E-2</v>
      </c>
      <c r="G249" s="59">
        <f t="shared" si="23"/>
        <v>4.1349691779962859E-2</v>
      </c>
      <c r="H249" s="59">
        <f t="shared" si="23"/>
        <v>4.6709822933213858E-2</v>
      </c>
      <c r="I249" s="59">
        <f t="shared" si="23"/>
        <v>5.0631935902890009E-2</v>
      </c>
      <c r="J249" s="62">
        <f t="shared" si="23"/>
        <v>5.4233396403793363E-2</v>
      </c>
      <c r="K249" s="59" t="str">
        <f t="shared" si="24"/>
        <v/>
      </c>
      <c r="L249" s="59">
        <f t="shared" si="24"/>
        <v>4.6924098799628645E-3</v>
      </c>
      <c r="M249" s="59">
        <f t="shared" si="24"/>
        <v>9.5204386332138641E-3</v>
      </c>
      <c r="N249" s="59">
        <f t="shared" si="24"/>
        <v>1.2443631002890011E-2</v>
      </c>
      <c r="O249" s="62">
        <f t="shared" si="24"/>
        <v>1.4707323503793361E-2</v>
      </c>
      <c r="P249" s="54" t="s">
        <v>21</v>
      </c>
      <c r="Q249" s="52" t="s">
        <v>21</v>
      </c>
      <c r="R249" s="93" t="s">
        <v>21</v>
      </c>
      <c r="S249" s="72" t="s">
        <v>21</v>
      </c>
      <c r="T249" s="62" t="str">
        <f t="shared" si="20"/>
        <v/>
      </c>
      <c r="V249" s="113">
        <v>1.1161176500000001</v>
      </c>
      <c r="W249" s="71">
        <v>2.8791544600000001</v>
      </c>
      <c r="X249" s="71">
        <v>4.4492337900000001</v>
      </c>
      <c r="Y249" s="71">
        <v>5.80347452</v>
      </c>
      <c r="Z249" s="114">
        <v>7.4860091899999999</v>
      </c>
      <c r="AB249" s="70">
        <v>3.7064903225690053E-2</v>
      </c>
      <c r="AC249" s="70">
        <v>4.1349691779962859E-2</v>
      </c>
      <c r="AD249" s="70">
        <v>4.6709822933213858E-2</v>
      </c>
      <c r="AE249" s="70">
        <v>5.0631935902890009E-2</v>
      </c>
      <c r="AF249" s="62">
        <v>5.4233396403793363E-2</v>
      </c>
      <c r="AG249" s="70" t="s">
        <v>21</v>
      </c>
      <c r="AH249" s="70">
        <v>4.6924098799628645E-3</v>
      </c>
      <c r="AI249" s="70">
        <v>9.5204386332138641E-3</v>
      </c>
      <c r="AJ249" s="70">
        <v>1.2443631002890011E-2</v>
      </c>
      <c r="AK249" s="62">
        <v>1.4707323503793361E-2</v>
      </c>
    </row>
    <row r="250" spans="2:37" x14ac:dyDescent="0.35">
      <c r="B250" s="54" t="s">
        <v>262</v>
      </c>
      <c r="C250" s="52" t="s">
        <v>232</v>
      </c>
      <c r="D250" s="52" t="s">
        <v>97</v>
      </c>
      <c r="E250" s="52" t="s">
        <v>21</v>
      </c>
      <c r="F250" s="72">
        <f t="shared" si="23"/>
        <v>3.6500046008814478E-2</v>
      </c>
      <c r="G250" s="59">
        <f t="shared" si="23"/>
        <v>4.0703689497087615E-2</v>
      </c>
      <c r="H250" s="59">
        <f t="shared" si="23"/>
        <v>4.5633096383519749E-2</v>
      </c>
      <c r="I250" s="59">
        <f t="shared" si="23"/>
        <v>4.8738470803965012E-2</v>
      </c>
      <c r="J250" s="62">
        <f t="shared" si="23"/>
        <v>5.1336539785031769E-2</v>
      </c>
      <c r="K250" s="59" t="str">
        <f t="shared" si="24"/>
        <v/>
      </c>
      <c r="L250" s="59">
        <f t="shared" si="24"/>
        <v>4.0535008970876193E-3</v>
      </c>
      <c r="M250" s="59">
        <f t="shared" si="24"/>
        <v>8.4697041835197495E-3</v>
      </c>
      <c r="N250" s="59">
        <f t="shared" si="24"/>
        <v>1.0611986003965002E-2</v>
      </c>
      <c r="O250" s="62">
        <f t="shared" si="24"/>
        <v>1.1899710885031773E-2</v>
      </c>
      <c r="P250" s="54" t="s">
        <v>559</v>
      </c>
      <c r="Q250" s="52" t="s">
        <v>560</v>
      </c>
      <c r="R250" s="93">
        <v>47648</v>
      </c>
      <c r="S250" s="72">
        <v>4.2470040000000008E-2</v>
      </c>
      <c r="T250" s="62">
        <f t="shared" si="20"/>
        <v>3.1630563835197412E-3</v>
      </c>
      <c r="V250" s="113">
        <v>1.1162295100000001</v>
      </c>
      <c r="W250" s="71">
        <v>2.87976893</v>
      </c>
      <c r="X250" s="71">
        <v>4.45574314</v>
      </c>
      <c r="Y250" s="71">
        <v>5.8299727099999998</v>
      </c>
      <c r="Z250" s="114">
        <v>7.5767650899999994</v>
      </c>
      <c r="AB250" s="70">
        <v>3.6500046008814478E-2</v>
      </c>
      <c r="AC250" s="70">
        <v>4.0703689497087615E-2</v>
      </c>
      <c r="AD250" s="70">
        <v>4.5633096383519749E-2</v>
      </c>
      <c r="AE250" s="70">
        <v>4.8738470803965012E-2</v>
      </c>
      <c r="AF250" s="62">
        <v>5.1336539785031769E-2</v>
      </c>
      <c r="AG250" s="70" t="s">
        <v>21</v>
      </c>
      <c r="AH250" s="70">
        <v>4.0535008970876193E-3</v>
      </c>
      <c r="AI250" s="70">
        <v>8.4697041835197495E-3</v>
      </c>
      <c r="AJ250" s="70">
        <v>1.0611986003965002E-2</v>
      </c>
      <c r="AK250" s="62">
        <v>1.1899710885031773E-2</v>
      </c>
    </row>
    <row r="251" spans="2:37" x14ac:dyDescent="0.35">
      <c r="B251" s="54" t="s">
        <v>371</v>
      </c>
      <c r="C251" s="52" t="s">
        <v>232</v>
      </c>
      <c r="D251" s="52" t="s">
        <v>31</v>
      </c>
      <c r="E251" s="52" t="s">
        <v>289</v>
      </c>
      <c r="F251" s="72">
        <f t="shared" si="23"/>
        <v>3.6581211136207228E-2</v>
      </c>
      <c r="G251" s="59">
        <f t="shared" si="23"/>
        <v>4.0485890532911371E-2</v>
      </c>
      <c r="H251" s="59">
        <f t="shared" si="23"/>
        <v>4.5522124527890527E-2</v>
      </c>
      <c r="I251" s="59">
        <f t="shared" si="23"/>
        <v>4.8630014363272814E-2</v>
      </c>
      <c r="J251" s="62">
        <f t="shared" si="23"/>
        <v>5.1510792052262361E-2</v>
      </c>
      <c r="K251" s="59" t="str">
        <f t="shared" si="24"/>
        <v/>
      </c>
      <c r="L251" s="59">
        <f t="shared" si="24"/>
        <v>3.8459551329113706E-3</v>
      </c>
      <c r="M251" s="59">
        <f t="shared" si="24"/>
        <v>8.3643355278905304E-3</v>
      </c>
      <c r="N251" s="59">
        <f t="shared" si="24"/>
        <v>1.050889946327282E-2</v>
      </c>
      <c r="O251" s="62">
        <f t="shared" si="24"/>
        <v>1.2067403052262362E-2</v>
      </c>
      <c r="P251" s="54" t="s">
        <v>21</v>
      </c>
      <c r="Q251" s="52" t="s">
        <v>21</v>
      </c>
      <c r="R251" s="93" t="s">
        <v>21</v>
      </c>
      <c r="S251" s="72" t="s">
        <v>21</v>
      </c>
      <c r="T251" s="62" t="str">
        <f t="shared" si="20"/>
        <v/>
      </c>
      <c r="V251" s="113">
        <v>1.11606169</v>
      </c>
      <c r="W251" s="71">
        <v>2.8808226299999999</v>
      </c>
      <c r="X251" s="71">
        <v>4.4583507899999999</v>
      </c>
      <c r="Y251" s="71">
        <v>5.83410998</v>
      </c>
      <c r="Z251" s="114">
        <v>7.5770499399999993</v>
      </c>
      <c r="AB251" s="70">
        <v>3.6581211136207228E-2</v>
      </c>
      <c r="AC251" s="70">
        <v>4.0485890532911371E-2</v>
      </c>
      <c r="AD251" s="70">
        <v>4.5522124527890527E-2</v>
      </c>
      <c r="AE251" s="70">
        <v>4.8630014363272814E-2</v>
      </c>
      <c r="AF251" s="62">
        <v>5.1510792052262361E-2</v>
      </c>
      <c r="AG251" s="70" t="s">
        <v>21</v>
      </c>
      <c r="AH251" s="70">
        <v>3.8459551329113706E-3</v>
      </c>
      <c r="AI251" s="70">
        <v>8.3643355278905304E-3</v>
      </c>
      <c r="AJ251" s="70">
        <v>1.050889946327282E-2</v>
      </c>
      <c r="AK251" s="62">
        <v>1.2067403052262362E-2</v>
      </c>
    </row>
    <row r="252" spans="2:37" x14ac:dyDescent="0.35">
      <c r="B252" s="54" t="s">
        <v>147</v>
      </c>
      <c r="C252" s="52" t="s">
        <v>232</v>
      </c>
      <c r="D252" s="52" t="s">
        <v>20</v>
      </c>
      <c r="E252" s="52" t="s">
        <v>21</v>
      </c>
      <c r="F252" s="72">
        <f t="shared" si="23"/>
        <v>3.6686684974151645E-2</v>
      </c>
      <c r="G252" s="59">
        <f t="shared" si="23"/>
        <v>4.0574927492162939E-2</v>
      </c>
      <c r="H252" s="59">
        <f t="shared" si="23"/>
        <v>4.5984597772406301E-2</v>
      </c>
      <c r="I252" s="59">
        <f t="shared" si="23"/>
        <v>4.9690387601700525E-2</v>
      </c>
      <c r="J252" s="62">
        <f t="shared" si="23"/>
        <v>5.3045580386159495E-2</v>
      </c>
      <c r="K252" s="59" t="str">
        <f t="shared" si="24"/>
        <v/>
      </c>
      <c r="L252" s="59">
        <f t="shared" si="24"/>
        <v>3.9516399921629393E-3</v>
      </c>
      <c r="M252" s="59">
        <f t="shared" si="24"/>
        <v>8.8283936724063046E-3</v>
      </c>
      <c r="N252" s="59">
        <f t="shared" si="24"/>
        <v>1.1546068401700521E-2</v>
      </c>
      <c r="O252" s="62">
        <f t="shared" si="24"/>
        <v>1.3567989286159486E-2</v>
      </c>
      <c r="P252" s="54" t="s">
        <v>561</v>
      </c>
      <c r="Q252" s="52" t="s">
        <v>562</v>
      </c>
      <c r="R252" s="93">
        <v>47515</v>
      </c>
      <c r="S252" s="72">
        <v>4.5352089999999998E-2</v>
      </c>
      <c r="T252" s="62">
        <f t="shared" si="20"/>
        <v>6.3250777240630301E-4</v>
      </c>
      <c r="V252" s="113">
        <v>1.1168151799999999</v>
      </c>
      <c r="W252" s="71">
        <v>2.88493924</v>
      </c>
      <c r="X252" s="71">
        <v>4.4637912499999999</v>
      </c>
      <c r="Y252" s="71">
        <v>5.8302799800000003</v>
      </c>
      <c r="Z252" s="114">
        <v>7.5426231399999999</v>
      </c>
      <c r="AB252" s="70">
        <v>3.6686684974151645E-2</v>
      </c>
      <c r="AC252" s="70">
        <v>4.0574927492162939E-2</v>
      </c>
      <c r="AD252" s="70">
        <v>4.5984597772406301E-2</v>
      </c>
      <c r="AE252" s="70">
        <v>4.9690387601700525E-2</v>
      </c>
      <c r="AF252" s="62">
        <v>5.3045580386159495E-2</v>
      </c>
      <c r="AG252" s="70" t="s">
        <v>21</v>
      </c>
      <c r="AH252" s="70">
        <v>3.9516399921629393E-3</v>
      </c>
      <c r="AI252" s="70">
        <v>8.8283936724063046E-3</v>
      </c>
      <c r="AJ252" s="70">
        <v>1.1546068401700521E-2</v>
      </c>
      <c r="AK252" s="62">
        <v>1.3567989286159486E-2</v>
      </c>
    </row>
    <row r="253" spans="2:37" x14ac:dyDescent="0.35">
      <c r="B253" s="54" t="s">
        <v>372</v>
      </c>
      <c r="C253" s="52" t="s">
        <v>232</v>
      </c>
      <c r="D253" s="52" t="s">
        <v>20</v>
      </c>
      <c r="E253" s="52" t="s">
        <v>21</v>
      </c>
      <c r="F253" s="72">
        <f t="shared" si="23"/>
        <v>3.7019054284536862E-2</v>
      </c>
      <c r="G253" s="59">
        <f t="shared" si="23"/>
        <v>4.1039191536471425E-2</v>
      </c>
      <c r="H253" s="59">
        <f t="shared" si="23"/>
        <v>4.5992747294651297E-2</v>
      </c>
      <c r="I253" s="59">
        <f t="shared" si="23"/>
        <v>4.8938229298522241E-2</v>
      </c>
      <c r="J253" s="62">
        <f t="shared" si="23"/>
        <v>5.1862434906233594E-2</v>
      </c>
      <c r="K253" s="59" t="str">
        <f t="shared" si="24"/>
        <v/>
      </c>
      <c r="L253" s="59">
        <f t="shared" si="24"/>
        <v>4.3960362364714196E-3</v>
      </c>
      <c r="M253" s="59">
        <f t="shared" si="24"/>
        <v>8.8355261946512983E-3</v>
      </c>
      <c r="N253" s="59">
        <f t="shared" si="24"/>
        <v>1.0825136198522246E-2</v>
      </c>
      <c r="O253" s="62">
        <f t="shared" si="24"/>
        <v>1.2424269006233587E-2</v>
      </c>
      <c r="P253" s="54" t="s">
        <v>21</v>
      </c>
      <c r="Q253" s="52" t="s">
        <v>21</v>
      </c>
      <c r="R253" s="93" t="s">
        <v>21</v>
      </c>
      <c r="S253" s="72" t="s">
        <v>21</v>
      </c>
      <c r="T253" s="62" t="str">
        <f t="shared" si="20"/>
        <v/>
      </c>
      <c r="V253" s="113">
        <v>1.1161985399999999</v>
      </c>
      <c r="W253" s="71">
        <v>2.8807769899999998</v>
      </c>
      <c r="X253" s="71">
        <v>4.4587766100000001</v>
      </c>
      <c r="Y253" s="71">
        <v>5.8367170499999999</v>
      </c>
      <c r="Z253" s="114">
        <v>7.5826226199999995</v>
      </c>
      <c r="AB253" s="70">
        <v>3.7019054284536862E-2</v>
      </c>
      <c r="AC253" s="70">
        <v>4.1039191536471425E-2</v>
      </c>
      <c r="AD253" s="70">
        <v>4.5992747294651297E-2</v>
      </c>
      <c r="AE253" s="70">
        <v>4.8938229298522241E-2</v>
      </c>
      <c r="AF253" s="62">
        <v>5.1862434906233594E-2</v>
      </c>
      <c r="AG253" s="70" t="s">
        <v>21</v>
      </c>
      <c r="AH253" s="70">
        <v>4.3960362364714196E-3</v>
      </c>
      <c r="AI253" s="70">
        <v>8.8355261946512983E-3</v>
      </c>
      <c r="AJ253" s="70">
        <v>1.0825136198522246E-2</v>
      </c>
      <c r="AK253" s="62">
        <v>1.2424269006233587E-2</v>
      </c>
    </row>
    <row r="254" spans="2:37" x14ac:dyDescent="0.35">
      <c r="B254" s="54" t="s">
        <v>369</v>
      </c>
      <c r="C254" s="52" t="s">
        <v>232</v>
      </c>
      <c r="D254" s="52" t="s">
        <v>20</v>
      </c>
      <c r="E254" s="52" t="s">
        <v>256</v>
      </c>
      <c r="F254" s="72">
        <f t="shared" si="23"/>
        <v>3.6682887982374374E-2</v>
      </c>
      <c r="G254" s="59">
        <f t="shared" si="23"/>
        <v>4.0837714562266335E-2</v>
      </c>
      <c r="H254" s="59">
        <f t="shared" si="23"/>
        <v>4.5973058654437737E-2</v>
      </c>
      <c r="I254" s="59">
        <f t="shared" si="23"/>
        <v>4.9218543205126593E-2</v>
      </c>
      <c r="J254" s="62">
        <f t="shared" si="23"/>
        <v>5.2040936298985346E-2</v>
      </c>
      <c r="K254" s="59" t="str">
        <f t="shared" si="24"/>
        <v/>
      </c>
      <c r="L254" s="59">
        <f t="shared" si="24"/>
        <v>4.2027934622663396E-3</v>
      </c>
      <c r="M254" s="59">
        <f t="shared" si="24"/>
        <v>8.8167271544377368E-3</v>
      </c>
      <c r="N254" s="59">
        <f t="shared" si="24"/>
        <v>1.1093789205126603E-2</v>
      </c>
      <c r="O254" s="62">
        <f t="shared" si="24"/>
        <v>1.2598473198985343E-2</v>
      </c>
      <c r="P254" s="54" t="s">
        <v>21</v>
      </c>
      <c r="Q254" s="52" t="s">
        <v>21</v>
      </c>
      <c r="R254" s="93" t="s">
        <v>21</v>
      </c>
      <c r="S254" s="72" t="s">
        <v>21</v>
      </c>
      <c r="T254" s="62" t="str">
        <f t="shared" si="20"/>
        <v/>
      </c>
      <c r="V254" s="113">
        <v>1.1168321000000001</v>
      </c>
      <c r="W254" s="71">
        <v>2.8832697</v>
      </c>
      <c r="X254" s="71">
        <v>4.4617756499999999</v>
      </c>
      <c r="Y254" s="71">
        <v>5.8356300399999999</v>
      </c>
      <c r="Z254" s="114">
        <v>7.5760030399999998</v>
      </c>
      <c r="AB254" s="70">
        <v>3.6682887982374374E-2</v>
      </c>
      <c r="AC254" s="70">
        <v>4.0837714562266335E-2</v>
      </c>
      <c r="AD254" s="70">
        <v>4.5973058654437737E-2</v>
      </c>
      <c r="AE254" s="70">
        <v>4.9218543205126593E-2</v>
      </c>
      <c r="AF254" s="62">
        <v>5.2040936298985346E-2</v>
      </c>
      <c r="AG254" s="70" t="s">
        <v>21</v>
      </c>
      <c r="AH254" s="70">
        <v>4.2027934622663396E-3</v>
      </c>
      <c r="AI254" s="70">
        <v>8.8167271544377368E-3</v>
      </c>
      <c r="AJ254" s="70">
        <v>1.1093789205126603E-2</v>
      </c>
      <c r="AK254" s="62">
        <v>1.2598473198985343E-2</v>
      </c>
    </row>
    <row r="255" spans="2:37" x14ac:dyDescent="0.35">
      <c r="B255" s="54" t="s">
        <v>368</v>
      </c>
      <c r="C255" s="52" t="s">
        <v>232</v>
      </c>
      <c r="D255" s="52" t="s">
        <v>20</v>
      </c>
      <c r="E255" s="52" t="s">
        <v>292</v>
      </c>
      <c r="F255" s="72">
        <f t="shared" si="23"/>
        <v>3.6720171846774681E-2</v>
      </c>
      <c r="G255" s="59">
        <f t="shared" si="23"/>
        <v>4.0786584284371812E-2</v>
      </c>
      <c r="H255" s="59">
        <f t="shared" si="23"/>
        <v>4.5854613864398333E-2</v>
      </c>
      <c r="I255" s="59">
        <f t="shared" si="23"/>
        <v>4.9355420383706675E-2</v>
      </c>
      <c r="J255" s="62">
        <f t="shared" si="23"/>
        <v>5.2500489125631294E-2</v>
      </c>
      <c r="K255" s="59" t="str">
        <f t="shared" si="24"/>
        <v/>
      </c>
      <c r="L255" s="59">
        <f t="shared" si="24"/>
        <v>4.1534711843718135E-3</v>
      </c>
      <c r="M255" s="59">
        <f t="shared" si="24"/>
        <v>8.7030981643983311E-3</v>
      </c>
      <c r="N255" s="59">
        <f t="shared" si="24"/>
        <v>1.1224683883706675E-2</v>
      </c>
      <c r="O255" s="62">
        <f t="shared" si="24"/>
        <v>1.3045653925631289E-2</v>
      </c>
      <c r="P255" s="54" t="s">
        <v>21</v>
      </c>
      <c r="Q255" s="52" t="s">
        <v>21</v>
      </c>
      <c r="R255" s="93" t="s">
        <v>21</v>
      </c>
      <c r="S255" s="72" t="s">
        <v>21</v>
      </c>
      <c r="T255" s="62" t="str">
        <f t="shared" si="20"/>
        <v/>
      </c>
      <c r="V255" s="113">
        <v>1.1167644399999999</v>
      </c>
      <c r="W255" s="71">
        <v>2.8835297799999999</v>
      </c>
      <c r="X255" s="71">
        <v>4.4637509099999999</v>
      </c>
      <c r="Y255" s="71">
        <v>5.83504077</v>
      </c>
      <c r="Z255" s="114">
        <v>7.5553523499999997</v>
      </c>
      <c r="AB255" s="70">
        <v>3.6720171846774681E-2</v>
      </c>
      <c r="AC255" s="70">
        <v>4.0786584284371812E-2</v>
      </c>
      <c r="AD255" s="70">
        <v>4.5854613864398333E-2</v>
      </c>
      <c r="AE255" s="70">
        <v>4.9355420383706675E-2</v>
      </c>
      <c r="AF255" s="62">
        <v>5.2500489125631294E-2</v>
      </c>
      <c r="AG255" s="70" t="s">
        <v>21</v>
      </c>
      <c r="AH255" s="70">
        <v>4.1534711843718135E-3</v>
      </c>
      <c r="AI255" s="70">
        <v>8.7030981643983311E-3</v>
      </c>
      <c r="AJ255" s="70">
        <v>1.1224683883706675E-2</v>
      </c>
      <c r="AK255" s="62">
        <v>1.3045653925631289E-2</v>
      </c>
    </row>
    <row r="256" spans="2:37" x14ac:dyDescent="0.35">
      <c r="B256" s="54" t="s">
        <v>266</v>
      </c>
      <c r="C256" s="52" t="s">
        <v>232</v>
      </c>
      <c r="D256" s="52" t="s">
        <v>20</v>
      </c>
      <c r="E256" s="52" t="s">
        <v>21</v>
      </c>
      <c r="F256" s="72">
        <f t="shared" si="23"/>
        <v>3.714589945768574E-2</v>
      </c>
      <c r="G256" s="59">
        <f t="shared" si="23"/>
        <v>4.092736135310307E-2</v>
      </c>
      <c r="H256" s="59">
        <f t="shared" si="23"/>
        <v>4.5568567273091339E-2</v>
      </c>
      <c r="I256" s="59">
        <f t="shared" si="23"/>
        <v>4.8448924824525057E-2</v>
      </c>
      <c r="J256" s="62">
        <f t="shared" si="23"/>
        <v>5.1018542727271382E-2</v>
      </c>
      <c r="K256" s="59" t="str">
        <f t="shared" si="24"/>
        <v/>
      </c>
      <c r="L256" s="59">
        <f t="shared" si="24"/>
        <v>4.2872142531030716E-3</v>
      </c>
      <c r="M256" s="59">
        <f t="shared" si="24"/>
        <v>8.4282854730913376E-3</v>
      </c>
      <c r="N256" s="59">
        <f t="shared" si="24"/>
        <v>1.035474302452506E-2</v>
      </c>
      <c r="O256" s="62">
        <f t="shared" si="24"/>
        <v>1.1608885727271388E-2</v>
      </c>
      <c r="P256" s="54" t="s">
        <v>563</v>
      </c>
      <c r="Q256" s="52" t="s">
        <v>564</v>
      </c>
      <c r="R256" s="93" t="s">
        <v>32</v>
      </c>
      <c r="S256" s="72">
        <v>4.1981010000000006E-2</v>
      </c>
      <c r="T256" s="62">
        <f t="shared" si="20"/>
        <v>3.5875572730913324E-3</v>
      </c>
      <c r="V256" s="113">
        <v>1.1159765800000001</v>
      </c>
      <c r="W256" s="71">
        <v>2.881151</v>
      </c>
      <c r="X256" s="71">
        <v>4.4640274799999995</v>
      </c>
      <c r="Y256" s="71">
        <v>5.8496459600000001</v>
      </c>
      <c r="Z256" s="114">
        <v>7.6176048199999995</v>
      </c>
      <c r="AB256" s="70">
        <v>3.714589945768574E-2</v>
      </c>
      <c r="AC256" s="70">
        <v>4.092736135310307E-2</v>
      </c>
      <c r="AD256" s="70">
        <v>4.5568567273091339E-2</v>
      </c>
      <c r="AE256" s="70">
        <v>4.8448924824525057E-2</v>
      </c>
      <c r="AF256" s="62">
        <v>5.1018542727271382E-2</v>
      </c>
      <c r="AG256" s="70" t="s">
        <v>21</v>
      </c>
      <c r="AH256" s="70">
        <v>4.2872142531030716E-3</v>
      </c>
      <c r="AI256" s="70">
        <v>8.4282854730913376E-3</v>
      </c>
      <c r="AJ256" s="70">
        <v>1.035474302452506E-2</v>
      </c>
      <c r="AK256" s="62">
        <v>1.1608885727271388E-2</v>
      </c>
    </row>
    <row r="257" spans="2:37" x14ac:dyDescent="0.35">
      <c r="B257" s="54" t="s">
        <v>349</v>
      </c>
      <c r="C257" s="52" t="s">
        <v>232</v>
      </c>
      <c r="D257" s="52" t="s">
        <v>20</v>
      </c>
      <c r="E257" s="52" t="s">
        <v>316</v>
      </c>
      <c r="F257" s="72">
        <f t="shared" si="23"/>
        <v>3.8875186877731165E-2</v>
      </c>
      <c r="G257" s="59">
        <f t="shared" si="23"/>
        <v>4.5065542669680998E-2</v>
      </c>
      <c r="H257" s="59">
        <f t="shared" si="23"/>
        <v>5.3331552362931377E-2</v>
      </c>
      <c r="I257" s="59">
        <f t="shared" si="23"/>
        <v>5.7100815408245395E-2</v>
      </c>
      <c r="J257" s="62">
        <f t="shared" si="23"/>
        <v>6.0681526618384031E-2</v>
      </c>
      <c r="K257" s="59">
        <f t="shared" si="24"/>
        <v>1.1850419777311681E-3</v>
      </c>
      <c r="L257" s="59">
        <f t="shared" si="24"/>
        <v>8.237677669680997E-3</v>
      </c>
      <c r="M257" s="59">
        <f t="shared" si="24"/>
        <v>1.5808806662931378E-2</v>
      </c>
      <c r="N257" s="59">
        <f t="shared" si="24"/>
        <v>1.8586840908245396E-2</v>
      </c>
      <c r="O257" s="62">
        <f t="shared" si="24"/>
        <v>2.0845023818384028E-2</v>
      </c>
      <c r="P257" s="54" t="s">
        <v>389</v>
      </c>
      <c r="Q257" s="52" t="s">
        <v>390</v>
      </c>
      <c r="R257" s="93">
        <v>47507</v>
      </c>
      <c r="S257" s="72">
        <v>5.1240009999999996E-2</v>
      </c>
      <c r="T257" s="62">
        <f t="shared" si="20"/>
        <v>2.0915423629313812E-3</v>
      </c>
      <c r="V257" s="113">
        <v>1.11271257</v>
      </c>
      <c r="W257" s="71">
        <v>2.8509083400000002</v>
      </c>
      <c r="X257" s="71">
        <v>4.3504426</v>
      </c>
      <c r="Y257" s="71">
        <v>5.6057661200000002</v>
      </c>
      <c r="Z257" s="114">
        <v>7.1332875300000005</v>
      </c>
      <c r="AB257" s="70">
        <v>3.8875186877731165E-2</v>
      </c>
      <c r="AC257" s="70">
        <v>4.5065542669680998E-2</v>
      </c>
      <c r="AD257" s="70">
        <v>5.3331552362931377E-2</v>
      </c>
      <c r="AE257" s="70">
        <v>5.7100815408245395E-2</v>
      </c>
      <c r="AF257" s="62">
        <v>6.0681526618384031E-2</v>
      </c>
      <c r="AG257" s="70">
        <v>1.1850419777311681E-3</v>
      </c>
      <c r="AH257" s="70">
        <v>8.237677669680997E-3</v>
      </c>
      <c r="AI257" s="70">
        <v>1.5808806662931378E-2</v>
      </c>
      <c r="AJ257" s="70">
        <v>1.8586840908245396E-2</v>
      </c>
      <c r="AK257" s="62">
        <v>2.0845023818384028E-2</v>
      </c>
    </row>
    <row r="258" spans="2:37" x14ac:dyDescent="0.35">
      <c r="B258" s="54" t="s">
        <v>375</v>
      </c>
      <c r="C258" s="52" t="s">
        <v>232</v>
      </c>
      <c r="D258" s="52" t="s">
        <v>20</v>
      </c>
      <c r="E258" s="52" t="s">
        <v>264</v>
      </c>
      <c r="F258" s="73">
        <f t="shared" si="23"/>
        <v>3.6687190358482932E-2</v>
      </c>
      <c r="G258" s="75">
        <f t="shared" si="23"/>
        <v>4.0768321641047427E-2</v>
      </c>
      <c r="H258" s="75">
        <f t="shared" si="23"/>
        <v>4.5453886088904119E-2</v>
      </c>
      <c r="I258" s="75">
        <f t="shared" si="23"/>
        <v>4.8303326858515815E-2</v>
      </c>
      <c r="J258" s="63">
        <f t="shared" si="23"/>
        <v>5.1018556186295819E-2</v>
      </c>
      <c r="K258" s="75" t="str">
        <f t="shared" si="24"/>
        <v/>
      </c>
      <c r="L258" s="75">
        <f t="shared" si="24"/>
        <v>4.1360903410474258E-3</v>
      </c>
      <c r="M258" s="75">
        <f t="shared" si="24"/>
        <v>8.3196083889041216E-3</v>
      </c>
      <c r="N258" s="75">
        <f t="shared" si="24"/>
        <v>1.0216215158515812E-2</v>
      </c>
      <c r="O258" s="63">
        <f t="shared" si="24"/>
        <v>1.1614365786295818E-2</v>
      </c>
      <c r="P258" s="54" t="s">
        <v>403</v>
      </c>
      <c r="Q258" s="52" t="s">
        <v>404</v>
      </c>
      <c r="R258" s="93">
        <v>47515</v>
      </c>
      <c r="S258" s="72">
        <v>4.4454520000000004E-2</v>
      </c>
      <c r="T258" s="62">
        <f t="shared" si="20"/>
        <v>9.9936608890411477E-4</v>
      </c>
      <c r="V258" s="113">
        <v>1.1168275300000001</v>
      </c>
      <c r="W258" s="71">
        <v>2.8835007400000001</v>
      </c>
      <c r="X258" s="71">
        <v>4.4671289600000001</v>
      </c>
      <c r="Y258" s="71">
        <v>5.8548539699999997</v>
      </c>
      <c r="Z258" s="114">
        <v>7.6141894500000005</v>
      </c>
      <c r="AB258" s="70">
        <v>3.6687190358482932E-2</v>
      </c>
      <c r="AC258" s="70">
        <v>4.0768321641047427E-2</v>
      </c>
      <c r="AD258" s="70">
        <v>4.5453886088904119E-2</v>
      </c>
      <c r="AE258" s="70">
        <v>4.8303326858515815E-2</v>
      </c>
      <c r="AF258" s="62">
        <v>5.1018556186295819E-2</v>
      </c>
      <c r="AG258" s="70" t="s">
        <v>21</v>
      </c>
      <c r="AH258" s="70">
        <v>4.1360903410474258E-3</v>
      </c>
      <c r="AI258" s="70">
        <v>8.3196083889041216E-3</v>
      </c>
      <c r="AJ258" s="70">
        <v>1.0216215158515812E-2</v>
      </c>
      <c r="AK258" s="62">
        <v>1.1614365786295818E-2</v>
      </c>
    </row>
    <row r="259" spans="2:37" x14ac:dyDescent="0.35">
      <c r="B259" s="78" t="s">
        <v>160</v>
      </c>
      <c r="C259" s="135"/>
      <c r="D259" s="77"/>
      <c r="E259" s="77"/>
      <c r="F259" s="77" t="str">
        <f t="shared" si="23"/>
        <v/>
      </c>
      <c r="G259" s="77" t="str">
        <f>IF(ISNUMBER(AC259),AC259-((D$4-D$3)/W259),"")</f>
        <v/>
      </c>
      <c r="H259" s="77" t="str">
        <f t="shared" si="23"/>
        <v/>
      </c>
      <c r="I259" s="77" t="str">
        <f t="shared" si="23"/>
        <v/>
      </c>
      <c r="J259" s="77" t="str">
        <f t="shared" si="23"/>
        <v/>
      </c>
      <c r="K259" s="77" t="str">
        <f t="shared" si="24"/>
        <v/>
      </c>
      <c r="L259" s="77" t="str">
        <f t="shared" si="24"/>
        <v/>
      </c>
      <c r="M259" s="77" t="str">
        <f t="shared" si="24"/>
        <v/>
      </c>
      <c r="N259" s="77" t="str">
        <f t="shared" si="24"/>
        <v/>
      </c>
      <c r="O259" s="76" t="str">
        <f t="shared" si="24"/>
        <v/>
      </c>
      <c r="P259" s="78"/>
      <c r="Q259" s="77"/>
      <c r="R259" s="94"/>
      <c r="S259" s="77"/>
      <c r="T259" s="76" t="str">
        <f t="shared" si="20"/>
        <v/>
      </c>
      <c r="V259" s="119"/>
      <c r="W259" s="108"/>
      <c r="X259" s="108"/>
      <c r="Y259" s="108"/>
      <c r="Z259" s="120"/>
      <c r="AB259" s="77"/>
      <c r="AC259" s="77"/>
      <c r="AD259" s="77"/>
      <c r="AE259" s="77"/>
      <c r="AF259" s="77"/>
      <c r="AG259" s="77"/>
      <c r="AH259" s="77"/>
      <c r="AI259" s="77"/>
      <c r="AJ259" s="77"/>
      <c r="AK259" s="76"/>
    </row>
    <row r="260" spans="2:37" x14ac:dyDescent="0.35">
      <c r="B260" s="55" t="s">
        <v>162</v>
      </c>
      <c r="C260" s="52" t="s">
        <v>232</v>
      </c>
      <c r="D260" s="65" t="s">
        <v>20</v>
      </c>
      <c r="E260" s="65" t="s">
        <v>290</v>
      </c>
      <c r="F260" s="72">
        <f t="shared" si="23"/>
        <v>4.5588709940738235E-2</v>
      </c>
      <c r="G260" s="59">
        <f t="shared" si="23"/>
        <v>6.4253181960217495E-2</v>
      </c>
      <c r="H260" s="59">
        <f t="shared" si="23"/>
        <v>8.361634744087576E-2</v>
      </c>
      <c r="I260" s="59">
        <f t="shared" si="23"/>
        <v>9.5438532696704464E-2</v>
      </c>
      <c r="J260" s="62">
        <f t="shared" si="23"/>
        <v>0.10165576989713178</v>
      </c>
      <c r="K260" s="59">
        <f t="shared" si="24"/>
        <v>7.4718524407382386E-3</v>
      </c>
      <c r="L260" s="59">
        <f t="shared" si="24"/>
        <v>2.6144884760217472E-2</v>
      </c>
      <c r="M260" s="59">
        <f t="shared" si="24"/>
        <v>4.3661731340875767E-2</v>
      </c>
      <c r="N260" s="59">
        <f t="shared" si="24"/>
        <v>5.3660933496704463E-2</v>
      </c>
      <c r="O260" s="62">
        <f t="shared" si="24"/>
        <v>5.8397824397131773E-2</v>
      </c>
      <c r="P260" s="55" t="s">
        <v>21</v>
      </c>
      <c r="Q260" s="65" t="s">
        <v>21</v>
      </c>
      <c r="R260" s="99" t="s">
        <v>21</v>
      </c>
      <c r="S260" s="74" t="s">
        <v>21</v>
      </c>
      <c r="T260" s="62" t="str">
        <f t="shared" si="20"/>
        <v/>
      </c>
      <c r="V260" s="117">
        <v>1.0974519599999999</v>
      </c>
      <c r="W260" s="60">
        <v>2.7096451199999998</v>
      </c>
      <c r="X260" s="60">
        <v>3.9049817200000003</v>
      </c>
      <c r="Y260" s="60">
        <v>4.6989078400000004</v>
      </c>
      <c r="Z260" s="118">
        <v>5.4683083899999998</v>
      </c>
      <c r="AB260" s="79">
        <v>4.5588709940738235E-2</v>
      </c>
      <c r="AC260" s="79">
        <v>6.4253181960217495E-2</v>
      </c>
      <c r="AD260" s="79">
        <v>8.361634744087576E-2</v>
      </c>
      <c r="AE260" s="79">
        <v>9.5438532696704464E-2</v>
      </c>
      <c r="AF260" s="61">
        <v>0.10165576989713178</v>
      </c>
      <c r="AG260" s="79">
        <v>7.4718524407382386E-3</v>
      </c>
      <c r="AH260" s="79">
        <v>2.6144884760217472E-2</v>
      </c>
      <c r="AI260" s="79">
        <v>4.3661731340875767E-2</v>
      </c>
      <c r="AJ260" s="79">
        <v>5.3660933496704463E-2</v>
      </c>
      <c r="AK260" s="61">
        <v>5.8397824397131773E-2</v>
      </c>
    </row>
    <row r="261" spans="2:37" x14ac:dyDescent="0.35">
      <c r="B261" s="54" t="s">
        <v>166</v>
      </c>
      <c r="C261" s="52" t="s">
        <v>232</v>
      </c>
      <c r="D261" s="52" t="s">
        <v>167</v>
      </c>
      <c r="E261" s="52" t="s">
        <v>234</v>
      </c>
      <c r="F261" s="72">
        <f t="shared" si="23"/>
        <v>5.2843466367985148E-2</v>
      </c>
      <c r="G261" s="59">
        <f t="shared" si="23"/>
        <v>6.5589945944182673E-2</v>
      </c>
      <c r="H261" s="59">
        <f t="shared" si="23"/>
        <v>7.1657782199062325E-2</v>
      </c>
      <c r="I261" s="59">
        <f t="shared" si="23"/>
        <v>7.4573443118810048E-2</v>
      </c>
      <c r="J261" s="62">
        <f t="shared" si="23"/>
        <v>7.7383488584424551E-2</v>
      </c>
      <c r="K261" s="59">
        <f t="shared" si="24"/>
        <v>1.3981660967985152E-2</v>
      </c>
      <c r="L261" s="59">
        <f t="shared" si="24"/>
        <v>2.7265710444182682E-2</v>
      </c>
      <c r="M261" s="59">
        <f t="shared" si="24"/>
        <v>3.2712604099062327E-2</v>
      </c>
      <c r="N261" s="59">
        <f t="shared" si="24"/>
        <v>3.4700726518810066E-2</v>
      </c>
      <c r="O261" s="62">
        <f t="shared" si="24"/>
        <v>3.6290566184424548E-2</v>
      </c>
      <c r="P261" s="54" t="s">
        <v>21</v>
      </c>
      <c r="Q261" s="52" t="s">
        <v>21</v>
      </c>
      <c r="R261" s="93" t="s">
        <v>21</v>
      </c>
      <c r="S261" s="72" t="s">
        <v>21</v>
      </c>
      <c r="T261" s="62" t="str">
        <f t="shared" si="20"/>
        <v/>
      </c>
      <c r="V261" s="113">
        <v>1.08294807</v>
      </c>
      <c r="W261" s="71">
        <v>2.6714828400000004</v>
      </c>
      <c r="X261" s="71">
        <v>3.9731360100000002</v>
      </c>
      <c r="Y261" s="71">
        <v>5.0216936400000005</v>
      </c>
      <c r="Z261" s="114">
        <v>6.2357920199999999</v>
      </c>
      <c r="AB261" s="70">
        <v>5.2843466367985148E-2</v>
      </c>
      <c r="AC261" s="70">
        <v>6.5589945944182673E-2</v>
      </c>
      <c r="AD261" s="70">
        <v>7.1657782199062325E-2</v>
      </c>
      <c r="AE261" s="70">
        <v>7.4573443118810048E-2</v>
      </c>
      <c r="AF261" s="62">
        <v>7.7383488584424551E-2</v>
      </c>
      <c r="AG261" s="70">
        <v>1.3981660967985152E-2</v>
      </c>
      <c r="AH261" s="70">
        <v>2.7265710444182682E-2</v>
      </c>
      <c r="AI261" s="70">
        <v>3.2712604099062327E-2</v>
      </c>
      <c r="AJ261" s="70">
        <v>3.4700726518810066E-2</v>
      </c>
      <c r="AK261" s="62">
        <v>3.6290566184424548E-2</v>
      </c>
    </row>
    <row r="262" spans="2:37" x14ac:dyDescent="0.35">
      <c r="B262" s="54" t="s">
        <v>165</v>
      </c>
      <c r="C262" s="52" t="s">
        <v>232</v>
      </c>
      <c r="D262" s="52" t="s">
        <v>97</v>
      </c>
      <c r="E262" s="52" t="s">
        <v>565</v>
      </c>
      <c r="F262" s="72">
        <f t="shared" si="23"/>
        <v>4.0884496973415445E-2</v>
      </c>
      <c r="G262" s="59">
        <f t="shared" si="23"/>
        <v>5.4452798898441263E-2</v>
      </c>
      <c r="H262" s="59">
        <f t="shared" si="23"/>
        <v>6.8231767318479436E-2</v>
      </c>
      <c r="I262" s="59">
        <f t="shared" si="23"/>
        <v>7.3532805985868838E-2</v>
      </c>
      <c r="J262" s="62">
        <f t="shared" si="23"/>
        <v>7.8150015415050594E-2</v>
      </c>
      <c r="K262" s="59">
        <f t="shared" si="24"/>
        <v>3.0954101734154398E-3</v>
      </c>
      <c r="L262" s="59">
        <f t="shared" si="24"/>
        <v>1.7067142698441264E-2</v>
      </c>
      <c r="M262" s="59">
        <f t="shared" si="24"/>
        <v>2.9643576818479442E-2</v>
      </c>
      <c r="N262" s="59">
        <f t="shared" si="24"/>
        <v>3.382381268586885E-2</v>
      </c>
      <c r="O262" s="62">
        <f t="shared" si="24"/>
        <v>3.7089661615050604E-2</v>
      </c>
      <c r="P262" s="54" t="s">
        <v>21</v>
      </c>
      <c r="Q262" s="52" t="s">
        <v>21</v>
      </c>
      <c r="R262" s="93" t="s">
        <v>21</v>
      </c>
      <c r="S262" s="72" t="s">
        <v>21</v>
      </c>
      <c r="T262" s="62" t="str">
        <f t="shared" si="20"/>
        <v/>
      </c>
      <c r="V262" s="113">
        <v>1.10712758</v>
      </c>
      <c r="W262" s="71">
        <v>2.7789521100000001</v>
      </c>
      <c r="X262" s="71">
        <v>4.1144985500000004</v>
      </c>
      <c r="Y262" s="71">
        <v>5.1487028199999996</v>
      </c>
      <c r="Z262" s="114">
        <v>6.3028767099999996</v>
      </c>
      <c r="AB262" s="70">
        <v>4.0884496973415445E-2</v>
      </c>
      <c r="AC262" s="70">
        <v>5.4452798898441263E-2</v>
      </c>
      <c r="AD262" s="70">
        <v>6.8231767318479436E-2</v>
      </c>
      <c r="AE262" s="70">
        <v>7.3532805985868838E-2</v>
      </c>
      <c r="AF262" s="62">
        <v>7.8150015415050594E-2</v>
      </c>
      <c r="AG262" s="70">
        <v>3.0954101734154398E-3</v>
      </c>
      <c r="AH262" s="70">
        <v>1.7067142698441264E-2</v>
      </c>
      <c r="AI262" s="70">
        <v>2.9643576818479442E-2</v>
      </c>
      <c r="AJ262" s="70">
        <v>3.382381268586885E-2</v>
      </c>
      <c r="AK262" s="62">
        <v>3.7089661615050604E-2</v>
      </c>
    </row>
    <row r="263" spans="2:37" x14ac:dyDescent="0.35">
      <c r="B263" s="54" t="s">
        <v>233</v>
      </c>
      <c r="C263" s="52" t="s">
        <v>232</v>
      </c>
      <c r="D263" s="52" t="s">
        <v>43</v>
      </c>
      <c r="E263" s="52" t="s">
        <v>116</v>
      </c>
      <c r="F263" s="72">
        <f t="shared" si="23"/>
        <v>4.0190144395608834E-2</v>
      </c>
      <c r="G263" s="59">
        <f t="shared" si="23"/>
        <v>5.0207270012867365E-2</v>
      </c>
      <c r="H263" s="59">
        <f t="shared" si="23"/>
        <v>6.3730780239696916E-2</v>
      </c>
      <c r="I263" s="59">
        <f t="shared" si="23"/>
        <v>7.1370668028238493E-2</v>
      </c>
      <c r="J263" s="62">
        <f t="shared" si="23"/>
        <v>7.6481847940675793E-2</v>
      </c>
      <c r="K263" s="59">
        <f t="shared" si="24"/>
        <v>2.4199972956088301E-3</v>
      </c>
      <c r="L263" s="59">
        <f t="shared" si="24"/>
        <v>1.3078406212867365E-2</v>
      </c>
      <c r="M263" s="59">
        <f t="shared" si="24"/>
        <v>2.5480730339696913E-2</v>
      </c>
      <c r="N263" s="59">
        <f t="shared" si="24"/>
        <v>3.1823127128238489E-2</v>
      </c>
      <c r="O263" s="62">
        <f t="shared" si="24"/>
        <v>3.5554377740675804E-2</v>
      </c>
      <c r="P263" s="54" t="s">
        <v>21</v>
      </c>
      <c r="Q263" s="52" t="s">
        <v>21</v>
      </c>
      <c r="R263" s="93" t="s">
        <v>21</v>
      </c>
      <c r="S263" s="72" t="s">
        <v>21</v>
      </c>
      <c r="T263" s="62" t="str">
        <f t="shared" si="20"/>
        <v/>
      </c>
      <c r="V263" s="113">
        <v>1.1089853599999999</v>
      </c>
      <c r="W263" s="71">
        <v>2.8114156299999999</v>
      </c>
      <c r="X263" s="71">
        <v>4.1934532200000003</v>
      </c>
      <c r="Y263" s="71">
        <v>5.2531942100000002</v>
      </c>
      <c r="Z263" s="114">
        <v>6.4235689900000006</v>
      </c>
      <c r="AB263" s="70">
        <v>4.0190144395608834E-2</v>
      </c>
      <c r="AC263" s="70">
        <v>5.0207270012867365E-2</v>
      </c>
      <c r="AD263" s="70">
        <v>6.3730780239696916E-2</v>
      </c>
      <c r="AE263" s="70">
        <v>7.1370668028238493E-2</v>
      </c>
      <c r="AF263" s="62">
        <v>7.6481847940675793E-2</v>
      </c>
      <c r="AG263" s="70">
        <v>2.4199972956088301E-3</v>
      </c>
      <c r="AH263" s="70">
        <v>1.3078406212867365E-2</v>
      </c>
      <c r="AI263" s="70">
        <v>2.5480730339696913E-2</v>
      </c>
      <c r="AJ263" s="70">
        <v>3.1823127128238489E-2</v>
      </c>
      <c r="AK263" s="62">
        <v>3.5554377740675804E-2</v>
      </c>
    </row>
    <row r="264" spans="2:37" x14ac:dyDescent="0.35">
      <c r="B264" s="54" t="s">
        <v>161</v>
      </c>
      <c r="C264" s="52" t="s">
        <v>232</v>
      </c>
      <c r="D264" s="52" t="s">
        <v>97</v>
      </c>
      <c r="E264" s="52" t="s">
        <v>566</v>
      </c>
      <c r="F264" s="72">
        <f t="shared" si="23"/>
        <v>3.9364304725526225E-2</v>
      </c>
      <c r="G264" s="59">
        <f t="shared" si="23"/>
        <v>4.9355217186293238E-2</v>
      </c>
      <c r="H264" s="59">
        <f t="shared" si="23"/>
        <v>6.0079774584004923E-2</v>
      </c>
      <c r="I264" s="59">
        <f t="shared" si="23"/>
        <v>6.6405018293995158E-2</v>
      </c>
      <c r="J264" s="62">
        <f t="shared" si="23"/>
        <v>7.1497377963639031E-2</v>
      </c>
      <c r="K264" s="59">
        <f t="shared" si="24"/>
        <v>1.6240943255262288E-3</v>
      </c>
      <c r="L264" s="59">
        <f t="shared" si="24"/>
        <v>1.2269934786293239E-2</v>
      </c>
      <c r="M264" s="59">
        <f t="shared" si="24"/>
        <v>2.2091041084004916E-2</v>
      </c>
      <c r="N264" s="59">
        <f t="shared" si="24"/>
        <v>2.7233601693995156E-2</v>
      </c>
      <c r="O264" s="62">
        <f t="shared" si="24"/>
        <v>3.0936899163639019E-2</v>
      </c>
      <c r="P264" s="54" t="s">
        <v>567</v>
      </c>
      <c r="Q264" s="52" t="s">
        <v>568</v>
      </c>
      <c r="R264" s="93">
        <v>47542</v>
      </c>
      <c r="S264" s="72">
        <v>4.920977E-2</v>
      </c>
      <c r="T264" s="62">
        <f t="shared" si="20"/>
        <v>1.0870004584004923E-2</v>
      </c>
      <c r="V264" s="113">
        <v>1.1109102100000001</v>
      </c>
      <c r="W264" s="71">
        <v>2.8139274300000001</v>
      </c>
      <c r="X264" s="71">
        <v>4.2340459199999998</v>
      </c>
      <c r="Y264" s="71">
        <v>5.3613146299999999</v>
      </c>
      <c r="Z264" s="114">
        <v>6.6356659499999999</v>
      </c>
      <c r="AB264" s="70">
        <v>3.9364304725526225E-2</v>
      </c>
      <c r="AC264" s="70">
        <v>4.9355217186293238E-2</v>
      </c>
      <c r="AD264" s="70">
        <v>6.0079774584004923E-2</v>
      </c>
      <c r="AE264" s="70">
        <v>6.6405018293995158E-2</v>
      </c>
      <c r="AF264" s="62">
        <v>7.1497377963639031E-2</v>
      </c>
      <c r="AG264" s="70">
        <v>1.6240943255262288E-3</v>
      </c>
      <c r="AH264" s="70">
        <v>1.2269934786293239E-2</v>
      </c>
      <c r="AI264" s="70">
        <v>2.2091041084004916E-2</v>
      </c>
      <c r="AJ264" s="70">
        <v>2.7233601693995156E-2</v>
      </c>
      <c r="AK264" s="62">
        <v>3.0936899163639019E-2</v>
      </c>
    </row>
    <row r="265" spans="2:37" x14ac:dyDescent="0.35">
      <c r="B265" s="54" t="s">
        <v>173</v>
      </c>
      <c r="C265" s="52" t="s">
        <v>232</v>
      </c>
      <c r="D265" s="52" t="s">
        <v>43</v>
      </c>
      <c r="E265" s="52" t="s">
        <v>569</v>
      </c>
      <c r="F265" s="72">
        <f t="shared" si="23"/>
        <v>4.3206732063696345E-2</v>
      </c>
      <c r="G265" s="59">
        <f t="shared" si="23"/>
        <v>4.9537414574665053E-2</v>
      </c>
      <c r="H265" s="59">
        <f t="shared" si="23"/>
        <v>5.766036758875312E-2</v>
      </c>
      <c r="I265" s="59">
        <f t="shared" si="23"/>
        <v>6.3525476882795848E-2</v>
      </c>
      <c r="J265" s="62">
        <f t="shared" si="23"/>
        <v>6.9346771077501701E-2</v>
      </c>
      <c r="K265" s="59">
        <f t="shared" si="24"/>
        <v>5.2114418636963486E-3</v>
      </c>
      <c r="L265" s="59">
        <f t="shared" si="24"/>
        <v>1.2429732274665053E-2</v>
      </c>
      <c r="M265" s="59">
        <f t="shared" si="24"/>
        <v>1.9826020588753115E-2</v>
      </c>
      <c r="N265" s="59">
        <f t="shared" si="24"/>
        <v>2.4545023882795846E-2</v>
      </c>
      <c r="O265" s="62">
        <f t="shared" si="24"/>
        <v>2.8916668977501694E-2</v>
      </c>
      <c r="P265" s="54" t="s">
        <v>21</v>
      </c>
      <c r="Q265" s="52" t="s">
        <v>21</v>
      </c>
      <c r="R265" s="93" t="s">
        <v>21</v>
      </c>
      <c r="S265" s="72" t="s">
        <v>21</v>
      </c>
      <c r="T265" s="62" t="str">
        <f t="shared" si="20"/>
        <v/>
      </c>
      <c r="V265" s="113">
        <v>1.10200111</v>
      </c>
      <c r="W265" s="71">
        <v>2.80271874</v>
      </c>
      <c r="X265" s="71">
        <v>4.2466644799999997</v>
      </c>
      <c r="Y265" s="71">
        <v>5.4129563200000002</v>
      </c>
      <c r="Z265" s="114">
        <v>6.7372255399999998</v>
      </c>
      <c r="AB265" s="70">
        <v>4.3206732063696345E-2</v>
      </c>
      <c r="AC265" s="70">
        <v>4.9537414574665053E-2</v>
      </c>
      <c r="AD265" s="70">
        <v>5.766036758875312E-2</v>
      </c>
      <c r="AE265" s="70">
        <v>6.3525476882795848E-2</v>
      </c>
      <c r="AF265" s="62">
        <v>6.9346771077501701E-2</v>
      </c>
      <c r="AG265" s="70">
        <v>5.2114418636963486E-3</v>
      </c>
      <c r="AH265" s="70">
        <v>1.2429732274665053E-2</v>
      </c>
      <c r="AI265" s="70">
        <v>1.9826020588753115E-2</v>
      </c>
      <c r="AJ265" s="70">
        <v>2.4545023882795846E-2</v>
      </c>
      <c r="AK265" s="62">
        <v>2.8916668977501694E-2</v>
      </c>
    </row>
    <row r="266" spans="2:37" x14ac:dyDescent="0.35">
      <c r="B266" s="54" t="s">
        <v>172</v>
      </c>
      <c r="C266" s="52" t="s">
        <v>232</v>
      </c>
      <c r="D266" s="52" t="s">
        <v>43</v>
      </c>
      <c r="E266" s="52" t="s">
        <v>140</v>
      </c>
      <c r="F266" s="72">
        <f t="shared" si="23"/>
        <v>3.9837129943050442E-2</v>
      </c>
      <c r="G266" s="59">
        <f t="shared" si="23"/>
        <v>4.7429897382805133E-2</v>
      </c>
      <c r="H266" s="59">
        <f t="shared" si="23"/>
        <v>5.7475172852399663E-2</v>
      </c>
      <c r="I266" s="59">
        <f t="shared" si="23"/>
        <v>6.3671374464419547E-2</v>
      </c>
      <c r="J266" s="62">
        <f t="shared" si="23"/>
        <v>6.8209637455401789E-2</v>
      </c>
      <c r="K266" s="59">
        <f t="shared" si="24"/>
        <v>2.0852832430504351E-3</v>
      </c>
      <c r="L266" s="59">
        <f t="shared" si="24"/>
        <v>1.0456509182805131E-2</v>
      </c>
      <c r="M266" s="59">
        <f t="shared" si="24"/>
        <v>1.966729455239967E-2</v>
      </c>
      <c r="N266" s="59">
        <f t="shared" si="24"/>
        <v>2.4694575564419535E-2</v>
      </c>
      <c r="O266" s="62">
        <f t="shared" si="24"/>
        <v>2.7877042655401772E-2</v>
      </c>
      <c r="P266" s="54" t="s">
        <v>570</v>
      </c>
      <c r="Q266" s="52" t="s">
        <v>571</v>
      </c>
      <c r="R266" s="93">
        <v>47535</v>
      </c>
      <c r="S266" s="72">
        <v>4.5376979999999997E-2</v>
      </c>
      <c r="T266" s="62">
        <f t="shared" si="20"/>
        <v>1.2098192852399665E-2</v>
      </c>
      <c r="V266" s="113">
        <v>1.1098624099999999</v>
      </c>
      <c r="W266" s="71">
        <v>2.82855005</v>
      </c>
      <c r="X266" s="71">
        <v>4.27588816</v>
      </c>
      <c r="Y266" s="71">
        <v>5.43748626</v>
      </c>
      <c r="Z266" s="114">
        <v>6.7796036000000006</v>
      </c>
      <c r="AB266" s="70">
        <v>3.9837129943050442E-2</v>
      </c>
      <c r="AC266" s="70">
        <v>4.7429897382805133E-2</v>
      </c>
      <c r="AD266" s="70">
        <v>5.7475172852399663E-2</v>
      </c>
      <c r="AE266" s="70">
        <v>6.3671374464419547E-2</v>
      </c>
      <c r="AF266" s="62">
        <v>6.8209637455401789E-2</v>
      </c>
      <c r="AG266" s="70">
        <v>2.0852832430504351E-3</v>
      </c>
      <c r="AH266" s="70">
        <v>1.0456509182805131E-2</v>
      </c>
      <c r="AI266" s="70">
        <v>1.966729455239967E-2</v>
      </c>
      <c r="AJ266" s="70">
        <v>2.4694575564419535E-2</v>
      </c>
      <c r="AK266" s="62">
        <v>2.7877042655401772E-2</v>
      </c>
    </row>
    <row r="267" spans="2:37" x14ac:dyDescent="0.35">
      <c r="B267" s="54" t="s">
        <v>170</v>
      </c>
      <c r="C267" s="52" t="s">
        <v>232</v>
      </c>
      <c r="D267" s="52" t="s">
        <v>31</v>
      </c>
      <c r="E267" s="52" t="s">
        <v>572</v>
      </c>
      <c r="F267" s="72">
        <f t="shared" si="23"/>
        <v>3.870463406495047E-2</v>
      </c>
      <c r="G267" s="59">
        <f t="shared" si="23"/>
        <v>4.6445655570444902E-2</v>
      </c>
      <c r="H267" s="59">
        <f t="shared" si="23"/>
        <v>5.7219033289402949E-2</v>
      </c>
      <c r="I267" s="59">
        <f t="shared" si="23"/>
        <v>6.4840499908253982E-2</v>
      </c>
      <c r="J267" s="62">
        <f t="shared" si="23"/>
        <v>7.1003318806670018E-2</v>
      </c>
      <c r="K267" s="59">
        <f t="shared" si="24"/>
        <v>1.0013638649504688E-3</v>
      </c>
      <c r="L267" s="59">
        <f t="shared" si="24"/>
        <v>9.5231938704449064E-3</v>
      </c>
      <c r="M267" s="59">
        <f t="shared" si="24"/>
        <v>1.9428659989402956E-2</v>
      </c>
      <c r="N267" s="59">
        <f t="shared" si="24"/>
        <v>2.5782510708253974E-2</v>
      </c>
      <c r="O267" s="62">
        <f t="shared" si="24"/>
        <v>3.0480417606670016E-2</v>
      </c>
      <c r="P267" s="54" t="s">
        <v>573</v>
      </c>
      <c r="Q267" s="52" t="s">
        <v>574</v>
      </c>
      <c r="R267" s="93">
        <v>47664</v>
      </c>
      <c r="S267" s="72">
        <v>4.7999010000000002E-2</v>
      </c>
      <c r="T267" s="62">
        <f t="shared" si="20"/>
        <v>9.2200232894029469E-3</v>
      </c>
      <c r="V267" s="113">
        <v>1.1120911600000001</v>
      </c>
      <c r="W267" s="71">
        <v>2.8385599099999999</v>
      </c>
      <c r="X267" s="71">
        <v>4.2895756</v>
      </c>
      <c r="Y267" s="71">
        <v>5.4350030299999998</v>
      </c>
      <c r="Z267" s="114">
        <v>6.7119839700000004</v>
      </c>
      <c r="AB267" s="70">
        <v>3.870463406495047E-2</v>
      </c>
      <c r="AC267" s="70">
        <v>4.6445655570444902E-2</v>
      </c>
      <c r="AD267" s="70">
        <v>5.7219033289402949E-2</v>
      </c>
      <c r="AE267" s="70">
        <v>6.4840499908253982E-2</v>
      </c>
      <c r="AF267" s="62">
        <v>7.1003318806670018E-2</v>
      </c>
      <c r="AG267" s="70">
        <v>1.0013638649504688E-3</v>
      </c>
      <c r="AH267" s="70">
        <v>9.5231938704449064E-3</v>
      </c>
      <c r="AI267" s="70">
        <v>1.9428659989402956E-2</v>
      </c>
      <c r="AJ267" s="70">
        <v>2.5782510708253974E-2</v>
      </c>
      <c r="AK267" s="62">
        <v>3.0480417606670016E-2</v>
      </c>
    </row>
    <row r="268" spans="2:37" x14ac:dyDescent="0.35">
      <c r="B268" s="54" t="s">
        <v>129</v>
      </c>
      <c r="C268" s="52" t="s">
        <v>232</v>
      </c>
      <c r="D268" s="52" t="s">
        <v>62</v>
      </c>
      <c r="E268" s="52" t="s">
        <v>286</v>
      </c>
      <c r="F268" s="72">
        <f t="shared" si="23"/>
        <v>4.0221164702179797E-2</v>
      </c>
      <c r="G268" s="59">
        <f t="shared" si="23"/>
        <v>4.807894993279993E-2</v>
      </c>
      <c r="H268" s="59">
        <f t="shared" si="23"/>
        <v>5.6554290196664428E-2</v>
      </c>
      <c r="I268" s="59">
        <f t="shared" si="23"/>
        <v>6.1924033867205817E-2</v>
      </c>
      <c r="J268" s="62">
        <f t="shared" si="23"/>
        <v>6.6136964636306611E-2</v>
      </c>
      <c r="K268" s="59">
        <f t="shared" si="24"/>
        <v>2.4478656021797969E-3</v>
      </c>
      <c r="L268" s="59">
        <f t="shared" si="24"/>
        <v>1.1070480632799928E-2</v>
      </c>
      <c r="M268" s="59">
        <f t="shared" si="24"/>
        <v>1.8806200896664429E-2</v>
      </c>
      <c r="N268" s="59">
        <f t="shared" si="24"/>
        <v>2.3063857467205823E-2</v>
      </c>
      <c r="O268" s="62">
        <f t="shared" si="24"/>
        <v>2.5933687636306615E-2</v>
      </c>
      <c r="P268" s="54" t="s">
        <v>21</v>
      </c>
      <c r="Q268" s="52" t="s">
        <v>21</v>
      </c>
      <c r="R268" s="93" t="s">
        <v>21</v>
      </c>
      <c r="S268" s="72" t="s">
        <v>21</v>
      </c>
      <c r="T268" s="62" t="str">
        <f t="shared" si="20"/>
        <v/>
      </c>
      <c r="V268" s="113">
        <v>1.1089199599999999</v>
      </c>
      <c r="W268" s="71">
        <v>2.82180724</v>
      </c>
      <c r="X268" s="71">
        <v>4.2775264700000006</v>
      </c>
      <c r="Y268" s="71">
        <v>5.4642224800000001</v>
      </c>
      <c r="Z268" s="114">
        <v>6.8560129200000004</v>
      </c>
      <c r="AB268" s="70">
        <v>4.0221164702179797E-2</v>
      </c>
      <c r="AC268" s="70">
        <v>4.807894993279993E-2</v>
      </c>
      <c r="AD268" s="70">
        <v>5.6554290196664428E-2</v>
      </c>
      <c r="AE268" s="70">
        <v>6.1924033867205817E-2</v>
      </c>
      <c r="AF268" s="62">
        <v>6.6136964636306611E-2</v>
      </c>
      <c r="AG268" s="70">
        <v>2.4478656021797969E-3</v>
      </c>
      <c r="AH268" s="70">
        <v>1.1070480632799928E-2</v>
      </c>
      <c r="AI268" s="70">
        <v>1.8806200896664429E-2</v>
      </c>
      <c r="AJ268" s="70">
        <v>2.3063857467205823E-2</v>
      </c>
      <c r="AK268" s="62">
        <v>2.5933687636306615E-2</v>
      </c>
    </row>
    <row r="269" spans="2:37" x14ac:dyDescent="0.35">
      <c r="B269" s="54" t="s">
        <v>407</v>
      </c>
      <c r="C269" s="52" t="s">
        <v>232</v>
      </c>
      <c r="D269" s="52" t="s">
        <v>20</v>
      </c>
      <c r="E269" s="52" t="s">
        <v>48</v>
      </c>
      <c r="F269" s="72">
        <f t="shared" si="23"/>
        <v>3.9036473173950315E-2</v>
      </c>
      <c r="G269" s="59">
        <f t="shared" si="23"/>
        <v>4.6821205144350307E-2</v>
      </c>
      <c r="H269" s="59">
        <f t="shared" si="23"/>
        <v>5.5460431154197229E-2</v>
      </c>
      <c r="I269" s="59">
        <f t="shared" si="23"/>
        <v>6.1575156338493815E-2</v>
      </c>
      <c r="J269" s="62">
        <f t="shared" si="23"/>
        <v>6.5088813652431257E-2</v>
      </c>
      <c r="K269" s="59">
        <f t="shared" si="24"/>
        <v>1.321388973950316E-3</v>
      </c>
      <c r="L269" s="59">
        <f t="shared" si="24"/>
        <v>9.8963261443503047E-3</v>
      </c>
      <c r="M269" s="59">
        <f t="shared" si="24"/>
        <v>1.7807861154197236E-2</v>
      </c>
      <c r="N269" s="59">
        <f t="shared" si="24"/>
        <v>2.2773097538493818E-2</v>
      </c>
      <c r="O269" s="62">
        <f t="shared" si="24"/>
        <v>2.4994562852431259E-2</v>
      </c>
      <c r="P269" s="54" t="s">
        <v>409</v>
      </c>
      <c r="Q269" s="52" t="s">
        <v>410</v>
      </c>
      <c r="R269" s="93">
        <v>47771</v>
      </c>
      <c r="S269" s="72">
        <v>5.1236129999999998E-2</v>
      </c>
      <c r="T269" s="62">
        <f t="shared" si="20"/>
        <v>4.2243011541972311E-3</v>
      </c>
      <c r="V269" s="113">
        <v>1.1125048399999999</v>
      </c>
      <c r="W269" s="71">
        <v>2.8384929900000002</v>
      </c>
      <c r="X269" s="71">
        <v>4.3135251100000005</v>
      </c>
      <c r="Y269" s="71">
        <v>5.5109064399999994</v>
      </c>
      <c r="Z269" s="114">
        <v>6.9317565799999992</v>
      </c>
      <c r="AB269" s="70">
        <v>3.9036473173950315E-2</v>
      </c>
      <c r="AC269" s="70">
        <v>4.6821205144350307E-2</v>
      </c>
      <c r="AD269" s="70">
        <v>5.5460431154197229E-2</v>
      </c>
      <c r="AE269" s="70">
        <v>6.1575156338493815E-2</v>
      </c>
      <c r="AF269" s="62">
        <v>6.5088813652431257E-2</v>
      </c>
      <c r="AG269" s="70">
        <v>1.321388973950316E-3</v>
      </c>
      <c r="AH269" s="70">
        <v>9.8963261443503047E-3</v>
      </c>
      <c r="AI269" s="70">
        <v>1.7807861154197236E-2</v>
      </c>
      <c r="AJ269" s="70">
        <v>2.2773097538493818E-2</v>
      </c>
      <c r="AK269" s="62">
        <v>2.4994562852431259E-2</v>
      </c>
    </row>
    <row r="270" spans="2:37" x14ac:dyDescent="0.35">
      <c r="B270" s="54" t="s">
        <v>163</v>
      </c>
      <c r="C270" s="52" t="s">
        <v>232</v>
      </c>
      <c r="D270" s="52" t="s">
        <v>47</v>
      </c>
      <c r="E270" s="52" t="s">
        <v>575</v>
      </c>
      <c r="F270" s="72">
        <f t="shared" si="23"/>
        <v>3.8869589125759878E-2</v>
      </c>
      <c r="G270" s="59">
        <f t="shared" si="23"/>
        <v>4.5364256568641757E-2</v>
      </c>
      <c r="H270" s="59">
        <f t="shared" si="23"/>
        <v>5.3679346465638544E-2</v>
      </c>
      <c r="I270" s="59">
        <f t="shared" si="23"/>
        <v>5.9761670947711384E-2</v>
      </c>
      <c r="J270" s="62">
        <f t="shared" si="23"/>
        <v>6.51453803709338E-2</v>
      </c>
      <c r="K270" s="59">
        <f t="shared" si="24"/>
        <v>1.1633766257598778E-3</v>
      </c>
      <c r="L270" s="59">
        <f t="shared" si="24"/>
        <v>8.4987572686417573E-3</v>
      </c>
      <c r="M270" s="59">
        <f t="shared" si="24"/>
        <v>1.6108993865638549E-2</v>
      </c>
      <c r="N270" s="59">
        <f t="shared" si="24"/>
        <v>2.1046916447711388E-2</v>
      </c>
      <c r="O270" s="62">
        <f t="shared" si="24"/>
        <v>2.5009883270933807E-2</v>
      </c>
      <c r="P270" s="54" t="s">
        <v>21</v>
      </c>
      <c r="Q270" s="52" t="s">
        <v>21</v>
      </c>
      <c r="R270" s="93" t="s">
        <v>21</v>
      </c>
      <c r="S270" s="72" t="s">
        <v>21</v>
      </c>
      <c r="T270" s="62" t="str">
        <f t="shared" si="20"/>
        <v/>
      </c>
      <c r="V270" s="113">
        <v>1.1117579900000001</v>
      </c>
      <c r="W270" s="71">
        <v>2.8442908400000002</v>
      </c>
      <c r="X270" s="71">
        <v>4.3324200299999998</v>
      </c>
      <c r="Y270" s="71">
        <v>5.5481906199999997</v>
      </c>
      <c r="Z270" s="114">
        <v>6.9572082899999996</v>
      </c>
      <c r="AB270" s="70">
        <v>3.8869589125759878E-2</v>
      </c>
      <c r="AC270" s="70">
        <v>4.5364256568641757E-2</v>
      </c>
      <c r="AD270" s="70">
        <v>5.3679346465638544E-2</v>
      </c>
      <c r="AE270" s="70">
        <v>5.9761670947711384E-2</v>
      </c>
      <c r="AF270" s="62">
        <v>6.51453803709338E-2</v>
      </c>
      <c r="AG270" s="70">
        <v>1.1633766257598778E-3</v>
      </c>
      <c r="AH270" s="70">
        <v>8.4987572686417573E-3</v>
      </c>
      <c r="AI270" s="70">
        <v>1.6108993865638549E-2</v>
      </c>
      <c r="AJ270" s="70">
        <v>2.1046916447711388E-2</v>
      </c>
      <c r="AK270" s="62">
        <v>2.5009883270933807E-2</v>
      </c>
    </row>
    <row r="271" spans="2:37" x14ac:dyDescent="0.35">
      <c r="B271" s="54" t="s">
        <v>164</v>
      </c>
      <c r="C271" s="52" t="s">
        <v>232</v>
      </c>
      <c r="D271" s="52" t="s">
        <v>43</v>
      </c>
      <c r="E271" s="52" t="s">
        <v>291</v>
      </c>
      <c r="F271" s="72">
        <f t="shared" si="23"/>
        <v>3.830108345062256E-2</v>
      </c>
      <c r="G271" s="59">
        <f t="shared" si="23"/>
        <v>4.4941462069646478E-2</v>
      </c>
      <c r="H271" s="59">
        <f t="shared" si="23"/>
        <v>5.2980977370569005E-2</v>
      </c>
      <c r="I271" s="59">
        <f t="shared" si="23"/>
        <v>5.693272140618643E-2</v>
      </c>
      <c r="J271" s="62">
        <f t="shared" si="23"/>
        <v>5.9844728754113195E-2</v>
      </c>
      <c r="K271" s="59">
        <f t="shared" si="24"/>
        <v>6.0335975062257227E-4</v>
      </c>
      <c r="L271" s="59">
        <f t="shared" si="24"/>
        <v>8.0901720696464757E-3</v>
      </c>
      <c r="M271" s="59">
        <f t="shared" si="24"/>
        <v>1.544613397056901E-2</v>
      </c>
      <c r="N271" s="59">
        <f t="shared" si="24"/>
        <v>1.8393975506186433E-2</v>
      </c>
      <c r="O271" s="62">
        <f t="shared" si="24"/>
        <v>2.0025147654113205E-2</v>
      </c>
      <c r="P271" s="54" t="s">
        <v>21</v>
      </c>
      <c r="Q271" s="52" t="s">
        <v>21</v>
      </c>
      <c r="R271" s="93" t="s">
        <v>21</v>
      </c>
      <c r="S271" s="72" t="s">
        <v>21</v>
      </c>
      <c r="T271" s="62" t="str">
        <f t="shared" si="20"/>
        <v/>
      </c>
      <c r="V271" s="113">
        <v>1.1129296</v>
      </c>
      <c r="W271" s="71">
        <v>2.84880522</v>
      </c>
      <c r="X271" s="71">
        <v>4.3451718799999997</v>
      </c>
      <c r="Y271" s="71">
        <v>5.5973523400000005</v>
      </c>
      <c r="Z271" s="114">
        <v>7.1331270500000006</v>
      </c>
      <c r="AB271" s="70">
        <v>3.830108345062256E-2</v>
      </c>
      <c r="AC271" s="70">
        <v>4.4941462069646478E-2</v>
      </c>
      <c r="AD271" s="70">
        <v>5.2980977370569005E-2</v>
      </c>
      <c r="AE271" s="70">
        <v>5.693272140618643E-2</v>
      </c>
      <c r="AF271" s="62">
        <v>5.9844728754113195E-2</v>
      </c>
      <c r="AG271" s="70">
        <v>6.0335975062257227E-4</v>
      </c>
      <c r="AH271" s="70">
        <v>8.0901720696464757E-3</v>
      </c>
      <c r="AI271" s="70">
        <v>1.544613397056901E-2</v>
      </c>
      <c r="AJ271" s="70">
        <v>1.8393975506186433E-2</v>
      </c>
      <c r="AK271" s="62">
        <v>2.0025147654113205E-2</v>
      </c>
    </row>
    <row r="272" spans="2:37" x14ac:dyDescent="0.35">
      <c r="B272" s="54" t="s">
        <v>168</v>
      </c>
      <c r="C272" s="52" t="s">
        <v>232</v>
      </c>
      <c r="D272" s="52" t="s">
        <v>20</v>
      </c>
      <c r="E272" s="52" t="s">
        <v>408</v>
      </c>
      <c r="F272" s="72">
        <f t="shared" si="23"/>
        <v>4.2733105527402844E-2</v>
      </c>
      <c r="G272" s="59">
        <f t="shared" si="23"/>
        <v>5.1900888536614717E-2</v>
      </c>
      <c r="H272" s="59">
        <f t="shared" si="23"/>
        <v>6.2988000393886398E-2</v>
      </c>
      <c r="I272" s="59">
        <f t="shared" si="23"/>
        <v>6.8679979646413744E-2</v>
      </c>
      <c r="J272" s="62">
        <f t="shared" si="23"/>
        <v>7.3733697559540234E-2</v>
      </c>
      <c r="K272" s="59">
        <f t="shared" si="24"/>
        <v>4.8361229274028437E-3</v>
      </c>
      <c r="L272" s="59">
        <f t="shared" si="24"/>
        <v>1.4697118536614723E-2</v>
      </c>
      <c r="M272" s="59">
        <f t="shared" si="24"/>
        <v>2.4829097693886398E-2</v>
      </c>
      <c r="N272" s="59">
        <f t="shared" si="24"/>
        <v>2.9383592946413756E-2</v>
      </c>
      <c r="O272" s="62">
        <f t="shared" si="24"/>
        <v>3.3044819059540223E-2</v>
      </c>
      <c r="P272" s="54" t="s">
        <v>474</v>
      </c>
      <c r="Q272" s="52" t="s">
        <v>475</v>
      </c>
      <c r="R272" s="93">
        <v>47505</v>
      </c>
      <c r="S272" s="72">
        <v>5.5008639999999998E-2</v>
      </c>
      <c r="T272" s="62">
        <f t="shared" si="20"/>
        <v>7.9793603938864005E-3</v>
      </c>
      <c r="V272" s="113">
        <v>1.1040500799999999</v>
      </c>
      <c r="W272" s="71">
        <v>2.7930866499999998</v>
      </c>
      <c r="X272" s="71">
        <v>4.1915596500000003</v>
      </c>
      <c r="Y272" s="71">
        <v>5.2861023500000002</v>
      </c>
      <c r="Z272" s="114">
        <v>6.5327139899999995</v>
      </c>
      <c r="AB272" s="70">
        <v>4.2733105527402844E-2</v>
      </c>
      <c r="AC272" s="70">
        <v>5.1900888536614717E-2</v>
      </c>
      <c r="AD272" s="70">
        <v>6.2988000393886398E-2</v>
      </c>
      <c r="AE272" s="70">
        <v>6.8679979646413744E-2</v>
      </c>
      <c r="AF272" s="62">
        <v>7.3733697559540234E-2</v>
      </c>
      <c r="AG272" s="70">
        <v>4.8361229274028437E-3</v>
      </c>
      <c r="AH272" s="70">
        <v>1.4697118536614723E-2</v>
      </c>
      <c r="AI272" s="70">
        <v>2.4829097693886398E-2</v>
      </c>
      <c r="AJ272" s="70">
        <v>2.9383592946413756E-2</v>
      </c>
      <c r="AK272" s="62">
        <v>3.3044819059540223E-2</v>
      </c>
    </row>
    <row r="273" spans="2:37" x14ac:dyDescent="0.35">
      <c r="B273" s="54" t="s">
        <v>168</v>
      </c>
      <c r="C273" s="52" t="s">
        <v>232</v>
      </c>
      <c r="D273" s="52" t="s">
        <v>20</v>
      </c>
      <c r="E273" s="52" t="s">
        <v>576</v>
      </c>
      <c r="F273" s="72">
        <f t="shared" si="23"/>
        <v>4.2733105527402844E-2</v>
      </c>
      <c r="G273" s="59">
        <f t="shared" si="23"/>
        <v>5.1900888536614717E-2</v>
      </c>
      <c r="H273" s="59">
        <f t="shared" si="23"/>
        <v>6.2988000393886398E-2</v>
      </c>
      <c r="I273" s="59">
        <f t="shared" si="23"/>
        <v>6.8679979646413744E-2</v>
      </c>
      <c r="J273" s="62">
        <f t="shared" si="23"/>
        <v>7.3733697559540234E-2</v>
      </c>
      <c r="K273" s="59">
        <f t="shared" si="24"/>
        <v>4.8361229274028437E-3</v>
      </c>
      <c r="L273" s="59">
        <f t="shared" si="24"/>
        <v>1.4697118536614723E-2</v>
      </c>
      <c r="M273" s="59">
        <f t="shared" si="24"/>
        <v>2.4829097693886398E-2</v>
      </c>
      <c r="N273" s="59">
        <f t="shared" si="24"/>
        <v>2.9383592946413756E-2</v>
      </c>
      <c r="O273" s="62">
        <f t="shared" si="24"/>
        <v>3.3044819059540223E-2</v>
      </c>
      <c r="P273" s="54" t="s">
        <v>474</v>
      </c>
      <c r="Q273" s="52" t="s">
        <v>475</v>
      </c>
      <c r="R273" s="93">
        <v>47505</v>
      </c>
      <c r="S273" s="72">
        <v>5.5008639999999998E-2</v>
      </c>
      <c r="T273" s="62">
        <f t="shared" si="20"/>
        <v>7.9793603938864005E-3</v>
      </c>
      <c r="V273" s="113">
        <v>1.1040500799999999</v>
      </c>
      <c r="W273" s="71">
        <v>2.7930866499999998</v>
      </c>
      <c r="X273" s="71">
        <v>4.1915596500000003</v>
      </c>
      <c r="Y273" s="71">
        <v>5.2861023500000002</v>
      </c>
      <c r="Z273" s="114">
        <v>6.5327139899999995</v>
      </c>
      <c r="AB273" s="70">
        <v>4.2733105527402844E-2</v>
      </c>
      <c r="AC273" s="70">
        <v>5.1900888536614717E-2</v>
      </c>
      <c r="AD273" s="70">
        <v>6.2988000393886398E-2</v>
      </c>
      <c r="AE273" s="70">
        <v>6.8679979646413744E-2</v>
      </c>
      <c r="AF273" s="62">
        <v>7.3733697559540234E-2</v>
      </c>
      <c r="AG273" s="70">
        <v>4.8361229274028437E-3</v>
      </c>
      <c r="AH273" s="70">
        <v>1.4697118536614723E-2</v>
      </c>
      <c r="AI273" s="70">
        <v>2.4829097693886398E-2</v>
      </c>
      <c r="AJ273" s="70">
        <v>2.9383592946413756E-2</v>
      </c>
      <c r="AK273" s="62">
        <v>3.3044819059540223E-2</v>
      </c>
    </row>
    <row r="274" spans="2:37" x14ac:dyDescent="0.35">
      <c r="B274" s="54" t="s">
        <v>117</v>
      </c>
      <c r="C274" s="52" t="s">
        <v>232</v>
      </c>
      <c r="D274" s="52" t="s">
        <v>31</v>
      </c>
      <c r="E274" s="52" t="s">
        <v>123</v>
      </c>
      <c r="F274" s="72">
        <f t="shared" si="23"/>
        <v>3.7555367719031722E-2</v>
      </c>
      <c r="G274" s="59">
        <f t="shared" si="23"/>
        <v>4.4896212390749812E-2</v>
      </c>
      <c r="H274" s="59">
        <f t="shared" si="23"/>
        <v>5.0123960189399887E-2</v>
      </c>
      <c r="I274" s="59">
        <f t="shared" si="23"/>
        <v>5.4113079079012361E-2</v>
      </c>
      <c r="J274" s="62">
        <f t="shared" si="23"/>
        <v>5.7129321001959957E-2</v>
      </c>
      <c r="K274" s="59" t="str">
        <f t="shared" si="24"/>
        <v/>
      </c>
      <c r="L274" s="59">
        <f t="shared" si="24"/>
        <v>8.0516938907498094E-3</v>
      </c>
      <c r="M274" s="59">
        <f t="shared" si="24"/>
        <v>1.2744393689399881E-2</v>
      </c>
      <c r="N274" s="59">
        <f t="shared" si="24"/>
        <v>1.5727726179012358E-2</v>
      </c>
      <c r="O274" s="62">
        <f t="shared" si="24"/>
        <v>1.7453514701959959E-2</v>
      </c>
      <c r="P274" s="54" t="s">
        <v>21</v>
      </c>
      <c r="Q274" s="52" t="s">
        <v>21</v>
      </c>
      <c r="R274" s="93" t="s">
        <v>21</v>
      </c>
      <c r="S274" s="72" t="s">
        <v>21</v>
      </c>
      <c r="T274" s="62" t="str">
        <f t="shared" si="20"/>
        <v/>
      </c>
      <c r="V274" s="113">
        <v>1.1142536000000001</v>
      </c>
      <c r="W274" s="71">
        <v>2.85101643</v>
      </c>
      <c r="X274" s="71">
        <v>4.37692674</v>
      </c>
      <c r="Y274" s="71">
        <v>5.6729129799999995</v>
      </c>
      <c r="Z274" s="114">
        <v>7.2733934099999997</v>
      </c>
      <c r="AB274" s="70">
        <v>3.7555367719031722E-2</v>
      </c>
      <c r="AC274" s="70">
        <v>4.4896212390749812E-2</v>
      </c>
      <c r="AD274" s="70">
        <v>5.0123960189399887E-2</v>
      </c>
      <c r="AE274" s="70">
        <v>5.4113079079012361E-2</v>
      </c>
      <c r="AF274" s="62">
        <v>5.7129321001959957E-2</v>
      </c>
      <c r="AG274" s="70" t="s">
        <v>21</v>
      </c>
      <c r="AH274" s="70">
        <v>8.0516938907498094E-3</v>
      </c>
      <c r="AI274" s="70">
        <v>1.2744393689399881E-2</v>
      </c>
      <c r="AJ274" s="70">
        <v>1.5727726179012358E-2</v>
      </c>
      <c r="AK274" s="62">
        <v>1.7453514701959959E-2</v>
      </c>
    </row>
    <row r="275" spans="2:37" x14ac:dyDescent="0.35">
      <c r="B275" s="54" t="s">
        <v>138</v>
      </c>
      <c r="C275" s="52" t="s">
        <v>232</v>
      </c>
      <c r="D275" s="52" t="s">
        <v>139</v>
      </c>
      <c r="E275" s="52" t="s">
        <v>159</v>
      </c>
      <c r="F275" s="72">
        <f t="shared" si="23"/>
        <v>3.8639139388232283E-2</v>
      </c>
      <c r="G275" s="59">
        <f t="shared" si="23"/>
        <v>4.3143531647536877E-2</v>
      </c>
      <c r="H275" s="59">
        <f t="shared" si="23"/>
        <v>4.9131901950384124E-2</v>
      </c>
      <c r="I275" s="59">
        <f t="shared" si="23"/>
        <v>5.3558373532510813E-2</v>
      </c>
      <c r="J275" s="62">
        <f t="shared" si="23"/>
        <v>5.8129515923964904E-2</v>
      </c>
      <c r="K275" s="59">
        <f t="shared" si="24"/>
        <v>9.4491748823228444E-4</v>
      </c>
      <c r="L275" s="59">
        <f t="shared" si="24"/>
        <v>6.3865657475368817E-3</v>
      </c>
      <c r="M275" s="59">
        <f t="shared" si="24"/>
        <v>1.1805842550384126E-2</v>
      </c>
      <c r="N275" s="59">
        <f t="shared" si="24"/>
        <v>1.5205655932510805E-2</v>
      </c>
      <c r="O275" s="62">
        <f t="shared" si="24"/>
        <v>1.8403697723964909E-2</v>
      </c>
      <c r="P275" s="54" t="s">
        <v>21</v>
      </c>
      <c r="Q275" s="52" t="s">
        <v>21</v>
      </c>
      <c r="R275" s="93" t="s">
        <v>21</v>
      </c>
      <c r="S275" s="72" t="s">
        <v>21</v>
      </c>
      <c r="T275" s="62" t="str">
        <f t="shared" si="20"/>
        <v/>
      </c>
      <c r="V275" s="113">
        <v>1.1121755099999999</v>
      </c>
      <c r="W275" s="71">
        <v>2.8575835199999999</v>
      </c>
      <c r="X275" s="71">
        <v>4.3946469000000006</v>
      </c>
      <c r="Y275" s="71">
        <v>5.6993177099999999</v>
      </c>
      <c r="Z275" s="114">
        <v>7.2782172699999998</v>
      </c>
      <c r="AA275" s="136"/>
      <c r="AB275" s="70">
        <v>3.8639139388232283E-2</v>
      </c>
      <c r="AC275" s="70">
        <v>4.3143531647536877E-2</v>
      </c>
      <c r="AD275" s="70">
        <v>4.9131901950384124E-2</v>
      </c>
      <c r="AE275" s="70">
        <v>5.3558373532510813E-2</v>
      </c>
      <c r="AF275" s="62">
        <v>5.8129515923964904E-2</v>
      </c>
      <c r="AG275" s="70">
        <v>9.4491748823228444E-4</v>
      </c>
      <c r="AH275" s="70">
        <v>6.3865657475368817E-3</v>
      </c>
      <c r="AI275" s="70">
        <v>1.1805842550384126E-2</v>
      </c>
      <c r="AJ275" s="70">
        <v>1.5205655932510805E-2</v>
      </c>
      <c r="AK275" s="62">
        <v>1.8403697723964909E-2</v>
      </c>
    </row>
    <row r="276" spans="2:37" x14ac:dyDescent="0.35">
      <c r="B276" s="56" t="s">
        <v>169</v>
      </c>
      <c r="C276" s="66" t="s">
        <v>232</v>
      </c>
      <c r="D276" s="66" t="s">
        <v>69</v>
      </c>
      <c r="E276" s="66" t="s">
        <v>110</v>
      </c>
      <c r="F276" s="73">
        <f t="shared" ref="F276:J276" si="25">IF(ISNUMBER(AB276),AB276-((C$4-C$3)/V276),"")</f>
        <v>3.7023201614279355E-2</v>
      </c>
      <c r="G276" s="75">
        <f t="shared" si="25"/>
        <v>4.1776397011088394E-2</v>
      </c>
      <c r="H276" s="75">
        <f t="shared" si="25"/>
        <v>4.7824301054813688E-2</v>
      </c>
      <c r="I276" s="75">
        <f t="shared" si="25"/>
        <v>5.1378529155402378E-2</v>
      </c>
      <c r="J276" s="63">
        <f t="shared" si="25"/>
        <v>5.5482729699234852E-2</v>
      </c>
      <c r="K276" s="75" t="str">
        <f t="shared" ref="K276:O276" si="26">IF(ISNUMBER(AG276),IF(AG276-((C$4-C$3)/V276)&lt;0,"",AG276-((C$4-C$3)/V276)),"")</f>
        <v/>
      </c>
      <c r="L276" s="75">
        <f t="shared" si="26"/>
        <v>5.0790488110883936E-3</v>
      </c>
      <c r="M276" s="75">
        <f t="shared" si="26"/>
        <v>1.056049705481369E-2</v>
      </c>
      <c r="N276" s="75">
        <f t="shared" si="26"/>
        <v>1.3133262555402384E-2</v>
      </c>
      <c r="O276" s="63">
        <f t="shared" si="26"/>
        <v>1.5879408699234848E-2</v>
      </c>
      <c r="P276" s="56" t="s">
        <v>21</v>
      </c>
      <c r="Q276" s="66" t="s">
        <v>21</v>
      </c>
      <c r="R276" s="95" t="s">
        <v>21</v>
      </c>
      <c r="S276" s="73" t="s">
        <v>21</v>
      </c>
      <c r="T276" s="63" t="str">
        <f t="shared" si="20"/>
        <v/>
      </c>
      <c r="V276" s="115">
        <v>1.11524884</v>
      </c>
      <c r="W276" s="107">
        <v>2.8713877800000001</v>
      </c>
      <c r="X276" s="107">
        <v>4.4234812100000003</v>
      </c>
      <c r="Y276" s="107">
        <v>5.7578945499999996</v>
      </c>
      <c r="Z276" s="116">
        <v>7.4009921199999997</v>
      </c>
      <c r="AA276" s="66"/>
      <c r="AB276" s="75">
        <v>3.7023201614279355E-2</v>
      </c>
      <c r="AC276" s="75">
        <v>4.1776397011088394E-2</v>
      </c>
      <c r="AD276" s="75">
        <v>4.7824301054813688E-2</v>
      </c>
      <c r="AE276" s="75">
        <v>5.1378529155402378E-2</v>
      </c>
      <c r="AF276" s="63">
        <v>5.5482729699234852E-2</v>
      </c>
      <c r="AG276" s="75" t="s">
        <v>21</v>
      </c>
      <c r="AH276" s="75">
        <v>5.0790488110883936E-3</v>
      </c>
      <c r="AI276" s="75">
        <v>1.056049705481369E-2</v>
      </c>
      <c r="AJ276" s="75">
        <v>1.3133262555402384E-2</v>
      </c>
      <c r="AK276" s="63">
        <v>1.5879408699234848E-2</v>
      </c>
    </row>
    <row r="277" spans="2:37" x14ac:dyDescent="0.35">
      <c r="P277" s="127"/>
      <c r="Q277" s="127"/>
      <c r="R277" s="44"/>
      <c r="S277" s="127"/>
      <c r="V277" s="71"/>
      <c r="W277" s="71"/>
      <c r="X277" s="71"/>
      <c r="Y277" s="71"/>
      <c r="Z277" s="71"/>
    </row>
    <row r="278" spans="2:37" ht="15.5" x14ac:dyDescent="0.35">
      <c r="B278" s="121" t="s">
        <v>177</v>
      </c>
      <c r="R278" s="93"/>
      <c r="S278" s="70"/>
      <c r="T278" s="70"/>
      <c r="V278" s="71"/>
      <c r="W278" s="71"/>
      <c r="X278" s="71"/>
      <c r="Y278" s="71"/>
      <c r="Z278" s="71"/>
    </row>
    <row r="279" spans="2:37" x14ac:dyDescent="0.35">
      <c r="B279" s="84" t="s">
        <v>5</v>
      </c>
      <c r="C279" s="83" t="s">
        <v>6</v>
      </c>
      <c r="D279" s="83" t="s">
        <v>7</v>
      </c>
      <c r="E279" s="83" t="s">
        <v>8</v>
      </c>
      <c r="F279" s="82" t="s">
        <v>9</v>
      </c>
      <c r="G279" s="81" t="s">
        <v>10</v>
      </c>
      <c r="H279" s="81" t="s">
        <v>11</v>
      </c>
      <c r="I279" s="81" t="s">
        <v>12</v>
      </c>
      <c r="J279" s="80" t="s">
        <v>13</v>
      </c>
      <c r="K279" s="82" t="s">
        <v>9</v>
      </c>
      <c r="L279" s="81" t="s">
        <v>10</v>
      </c>
      <c r="M279" s="81" t="s">
        <v>11</v>
      </c>
      <c r="N279" s="81" t="s">
        <v>12</v>
      </c>
      <c r="O279" s="80" t="s">
        <v>13</v>
      </c>
      <c r="P279" s="69" t="s">
        <v>14</v>
      </c>
      <c r="Q279" s="57" t="s">
        <v>15</v>
      </c>
      <c r="R279" s="57" t="s">
        <v>16</v>
      </c>
      <c r="S279" s="57" t="s">
        <v>216</v>
      </c>
      <c r="T279" s="57" t="s">
        <v>18</v>
      </c>
      <c r="V279" s="105" t="s">
        <v>9</v>
      </c>
      <c r="W279" s="105" t="s">
        <v>10</v>
      </c>
      <c r="X279" s="105" t="s">
        <v>11</v>
      </c>
      <c r="Y279" s="105" t="s">
        <v>12</v>
      </c>
      <c r="Z279" s="110" t="s">
        <v>13</v>
      </c>
      <c r="AB279" s="82" t="s">
        <v>9</v>
      </c>
      <c r="AC279" s="81" t="s">
        <v>10</v>
      </c>
      <c r="AD279" s="81" t="s">
        <v>11</v>
      </c>
      <c r="AE279" s="81" t="s">
        <v>12</v>
      </c>
      <c r="AF279" s="80" t="s">
        <v>13</v>
      </c>
      <c r="AG279" s="82" t="s">
        <v>9</v>
      </c>
      <c r="AH279" s="81" t="s">
        <v>10</v>
      </c>
      <c r="AI279" s="81" t="s">
        <v>11</v>
      </c>
      <c r="AJ279" s="81" t="s">
        <v>12</v>
      </c>
      <c r="AK279" s="80" t="s">
        <v>13</v>
      </c>
    </row>
    <row r="280" spans="2:37" x14ac:dyDescent="0.35">
      <c r="B280" s="55" t="s">
        <v>178</v>
      </c>
      <c r="C280" s="52" t="s">
        <v>232</v>
      </c>
      <c r="D280" s="65" t="s">
        <v>47</v>
      </c>
      <c r="E280" s="65" t="s">
        <v>577</v>
      </c>
      <c r="F280" s="72" t="str">
        <f>IF(ISNUMBER(AB280),AB280-((C$4-C$3)/V280),"")</f>
        <v/>
      </c>
      <c r="G280" s="59" t="str">
        <f>IF(ISNUMBER(AC280),AC280-((D$4-D$3)/W280),"")</f>
        <v/>
      </c>
      <c r="H280" s="59" t="str">
        <f>IF(ISNUMBER(AD280),AD280-((E$4-E$3)/X280),"")</f>
        <v/>
      </c>
      <c r="I280" s="59" t="str">
        <f>IF(ISNUMBER(AE280),AE280-((F$4-F$3)/Y280),"")</f>
        <v/>
      </c>
      <c r="J280" s="62" t="str">
        <f>IF(ISNUMBER(AF280),AF280-((G$4-G$3)/Z280),"")</f>
        <v/>
      </c>
      <c r="K280" s="59" t="str">
        <f>IF(ISNUMBER(AG280),IF(AG280-((C$4-C$3)/V280)&lt;0,"",AG280-((C$4-C$3)/V280)),"")</f>
        <v/>
      </c>
      <c r="L280" s="59" t="str">
        <f>IF(ISNUMBER(AH280),IF(AH280-((D$4-D$3)/W280)&lt;0,"",AH280-((D$4-D$3)/W280)),"")</f>
        <v/>
      </c>
      <c r="M280" s="59" t="str">
        <f>IF(ISNUMBER(AI280),IF(AI280-((E$4-E$3)/X280)&lt;0,"",AI280-((E$4-E$3)/X280)),"")</f>
        <v/>
      </c>
      <c r="N280" s="59" t="str">
        <f>IF(ISNUMBER(AJ280),IF(AJ280-((F$4-F$3)/Y280)&lt;0,"",AJ280-((F$4-F$3)/Y280)),"")</f>
        <v/>
      </c>
      <c r="O280" s="62" t="str">
        <f>IF(ISNUMBER(AK280),IF(AK280-((G$4-G$3)/Z280)&lt;0,"",AK280-((G$4-G$3)/Z280)),"")</f>
        <v/>
      </c>
      <c r="P280" s="55" t="s">
        <v>578</v>
      </c>
      <c r="Q280" s="65" t="s">
        <v>579</v>
      </c>
      <c r="R280" s="99" t="s">
        <v>32</v>
      </c>
      <c r="S280" s="74"/>
      <c r="T280" s="62" t="str">
        <f t="shared" ref="T280:T286" si="27">IF(S280="","",H280-S280)</f>
        <v/>
      </c>
      <c r="V280" s="71">
        <v>1.1159426300000002</v>
      </c>
      <c r="W280" s="71">
        <v>2.8771672599999998</v>
      </c>
      <c r="X280" s="71">
        <v>4.4427698699999993</v>
      </c>
      <c r="Y280" s="71">
        <v>5.7956309499999996</v>
      </c>
      <c r="Z280" s="114">
        <v>7.4834233299999999</v>
      </c>
      <c r="AB280" s="79"/>
      <c r="AC280" s="79"/>
      <c r="AD280" s="79"/>
      <c r="AE280" s="79"/>
      <c r="AF280" s="61"/>
      <c r="AG280" s="79"/>
      <c r="AH280" s="79"/>
      <c r="AI280" s="79"/>
      <c r="AJ280" s="79"/>
      <c r="AK280" s="61"/>
    </row>
    <row r="281" spans="2:37" x14ac:dyDescent="0.35">
      <c r="B281" s="54" t="s">
        <v>269</v>
      </c>
      <c r="C281" s="52" t="s">
        <v>232</v>
      </c>
      <c r="D281" s="52" t="s">
        <v>20</v>
      </c>
      <c r="E281" s="52" t="s">
        <v>580</v>
      </c>
      <c r="F281" s="72" t="str">
        <f t="shared" ref="F281:J286" si="28">IF(ISNUMBER(AB281),AB281-((C$4-C$3)/V281),"")</f>
        <v/>
      </c>
      <c r="G281" s="59">
        <f t="shared" si="28"/>
        <v>4.3386152067931116E-2</v>
      </c>
      <c r="H281" s="59">
        <f t="shared" si="28"/>
        <v>4.7560586719291011E-2</v>
      </c>
      <c r="I281" s="59">
        <f t="shared" si="28"/>
        <v>5.0928722791872806E-2</v>
      </c>
      <c r="J281" s="62">
        <f t="shared" si="28"/>
        <v>5.3314448576056897E-2</v>
      </c>
      <c r="K281" s="59" t="str">
        <f t="shared" ref="K281:O286" si="29">IF(ISNUMBER(AG281),IF(AG281-((C$4-C$3)/V281)&lt;0,"",AG281-((C$4-C$3)/V281)),"")</f>
        <v/>
      </c>
      <c r="L281" s="59">
        <f t="shared" si="29"/>
        <v>6.6734015679311203E-3</v>
      </c>
      <c r="M281" s="59">
        <f t="shared" si="29"/>
        <v>1.0347306719291013E-2</v>
      </c>
      <c r="N281" s="59">
        <f t="shared" si="29"/>
        <v>1.2768091491872809E-2</v>
      </c>
      <c r="O281" s="62">
        <f t="shared" si="29"/>
        <v>1.3863951376056897E-2</v>
      </c>
      <c r="P281" s="54" t="s">
        <v>581</v>
      </c>
      <c r="Q281" s="52" t="s">
        <v>582</v>
      </c>
      <c r="R281" s="93" t="s">
        <v>32</v>
      </c>
      <c r="S281" s="72">
        <v>3.9634219999999998E-2</v>
      </c>
      <c r="T281" s="62">
        <f t="shared" si="27"/>
        <v>7.9263667192910128E-3</v>
      </c>
      <c r="V281" s="71">
        <v>1.1146281</v>
      </c>
      <c r="W281" s="71">
        <v>2.86715155</v>
      </c>
      <c r="X281" s="71">
        <v>4.4295484299999996</v>
      </c>
      <c r="Y281" s="71">
        <v>5.7926531699999995</v>
      </c>
      <c r="Z281" s="114">
        <v>7.5326095100000003</v>
      </c>
      <c r="AB281" s="70" t="s">
        <v>21</v>
      </c>
      <c r="AC281" s="70">
        <v>4.3386152067931116E-2</v>
      </c>
      <c r="AD281" s="70">
        <v>4.7560586719291011E-2</v>
      </c>
      <c r="AE281" s="70">
        <v>5.0928722791872806E-2</v>
      </c>
      <c r="AF281" s="62">
        <v>5.3314448576056897E-2</v>
      </c>
      <c r="AG281" s="70" t="s">
        <v>21</v>
      </c>
      <c r="AH281" s="70">
        <v>6.6734015679311203E-3</v>
      </c>
      <c r="AI281" s="70">
        <v>1.0347306719291013E-2</v>
      </c>
      <c r="AJ281" s="70">
        <v>1.2768091491872809E-2</v>
      </c>
      <c r="AK281" s="62">
        <v>1.3863951376056897E-2</v>
      </c>
    </row>
    <row r="282" spans="2:37" x14ac:dyDescent="0.35">
      <c r="B282" s="54" t="s">
        <v>180</v>
      </c>
      <c r="C282" s="52" t="s">
        <v>232</v>
      </c>
      <c r="D282" s="52" t="s">
        <v>69</v>
      </c>
      <c r="E282" s="52" t="s">
        <v>270</v>
      </c>
      <c r="F282" s="72" t="str">
        <f t="shared" si="28"/>
        <v/>
      </c>
      <c r="G282" s="59">
        <f t="shared" si="28"/>
        <v>4.1592296240782603E-2</v>
      </c>
      <c r="H282" s="59">
        <f t="shared" si="28"/>
        <v>4.6035520439378606E-2</v>
      </c>
      <c r="I282" s="59">
        <f t="shared" si="28"/>
        <v>4.9529952098499766E-2</v>
      </c>
      <c r="J282" s="62">
        <f t="shared" si="28"/>
        <v>5.2500486911245529E-2</v>
      </c>
      <c r="K282" s="59" t="str">
        <f t="shared" si="29"/>
        <v/>
      </c>
      <c r="L282" s="59">
        <f t="shared" si="29"/>
        <v>4.976008440782608E-3</v>
      </c>
      <c r="M282" s="59">
        <f t="shared" si="29"/>
        <v>8.9089860393786052E-3</v>
      </c>
      <c r="N282" s="59">
        <f t="shared" si="29"/>
        <v>1.1446216098499773E-2</v>
      </c>
      <c r="O282" s="62">
        <f t="shared" si="29"/>
        <v>1.3094699111245531E-2</v>
      </c>
      <c r="P282" s="54" t="s">
        <v>583</v>
      </c>
      <c r="Q282" s="52" t="s">
        <v>584</v>
      </c>
      <c r="R282" s="93" t="s">
        <v>32</v>
      </c>
      <c r="S282" s="72">
        <v>3.8922089999999999E-2</v>
      </c>
      <c r="T282" s="62">
        <f t="shared" si="27"/>
        <v>7.1134304393786069E-3</v>
      </c>
      <c r="V282" s="71">
        <v>1.1168216499999999</v>
      </c>
      <c r="W282" s="71">
        <v>2.8855924700000002</v>
      </c>
      <c r="X282" s="71">
        <v>4.47130954</v>
      </c>
      <c r="Y282" s="71">
        <v>5.8602462900000001</v>
      </c>
      <c r="Z282" s="114">
        <v>7.6309377499999993</v>
      </c>
      <c r="AB282" s="70" t="s">
        <v>21</v>
      </c>
      <c r="AC282" s="70">
        <v>4.1592296240782603E-2</v>
      </c>
      <c r="AD282" s="70">
        <v>4.6035520439378606E-2</v>
      </c>
      <c r="AE282" s="70">
        <v>4.9529952098499766E-2</v>
      </c>
      <c r="AF282" s="62">
        <v>5.2500486911245529E-2</v>
      </c>
      <c r="AG282" s="70" t="s">
        <v>21</v>
      </c>
      <c r="AH282" s="70">
        <v>4.976008440782608E-3</v>
      </c>
      <c r="AI282" s="70">
        <v>8.9089860393786052E-3</v>
      </c>
      <c r="AJ282" s="70">
        <v>1.1446216098499773E-2</v>
      </c>
      <c r="AK282" s="62">
        <v>1.3094699111245531E-2</v>
      </c>
    </row>
    <row r="283" spans="2:37" x14ac:dyDescent="0.35">
      <c r="B283" s="54" t="s">
        <v>181</v>
      </c>
      <c r="C283" s="52" t="s">
        <v>232</v>
      </c>
      <c r="D283" s="52" t="s">
        <v>182</v>
      </c>
      <c r="E283" s="52" t="s">
        <v>321</v>
      </c>
      <c r="F283" s="72" t="str">
        <f t="shared" si="28"/>
        <v/>
      </c>
      <c r="G283" s="59">
        <f t="shared" si="28"/>
        <v>4.257269880693277E-2</v>
      </c>
      <c r="H283" s="59">
        <f t="shared" si="28"/>
        <v>4.7636006736921852E-2</v>
      </c>
      <c r="I283" s="59">
        <f t="shared" si="28"/>
        <v>5.2337556233371552E-2</v>
      </c>
      <c r="J283" s="62">
        <f t="shared" si="28"/>
        <v>5.6757155553424164E-2</v>
      </c>
      <c r="K283" s="59" t="str">
        <f t="shared" si="29"/>
        <v/>
      </c>
      <c r="L283" s="59">
        <f t="shared" si="29"/>
        <v>5.9152078069327806E-3</v>
      </c>
      <c r="M283" s="59">
        <f t="shared" si="29"/>
        <v>1.0441605436921853E-2</v>
      </c>
      <c r="N283" s="59">
        <f t="shared" si="29"/>
        <v>1.4140302633371557E-2</v>
      </c>
      <c r="O283" s="62">
        <f t="shared" si="29"/>
        <v>1.7203573553424167E-2</v>
      </c>
      <c r="P283" s="54" t="s">
        <v>585</v>
      </c>
      <c r="Q283" s="52" t="s">
        <v>586</v>
      </c>
      <c r="R283" s="93" t="s">
        <v>32</v>
      </c>
      <c r="S283" s="72">
        <v>4.5584649999999997E-2</v>
      </c>
      <c r="T283" s="62">
        <f t="shared" si="27"/>
        <v>2.0513567369218541E-3</v>
      </c>
      <c r="V283" s="71">
        <v>1.1168169100000001</v>
      </c>
      <c r="W283" s="71">
        <v>2.8796996699999999</v>
      </c>
      <c r="X283" s="71">
        <v>4.4481254900000007</v>
      </c>
      <c r="Y283" s="71">
        <v>5.7987631300000002</v>
      </c>
      <c r="Z283" s="114">
        <v>7.4679095099999993</v>
      </c>
      <c r="AB283" s="70" t="s">
        <v>21</v>
      </c>
      <c r="AC283" s="70">
        <v>4.257269880693277E-2</v>
      </c>
      <c r="AD283" s="70">
        <v>4.7636006736921852E-2</v>
      </c>
      <c r="AE283" s="70">
        <v>5.2337556233371552E-2</v>
      </c>
      <c r="AF283" s="62">
        <v>5.6757155553424164E-2</v>
      </c>
      <c r="AG283" s="70" t="s">
        <v>21</v>
      </c>
      <c r="AH283" s="70">
        <v>5.9152078069327806E-3</v>
      </c>
      <c r="AI283" s="70">
        <v>1.0441605436921853E-2</v>
      </c>
      <c r="AJ283" s="70">
        <v>1.4140302633371557E-2</v>
      </c>
      <c r="AK283" s="62">
        <v>1.7203573553424167E-2</v>
      </c>
    </row>
    <row r="284" spans="2:37" x14ac:dyDescent="0.35">
      <c r="B284" s="54" t="s">
        <v>183</v>
      </c>
      <c r="C284" s="52" t="s">
        <v>232</v>
      </c>
      <c r="D284" s="52" t="s">
        <v>53</v>
      </c>
      <c r="E284" s="52" t="s">
        <v>179</v>
      </c>
      <c r="F284" s="72" t="str">
        <f t="shared" si="28"/>
        <v/>
      </c>
      <c r="G284" s="59">
        <f t="shared" si="28"/>
        <v>4.154322866993293E-2</v>
      </c>
      <c r="H284" s="59">
        <f t="shared" si="28"/>
        <v>4.5927281221999301E-2</v>
      </c>
      <c r="I284" s="59">
        <f t="shared" si="28"/>
        <v>4.9634370123925547E-2</v>
      </c>
      <c r="J284" s="62">
        <f t="shared" si="28"/>
        <v>5.2715306389436528E-2</v>
      </c>
      <c r="K284" s="59" t="str">
        <f t="shared" si="29"/>
        <v/>
      </c>
      <c r="L284" s="59">
        <f t="shared" si="29"/>
        <v>4.9280513699329299E-3</v>
      </c>
      <c r="M284" s="59">
        <f t="shared" si="29"/>
        <v>8.8045973219992996E-3</v>
      </c>
      <c r="N284" s="59">
        <f t="shared" si="29"/>
        <v>1.1546049323925549E-2</v>
      </c>
      <c r="O284" s="62">
        <f t="shared" si="29"/>
        <v>1.3302944389436525E-2</v>
      </c>
      <c r="P284" s="54" t="s">
        <v>587</v>
      </c>
      <c r="Q284" s="52" t="s">
        <v>588</v>
      </c>
      <c r="R284" s="93" t="s">
        <v>32</v>
      </c>
      <c r="S284" s="72">
        <v>3.9727359999999996E-2</v>
      </c>
      <c r="T284" s="62">
        <f t="shared" si="27"/>
        <v>6.199921221999305E-3</v>
      </c>
      <c r="V284" s="71">
        <v>1.1172391500000001</v>
      </c>
      <c r="W284" s="71">
        <v>2.8866245099999999</v>
      </c>
      <c r="X284" s="71">
        <v>4.4734349700000005</v>
      </c>
      <c r="Y284" s="71">
        <v>5.8611783399999995</v>
      </c>
      <c r="Z284" s="114">
        <v>7.6261889299999996</v>
      </c>
      <c r="AB284" s="70" t="s">
        <v>21</v>
      </c>
      <c r="AC284" s="70">
        <v>4.154322866993293E-2</v>
      </c>
      <c r="AD284" s="70">
        <v>4.5927281221999301E-2</v>
      </c>
      <c r="AE284" s="70">
        <v>4.9634370123925547E-2</v>
      </c>
      <c r="AF284" s="62">
        <v>5.2715306389436528E-2</v>
      </c>
      <c r="AG284" s="70" t="s">
        <v>21</v>
      </c>
      <c r="AH284" s="70">
        <v>4.9280513699329299E-3</v>
      </c>
      <c r="AI284" s="70">
        <v>8.8045973219992996E-3</v>
      </c>
      <c r="AJ284" s="70">
        <v>1.1546049323925549E-2</v>
      </c>
      <c r="AK284" s="62">
        <v>1.3302944389436525E-2</v>
      </c>
    </row>
    <row r="285" spans="2:37" x14ac:dyDescent="0.35">
      <c r="B285" s="54" t="s">
        <v>184</v>
      </c>
      <c r="C285" s="52" t="s">
        <v>232</v>
      </c>
      <c r="D285" s="52" t="s">
        <v>31</v>
      </c>
      <c r="E285" s="52" t="s">
        <v>589</v>
      </c>
      <c r="F285" s="72" t="str">
        <f t="shared" si="28"/>
        <v/>
      </c>
      <c r="G285" s="59">
        <f t="shared" si="28"/>
        <v>4.2266543650421269E-2</v>
      </c>
      <c r="H285" s="59">
        <f t="shared" si="28"/>
        <v>4.7148750957078052E-2</v>
      </c>
      <c r="I285" s="59">
        <f t="shared" si="28"/>
        <v>5.1166008965509359E-2</v>
      </c>
      <c r="J285" s="62">
        <f t="shared" si="28"/>
        <v>5.4716020824939357E-2</v>
      </c>
      <c r="K285" s="59" t="str">
        <f t="shared" si="29"/>
        <v/>
      </c>
      <c r="L285" s="59">
        <f t="shared" si="29"/>
        <v>5.6217634504212742E-3</v>
      </c>
      <c r="M285" s="59">
        <f t="shared" si="29"/>
        <v>9.9751902570780447E-3</v>
      </c>
      <c r="N285" s="59">
        <f t="shared" si="29"/>
        <v>1.3017576465509356E-2</v>
      </c>
      <c r="O285" s="62">
        <f t="shared" si="29"/>
        <v>1.5237018924939363E-2</v>
      </c>
      <c r="P285" s="54" t="s">
        <v>590</v>
      </c>
      <c r="Q285" s="52" t="s">
        <v>591</v>
      </c>
      <c r="R285" s="93" t="s">
        <v>32</v>
      </c>
      <c r="S285" s="72">
        <v>4.1221540000000001E-2</v>
      </c>
      <c r="T285" s="62">
        <f t="shared" si="27"/>
        <v>5.927210957078051E-3</v>
      </c>
      <c r="V285" s="71">
        <v>1.11647311</v>
      </c>
      <c r="W285" s="71">
        <v>2.88093412</v>
      </c>
      <c r="X285" s="71">
        <v>4.4546778400000004</v>
      </c>
      <c r="Y285" s="71">
        <v>5.82097043</v>
      </c>
      <c r="Z285" s="114">
        <v>7.5382846000000008</v>
      </c>
      <c r="AB285" s="70" t="s">
        <v>21</v>
      </c>
      <c r="AC285" s="70">
        <v>4.2266543650421269E-2</v>
      </c>
      <c r="AD285" s="70">
        <v>4.7148750957078052E-2</v>
      </c>
      <c r="AE285" s="70">
        <v>5.1166008965509359E-2</v>
      </c>
      <c r="AF285" s="62">
        <v>5.4716020824939357E-2</v>
      </c>
      <c r="AG285" s="70" t="s">
        <v>21</v>
      </c>
      <c r="AH285" s="70">
        <v>5.6217634504212742E-3</v>
      </c>
      <c r="AI285" s="70">
        <v>9.9751902570780447E-3</v>
      </c>
      <c r="AJ285" s="70">
        <v>1.3017576465509356E-2</v>
      </c>
      <c r="AK285" s="62">
        <v>1.5237018924939363E-2</v>
      </c>
    </row>
    <row r="286" spans="2:37" x14ac:dyDescent="0.35">
      <c r="B286" s="56" t="s">
        <v>185</v>
      </c>
      <c r="C286" s="66" t="s">
        <v>232</v>
      </c>
      <c r="D286" s="66" t="s">
        <v>139</v>
      </c>
      <c r="E286" s="66" t="s">
        <v>592</v>
      </c>
      <c r="F286" s="73" t="str">
        <f t="shared" si="28"/>
        <v/>
      </c>
      <c r="G286" s="75">
        <f t="shared" si="28"/>
        <v>4.1538966165284692E-2</v>
      </c>
      <c r="H286" s="75">
        <f t="shared" si="28"/>
        <v>4.5764929401887838E-2</v>
      </c>
      <c r="I286" s="75">
        <f t="shared" si="28"/>
        <v>4.9899045052644593E-2</v>
      </c>
      <c r="J286" s="63">
        <f t="shared" si="28"/>
        <v>5.3042325415549332E-2</v>
      </c>
      <c r="K286" s="75" t="str">
        <f t="shared" si="29"/>
        <v/>
      </c>
      <c r="L286" s="75">
        <f t="shared" si="29"/>
        <v>4.9233834652846987E-3</v>
      </c>
      <c r="M286" s="75">
        <f t="shared" si="29"/>
        <v>8.6483609018878395E-3</v>
      </c>
      <c r="N286" s="75">
        <f t="shared" si="29"/>
        <v>1.1799604852644599E-2</v>
      </c>
      <c r="O286" s="63">
        <f t="shared" si="29"/>
        <v>1.3620361915549335E-2</v>
      </c>
      <c r="P286" s="56" t="s">
        <v>593</v>
      </c>
      <c r="Q286" s="66" t="s">
        <v>594</v>
      </c>
      <c r="R286" s="95" t="s">
        <v>32</v>
      </c>
      <c r="S286" s="73">
        <v>3.8414030000000002E-2</v>
      </c>
      <c r="T286" s="63">
        <f t="shared" si="27"/>
        <v>7.3508994018878365E-3</v>
      </c>
      <c r="V286" s="107">
        <v>1.11737303</v>
      </c>
      <c r="W286" s="107">
        <v>2.8868886300000001</v>
      </c>
      <c r="X286" s="107">
        <v>4.4752746000000005</v>
      </c>
      <c r="Y286" s="107">
        <v>5.8599806699999997</v>
      </c>
      <c r="Z286" s="116">
        <v>7.6158855299999999</v>
      </c>
      <c r="AB286" s="75" t="s">
        <v>21</v>
      </c>
      <c r="AC286" s="75">
        <v>4.1538966165284692E-2</v>
      </c>
      <c r="AD286" s="75">
        <v>4.5764929401887838E-2</v>
      </c>
      <c r="AE286" s="75">
        <v>4.9899045052644593E-2</v>
      </c>
      <c r="AF286" s="63">
        <v>5.3042325415549332E-2</v>
      </c>
      <c r="AG286" s="75" t="s">
        <v>21</v>
      </c>
      <c r="AH286" s="75">
        <v>4.9233834652846987E-3</v>
      </c>
      <c r="AI286" s="75">
        <v>8.6483609018878395E-3</v>
      </c>
      <c r="AJ286" s="75">
        <v>1.1799604852644599E-2</v>
      </c>
      <c r="AK286" s="63">
        <v>1.3620361915549335E-2</v>
      </c>
    </row>
    <row r="287" spans="2:37" x14ac:dyDescent="0.35">
      <c r="V287" s="71"/>
      <c r="W287" s="71"/>
      <c r="X287" s="71"/>
      <c r="Y287" s="71"/>
      <c r="Z287" s="71"/>
    </row>
    <row r="288" spans="2:37" ht="15.5" x14ac:dyDescent="0.35">
      <c r="B288" s="121" t="s">
        <v>186</v>
      </c>
      <c r="R288" s="93"/>
      <c r="S288" s="70"/>
      <c r="T288" s="70"/>
      <c r="V288" s="71"/>
      <c r="W288" s="71"/>
      <c r="X288" s="71"/>
      <c r="Y288" s="71"/>
      <c r="Z288" s="71"/>
    </row>
    <row r="289" spans="2:37" x14ac:dyDescent="0.35">
      <c r="B289" s="84" t="s">
        <v>5</v>
      </c>
      <c r="C289" s="83" t="s">
        <v>6</v>
      </c>
      <c r="D289" s="83" t="s">
        <v>7</v>
      </c>
      <c r="E289" s="83" t="s">
        <v>8</v>
      </c>
      <c r="F289" s="82" t="s">
        <v>9</v>
      </c>
      <c r="G289" s="81" t="s">
        <v>10</v>
      </c>
      <c r="H289" s="81" t="s">
        <v>11</v>
      </c>
      <c r="I289" s="81" t="s">
        <v>12</v>
      </c>
      <c r="J289" s="80" t="s">
        <v>13</v>
      </c>
      <c r="K289" s="82" t="s">
        <v>9</v>
      </c>
      <c r="L289" s="81" t="s">
        <v>10</v>
      </c>
      <c r="M289" s="81" t="s">
        <v>11</v>
      </c>
      <c r="N289" s="81" t="s">
        <v>12</v>
      </c>
      <c r="O289" s="80" t="s">
        <v>13</v>
      </c>
      <c r="P289" s="69" t="s">
        <v>14</v>
      </c>
      <c r="Q289" s="57" t="s">
        <v>15</v>
      </c>
      <c r="R289" s="57" t="s">
        <v>16</v>
      </c>
      <c r="S289" s="57" t="s">
        <v>216</v>
      </c>
      <c r="T289" s="80" t="s">
        <v>18</v>
      </c>
      <c r="V289" s="105" t="s">
        <v>9</v>
      </c>
      <c r="W289" s="105" t="s">
        <v>10</v>
      </c>
      <c r="X289" s="105" t="s">
        <v>11</v>
      </c>
      <c r="Y289" s="105" t="s">
        <v>12</v>
      </c>
      <c r="Z289" s="110" t="s">
        <v>13</v>
      </c>
      <c r="AB289" s="82" t="s">
        <v>9</v>
      </c>
      <c r="AC289" s="81" t="s">
        <v>10</v>
      </c>
      <c r="AD289" s="81" t="s">
        <v>11</v>
      </c>
      <c r="AE289" s="81" t="s">
        <v>12</v>
      </c>
      <c r="AF289" s="80" t="s">
        <v>13</v>
      </c>
      <c r="AG289" s="82" t="s">
        <v>9</v>
      </c>
      <c r="AH289" s="81" t="s">
        <v>10</v>
      </c>
      <c r="AI289" s="81" t="s">
        <v>11</v>
      </c>
      <c r="AJ289" s="81" t="s">
        <v>12</v>
      </c>
      <c r="AK289" s="80" t="s">
        <v>13</v>
      </c>
    </row>
    <row r="290" spans="2:37" x14ac:dyDescent="0.35">
      <c r="B290" s="56" t="s">
        <v>296</v>
      </c>
      <c r="C290" s="66"/>
      <c r="D290" s="68"/>
      <c r="E290" s="68"/>
      <c r="F290" s="101" t="str">
        <f t="shared" ref="F290:J305" si="30">IF(ISNUMBER(AB290),AB290-((C$4-C$3)/V290),"")</f>
        <v/>
      </c>
      <c r="G290" s="102" t="str">
        <f t="shared" si="30"/>
        <v/>
      </c>
      <c r="H290" s="102">
        <f t="shared" si="30"/>
        <v>5.5942211245872106E-2</v>
      </c>
      <c r="I290" s="102" t="str">
        <f t="shared" si="30"/>
        <v/>
      </c>
      <c r="J290" s="103" t="str">
        <f t="shared" si="30"/>
        <v/>
      </c>
      <c r="K290" s="102" t="str">
        <f t="shared" ref="K290:O305" si="31">IF(ISNUMBER(AG290),IF(AG290-((C$4-C$3)/V290)&lt;0,"",AG290-((C$4-C$3)/V290)),"")</f>
        <v/>
      </c>
      <c r="L290" s="102" t="str">
        <f t="shared" si="31"/>
        <v/>
      </c>
      <c r="M290" s="102">
        <f t="shared" si="31"/>
        <v>1.8418503045872101E-2</v>
      </c>
      <c r="N290" s="102" t="str">
        <f t="shared" si="31"/>
        <v/>
      </c>
      <c r="O290" s="103" t="str">
        <f t="shared" si="31"/>
        <v/>
      </c>
      <c r="P290" s="55"/>
      <c r="Q290" s="68"/>
      <c r="R290" s="104"/>
      <c r="S290" s="74"/>
      <c r="T290" s="103"/>
      <c r="V290" s="71">
        <v>1.10019523</v>
      </c>
      <c r="W290" s="71">
        <v>2.8060168600000002</v>
      </c>
      <c r="X290" s="71">
        <v>4.3052513299999999</v>
      </c>
      <c r="Y290" s="71">
        <v>5.6006880800000003</v>
      </c>
      <c r="Z290" s="114">
        <v>7.2355197100000002</v>
      </c>
      <c r="AB290" s="102" t="s">
        <v>21</v>
      </c>
      <c r="AC290" s="102"/>
      <c r="AD290" s="102">
        <v>5.5942211245872106E-2</v>
      </c>
      <c r="AE290" s="102" t="s">
        <v>21</v>
      </c>
      <c r="AF290" s="103" t="s">
        <v>21</v>
      </c>
      <c r="AG290" s="102" t="s">
        <v>21</v>
      </c>
      <c r="AH290" s="102"/>
      <c r="AI290" s="102">
        <v>1.8418503045872101E-2</v>
      </c>
      <c r="AJ290" s="102" t="s">
        <v>21</v>
      </c>
      <c r="AK290" s="103" t="s">
        <v>21</v>
      </c>
    </row>
    <row r="291" spans="2:37" x14ac:dyDescent="0.35">
      <c r="B291" s="54" t="s">
        <v>187</v>
      </c>
      <c r="C291" s="52" t="s">
        <v>232</v>
      </c>
      <c r="D291" s="65" t="s">
        <v>188</v>
      </c>
      <c r="E291" s="65" t="s">
        <v>271</v>
      </c>
      <c r="F291" s="74" t="str">
        <f t="shared" si="30"/>
        <v/>
      </c>
      <c r="G291" s="79">
        <f t="shared" si="30"/>
        <v>4.0899831833389945E-2</v>
      </c>
      <c r="H291" s="79">
        <f t="shared" si="30"/>
        <v>4.6493410958385696E-2</v>
      </c>
      <c r="I291" s="79" t="str">
        <f t="shared" si="30"/>
        <v/>
      </c>
      <c r="J291" s="61" t="str">
        <f t="shared" si="30"/>
        <v/>
      </c>
      <c r="K291" s="79" t="str">
        <f t="shared" si="31"/>
        <v/>
      </c>
      <c r="L291" s="79">
        <f t="shared" si="31"/>
        <v>4.2880584333899454E-3</v>
      </c>
      <c r="M291" s="79">
        <f t="shared" si="31"/>
        <v>9.3598339583856969E-3</v>
      </c>
      <c r="N291" s="79" t="str">
        <f t="shared" si="31"/>
        <v/>
      </c>
      <c r="O291" s="61" t="str">
        <f t="shared" si="31"/>
        <v/>
      </c>
      <c r="P291" s="55" t="s">
        <v>21</v>
      </c>
      <c r="Q291" s="65" t="s">
        <v>21</v>
      </c>
      <c r="R291" s="99" t="s">
        <v>21</v>
      </c>
      <c r="S291" s="74" t="s">
        <v>21</v>
      </c>
      <c r="T291" s="62" t="str">
        <f t="shared" ref="T291:T316" si="32">IF(S291="","",H291-S291)</f>
        <v/>
      </c>
      <c r="V291" s="71">
        <v>1.1170822299999998</v>
      </c>
      <c r="W291" s="71">
        <v>2.8872531000000001</v>
      </c>
      <c r="X291" s="71">
        <v>4.473217</v>
      </c>
      <c r="Y291" s="71">
        <v>5.8566530800000001</v>
      </c>
      <c r="Z291" s="114">
        <v>7.6145425899999992</v>
      </c>
      <c r="AB291" s="79" t="s">
        <v>21</v>
      </c>
      <c r="AC291" s="79">
        <v>4.0899831833389945E-2</v>
      </c>
      <c r="AD291" s="79">
        <v>4.6493410958385696E-2</v>
      </c>
      <c r="AE291" s="79" t="s">
        <v>21</v>
      </c>
      <c r="AF291" s="61" t="s">
        <v>21</v>
      </c>
      <c r="AG291" s="79" t="s">
        <v>21</v>
      </c>
      <c r="AH291" s="79">
        <v>4.2880584333899454E-3</v>
      </c>
      <c r="AI291" s="79">
        <v>9.3598339583856969E-3</v>
      </c>
      <c r="AJ291" s="79" t="s">
        <v>21</v>
      </c>
      <c r="AK291" s="61" t="s">
        <v>21</v>
      </c>
    </row>
    <row r="292" spans="2:37" x14ac:dyDescent="0.35">
      <c r="B292" s="54" t="s">
        <v>189</v>
      </c>
      <c r="C292" s="52" t="s">
        <v>232</v>
      </c>
      <c r="D292" s="52" t="s">
        <v>190</v>
      </c>
      <c r="E292" s="52" t="s">
        <v>595</v>
      </c>
      <c r="F292" s="72" t="str">
        <f t="shared" si="30"/>
        <v/>
      </c>
      <c r="G292" s="59">
        <f t="shared" si="30"/>
        <v>4.4194314673703952E-2</v>
      </c>
      <c r="H292" s="59">
        <f t="shared" si="30"/>
        <v>5.0801926444319273E-2</v>
      </c>
      <c r="I292" s="59" t="str">
        <f t="shared" si="30"/>
        <v/>
      </c>
      <c r="J292" s="62" t="str">
        <f t="shared" si="30"/>
        <v/>
      </c>
      <c r="K292" s="59" t="str">
        <f t="shared" si="31"/>
        <v/>
      </c>
      <c r="L292" s="59">
        <f t="shared" si="31"/>
        <v>7.4547312737039614E-3</v>
      </c>
      <c r="M292" s="59">
        <f t="shared" si="31"/>
        <v>1.349453224431927E-2</v>
      </c>
      <c r="N292" s="59" t="str">
        <f t="shared" si="31"/>
        <v/>
      </c>
      <c r="O292" s="62" t="str">
        <f t="shared" si="31"/>
        <v/>
      </c>
      <c r="P292" s="54" t="s">
        <v>596</v>
      </c>
      <c r="Q292" s="52" t="s">
        <v>597</v>
      </c>
      <c r="R292" s="93" t="s">
        <v>32</v>
      </c>
      <c r="S292" s="72">
        <v>4.7257350000000004E-2</v>
      </c>
      <c r="T292" s="62">
        <f t="shared" si="32"/>
        <v>3.5445764443192695E-3</v>
      </c>
      <c r="V292" s="71">
        <v>1.1126280100000001</v>
      </c>
      <c r="W292" s="71">
        <v>2.8637009299999998</v>
      </c>
      <c r="X292" s="71">
        <v>4.4113463499999996</v>
      </c>
      <c r="Y292" s="71">
        <v>5.7432099000000001</v>
      </c>
      <c r="Z292" s="114">
        <v>7.40116453</v>
      </c>
      <c r="AB292" s="70" t="s">
        <v>21</v>
      </c>
      <c r="AC292" s="70">
        <v>4.4194314673703952E-2</v>
      </c>
      <c r="AD292" s="70">
        <v>5.0801926444319273E-2</v>
      </c>
      <c r="AE292" s="70" t="s">
        <v>21</v>
      </c>
      <c r="AF292" s="62" t="s">
        <v>21</v>
      </c>
      <c r="AG292" s="70" t="s">
        <v>21</v>
      </c>
      <c r="AH292" s="70">
        <v>7.4547312737039614E-3</v>
      </c>
      <c r="AI292" s="70">
        <v>1.349453224431927E-2</v>
      </c>
      <c r="AJ292" s="70" t="s">
        <v>21</v>
      </c>
      <c r="AK292" s="62" t="s">
        <v>21</v>
      </c>
    </row>
    <row r="293" spans="2:37" x14ac:dyDescent="0.35">
      <c r="B293" s="54" t="s">
        <v>192</v>
      </c>
      <c r="C293" s="52" t="s">
        <v>232</v>
      </c>
      <c r="D293" s="52" t="s">
        <v>193</v>
      </c>
      <c r="E293" s="52" t="s">
        <v>292</v>
      </c>
      <c r="F293" s="72" t="str">
        <f t="shared" si="30"/>
        <v/>
      </c>
      <c r="G293" s="59">
        <f t="shared" si="30"/>
        <v>4.0957636348531487E-2</v>
      </c>
      <c r="H293" s="59">
        <f t="shared" si="30"/>
        <v>4.653776890720162E-2</v>
      </c>
      <c r="I293" s="59" t="str">
        <f t="shared" si="30"/>
        <v/>
      </c>
      <c r="J293" s="62" t="str">
        <f t="shared" si="30"/>
        <v/>
      </c>
      <c r="K293" s="59" t="str">
        <f t="shared" si="31"/>
        <v/>
      </c>
      <c r="L293" s="59">
        <f t="shared" si="31"/>
        <v>4.3445604485314888E-3</v>
      </c>
      <c r="M293" s="59">
        <f t="shared" si="31"/>
        <v>9.4029942072016252E-3</v>
      </c>
      <c r="N293" s="59" t="str">
        <f t="shared" si="31"/>
        <v/>
      </c>
      <c r="O293" s="62" t="str">
        <f t="shared" si="31"/>
        <v/>
      </c>
      <c r="P293" s="54" t="s">
        <v>598</v>
      </c>
      <c r="Q293" s="52" t="s">
        <v>599</v>
      </c>
      <c r="R293" s="93" t="s">
        <v>32</v>
      </c>
      <c r="S293" s="72">
        <v>4.5280690000000005E-2</v>
      </c>
      <c r="T293" s="62">
        <f t="shared" si="32"/>
        <v>1.2570789072016142E-3</v>
      </c>
      <c r="V293" s="71">
        <v>1.1167513299999998</v>
      </c>
      <c r="W293" s="71">
        <v>2.8864498900000002</v>
      </c>
      <c r="X293" s="71">
        <v>4.4721445399999995</v>
      </c>
      <c r="Y293" s="71">
        <v>5.8565360499999999</v>
      </c>
      <c r="Z293" s="114">
        <v>7.6020212100000002</v>
      </c>
      <c r="AB293" s="70" t="s">
        <v>21</v>
      </c>
      <c r="AC293" s="70">
        <v>4.0957636348531487E-2</v>
      </c>
      <c r="AD293" s="70">
        <v>4.653776890720162E-2</v>
      </c>
      <c r="AE293" s="70" t="s">
        <v>21</v>
      </c>
      <c r="AF293" s="62" t="s">
        <v>21</v>
      </c>
      <c r="AG293" s="70" t="s">
        <v>21</v>
      </c>
      <c r="AH293" s="70">
        <v>4.3445604485314888E-3</v>
      </c>
      <c r="AI293" s="70">
        <v>9.4029942072016252E-3</v>
      </c>
      <c r="AJ293" s="70" t="s">
        <v>21</v>
      </c>
      <c r="AK293" s="62" t="s">
        <v>21</v>
      </c>
    </row>
    <row r="294" spans="2:37" x14ac:dyDescent="0.35">
      <c r="B294" s="54" t="s">
        <v>194</v>
      </c>
      <c r="C294" s="52" t="s">
        <v>232</v>
      </c>
      <c r="D294" s="52" t="s">
        <v>195</v>
      </c>
      <c r="E294" s="52" t="s">
        <v>600</v>
      </c>
      <c r="F294" s="72" t="str">
        <f t="shared" si="30"/>
        <v/>
      </c>
      <c r="G294" s="59">
        <f t="shared" si="30"/>
        <v>4.7791990053352155E-2</v>
      </c>
      <c r="H294" s="59">
        <f t="shared" si="30"/>
        <v>5.830758354403013E-2</v>
      </c>
      <c r="I294" s="59" t="str">
        <f t="shared" si="30"/>
        <v/>
      </c>
      <c r="J294" s="62" t="str">
        <f t="shared" si="30"/>
        <v/>
      </c>
      <c r="K294" s="59" t="str">
        <f t="shared" si="31"/>
        <v/>
      </c>
      <c r="L294" s="59">
        <f t="shared" si="31"/>
        <v>1.089061025335215E-2</v>
      </c>
      <c r="M294" s="59">
        <f t="shared" si="31"/>
        <v>2.0637442044030129E-2</v>
      </c>
      <c r="N294" s="59" t="str">
        <f t="shared" si="31"/>
        <v/>
      </c>
      <c r="O294" s="62" t="str">
        <f t="shared" si="31"/>
        <v/>
      </c>
      <c r="P294" s="54" t="s">
        <v>601</v>
      </c>
      <c r="Q294" s="52" t="s">
        <v>602</v>
      </c>
      <c r="R294" s="93" t="s">
        <v>32</v>
      </c>
      <c r="S294" s="72">
        <v>5.4544540000000002E-2</v>
      </c>
      <c r="T294" s="62">
        <f t="shared" si="32"/>
        <v>3.7630435440301271E-3</v>
      </c>
      <c r="V294" s="71">
        <v>1.1126833600000001</v>
      </c>
      <c r="W294" s="71">
        <v>2.84754079</v>
      </c>
      <c r="X294" s="71">
        <v>4.3296821400000001</v>
      </c>
      <c r="Y294" s="71">
        <v>5.5421246899999996</v>
      </c>
      <c r="Z294" s="114">
        <v>6.9353074400000008</v>
      </c>
      <c r="AB294" s="70" t="s">
        <v>21</v>
      </c>
      <c r="AC294" s="70">
        <v>4.7791990053352155E-2</v>
      </c>
      <c r="AD294" s="70">
        <v>5.830758354403013E-2</v>
      </c>
      <c r="AE294" s="70" t="s">
        <v>21</v>
      </c>
      <c r="AF294" s="62" t="s">
        <v>21</v>
      </c>
      <c r="AG294" s="70" t="s">
        <v>21</v>
      </c>
      <c r="AH294" s="70">
        <v>1.089061025335215E-2</v>
      </c>
      <c r="AI294" s="70">
        <v>2.0637442044030129E-2</v>
      </c>
      <c r="AJ294" s="70" t="s">
        <v>21</v>
      </c>
      <c r="AK294" s="62" t="s">
        <v>21</v>
      </c>
    </row>
    <row r="295" spans="2:37" x14ac:dyDescent="0.35">
      <c r="B295" s="54" t="s">
        <v>196</v>
      </c>
      <c r="C295" s="52" t="s">
        <v>232</v>
      </c>
      <c r="D295" s="52" t="s">
        <v>197</v>
      </c>
      <c r="E295" s="52" t="s">
        <v>55</v>
      </c>
      <c r="F295" s="72" t="str">
        <f t="shared" si="30"/>
        <v/>
      </c>
      <c r="G295" s="59">
        <f t="shared" si="30"/>
        <v>4.6538983540822476E-2</v>
      </c>
      <c r="H295" s="59">
        <f t="shared" si="30"/>
        <v>5.4439039978619819E-2</v>
      </c>
      <c r="I295" s="59" t="str">
        <f t="shared" si="30"/>
        <v/>
      </c>
      <c r="J295" s="62" t="str">
        <f t="shared" si="30"/>
        <v/>
      </c>
      <c r="K295" s="59" t="str">
        <f t="shared" si="31"/>
        <v/>
      </c>
      <c r="L295" s="59">
        <f t="shared" si="31"/>
        <v>9.7096906408224784E-3</v>
      </c>
      <c r="M295" s="59">
        <f t="shared" si="31"/>
        <v>1.697466047861982E-2</v>
      </c>
      <c r="N295" s="59" t="str">
        <f t="shared" si="31"/>
        <v/>
      </c>
      <c r="O295" s="62" t="str">
        <f t="shared" si="31"/>
        <v/>
      </c>
      <c r="P295" s="54" t="s">
        <v>603</v>
      </c>
      <c r="Q295" s="52" t="s">
        <v>604</v>
      </c>
      <c r="R295" s="93">
        <v>47586</v>
      </c>
      <c r="S295" s="72">
        <v>5.0394319999999999E-2</v>
      </c>
      <c r="T295" s="62">
        <f t="shared" si="32"/>
        <v>4.0447199786198193E-3</v>
      </c>
      <c r="V295" s="71">
        <v>1.1121930900000001</v>
      </c>
      <c r="W295" s="71">
        <v>2.8517177</v>
      </c>
      <c r="X295" s="71">
        <v>4.3673873399999996</v>
      </c>
      <c r="Y295" s="71">
        <v>5.6375621899999997</v>
      </c>
      <c r="Z295" s="114">
        <v>7.1560450799999993</v>
      </c>
      <c r="AB295" s="70" t="s">
        <v>21</v>
      </c>
      <c r="AC295" s="70">
        <v>4.6538983540822476E-2</v>
      </c>
      <c r="AD295" s="70">
        <v>5.4439039978619819E-2</v>
      </c>
      <c r="AE295" s="70" t="s">
        <v>21</v>
      </c>
      <c r="AF295" s="62" t="s">
        <v>21</v>
      </c>
      <c r="AG295" s="70" t="s">
        <v>21</v>
      </c>
      <c r="AH295" s="70">
        <v>9.7096906408224784E-3</v>
      </c>
      <c r="AI295" s="70">
        <v>1.697466047861982E-2</v>
      </c>
      <c r="AJ295" s="70" t="s">
        <v>21</v>
      </c>
      <c r="AK295" s="62" t="s">
        <v>21</v>
      </c>
    </row>
    <row r="296" spans="2:37" x14ac:dyDescent="0.35">
      <c r="B296" s="54" t="s">
        <v>198</v>
      </c>
      <c r="C296" s="52" t="s">
        <v>232</v>
      </c>
      <c r="D296" s="52" t="s">
        <v>199</v>
      </c>
      <c r="E296" s="52" t="s">
        <v>293</v>
      </c>
      <c r="F296" s="72" t="str">
        <f t="shared" si="30"/>
        <v/>
      </c>
      <c r="G296" s="59">
        <f t="shared" si="30"/>
        <v>4.8781513759379738E-2</v>
      </c>
      <c r="H296" s="59">
        <f t="shared" si="30"/>
        <v>5.8038357489458042E-2</v>
      </c>
      <c r="I296" s="59" t="str">
        <f t="shared" si="30"/>
        <v/>
      </c>
      <c r="J296" s="62" t="str">
        <f t="shared" si="30"/>
        <v/>
      </c>
      <c r="K296" s="59" t="str">
        <f t="shared" si="31"/>
        <v/>
      </c>
      <c r="L296" s="59">
        <f t="shared" si="31"/>
        <v>1.1856847259379744E-2</v>
      </c>
      <c r="M296" s="59">
        <f t="shared" si="31"/>
        <v>2.0400622089458045E-2</v>
      </c>
      <c r="N296" s="59" t="str">
        <f t="shared" si="31"/>
        <v/>
      </c>
      <c r="O296" s="62" t="str">
        <f t="shared" si="31"/>
        <v/>
      </c>
      <c r="P296" s="54" t="s">
        <v>605</v>
      </c>
      <c r="Q296" s="52" t="s">
        <v>606</v>
      </c>
      <c r="R296" s="93" t="s">
        <v>32</v>
      </c>
      <c r="S296" s="72">
        <v>5.0461770000000003E-2</v>
      </c>
      <c r="T296" s="62">
        <f t="shared" si="32"/>
        <v>7.5765874894580393E-3</v>
      </c>
      <c r="V296" s="71">
        <v>1.11077552</v>
      </c>
      <c r="W296" s="71">
        <v>2.8387255499999999</v>
      </c>
      <c r="X296" s="71">
        <v>4.3236323200000006</v>
      </c>
      <c r="Y296" s="71">
        <v>5.5434921900000003</v>
      </c>
      <c r="Z296" s="114">
        <v>6.9604580700000005</v>
      </c>
      <c r="AB296" s="70" t="s">
        <v>21</v>
      </c>
      <c r="AC296" s="70">
        <v>4.8781513759379738E-2</v>
      </c>
      <c r="AD296" s="70">
        <v>5.8038357489458042E-2</v>
      </c>
      <c r="AE296" s="70" t="s">
        <v>21</v>
      </c>
      <c r="AF296" s="62" t="s">
        <v>21</v>
      </c>
      <c r="AG296" s="70" t="s">
        <v>21</v>
      </c>
      <c r="AH296" s="70">
        <v>1.1856847259379744E-2</v>
      </c>
      <c r="AI296" s="70">
        <v>2.0400622089458045E-2</v>
      </c>
      <c r="AJ296" s="70" t="s">
        <v>21</v>
      </c>
      <c r="AK296" s="62" t="s">
        <v>21</v>
      </c>
    </row>
    <row r="297" spans="2:37" x14ac:dyDescent="0.35">
      <c r="B297" s="54" t="s">
        <v>200</v>
      </c>
      <c r="C297" s="52" t="s">
        <v>232</v>
      </c>
      <c r="D297" s="52" t="s">
        <v>201</v>
      </c>
      <c r="E297" s="52" t="s">
        <v>179</v>
      </c>
      <c r="F297" s="72" t="str">
        <f t="shared" si="30"/>
        <v/>
      </c>
      <c r="G297" s="59">
        <f t="shared" si="30"/>
        <v>4.5166178423326112E-2</v>
      </c>
      <c r="H297" s="59">
        <f t="shared" si="30"/>
        <v>5.2228114865842334E-2</v>
      </c>
      <c r="I297" s="59" t="str">
        <f t="shared" si="30"/>
        <v/>
      </c>
      <c r="J297" s="62" t="str">
        <f t="shared" si="30"/>
        <v/>
      </c>
      <c r="K297" s="59" t="str">
        <f t="shared" si="31"/>
        <v/>
      </c>
      <c r="L297" s="59">
        <f t="shared" si="31"/>
        <v>8.3847311233261126E-3</v>
      </c>
      <c r="M297" s="59">
        <f t="shared" si="31"/>
        <v>1.4854183565842331E-2</v>
      </c>
      <c r="N297" s="59" t="str">
        <f t="shared" si="31"/>
        <v/>
      </c>
      <c r="O297" s="62" t="str">
        <f t="shared" si="31"/>
        <v/>
      </c>
      <c r="P297" s="54" t="s">
        <v>607</v>
      </c>
      <c r="Q297" s="52" t="s">
        <v>608</v>
      </c>
      <c r="R297" s="93" t="s">
        <v>32</v>
      </c>
      <c r="S297" s="72">
        <v>7.3255E-4</v>
      </c>
      <c r="T297" s="62">
        <f t="shared" si="32"/>
        <v>5.1495564865842336E-2</v>
      </c>
      <c r="V297" s="71">
        <v>1.1126756</v>
      </c>
      <c r="W297" s="71">
        <v>2.8582362799999999</v>
      </c>
      <c r="X297" s="71">
        <v>4.3911398100000003</v>
      </c>
      <c r="Y297" s="71">
        <v>5.69360278</v>
      </c>
      <c r="Z297" s="114">
        <v>7.2921544599999999</v>
      </c>
      <c r="AB297" s="70" t="s">
        <v>21</v>
      </c>
      <c r="AC297" s="70">
        <v>4.5166178423326112E-2</v>
      </c>
      <c r="AD297" s="70">
        <v>5.2228114865842334E-2</v>
      </c>
      <c r="AE297" s="70" t="s">
        <v>21</v>
      </c>
      <c r="AF297" s="62" t="s">
        <v>21</v>
      </c>
      <c r="AG297" s="70" t="s">
        <v>21</v>
      </c>
      <c r="AH297" s="70">
        <v>8.3847311233261126E-3</v>
      </c>
      <c r="AI297" s="70">
        <v>1.4854183565842331E-2</v>
      </c>
      <c r="AJ297" s="70" t="s">
        <v>21</v>
      </c>
      <c r="AK297" s="62" t="s">
        <v>21</v>
      </c>
    </row>
    <row r="298" spans="2:37" x14ac:dyDescent="0.35">
      <c r="B298" s="54" t="s">
        <v>202</v>
      </c>
      <c r="C298" s="52" t="s">
        <v>232</v>
      </c>
      <c r="D298" s="52" t="s">
        <v>203</v>
      </c>
      <c r="E298" s="52" t="s">
        <v>609</v>
      </c>
      <c r="F298" s="72" t="str">
        <f t="shared" si="30"/>
        <v/>
      </c>
      <c r="G298" s="59">
        <f t="shared" si="30"/>
        <v>5.5896348251767945E-2</v>
      </c>
      <c r="H298" s="59">
        <f t="shared" si="30"/>
        <v>6.7426194694267139E-2</v>
      </c>
      <c r="I298" s="59" t="str">
        <f t="shared" si="30"/>
        <v/>
      </c>
      <c r="J298" s="62" t="str">
        <f t="shared" si="30"/>
        <v/>
      </c>
      <c r="K298" s="59" t="str">
        <f t="shared" si="31"/>
        <v/>
      </c>
      <c r="L298" s="59">
        <f t="shared" si="31"/>
        <v>1.8608274951767947E-2</v>
      </c>
      <c r="M298" s="59">
        <f t="shared" si="31"/>
        <v>2.9230147694267128E-2</v>
      </c>
      <c r="N298" s="59" t="str">
        <f t="shared" si="31"/>
        <v/>
      </c>
      <c r="O298" s="62" t="str">
        <f t="shared" si="31"/>
        <v/>
      </c>
      <c r="P298" s="54" t="s">
        <v>21</v>
      </c>
      <c r="Q298" s="52" t="s">
        <v>21</v>
      </c>
      <c r="R298" s="93" t="s">
        <v>21</v>
      </c>
      <c r="S298" s="72" t="s">
        <v>21</v>
      </c>
      <c r="T298" s="62" t="str">
        <f t="shared" si="32"/>
        <v/>
      </c>
      <c r="V298" s="71">
        <v>1.10421839</v>
      </c>
      <c r="W298" s="71">
        <v>2.7911344099999997</v>
      </c>
      <c r="X298" s="71">
        <v>4.1970552300000001</v>
      </c>
      <c r="Y298" s="71">
        <v>5.3052859799999998</v>
      </c>
      <c r="Z298" s="114">
        <v>6.5381945200000002</v>
      </c>
      <c r="AB298" s="70" t="s">
        <v>21</v>
      </c>
      <c r="AC298" s="70">
        <v>5.5896348251767945E-2</v>
      </c>
      <c r="AD298" s="70">
        <v>6.7426194694267139E-2</v>
      </c>
      <c r="AE298" s="70" t="s">
        <v>21</v>
      </c>
      <c r="AF298" s="62" t="s">
        <v>21</v>
      </c>
      <c r="AG298" s="70" t="s">
        <v>21</v>
      </c>
      <c r="AH298" s="70">
        <v>1.8608274951767947E-2</v>
      </c>
      <c r="AI298" s="70">
        <v>2.9230147694267128E-2</v>
      </c>
      <c r="AJ298" s="70" t="s">
        <v>21</v>
      </c>
      <c r="AK298" s="62" t="s">
        <v>21</v>
      </c>
    </row>
    <row r="299" spans="2:37" x14ac:dyDescent="0.35">
      <c r="B299" s="54" t="s">
        <v>204</v>
      </c>
      <c r="C299" s="52" t="s">
        <v>232</v>
      </c>
      <c r="D299" s="52" t="s">
        <v>205</v>
      </c>
      <c r="E299" s="52" t="s">
        <v>191</v>
      </c>
      <c r="F299" s="72" t="str">
        <f t="shared" si="30"/>
        <v/>
      </c>
      <c r="G299" s="59">
        <f t="shared" si="30"/>
        <v>4.3764711599153842E-2</v>
      </c>
      <c r="H299" s="59">
        <f t="shared" si="30"/>
        <v>4.9875927835744724E-2</v>
      </c>
      <c r="I299" s="59" t="str">
        <f t="shared" si="30"/>
        <v/>
      </c>
      <c r="J299" s="62" t="str">
        <f t="shared" si="30"/>
        <v/>
      </c>
      <c r="K299" s="59" t="str">
        <f t="shared" si="31"/>
        <v/>
      </c>
      <c r="L299" s="59">
        <f t="shared" si="31"/>
        <v>7.045102299153852E-3</v>
      </c>
      <c r="M299" s="59">
        <f t="shared" si="31"/>
        <v>1.2609224835744729E-2</v>
      </c>
      <c r="N299" s="59" t="str">
        <f t="shared" si="31"/>
        <v/>
      </c>
      <c r="O299" s="62" t="str">
        <f t="shared" si="31"/>
        <v/>
      </c>
      <c r="P299" s="54" t="s">
        <v>610</v>
      </c>
      <c r="Q299" s="52" t="s">
        <v>611</v>
      </c>
      <c r="R299" s="93" t="s">
        <v>32</v>
      </c>
      <c r="S299" s="72">
        <v>4.3496899999999998E-2</v>
      </c>
      <c r="T299" s="62">
        <f t="shared" si="32"/>
        <v>6.3790278357447258E-3</v>
      </c>
      <c r="V299" s="71">
        <v>1.1139334000000001</v>
      </c>
      <c r="W299" s="71">
        <v>2.8678208600000001</v>
      </c>
      <c r="X299" s="71">
        <v>4.4231500500000003</v>
      </c>
      <c r="Y299" s="71">
        <v>5.7620533199999997</v>
      </c>
      <c r="Z299" s="114">
        <v>7.4340842</v>
      </c>
      <c r="AB299" s="70" t="s">
        <v>21</v>
      </c>
      <c r="AC299" s="70">
        <v>4.3764711599153842E-2</v>
      </c>
      <c r="AD299" s="70">
        <v>4.9875927835744724E-2</v>
      </c>
      <c r="AE299" s="70" t="s">
        <v>21</v>
      </c>
      <c r="AF299" s="62" t="s">
        <v>21</v>
      </c>
      <c r="AG299" s="70" t="s">
        <v>21</v>
      </c>
      <c r="AH299" s="70">
        <v>7.045102299153852E-3</v>
      </c>
      <c r="AI299" s="70">
        <v>1.2609224835744729E-2</v>
      </c>
      <c r="AJ299" s="70" t="s">
        <v>21</v>
      </c>
      <c r="AK299" s="62" t="s">
        <v>21</v>
      </c>
    </row>
    <row r="300" spans="2:37" x14ac:dyDescent="0.35">
      <c r="B300" s="54" t="s">
        <v>206</v>
      </c>
      <c r="C300" s="52" t="s">
        <v>232</v>
      </c>
      <c r="D300" s="52" t="s">
        <v>207</v>
      </c>
      <c r="E300" s="52" t="s">
        <v>179</v>
      </c>
      <c r="F300" s="72" t="str">
        <f t="shared" si="30"/>
        <v/>
      </c>
      <c r="G300" s="59">
        <f t="shared" si="30"/>
        <v>4.8042969313350302E-2</v>
      </c>
      <c r="H300" s="59">
        <f t="shared" si="30"/>
        <v>5.6675198052691965E-2</v>
      </c>
      <c r="I300" s="59" t="str">
        <f t="shared" si="30"/>
        <v/>
      </c>
      <c r="J300" s="62" t="str">
        <f t="shared" si="30"/>
        <v/>
      </c>
      <c r="K300" s="59" t="str">
        <f t="shared" si="31"/>
        <v/>
      </c>
      <c r="L300" s="59">
        <f t="shared" si="31"/>
        <v>1.1145179813350297E-2</v>
      </c>
      <c r="M300" s="59">
        <f t="shared" si="31"/>
        <v>1.9099288552691961E-2</v>
      </c>
      <c r="N300" s="59" t="str">
        <f t="shared" si="31"/>
        <v/>
      </c>
      <c r="O300" s="62" t="str">
        <f t="shared" si="31"/>
        <v/>
      </c>
      <c r="P300" s="54" t="s">
        <v>21</v>
      </c>
      <c r="Q300" s="52" t="s">
        <v>21</v>
      </c>
      <c r="R300" s="93" t="s">
        <v>21</v>
      </c>
      <c r="S300" s="72" t="s">
        <v>21</v>
      </c>
      <c r="T300" s="62" t="str">
        <f t="shared" si="32"/>
        <v/>
      </c>
      <c r="V300" s="71">
        <v>1.11062225</v>
      </c>
      <c r="W300" s="71">
        <v>2.8411403500000003</v>
      </c>
      <c r="X300" s="71">
        <v>4.3370843099999998</v>
      </c>
      <c r="Y300" s="71">
        <v>5.5778352699999996</v>
      </c>
      <c r="Z300" s="114">
        <v>7.0393781600000001</v>
      </c>
      <c r="AB300" s="70" t="s">
        <v>21</v>
      </c>
      <c r="AC300" s="70">
        <v>4.8042969313350302E-2</v>
      </c>
      <c r="AD300" s="70">
        <v>5.6675198052691965E-2</v>
      </c>
      <c r="AE300" s="70" t="s">
        <v>21</v>
      </c>
      <c r="AF300" s="62" t="s">
        <v>21</v>
      </c>
      <c r="AG300" s="70" t="s">
        <v>21</v>
      </c>
      <c r="AH300" s="70">
        <v>1.1145179813350297E-2</v>
      </c>
      <c r="AI300" s="70">
        <v>1.9099288552691961E-2</v>
      </c>
      <c r="AJ300" s="70" t="s">
        <v>21</v>
      </c>
      <c r="AK300" s="62" t="s">
        <v>21</v>
      </c>
    </row>
    <row r="301" spans="2:37" x14ac:dyDescent="0.35">
      <c r="B301" s="54" t="s">
        <v>411</v>
      </c>
      <c r="C301" s="52" t="s">
        <v>232</v>
      </c>
      <c r="D301" s="52" t="s">
        <v>411</v>
      </c>
      <c r="E301" s="52" t="s">
        <v>612</v>
      </c>
      <c r="F301" s="72" t="str">
        <f t="shared" si="30"/>
        <v/>
      </c>
      <c r="G301" s="59">
        <f t="shared" si="30"/>
        <v>7.4133021237206331E-2</v>
      </c>
      <c r="H301" s="59">
        <f t="shared" si="30"/>
        <v>8.4959849443106875E-2</v>
      </c>
      <c r="I301" s="59" t="str">
        <f t="shared" si="30"/>
        <v/>
      </c>
      <c r="J301" s="62" t="str">
        <f t="shared" si="30"/>
        <v/>
      </c>
      <c r="K301" s="59" t="str">
        <f t="shared" si="31"/>
        <v/>
      </c>
      <c r="L301" s="59">
        <f t="shared" si="31"/>
        <v>3.5627971237206318E-2</v>
      </c>
      <c r="M301" s="59">
        <f t="shared" si="31"/>
        <v>4.5434745443106869E-2</v>
      </c>
      <c r="N301" s="59" t="str">
        <f t="shared" si="31"/>
        <v/>
      </c>
      <c r="O301" s="62" t="str">
        <f t="shared" si="31"/>
        <v/>
      </c>
      <c r="P301" s="54" t="s">
        <v>613</v>
      </c>
      <c r="Q301" s="52" t="s">
        <v>614</v>
      </c>
      <c r="R301" s="93" t="s">
        <v>32</v>
      </c>
      <c r="S301" s="72">
        <v>7.3499709999999996E-2</v>
      </c>
      <c r="T301" s="62">
        <f t="shared" si="32"/>
        <v>1.1460139443106879E-2</v>
      </c>
      <c r="V301" s="71">
        <v>1.07276167</v>
      </c>
      <c r="W301" s="71">
        <v>2.65287037</v>
      </c>
      <c r="X301" s="71">
        <v>3.9118684200000002</v>
      </c>
      <c r="Y301" s="71">
        <v>4.8808228699999994</v>
      </c>
      <c r="Z301" s="114">
        <v>5.9361757400000004</v>
      </c>
      <c r="AB301" s="70" t="s">
        <v>21</v>
      </c>
      <c r="AC301" s="70">
        <v>7.4133021237206331E-2</v>
      </c>
      <c r="AD301" s="70">
        <v>8.4959849443106875E-2</v>
      </c>
      <c r="AE301" s="70" t="s">
        <v>21</v>
      </c>
      <c r="AF301" s="62" t="s">
        <v>21</v>
      </c>
      <c r="AG301" s="70" t="s">
        <v>21</v>
      </c>
      <c r="AH301" s="70">
        <v>3.5627971237206318E-2</v>
      </c>
      <c r="AI301" s="70">
        <v>4.5434745443106869E-2</v>
      </c>
      <c r="AJ301" s="70" t="s">
        <v>21</v>
      </c>
      <c r="AK301" s="62" t="s">
        <v>21</v>
      </c>
    </row>
    <row r="302" spans="2:37" x14ac:dyDescent="0.35">
      <c r="B302" s="54" t="s">
        <v>208</v>
      </c>
      <c r="C302" s="52" t="s">
        <v>232</v>
      </c>
      <c r="D302" s="52" t="s">
        <v>208</v>
      </c>
      <c r="E302" s="52" t="s">
        <v>615</v>
      </c>
      <c r="F302" s="72" t="str">
        <f t="shared" si="30"/>
        <v/>
      </c>
      <c r="G302" s="59">
        <f t="shared" si="30"/>
        <v>4.5505856899959916E-2</v>
      </c>
      <c r="H302" s="59">
        <f t="shared" si="30"/>
        <v>5.1903513124728712E-2</v>
      </c>
      <c r="I302" s="59" t="str">
        <f t="shared" si="30"/>
        <v/>
      </c>
      <c r="J302" s="62" t="str">
        <f t="shared" si="30"/>
        <v/>
      </c>
      <c r="K302" s="59" t="str">
        <f t="shared" si="31"/>
        <v/>
      </c>
      <c r="L302" s="59">
        <f t="shared" si="31"/>
        <v>8.7204779999599212E-3</v>
      </c>
      <c r="M302" s="59">
        <f t="shared" si="31"/>
        <v>1.4553417824728706E-2</v>
      </c>
      <c r="N302" s="59" t="str">
        <f t="shared" si="31"/>
        <v/>
      </c>
      <c r="O302" s="62" t="str">
        <f t="shared" si="31"/>
        <v/>
      </c>
      <c r="P302" s="54" t="s">
        <v>616</v>
      </c>
      <c r="Q302" s="52" t="s">
        <v>617</v>
      </c>
      <c r="R302" s="93" t="s">
        <v>32</v>
      </c>
      <c r="S302" s="72">
        <v>4.8955719999999994E-2</v>
      </c>
      <c r="T302" s="62">
        <f t="shared" si="32"/>
        <v>2.9477931247287176E-3</v>
      </c>
      <c r="V302" s="71">
        <v>1.1127185499999999</v>
      </c>
      <c r="W302" s="71">
        <v>2.8575709800000002</v>
      </c>
      <c r="X302" s="71">
        <v>4.3938582500000001</v>
      </c>
      <c r="Y302" s="71">
        <v>5.71199222</v>
      </c>
      <c r="Z302" s="114">
        <v>7.3528092700000007</v>
      </c>
      <c r="AB302" s="70" t="s">
        <v>21</v>
      </c>
      <c r="AC302" s="70">
        <v>4.5505856899959916E-2</v>
      </c>
      <c r="AD302" s="70">
        <v>5.1903513124728712E-2</v>
      </c>
      <c r="AE302" s="70" t="s">
        <v>21</v>
      </c>
      <c r="AF302" s="62" t="s">
        <v>21</v>
      </c>
      <c r="AG302" s="70" t="s">
        <v>21</v>
      </c>
      <c r="AH302" s="70">
        <v>8.7204779999599212E-3</v>
      </c>
      <c r="AI302" s="70">
        <v>1.4553417824728706E-2</v>
      </c>
      <c r="AJ302" s="70" t="s">
        <v>21</v>
      </c>
      <c r="AK302" s="62" t="s">
        <v>21</v>
      </c>
    </row>
    <row r="303" spans="2:37" x14ac:dyDescent="0.35">
      <c r="B303" s="54" t="s">
        <v>209</v>
      </c>
      <c r="C303" s="52" t="s">
        <v>232</v>
      </c>
      <c r="D303" s="52" t="s">
        <v>209</v>
      </c>
      <c r="E303" s="52" t="s">
        <v>618</v>
      </c>
      <c r="F303" s="72" t="str">
        <f t="shared" si="30"/>
        <v/>
      </c>
      <c r="G303" s="59">
        <f t="shared" si="30"/>
        <v>5.3120261042384112E-2</v>
      </c>
      <c r="H303" s="59">
        <f t="shared" si="30"/>
        <v>6.2628471777142564E-2</v>
      </c>
      <c r="I303" s="59" t="str">
        <f t="shared" si="30"/>
        <v/>
      </c>
      <c r="J303" s="62" t="str">
        <f t="shared" si="30"/>
        <v/>
      </c>
      <c r="K303" s="59" t="str">
        <f t="shared" si="31"/>
        <v/>
      </c>
      <c r="L303" s="59">
        <f t="shared" si="31"/>
        <v>1.5866875142384121E-2</v>
      </c>
      <c r="M303" s="59">
        <f t="shared" si="31"/>
        <v>2.4596638677142575E-2</v>
      </c>
      <c r="N303" s="59" t="str">
        <f t="shared" si="31"/>
        <v/>
      </c>
      <c r="O303" s="62" t="str">
        <f t="shared" si="31"/>
        <v/>
      </c>
      <c r="P303" s="54" t="s">
        <v>619</v>
      </c>
      <c r="Q303" s="52" t="s">
        <v>620</v>
      </c>
      <c r="R303" s="93" t="s">
        <v>32</v>
      </c>
      <c r="S303" s="72">
        <v>7.131208E-2</v>
      </c>
      <c r="T303" s="62">
        <f t="shared" si="32"/>
        <v>-8.6836082228574363E-3</v>
      </c>
      <c r="V303" s="71">
        <v>1.10342736</v>
      </c>
      <c r="W303" s="71">
        <v>2.7947044000000001</v>
      </c>
      <c r="X303" s="71">
        <v>4.2214230499999994</v>
      </c>
      <c r="Y303" s="71">
        <v>5.3829149699999999</v>
      </c>
      <c r="Z303" s="114">
        <v>6.7475377899999991</v>
      </c>
      <c r="AB303" s="70" t="s">
        <v>21</v>
      </c>
      <c r="AC303" s="70">
        <v>5.3120261042384112E-2</v>
      </c>
      <c r="AD303" s="70">
        <v>6.2628471777142564E-2</v>
      </c>
      <c r="AE303" s="70" t="s">
        <v>21</v>
      </c>
      <c r="AF303" s="62" t="s">
        <v>21</v>
      </c>
      <c r="AG303" s="70" t="s">
        <v>21</v>
      </c>
      <c r="AH303" s="70">
        <v>1.5866875142384121E-2</v>
      </c>
      <c r="AI303" s="70">
        <v>2.4596638677142575E-2</v>
      </c>
      <c r="AJ303" s="70" t="s">
        <v>21</v>
      </c>
      <c r="AK303" s="62" t="s">
        <v>21</v>
      </c>
    </row>
    <row r="304" spans="2:37" x14ac:dyDescent="0.35">
      <c r="B304" s="54" t="s">
        <v>210</v>
      </c>
      <c r="C304" s="52" t="s">
        <v>232</v>
      </c>
      <c r="D304" s="52" t="s">
        <v>210</v>
      </c>
      <c r="E304" s="52" t="s">
        <v>572</v>
      </c>
      <c r="F304" s="72" t="str">
        <f t="shared" si="30"/>
        <v/>
      </c>
      <c r="G304" s="59">
        <f t="shared" si="30"/>
        <v>6.4934721403925422E-2</v>
      </c>
      <c r="H304" s="59">
        <f t="shared" si="30"/>
        <v>7.7908395332748501E-2</v>
      </c>
      <c r="I304" s="59" t="str">
        <f t="shared" si="30"/>
        <v/>
      </c>
      <c r="J304" s="62" t="str">
        <f t="shared" si="30"/>
        <v/>
      </c>
      <c r="K304" s="59" t="str">
        <f t="shared" si="31"/>
        <v/>
      </c>
      <c r="L304" s="59">
        <f t="shared" si="31"/>
        <v>2.7083493503925426E-2</v>
      </c>
      <c r="M304" s="59">
        <f t="shared" si="31"/>
        <v>3.8971464032748503E-2</v>
      </c>
      <c r="N304" s="59" t="str">
        <f t="shared" si="31"/>
        <v/>
      </c>
      <c r="O304" s="62" t="str">
        <f t="shared" si="31"/>
        <v/>
      </c>
      <c r="P304" s="54" t="s">
        <v>621</v>
      </c>
      <c r="Q304" s="52" t="s">
        <v>622</v>
      </c>
      <c r="R304" s="93" t="s">
        <v>32</v>
      </c>
      <c r="S304" s="72">
        <v>6.6417879999999999E-2</v>
      </c>
      <c r="T304" s="62">
        <f t="shared" si="32"/>
        <v>1.1490515332748502E-2</v>
      </c>
      <c r="V304" s="71">
        <v>1.0918923</v>
      </c>
      <c r="W304" s="71">
        <v>2.7292808700000002</v>
      </c>
      <c r="X304" s="71">
        <v>4.04916082</v>
      </c>
      <c r="Y304" s="71">
        <v>5.0759551399999996</v>
      </c>
      <c r="Z304" s="114">
        <v>6.2118927400000006</v>
      </c>
      <c r="AB304" s="70" t="s">
        <v>21</v>
      </c>
      <c r="AC304" s="70">
        <v>6.4934721403925422E-2</v>
      </c>
      <c r="AD304" s="70">
        <v>7.7908395332748501E-2</v>
      </c>
      <c r="AE304" s="70" t="s">
        <v>21</v>
      </c>
      <c r="AF304" s="62" t="s">
        <v>21</v>
      </c>
      <c r="AG304" s="70" t="s">
        <v>21</v>
      </c>
      <c r="AH304" s="70">
        <v>2.7083493503925426E-2</v>
      </c>
      <c r="AI304" s="70">
        <v>3.8971464032748503E-2</v>
      </c>
      <c r="AJ304" s="70" t="s">
        <v>21</v>
      </c>
      <c r="AK304" s="62" t="s">
        <v>21</v>
      </c>
    </row>
    <row r="305" spans="2:37" x14ac:dyDescent="0.35">
      <c r="B305" s="54" t="s">
        <v>211</v>
      </c>
      <c r="C305" s="52" t="s">
        <v>232</v>
      </c>
      <c r="D305" s="52" t="s">
        <v>211</v>
      </c>
      <c r="E305" s="52" t="s">
        <v>623</v>
      </c>
      <c r="F305" s="72" t="str">
        <f t="shared" si="30"/>
        <v/>
      </c>
      <c r="G305" s="59">
        <f t="shared" si="30"/>
        <v>6.2109098759592932E-2</v>
      </c>
      <c r="H305" s="59">
        <f t="shared" si="30"/>
        <v>7.360893353270262E-2</v>
      </c>
      <c r="I305" s="59" t="str">
        <f t="shared" si="30"/>
        <v/>
      </c>
      <c r="J305" s="62" t="str">
        <f t="shared" si="30"/>
        <v/>
      </c>
      <c r="K305" s="59" t="str">
        <f t="shared" si="31"/>
        <v/>
      </c>
      <c r="L305" s="59">
        <f t="shared" si="31"/>
        <v>2.4416455359592939E-2</v>
      </c>
      <c r="M305" s="59">
        <f t="shared" si="31"/>
        <v>3.4960910732702632E-2</v>
      </c>
      <c r="N305" s="59" t="str">
        <f t="shared" si="31"/>
        <v/>
      </c>
      <c r="O305" s="62" t="str">
        <f t="shared" si="31"/>
        <v/>
      </c>
      <c r="P305" s="54" t="s">
        <v>624</v>
      </c>
      <c r="Q305" s="52" t="s">
        <v>625</v>
      </c>
      <c r="R305" s="93" t="s">
        <v>32</v>
      </c>
      <c r="S305" s="72">
        <v>6.0093420000000002E-2</v>
      </c>
      <c r="T305" s="62">
        <f t="shared" si="32"/>
        <v>1.3515513532702618E-2</v>
      </c>
      <c r="V305" s="71">
        <v>1.0965050699999999</v>
      </c>
      <c r="W305" s="71">
        <v>2.7469613399999999</v>
      </c>
      <c r="X305" s="71">
        <v>4.09775694</v>
      </c>
      <c r="Y305" s="71">
        <v>5.1568502399999998</v>
      </c>
      <c r="Z305" s="114">
        <v>6.3328594399999991</v>
      </c>
      <c r="AB305" s="70" t="s">
        <v>21</v>
      </c>
      <c r="AC305" s="70">
        <v>6.2109098759592932E-2</v>
      </c>
      <c r="AD305" s="70">
        <v>7.360893353270262E-2</v>
      </c>
      <c r="AE305" s="70" t="s">
        <v>21</v>
      </c>
      <c r="AF305" s="62" t="s">
        <v>21</v>
      </c>
      <c r="AG305" s="70" t="s">
        <v>21</v>
      </c>
      <c r="AH305" s="70">
        <v>2.4416455359592939E-2</v>
      </c>
      <c r="AI305" s="70">
        <v>3.4960910732702632E-2</v>
      </c>
      <c r="AJ305" s="70" t="s">
        <v>21</v>
      </c>
      <c r="AK305" s="62" t="s">
        <v>21</v>
      </c>
    </row>
    <row r="306" spans="2:37" x14ac:dyDescent="0.35">
      <c r="B306" s="54" t="s">
        <v>272</v>
      </c>
      <c r="C306" s="52" t="s">
        <v>232</v>
      </c>
      <c r="D306" s="52" t="s">
        <v>272</v>
      </c>
      <c r="E306" s="52" t="s">
        <v>286</v>
      </c>
      <c r="F306" s="72" t="str">
        <f t="shared" ref="F306:J316" si="33">IF(ISNUMBER(AB306),AB306-((C$4-C$3)/V306),"")</f>
        <v/>
      </c>
      <c r="G306" s="59">
        <f t="shared" si="33"/>
        <v>4.3575110933152354E-2</v>
      </c>
      <c r="H306" s="59">
        <f t="shared" si="33"/>
        <v>5.1241887212156459E-2</v>
      </c>
      <c r="I306" s="59" t="str">
        <f t="shared" si="33"/>
        <v/>
      </c>
      <c r="J306" s="62" t="str">
        <f t="shared" si="33"/>
        <v/>
      </c>
      <c r="K306" s="59" t="str">
        <f t="shared" ref="K306:O316" si="34">IF(ISNUMBER(AG306),IF(AG306-((C$4-C$3)/V306)&lt;0,"",AG306-((C$4-C$3)/V306)),"")</f>
        <v/>
      </c>
      <c r="L306" s="59">
        <f t="shared" si="34"/>
        <v>6.8679922331523636E-3</v>
      </c>
      <c r="M306" s="59">
        <f t="shared" si="34"/>
        <v>1.3922931712156455E-2</v>
      </c>
      <c r="N306" s="59" t="str">
        <f t="shared" si="34"/>
        <v/>
      </c>
      <c r="O306" s="62" t="str">
        <f t="shared" si="34"/>
        <v/>
      </c>
      <c r="P306" s="54" t="s">
        <v>21</v>
      </c>
      <c r="Q306" s="52" t="s">
        <v>21</v>
      </c>
      <c r="R306" s="93" t="s">
        <v>21</v>
      </c>
      <c r="S306" s="72" t="s">
        <v>21</v>
      </c>
      <c r="T306" s="62" t="str">
        <f t="shared" si="32"/>
        <v/>
      </c>
      <c r="V306" s="71">
        <v>1.11479236</v>
      </c>
      <c r="W306" s="71">
        <v>2.8705687000000002</v>
      </c>
      <c r="X306" s="71">
        <v>4.4160010200000004</v>
      </c>
      <c r="Y306" s="71">
        <v>5.7224869900000002</v>
      </c>
      <c r="Z306" s="114">
        <v>7.3379865200000003</v>
      </c>
      <c r="AB306" s="70" t="s">
        <v>21</v>
      </c>
      <c r="AC306" s="70">
        <v>4.3575110933152354E-2</v>
      </c>
      <c r="AD306" s="70">
        <v>5.1241887212156459E-2</v>
      </c>
      <c r="AE306" s="70" t="s">
        <v>21</v>
      </c>
      <c r="AF306" s="62" t="s">
        <v>21</v>
      </c>
      <c r="AG306" s="70" t="s">
        <v>21</v>
      </c>
      <c r="AH306" s="70">
        <v>6.8679922331523636E-3</v>
      </c>
      <c r="AI306" s="70">
        <v>1.3922931712156455E-2</v>
      </c>
      <c r="AJ306" s="70" t="s">
        <v>21</v>
      </c>
      <c r="AK306" s="62" t="s">
        <v>21</v>
      </c>
    </row>
    <row r="307" spans="2:37" x14ac:dyDescent="0.35">
      <c r="B307" s="54" t="s">
        <v>273</v>
      </c>
      <c r="C307" s="52" t="s">
        <v>232</v>
      </c>
      <c r="D307" s="52" t="s">
        <v>273</v>
      </c>
      <c r="E307" s="52" t="s">
        <v>274</v>
      </c>
      <c r="F307" s="72" t="str">
        <f t="shared" si="33"/>
        <v/>
      </c>
      <c r="G307" s="59">
        <f t="shared" si="33"/>
        <v>4.7535899216555176E-2</v>
      </c>
      <c r="H307" s="59">
        <f t="shared" si="33"/>
        <v>5.5379598681236208E-2</v>
      </c>
      <c r="I307" s="59" t="str">
        <f t="shared" si="33"/>
        <v/>
      </c>
      <c r="J307" s="62" t="str">
        <f t="shared" si="33"/>
        <v/>
      </c>
      <c r="K307" s="59" t="str">
        <f t="shared" si="34"/>
        <v/>
      </c>
      <c r="L307" s="59">
        <f t="shared" si="34"/>
        <v>1.0657058416555169E-2</v>
      </c>
      <c r="M307" s="59">
        <f t="shared" si="34"/>
        <v>1.7865821081236209E-2</v>
      </c>
      <c r="N307" s="59" t="str">
        <f t="shared" si="34"/>
        <v/>
      </c>
      <c r="O307" s="62" t="str">
        <f t="shared" si="34"/>
        <v/>
      </c>
      <c r="P307" s="54" t="s">
        <v>626</v>
      </c>
      <c r="Q307" s="52" t="s">
        <v>627</v>
      </c>
      <c r="R307" s="93" t="s">
        <v>32</v>
      </c>
      <c r="S307" s="72">
        <v>5.1403879999999999E-2</v>
      </c>
      <c r="T307" s="62">
        <f t="shared" si="32"/>
        <v>3.9757186812362094E-3</v>
      </c>
      <c r="V307" s="71">
        <v>1.1130802200000001</v>
      </c>
      <c r="W307" s="71">
        <v>2.8490028000000001</v>
      </c>
      <c r="X307" s="71">
        <v>4.3553693999999998</v>
      </c>
      <c r="Y307" s="71">
        <v>5.6206626699999997</v>
      </c>
      <c r="Z307" s="114">
        <v>7.1587212499999993</v>
      </c>
      <c r="AB307" s="70" t="s">
        <v>21</v>
      </c>
      <c r="AC307" s="70">
        <v>4.7535899216555176E-2</v>
      </c>
      <c r="AD307" s="70">
        <v>5.5379598681236208E-2</v>
      </c>
      <c r="AE307" s="70" t="s">
        <v>21</v>
      </c>
      <c r="AF307" s="62" t="s">
        <v>21</v>
      </c>
      <c r="AG307" s="70" t="s">
        <v>21</v>
      </c>
      <c r="AH307" s="70">
        <v>1.0657058416555169E-2</v>
      </c>
      <c r="AI307" s="70">
        <v>1.7865821081236209E-2</v>
      </c>
      <c r="AJ307" s="70" t="s">
        <v>21</v>
      </c>
      <c r="AK307" s="62" t="s">
        <v>21</v>
      </c>
    </row>
    <row r="308" spans="2:37" x14ac:dyDescent="0.35">
      <c r="B308" s="137" t="s">
        <v>277</v>
      </c>
      <c r="C308" s="138" t="s">
        <v>232</v>
      </c>
      <c r="D308" s="138" t="s">
        <v>277</v>
      </c>
      <c r="E308" s="138" t="s">
        <v>278</v>
      </c>
      <c r="F308" s="72" t="str">
        <f t="shared" si="33"/>
        <v/>
      </c>
      <c r="G308" s="59">
        <f t="shared" si="33"/>
        <v>4.3712638486815947E-2</v>
      </c>
      <c r="H308" s="59">
        <f t="shared" si="33"/>
        <v>5.0165240612623035E-2</v>
      </c>
      <c r="I308" s="59" t="str">
        <f t="shared" si="33"/>
        <v/>
      </c>
      <c r="J308" s="62" t="str">
        <f t="shared" si="33"/>
        <v/>
      </c>
      <c r="K308" s="59" t="str">
        <f t="shared" si="34"/>
        <v/>
      </c>
      <c r="L308" s="59">
        <f t="shared" si="34"/>
        <v>6.9968531868159481E-3</v>
      </c>
      <c r="M308" s="59">
        <f t="shared" si="34"/>
        <v>1.2888339312623035E-2</v>
      </c>
      <c r="N308" s="59" t="str">
        <f t="shared" si="34"/>
        <v/>
      </c>
      <c r="O308" s="62" t="str">
        <f t="shared" si="34"/>
        <v/>
      </c>
      <c r="P308" s="137" t="s">
        <v>628</v>
      </c>
      <c r="Q308" s="138" t="s">
        <v>629</v>
      </c>
      <c r="R308" s="142" t="s">
        <v>32</v>
      </c>
      <c r="S308" s="139">
        <v>4.2516490000000004E-2</v>
      </c>
      <c r="T308" s="62">
        <f t="shared" si="32"/>
        <v>7.6487506126230315E-3</v>
      </c>
      <c r="V308" s="144">
        <v>1.1149088</v>
      </c>
      <c r="W308" s="144">
        <v>2.8695074899999997</v>
      </c>
      <c r="X308" s="144">
        <v>4.4219810499999994</v>
      </c>
      <c r="Y308" s="144">
        <v>5.7579867499999997</v>
      </c>
      <c r="Z308" s="145">
        <v>7.4253850699999999</v>
      </c>
      <c r="AB308" s="140" t="s">
        <v>21</v>
      </c>
      <c r="AC308" s="140">
        <v>4.3712638486815947E-2</v>
      </c>
      <c r="AD308" s="140">
        <v>5.0165240612623035E-2</v>
      </c>
      <c r="AE308" s="140" t="s">
        <v>21</v>
      </c>
      <c r="AF308" s="141" t="s">
        <v>21</v>
      </c>
      <c r="AG308" s="140" t="s">
        <v>21</v>
      </c>
      <c r="AH308" s="140">
        <v>6.9968531868159481E-3</v>
      </c>
      <c r="AI308" s="140">
        <v>1.2888339312623035E-2</v>
      </c>
      <c r="AJ308" s="140" t="s">
        <v>21</v>
      </c>
      <c r="AK308" s="141" t="s">
        <v>21</v>
      </c>
    </row>
    <row r="309" spans="2:37" x14ac:dyDescent="0.35">
      <c r="B309" s="137" t="s">
        <v>279</v>
      </c>
      <c r="C309" s="138" t="s">
        <v>232</v>
      </c>
      <c r="D309" s="138" t="s">
        <v>279</v>
      </c>
      <c r="E309" s="138" t="s">
        <v>48</v>
      </c>
      <c r="F309" s="72" t="str">
        <f t="shared" si="33"/>
        <v/>
      </c>
      <c r="G309" s="59">
        <f t="shared" si="33"/>
        <v>5.1471250980357049E-2</v>
      </c>
      <c r="H309" s="59">
        <f t="shared" si="33"/>
        <v>6.0644887719314582E-2</v>
      </c>
      <c r="I309" s="59" t="str">
        <f t="shared" si="33"/>
        <v/>
      </c>
      <c r="J309" s="62" t="str">
        <f t="shared" si="33"/>
        <v/>
      </c>
      <c r="K309" s="59" t="str">
        <f t="shared" si="34"/>
        <v/>
      </c>
      <c r="L309" s="59">
        <f t="shared" si="34"/>
        <v>1.4414198280357051E-2</v>
      </c>
      <c r="M309" s="59">
        <f t="shared" si="34"/>
        <v>2.2854179219314579E-2</v>
      </c>
      <c r="N309" s="59" t="str">
        <f t="shared" si="34"/>
        <v/>
      </c>
      <c r="O309" s="62" t="str">
        <f t="shared" si="34"/>
        <v/>
      </c>
      <c r="P309" s="137" t="s">
        <v>630</v>
      </c>
      <c r="Q309" s="138" t="s">
        <v>631</v>
      </c>
      <c r="R309" s="142" t="s">
        <v>32</v>
      </c>
      <c r="S309" s="139">
        <v>5.4697839999999998E-2</v>
      </c>
      <c r="T309" s="62">
        <f t="shared" si="32"/>
        <v>5.947047719314584E-3</v>
      </c>
      <c r="V309" s="144">
        <v>1.1081750299999999</v>
      </c>
      <c r="W309" s="144">
        <v>2.8191926199999999</v>
      </c>
      <c r="X309" s="144">
        <v>4.2797320700000006</v>
      </c>
      <c r="Y309" s="144">
        <v>5.4796973399999995</v>
      </c>
      <c r="Z309" s="145">
        <v>6.8724345399999995</v>
      </c>
      <c r="AB309" s="140" t="s">
        <v>21</v>
      </c>
      <c r="AC309" s="140">
        <v>5.1471250980357049E-2</v>
      </c>
      <c r="AD309" s="140">
        <v>6.0644887719314582E-2</v>
      </c>
      <c r="AE309" s="140" t="s">
        <v>21</v>
      </c>
      <c r="AF309" s="141" t="s">
        <v>21</v>
      </c>
      <c r="AG309" s="140" t="s">
        <v>21</v>
      </c>
      <c r="AH309" s="140">
        <v>1.4414198280357051E-2</v>
      </c>
      <c r="AI309" s="140">
        <v>2.2854179219314579E-2</v>
      </c>
      <c r="AJ309" s="140" t="s">
        <v>21</v>
      </c>
      <c r="AK309" s="141" t="s">
        <v>21</v>
      </c>
    </row>
    <row r="310" spans="2:37" x14ac:dyDescent="0.35">
      <c r="B310" s="146" t="s">
        <v>275</v>
      </c>
      <c r="C310" s="147" t="s">
        <v>232</v>
      </c>
      <c r="D310" s="147" t="s">
        <v>276</v>
      </c>
      <c r="E310" s="147" t="s">
        <v>123</v>
      </c>
      <c r="F310" s="72" t="str">
        <f t="shared" si="33"/>
        <v/>
      </c>
      <c r="G310" s="59">
        <f t="shared" si="33"/>
        <v>4.7550193704954932E-2</v>
      </c>
      <c r="H310" s="59">
        <f t="shared" si="33"/>
        <v>5.4450035653720981E-2</v>
      </c>
      <c r="I310" s="59" t="str">
        <f t="shared" si="33"/>
        <v/>
      </c>
      <c r="J310" s="62" t="str">
        <f t="shared" si="33"/>
        <v/>
      </c>
      <c r="K310" s="59" t="str">
        <f t="shared" si="34"/>
        <v/>
      </c>
      <c r="L310" s="59">
        <f t="shared" si="34"/>
        <v>1.064399260495493E-2</v>
      </c>
      <c r="M310" s="59">
        <f t="shared" si="34"/>
        <v>1.6931717953720976E-2</v>
      </c>
      <c r="N310" s="59" t="str">
        <f t="shared" si="34"/>
        <v/>
      </c>
      <c r="O310" s="62" t="str">
        <f t="shared" si="34"/>
        <v/>
      </c>
      <c r="P310" s="146" t="s">
        <v>632</v>
      </c>
      <c r="Q310" s="147" t="s">
        <v>633</v>
      </c>
      <c r="R310" s="151" t="s">
        <v>32</v>
      </c>
      <c r="S310" s="148">
        <v>4.8262630000000001E-2</v>
      </c>
      <c r="T310" s="62">
        <f t="shared" si="32"/>
        <v>6.1874056537209801E-3</v>
      </c>
      <c r="V310" s="153">
        <v>1.1089850000000001</v>
      </c>
      <c r="W310" s="153">
        <v>2.83322969</v>
      </c>
      <c r="X310" s="153">
        <v>4.32920617</v>
      </c>
      <c r="Y310" s="153">
        <v>5.5873766800000002</v>
      </c>
      <c r="Z310" s="154">
        <v>7.0887000899999997</v>
      </c>
      <c r="AB310" s="149" t="s">
        <v>21</v>
      </c>
      <c r="AC310" s="149">
        <v>4.7550193704954932E-2</v>
      </c>
      <c r="AD310" s="149">
        <v>5.4450035653720981E-2</v>
      </c>
      <c r="AE310" s="149" t="s">
        <v>21</v>
      </c>
      <c r="AF310" s="150" t="s">
        <v>21</v>
      </c>
      <c r="AG310" s="149" t="s">
        <v>21</v>
      </c>
      <c r="AH310" s="149">
        <v>1.064399260495493E-2</v>
      </c>
      <c r="AI310" s="149">
        <v>1.6931717953720976E-2</v>
      </c>
      <c r="AJ310" s="149" t="s">
        <v>21</v>
      </c>
      <c r="AK310" s="150" t="s">
        <v>21</v>
      </c>
    </row>
    <row r="311" spans="2:37" x14ac:dyDescent="0.35">
      <c r="B311" s="54" t="s">
        <v>212</v>
      </c>
      <c r="C311" s="52" t="s">
        <v>232</v>
      </c>
      <c r="D311" s="52" t="s">
        <v>199</v>
      </c>
      <c r="E311" s="52" t="s">
        <v>293</v>
      </c>
      <c r="F311" s="74" t="str">
        <f t="shared" si="33"/>
        <v/>
      </c>
      <c r="G311" s="79">
        <f t="shared" si="33"/>
        <v>4.8109474688831824E-2</v>
      </c>
      <c r="H311" s="79">
        <f t="shared" si="33"/>
        <v>5.8280955146757282E-2</v>
      </c>
      <c r="I311" s="79" t="str">
        <f t="shared" si="33"/>
        <v/>
      </c>
      <c r="J311" s="61" t="str">
        <f t="shared" si="33"/>
        <v/>
      </c>
      <c r="K311" s="79" t="str">
        <f t="shared" si="34"/>
        <v/>
      </c>
      <c r="L311" s="79">
        <f t="shared" si="34"/>
        <v>1.1177276988831825E-2</v>
      </c>
      <c r="M311" s="79">
        <f t="shared" si="34"/>
        <v>2.0588831946757282E-2</v>
      </c>
      <c r="N311" s="79" t="str">
        <f t="shared" si="34"/>
        <v/>
      </c>
      <c r="O311" s="61" t="str">
        <f t="shared" si="34"/>
        <v/>
      </c>
      <c r="P311" s="54" t="s">
        <v>634</v>
      </c>
      <c r="Q311" s="52" t="s">
        <v>635</v>
      </c>
      <c r="R311" s="93" t="s">
        <v>32</v>
      </c>
      <c r="S311" s="72">
        <v>5.2112119999999998E-2</v>
      </c>
      <c r="T311" s="61">
        <f t="shared" si="32"/>
        <v>6.1688351467572844E-3</v>
      </c>
      <c r="V311" s="71">
        <v>1.11222256</v>
      </c>
      <c r="W311" s="71">
        <v>2.8410347999999996</v>
      </c>
      <c r="X311" s="71">
        <v>4.3184405000000003</v>
      </c>
      <c r="Y311" s="71">
        <v>5.5254024199999998</v>
      </c>
      <c r="Z311" s="114">
        <v>6.9271733899999992</v>
      </c>
      <c r="AB311" s="70" t="s">
        <v>21</v>
      </c>
      <c r="AC311" s="70">
        <v>4.8109474688831824E-2</v>
      </c>
      <c r="AD311" s="70">
        <v>5.8280955146757282E-2</v>
      </c>
      <c r="AE311" s="70" t="s">
        <v>21</v>
      </c>
      <c r="AF311" s="62" t="s">
        <v>21</v>
      </c>
      <c r="AG311" s="70" t="s">
        <v>21</v>
      </c>
      <c r="AH311" s="70">
        <v>1.1177276988831825E-2</v>
      </c>
      <c r="AI311" s="70">
        <v>2.0588831946757282E-2</v>
      </c>
      <c r="AJ311" s="70" t="s">
        <v>21</v>
      </c>
      <c r="AK311" s="62" t="s">
        <v>21</v>
      </c>
    </row>
    <row r="312" spans="2:37" x14ac:dyDescent="0.35">
      <c r="B312" s="54" t="s">
        <v>213</v>
      </c>
      <c r="C312" s="52" t="s">
        <v>232</v>
      </c>
      <c r="D312" s="52" t="s">
        <v>197</v>
      </c>
      <c r="E312" s="52" t="s">
        <v>636</v>
      </c>
      <c r="F312" s="72" t="str">
        <f t="shared" si="33"/>
        <v/>
      </c>
      <c r="G312" s="59">
        <f t="shared" si="33"/>
        <v>6.5272695742883594E-2</v>
      </c>
      <c r="H312" s="59">
        <f t="shared" si="33"/>
        <v>7.544340558635583E-2</v>
      </c>
      <c r="I312" s="59" t="str">
        <f t="shared" si="33"/>
        <v/>
      </c>
      <c r="J312" s="62" t="str">
        <f t="shared" si="33"/>
        <v/>
      </c>
      <c r="K312" s="59" t="str">
        <f t="shared" si="34"/>
        <v/>
      </c>
      <c r="L312" s="59">
        <f t="shared" si="34"/>
        <v>2.7374309242883588E-2</v>
      </c>
      <c r="M312" s="59">
        <f t="shared" si="34"/>
        <v>3.6647014986355829E-2</v>
      </c>
      <c r="N312" s="59" t="str">
        <f t="shared" si="34"/>
        <v/>
      </c>
      <c r="O312" s="62" t="str">
        <f t="shared" si="34"/>
        <v/>
      </c>
      <c r="P312" s="54" t="s">
        <v>21</v>
      </c>
      <c r="Q312" s="52" t="s">
        <v>21</v>
      </c>
      <c r="R312" s="93" t="s">
        <v>21</v>
      </c>
      <c r="S312" s="72" t="s">
        <v>21</v>
      </c>
      <c r="T312" s="62" t="str">
        <f t="shared" si="32"/>
        <v/>
      </c>
      <c r="V312" s="71">
        <v>1.0863690500000001</v>
      </c>
      <c r="W312" s="71">
        <v>2.7133751699999999</v>
      </c>
      <c r="X312" s="71">
        <v>4.0479975699999997</v>
      </c>
      <c r="Y312" s="71">
        <v>5.0859491200000004</v>
      </c>
      <c r="Z312" s="114">
        <v>6.2359438599999999</v>
      </c>
      <c r="AB312" s="70" t="s">
        <v>21</v>
      </c>
      <c r="AC312" s="70">
        <v>6.5272695742883594E-2</v>
      </c>
      <c r="AD312" s="70">
        <v>7.544340558635583E-2</v>
      </c>
      <c r="AE312" s="70" t="s">
        <v>21</v>
      </c>
      <c r="AF312" s="62" t="s">
        <v>21</v>
      </c>
      <c r="AG312" s="70" t="s">
        <v>21</v>
      </c>
      <c r="AH312" s="70">
        <v>2.7374309242883588E-2</v>
      </c>
      <c r="AI312" s="70">
        <v>3.6647014986355829E-2</v>
      </c>
      <c r="AJ312" s="70" t="s">
        <v>21</v>
      </c>
      <c r="AK312" s="62" t="s">
        <v>21</v>
      </c>
    </row>
    <row r="313" spans="2:37" x14ac:dyDescent="0.35">
      <c r="B313" s="54" t="s">
        <v>280</v>
      </c>
      <c r="C313" s="52" t="s">
        <v>232</v>
      </c>
      <c r="D313" s="52" t="s">
        <v>199</v>
      </c>
      <c r="E313" s="52" t="s">
        <v>133</v>
      </c>
      <c r="F313" s="72" t="str">
        <f t="shared" si="33"/>
        <v/>
      </c>
      <c r="G313" s="59" t="str">
        <f t="shared" si="33"/>
        <v/>
      </c>
      <c r="H313" s="59">
        <f t="shared" si="33"/>
        <v>4.7319959184882937E-2</v>
      </c>
      <c r="I313" s="59" t="str">
        <f t="shared" si="33"/>
        <v/>
      </c>
      <c r="J313" s="62" t="str">
        <f t="shared" si="33"/>
        <v/>
      </c>
      <c r="K313" s="59" t="str">
        <f t="shared" si="34"/>
        <v/>
      </c>
      <c r="L313" s="59" t="str">
        <f t="shared" si="34"/>
        <v/>
      </c>
      <c r="M313" s="59">
        <f t="shared" si="34"/>
        <v>1.0032089884882939E-2</v>
      </c>
      <c r="N313" s="59" t="str">
        <f t="shared" si="34"/>
        <v/>
      </c>
      <c r="O313" s="62" t="str">
        <f t="shared" si="34"/>
        <v/>
      </c>
      <c r="P313" s="54" t="s">
        <v>294</v>
      </c>
      <c r="Q313" s="52" t="s">
        <v>295</v>
      </c>
      <c r="R313" s="93">
        <v>47581</v>
      </c>
      <c r="S313" s="72">
        <v>4.9631160000000001E-2</v>
      </c>
      <c r="T313" s="62">
        <f t="shared" si="32"/>
        <v>-2.3112008151170635E-3</v>
      </c>
      <c r="V313" s="71">
        <v>1.1126429</v>
      </c>
      <c r="W313" s="71">
        <v>2.8642298999999998</v>
      </c>
      <c r="X313" s="71">
        <v>4.4134812300000004</v>
      </c>
      <c r="Y313" s="71">
        <v>5.7442840100000003</v>
      </c>
      <c r="Z313" s="114">
        <v>7.3800636899999992</v>
      </c>
      <c r="AB313" s="70" t="s">
        <v>21</v>
      </c>
      <c r="AC313" s="70"/>
      <c r="AD313" s="70">
        <v>4.7319959184882937E-2</v>
      </c>
      <c r="AE313" s="70" t="s">
        <v>21</v>
      </c>
      <c r="AF313" s="62" t="s">
        <v>21</v>
      </c>
      <c r="AG313" s="70" t="s">
        <v>21</v>
      </c>
      <c r="AH313" s="70"/>
      <c r="AI313" s="70">
        <v>1.0032089884882939E-2</v>
      </c>
      <c r="AJ313" s="70" t="s">
        <v>21</v>
      </c>
      <c r="AK313" s="62" t="s">
        <v>21</v>
      </c>
    </row>
    <row r="314" spans="2:37" x14ac:dyDescent="0.35">
      <c r="B314" s="54" t="s">
        <v>281</v>
      </c>
      <c r="C314" s="52" t="s">
        <v>232</v>
      </c>
      <c r="D314" s="52" t="s">
        <v>195</v>
      </c>
      <c r="E314" s="52" t="s">
        <v>637</v>
      </c>
      <c r="F314" s="72" t="str">
        <f t="shared" si="33"/>
        <v/>
      </c>
      <c r="G314" s="59" t="str">
        <f t="shared" si="33"/>
        <v/>
      </c>
      <c r="H314" s="59">
        <f t="shared" si="33"/>
        <v>7.7063815016531687E-2</v>
      </c>
      <c r="I314" s="59" t="str">
        <f t="shared" si="33"/>
        <v/>
      </c>
      <c r="J314" s="62" t="str">
        <f t="shared" si="33"/>
        <v/>
      </c>
      <c r="K314" s="59" t="str">
        <f t="shared" si="34"/>
        <v/>
      </c>
      <c r="L314" s="59" t="str">
        <f t="shared" si="34"/>
        <v/>
      </c>
      <c r="M314" s="59">
        <f t="shared" si="34"/>
        <v>3.8122494216531688E-2</v>
      </c>
      <c r="N314" s="59" t="str">
        <f t="shared" si="34"/>
        <v/>
      </c>
      <c r="O314" s="62" t="str">
        <f t="shared" si="34"/>
        <v/>
      </c>
      <c r="P314" s="54" t="s">
        <v>21</v>
      </c>
      <c r="Q314" s="52" t="s">
        <v>21</v>
      </c>
      <c r="R314" s="93" t="s">
        <v>21</v>
      </c>
      <c r="S314" s="72" t="s">
        <v>21</v>
      </c>
      <c r="T314" s="62" t="str">
        <f t="shared" si="32"/>
        <v/>
      </c>
      <c r="V314" s="71">
        <v>1.08236811</v>
      </c>
      <c r="W314" s="71">
        <v>2.68306851</v>
      </c>
      <c r="X314" s="71">
        <v>3.9961063300000004</v>
      </c>
      <c r="Y314" s="71">
        <v>5.0559113</v>
      </c>
      <c r="Z314" s="114">
        <v>6.2892350099999996</v>
      </c>
      <c r="AB314" s="70" t="s">
        <v>21</v>
      </c>
      <c r="AC314" s="70"/>
      <c r="AD314" s="70">
        <v>7.7063815016531687E-2</v>
      </c>
      <c r="AE314" s="70" t="s">
        <v>21</v>
      </c>
      <c r="AF314" s="62" t="s">
        <v>21</v>
      </c>
      <c r="AG314" s="70" t="s">
        <v>21</v>
      </c>
      <c r="AH314" s="70"/>
      <c r="AI314" s="70">
        <v>3.8122494216531688E-2</v>
      </c>
      <c r="AJ314" s="70" t="s">
        <v>21</v>
      </c>
      <c r="AK314" s="62" t="s">
        <v>21</v>
      </c>
    </row>
    <row r="315" spans="2:37" x14ac:dyDescent="0.35">
      <c r="B315" s="54" t="s">
        <v>282</v>
      </c>
      <c r="C315" s="52" t="s">
        <v>232</v>
      </c>
      <c r="D315" s="52" t="s">
        <v>195</v>
      </c>
      <c r="E315" s="52" t="s">
        <v>638</v>
      </c>
      <c r="F315" s="72" t="str">
        <f t="shared" si="33"/>
        <v/>
      </c>
      <c r="G315" s="59" t="str">
        <f t="shared" si="33"/>
        <v/>
      </c>
      <c r="H315" s="59">
        <f t="shared" si="33"/>
        <v>7.9625696092002027E-2</v>
      </c>
      <c r="I315" s="59" t="str">
        <f t="shared" si="33"/>
        <v/>
      </c>
      <c r="J315" s="62" t="str">
        <f t="shared" si="33"/>
        <v/>
      </c>
      <c r="K315" s="59" t="str">
        <f t="shared" si="34"/>
        <v/>
      </c>
      <c r="L315" s="59" t="str">
        <f t="shared" si="34"/>
        <v/>
      </c>
      <c r="M315" s="59">
        <f t="shared" si="34"/>
        <v>4.0937204592002022E-2</v>
      </c>
      <c r="N315" s="59" t="str">
        <f t="shared" si="34"/>
        <v/>
      </c>
      <c r="O315" s="62" t="str">
        <f t="shared" si="34"/>
        <v/>
      </c>
      <c r="P315" s="54" t="s">
        <v>21</v>
      </c>
      <c r="Q315" s="52" t="s">
        <v>21</v>
      </c>
      <c r="R315" s="93" t="s">
        <v>21</v>
      </c>
      <c r="S315" s="72" t="s">
        <v>21</v>
      </c>
      <c r="T315" s="62" t="str">
        <f t="shared" si="32"/>
        <v/>
      </c>
      <c r="V315" s="71">
        <v>1.08828714</v>
      </c>
      <c r="W315" s="71">
        <v>2.7246271399999999</v>
      </c>
      <c r="X315" s="71">
        <v>4.0674886200000007</v>
      </c>
      <c r="Y315" s="71">
        <v>5.1223805900000006</v>
      </c>
      <c r="Z315" s="114">
        <v>6.273471680000001</v>
      </c>
      <c r="AB315" s="70" t="s">
        <v>21</v>
      </c>
      <c r="AC315" s="70"/>
      <c r="AD315" s="70">
        <v>7.9625696092002027E-2</v>
      </c>
      <c r="AE315" s="70" t="s">
        <v>21</v>
      </c>
      <c r="AF315" s="62" t="s">
        <v>21</v>
      </c>
      <c r="AG315" s="70" t="s">
        <v>21</v>
      </c>
      <c r="AH315" s="70"/>
      <c r="AI315" s="70">
        <v>4.0937204592002022E-2</v>
      </c>
      <c r="AJ315" s="70" t="s">
        <v>21</v>
      </c>
      <c r="AK315" s="62" t="s">
        <v>21</v>
      </c>
    </row>
    <row r="316" spans="2:37" x14ac:dyDescent="0.35">
      <c r="B316" s="56" t="s">
        <v>283</v>
      </c>
      <c r="C316" s="52" t="s">
        <v>232</v>
      </c>
      <c r="D316" s="66" t="s">
        <v>195</v>
      </c>
      <c r="E316" s="66" t="s">
        <v>268</v>
      </c>
      <c r="F316" s="73" t="str">
        <f t="shared" si="33"/>
        <v/>
      </c>
      <c r="G316" s="75" t="str">
        <f t="shared" si="33"/>
        <v/>
      </c>
      <c r="H316" s="75">
        <f t="shared" si="33"/>
        <v>8.4879049213445315E-2</v>
      </c>
      <c r="I316" s="75" t="str">
        <f t="shared" si="33"/>
        <v/>
      </c>
      <c r="J316" s="63" t="str">
        <f t="shared" si="33"/>
        <v/>
      </c>
      <c r="K316" s="75" t="str">
        <f t="shared" si="34"/>
        <v/>
      </c>
      <c r="L316" s="75" t="str">
        <f t="shared" si="34"/>
        <v/>
      </c>
      <c r="M316" s="75">
        <f t="shared" si="34"/>
        <v>4.4946884313445325E-2</v>
      </c>
      <c r="N316" s="75" t="str">
        <f t="shared" si="34"/>
        <v/>
      </c>
      <c r="O316" s="63" t="str">
        <f t="shared" si="34"/>
        <v/>
      </c>
      <c r="P316" s="56" t="s">
        <v>639</v>
      </c>
      <c r="Q316" s="66" t="s">
        <v>640</v>
      </c>
      <c r="R316" s="95">
        <v>47560</v>
      </c>
      <c r="S316" s="73">
        <v>7.841091E-2</v>
      </c>
      <c r="T316" s="63">
        <f t="shared" si="32"/>
        <v>6.4681392134453147E-3</v>
      </c>
      <c r="V316" s="107">
        <v>1.0769631900000001</v>
      </c>
      <c r="W316" s="107">
        <v>2.6325210100000001</v>
      </c>
      <c r="X316" s="107">
        <v>3.8559366599999998</v>
      </c>
      <c r="Y316" s="107">
        <v>4.7989794799999999</v>
      </c>
      <c r="Z316" s="116">
        <v>5.7793536200000002</v>
      </c>
      <c r="AB316" s="75" t="s">
        <v>21</v>
      </c>
      <c r="AC316" s="75"/>
      <c r="AD316" s="75">
        <v>8.4879049213445315E-2</v>
      </c>
      <c r="AE316" s="75" t="s">
        <v>21</v>
      </c>
      <c r="AF316" s="63" t="s">
        <v>21</v>
      </c>
      <c r="AG316" s="75" t="s">
        <v>21</v>
      </c>
      <c r="AH316" s="75"/>
      <c r="AI316" s="75">
        <v>4.4946884313445325E-2</v>
      </c>
      <c r="AJ316" s="75" t="s">
        <v>21</v>
      </c>
      <c r="AK316" s="63" t="s">
        <v>21</v>
      </c>
    </row>
    <row r="317" spans="2:37" x14ac:dyDescent="0.35">
      <c r="B317" s="65"/>
      <c r="C317" s="65"/>
      <c r="D317" s="65"/>
      <c r="E317" s="65"/>
      <c r="P317" s="65"/>
      <c r="Q317" s="65"/>
      <c r="R317" s="65"/>
      <c r="S317" s="65"/>
      <c r="V317" s="65"/>
      <c r="W317" s="65"/>
      <c r="X317" s="65"/>
      <c r="Y317" s="65"/>
      <c r="Z317" s="65"/>
      <c r="AB317" s="65"/>
      <c r="AC317" s="65"/>
      <c r="AD317" s="65"/>
      <c r="AE317" s="65"/>
      <c r="AF317" s="65"/>
      <c r="AG317" s="65"/>
      <c r="AH317" s="65"/>
      <c r="AI317" s="65"/>
      <c r="AJ317" s="65"/>
      <c r="AK317" s="65"/>
    </row>
    <row r="318" spans="2:37" ht="15.5" x14ac:dyDescent="0.35">
      <c r="B318" s="121" t="s">
        <v>284</v>
      </c>
    </row>
    <row r="319" spans="2:37" x14ac:dyDescent="0.35">
      <c r="B319" s="84" t="s">
        <v>5</v>
      </c>
      <c r="C319" s="83" t="s">
        <v>6</v>
      </c>
      <c r="D319" s="83" t="s">
        <v>7</v>
      </c>
      <c r="E319" s="83" t="s">
        <v>8</v>
      </c>
      <c r="F319" s="82" t="s">
        <v>9</v>
      </c>
      <c r="G319" s="81" t="s">
        <v>10</v>
      </c>
      <c r="H319" s="81" t="s">
        <v>11</v>
      </c>
      <c r="I319" s="81" t="s">
        <v>12</v>
      </c>
      <c r="J319" s="80" t="s">
        <v>13</v>
      </c>
      <c r="K319" s="82" t="s">
        <v>9</v>
      </c>
      <c r="L319" s="81" t="s">
        <v>10</v>
      </c>
      <c r="M319" s="81" t="s">
        <v>11</v>
      </c>
      <c r="N319" s="81" t="s">
        <v>12</v>
      </c>
      <c r="O319" s="80" t="s">
        <v>13</v>
      </c>
      <c r="P319" s="82" t="s">
        <v>14</v>
      </c>
      <c r="Q319" s="81" t="s">
        <v>15</v>
      </c>
      <c r="R319" s="81" t="s">
        <v>16</v>
      </c>
      <c r="S319" s="81" t="s">
        <v>216</v>
      </c>
      <c r="T319" s="57" t="s">
        <v>18</v>
      </c>
      <c r="V319" s="105" t="s">
        <v>9</v>
      </c>
      <c r="W319" s="105" t="s">
        <v>10</v>
      </c>
      <c r="X319" s="105" t="s">
        <v>11</v>
      </c>
      <c r="Y319" s="105" t="s">
        <v>12</v>
      </c>
      <c r="Z319" s="110" t="s">
        <v>13</v>
      </c>
      <c r="AB319" s="82" t="s">
        <v>9</v>
      </c>
      <c r="AC319" s="81" t="s">
        <v>10</v>
      </c>
      <c r="AD319" s="81" t="s">
        <v>11</v>
      </c>
      <c r="AE319" s="81" t="s">
        <v>12</v>
      </c>
      <c r="AF319" s="80" t="s">
        <v>13</v>
      </c>
      <c r="AG319" s="82" t="s">
        <v>9</v>
      </c>
      <c r="AH319" s="81" t="s">
        <v>10</v>
      </c>
      <c r="AI319" s="81" t="s">
        <v>11</v>
      </c>
      <c r="AJ319" s="81" t="s">
        <v>12</v>
      </c>
      <c r="AK319" s="80" t="s">
        <v>13</v>
      </c>
    </row>
    <row r="320" spans="2:37" x14ac:dyDescent="0.35">
      <c r="B320" s="54" t="s">
        <v>641</v>
      </c>
      <c r="C320" s="52" t="s">
        <v>232</v>
      </c>
      <c r="D320" s="52" t="s">
        <v>642</v>
      </c>
      <c r="E320" s="52" t="s">
        <v>643</v>
      </c>
      <c r="F320" s="72">
        <f>IF(ISNUMBER(AB320),AB320-((C$4-C$3)/V320),"")</f>
        <v>3.8769955897460219E-2</v>
      </c>
      <c r="G320" s="59">
        <f>IF(ISNUMBER(AC320),AC320-((D$4-D$3)/W320),"")</f>
        <v>4.4141699483582847E-2</v>
      </c>
      <c r="H320" s="59">
        <f>IF(ISNUMBER(AD320),AD320-((E$4-E$3)/X320),"")</f>
        <v>5.1136267215116986E-2</v>
      </c>
      <c r="I320" s="59">
        <f>IF(ISNUMBER(AE320),AE320-((F$4-F$3)/Y320),"")</f>
        <v>5.4345827393821391E-2</v>
      </c>
      <c r="J320" s="62">
        <f>IF(ISNUMBER(AF320),AF320-((G$4-G$3)/Z320),"")</f>
        <v>5.7154616355314769E-2</v>
      </c>
      <c r="K320" s="59">
        <f>IF(ISNUMBER(AG320),IF(AG320-((C$4-C$3)/V320)&lt;0,"",AG320-((C$4-C$3)/V320)),"")</f>
        <v>1.0945709974602164E-3</v>
      </c>
      <c r="L320" s="59">
        <f>IF(ISNUMBER(AH320),IF(AH320-((D$4-D$3)/W320)&lt;0,"",AH320-((D$4-D$3)/W320)),"")</f>
        <v>7.3627025835828449E-3</v>
      </c>
      <c r="M320" s="59">
        <f>IF(ISNUMBER(AI320),IF(AI320-((E$4-E$3)/X320)&lt;0,"",AI320-((E$4-E$3)/X320)),"")</f>
        <v>1.3734751315116988E-2</v>
      </c>
      <c r="N320" s="59">
        <f>IF(ISNUMBER(AJ320),IF(AJ320-((F$4-F$3)/Y320)&lt;0,"",AJ320-((F$4-F$3)/Y320)),"")</f>
        <v>1.598108429382139E-2</v>
      </c>
      <c r="O320" s="62">
        <f>IF(ISNUMBER(AK320),IF(AK320-((G$4-G$3)/Z320)&lt;0,"",AK320-((G$4-G$3)/Z320)),"")</f>
        <v>1.7505147255314761E-2</v>
      </c>
      <c r="P320" s="54" t="s">
        <v>644</v>
      </c>
      <c r="Q320" s="52" t="s">
        <v>645</v>
      </c>
      <c r="R320" s="93">
        <v>47545</v>
      </c>
      <c r="S320" s="72">
        <v>4.2578279999999996E-2</v>
      </c>
      <c r="T320" s="62">
        <f t="shared" ref="T320:T325" si="35">IF(S320="","",H320-S320)</f>
        <v>8.5579872151169897E-3</v>
      </c>
      <c r="V320" s="71">
        <v>1.11284611</v>
      </c>
      <c r="W320" s="71">
        <v>2.8557701299999998</v>
      </c>
      <c r="X320" s="71">
        <v>4.3768816500000005</v>
      </c>
      <c r="Y320" s="71">
        <v>5.6738899600000003</v>
      </c>
      <c r="Z320" s="114">
        <v>7.2864986600000003</v>
      </c>
      <c r="AB320" s="70">
        <v>3.8769955897460219E-2</v>
      </c>
      <c r="AC320" s="70">
        <v>4.4141699483582847E-2</v>
      </c>
      <c r="AD320" s="70">
        <v>5.1136267215116986E-2</v>
      </c>
      <c r="AE320" s="70">
        <v>5.4345827393821391E-2</v>
      </c>
      <c r="AF320" s="62">
        <v>5.7154616355314769E-2</v>
      </c>
      <c r="AG320" s="70">
        <v>1.0945709974602164E-3</v>
      </c>
      <c r="AH320" s="70">
        <v>7.3627025835828449E-3</v>
      </c>
      <c r="AI320" s="70">
        <v>1.3734751315116988E-2</v>
      </c>
      <c r="AJ320" s="70">
        <v>1.598108429382139E-2</v>
      </c>
      <c r="AK320" s="62">
        <v>1.7505147255314761E-2</v>
      </c>
    </row>
    <row r="321" spans="2:37" x14ac:dyDescent="0.35">
      <c r="B321" s="54" t="s">
        <v>646</v>
      </c>
      <c r="C321" s="52" t="s">
        <v>232</v>
      </c>
      <c r="D321" s="52" t="s">
        <v>647</v>
      </c>
      <c r="E321" s="52" t="s">
        <v>264</v>
      </c>
      <c r="F321" s="72">
        <f t="shared" ref="F321:J325" si="36">IF(ISNUMBER(AB321),AB321-((C$4-C$3)/V321),"")</f>
        <v>3.9621952745351685E-2</v>
      </c>
      <c r="G321" s="59">
        <f t="shared" si="36"/>
        <v>4.4745894518685193E-2</v>
      </c>
      <c r="H321" s="59">
        <f t="shared" si="36"/>
        <v>5.145377073436376E-2</v>
      </c>
      <c r="I321" s="59">
        <f t="shared" si="36"/>
        <v>5.450913001034622E-2</v>
      </c>
      <c r="J321" s="62">
        <f t="shared" si="36"/>
        <v>5.7367779735886665E-2</v>
      </c>
      <c r="K321" s="59">
        <f t="shared" ref="K321:O325" si="37">IF(ISNUMBER(AG321),IF(AG321-((C$4-C$3)/V321)&lt;0,"",AG321-((C$4-C$3)/V321)),"")</f>
        <v>1.9158130453516891E-3</v>
      </c>
      <c r="L321" s="59">
        <f t="shared" si="37"/>
        <v>7.9399550186851891E-3</v>
      </c>
      <c r="M321" s="59">
        <f t="shared" si="37"/>
        <v>1.4036547634363756E-2</v>
      </c>
      <c r="N321" s="59">
        <f t="shared" si="37"/>
        <v>1.6135455410346212E-2</v>
      </c>
      <c r="O321" s="62">
        <f t="shared" si="37"/>
        <v>1.7706215635886667E-2</v>
      </c>
      <c r="P321" s="54" t="s">
        <v>21</v>
      </c>
      <c r="Q321" s="52" t="s">
        <v>21</v>
      </c>
      <c r="R321" s="93" t="s">
        <v>21</v>
      </c>
      <c r="S321" s="72" t="s">
        <v>21</v>
      </c>
      <c r="T321" s="62" t="str">
        <f t="shared" si="35"/>
        <v/>
      </c>
      <c r="V321" s="71">
        <v>1.11122104</v>
      </c>
      <c r="W321" s="71">
        <v>2.84896678</v>
      </c>
      <c r="X321" s="71">
        <v>4.3659014899999997</v>
      </c>
      <c r="Y321" s="71">
        <v>5.6616237200000006</v>
      </c>
      <c r="Z321" s="114">
        <v>7.2706305499999999</v>
      </c>
      <c r="AB321" s="70">
        <v>3.9621952745351685E-2</v>
      </c>
      <c r="AC321" s="70">
        <v>4.4745894518685193E-2</v>
      </c>
      <c r="AD321" s="70">
        <v>5.145377073436376E-2</v>
      </c>
      <c r="AE321" s="70">
        <v>5.450913001034622E-2</v>
      </c>
      <c r="AF321" s="62">
        <v>5.7367779735886665E-2</v>
      </c>
      <c r="AG321" s="70">
        <v>1.9158130453516891E-3</v>
      </c>
      <c r="AH321" s="70">
        <v>7.9399550186851891E-3</v>
      </c>
      <c r="AI321" s="70">
        <v>1.4036547634363756E-2</v>
      </c>
      <c r="AJ321" s="70">
        <v>1.6135455410346212E-2</v>
      </c>
      <c r="AK321" s="62">
        <v>1.7706215635886667E-2</v>
      </c>
    </row>
    <row r="322" spans="2:37" x14ac:dyDescent="0.35">
      <c r="B322" s="54" t="s">
        <v>287</v>
      </c>
      <c r="C322" s="52" t="s">
        <v>232</v>
      </c>
      <c r="D322" s="52" t="s">
        <v>285</v>
      </c>
      <c r="E322" s="52" t="s">
        <v>179</v>
      </c>
      <c r="F322" s="72">
        <f t="shared" si="36"/>
        <v>3.7748639860375521E-2</v>
      </c>
      <c r="G322" s="59">
        <f t="shared" si="36"/>
        <v>4.2776071233655247E-2</v>
      </c>
      <c r="H322" s="59">
        <f t="shared" si="36"/>
        <v>4.8940752942029722E-2</v>
      </c>
      <c r="I322" s="59">
        <f t="shared" si="36"/>
        <v>5.2540545066136063E-2</v>
      </c>
      <c r="J322" s="62">
        <f t="shared" si="36"/>
        <v>5.5692415135554063E-2</v>
      </c>
      <c r="K322" s="59">
        <f t="shared" si="37"/>
        <v>1.0253616037552218E-4</v>
      </c>
      <c r="L322" s="59">
        <f t="shared" si="37"/>
        <v>6.0553662336552457E-3</v>
      </c>
      <c r="M322" s="59">
        <f t="shared" si="37"/>
        <v>1.1646372242029721E-2</v>
      </c>
      <c r="N322" s="59">
        <f t="shared" si="37"/>
        <v>1.4264251266136063E-2</v>
      </c>
      <c r="O322" s="62">
        <f t="shared" si="37"/>
        <v>1.6108198935554062E-2</v>
      </c>
      <c r="P322" s="54" t="s">
        <v>648</v>
      </c>
      <c r="Q322" s="52" t="s">
        <v>649</v>
      </c>
      <c r="R322" s="93" t="s">
        <v>32</v>
      </c>
      <c r="S322" s="72">
        <v>4.328941E-2</v>
      </c>
      <c r="T322" s="62">
        <f t="shared" si="35"/>
        <v>5.6513429420297218E-3</v>
      </c>
      <c r="V322" s="71">
        <v>1.114827</v>
      </c>
      <c r="W322" s="71">
        <v>2.8684347700000004</v>
      </c>
      <c r="X322" s="71">
        <v>4.41497019</v>
      </c>
      <c r="Y322" s="71">
        <v>5.7371103100000003</v>
      </c>
      <c r="Z322" s="114">
        <v>7.38141917</v>
      </c>
      <c r="AB322" s="70">
        <v>3.7748639860375521E-2</v>
      </c>
      <c r="AC322" s="70">
        <v>4.2776071233655247E-2</v>
      </c>
      <c r="AD322" s="70">
        <v>4.8940752942029722E-2</v>
      </c>
      <c r="AE322" s="70">
        <v>5.2540545066136063E-2</v>
      </c>
      <c r="AF322" s="62">
        <v>5.5692415135554063E-2</v>
      </c>
      <c r="AG322" s="70">
        <v>1.0253616037552218E-4</v>
      </c>
      <c r="AH322" s="70">
        <v>6.0553662336552457E-3</v>
      </c>
      <c r="AI322" s="70">
        <v>1.1646372242029721E-2</v>
      </c>
      <c r="AJ322" s="70">
        <v>1.4264251266136063E-2</v>
      </c>
      <c r="AK322" s="62">
        <v>1.6108198935554062E-2</v>
      </c>
    </row>
    <row r="323" spans="2:37" x14ac:dyDescent="0.35">
      <c r="B323" s="54" t="s">
        <v>650</v>
      </c>
      <c r="C323" s="52" t="s">
        <v>232</v>
      </c>
      <c r="D323" s="52" t="s">
        <v>642</v>
      </c>
      <c r="E323" s="52" t="s">
        <v>651</v>
      </c>
      <c r="F323" s="72">
        <f t="shared" si="36"/>
        <v>3.9374498622869958E-2</v>
      </c>
      <c r="G323" s="59">
        <f t="shared" si="36"/>
        <v>4.5972608224557773E-2</v>
      </c>
      <c r="H323" s="59">
        <f t="shared" si="36"/>
        <v>5.2856453742736662E-2</v>
      </c>
      <c r="I323" s="59">
        <f t="shared" si="36"/>
        <v>5.6881128878589315E-2</v>
      </c>
      <c r="J323" s="62">
        <f t="shared" si="36"/>
        <v>6.0988146617697025E-2</v>
      </c>
      <c r="K323" s="59">
        <f t="shared" si="37"/>
        <v>1.6683955228699613E-3</v>
      </c>
      <c r="L323" s="59">
        <f t="shared" si="37"/>
        <v>9.1017137245577757E-3</v>
      </c>
      <c r="M323" s="59">
        <f t="shared" si="37"/>
        <v>1.536054364273667E-2</v>
      </c>
      <c r="N323" s="59">
        <f t="shared" si="37"/>
        <v>1.8376078078589316E-2</v>
      </c>
      <c r="O323" s="62">
        <f t="shared" si="37"/>
        <v>2.1128935817697033E-2</v>
      </c>
      <c r="P323" s="54" t="s">
        <v>652</v>
      </c>
      <c r="Q323" s="52" t="s">
        <v>653</v>
      </c>
      <c r="R323" s="93">
        <v>47651</v>
      </c>
      <c r="S323" s="72">
        <v>4.4519120000000002E-2</v>
      </c>
      <c r="T323" s="62">
        <f t="shared" si="35"/>
        <v>8.3373337427366592E-3</v>
      </c>
      <c r="V323" s="71">
        <v>1.1117469</v>
      </c>
      <c r="W323" s="71">
        <v>2.8432738099999999</v>
      </c>
      <c r="X323" s="71">
        <v>4.3443884000000006</v>
      </c>
      <c r="Y323" s="71">
        <v>5.6072298499999995</v>
      </c>
      <c r="Z323" s="114">
        <v>7.1282709999999998</v>
      </c>
      <c r="AB323" s="70">
        <v>3.9374498622869958E-2</v>
      </c>
      <c r="AC323" s="70">
        <v>4.5972608224557773E-2</v>
      </c>
      <c r="AD323" s="70">
        <v>5.2856453742736662E-2</v>
      </c>
      <c r="AE323" s="70">
        <v>5.6881128878589315E-2</v>
      </c>
      <c r="AF323" s="62">
        <v>6.0988146617697025E-2</v>
      </c>
      <c r="AG323" s="70">
        <v>1.6683955228699613E-3</v>
      </c>
      <c r="AH323" s="70">
        <v>9.1017137245577757E-3</v>
      </c>
      <c r="AI323" s="70">
        <v>1.536054364273667E-2</v>
      </c>
      <c r="AJ323" s="70">
        <v>1.8376078078589316E-2</v>
      </c>
      <c r="AK323" s="62">
        <v>2.1128935817697033E-2</v>
      </c>
    </row>
    <row r="324" spans="2:37" x14ac:dyDescent="0.35">
      <c r="B324" s="54" t="s">
        <v>654</v>
      </c>
      <c r="C324" s="52" t="s">
        <v>232</v>
      </c>
      <c r="D324" s="52" t="s">
        <v>642</v>
      </c>
      <c r="E324" s="52" t="s">
        <v>643</v>
      </c>
      <c r="F324" s="72">
        <f t="shared" si="36"/>
        <v>4.001053050937918E-2</v>
      </c>
      <c r="G324" s="59">
        <f t="shared" si="36"/>
        <v>4.6210848421067457E-2</v>
      </c>
      <c r="H324" s="59">
        <f t="shared" si="36"/>
        <v>5.3277924340018407E-2</v>
      </c>
      <c r="I324" s="59">
        <f t="shared" si="36"/>
        <v>5.660719725745255E-2</v>
      </c>
      <c r="J324" s="62">
        <f t="shared" si="36"/>
        <v>6.005948839518005E-2</v>
      </c>
      <c r="K324" s="59">
        <f t="shared" si="37"/>
        <v>2.286413309379183E-3</v>
      </c>
      <c r="L324" s="59">
        <f t="shared" si="37"/>
        <v>9.3316593210674547E-3</v>
      </c>
      <c r="M324" s="59">
        <f t="shared" si="37"/>
        <v>1.5761268640018405E-2</v>
      </c>
      <c r="N324" s="59">
        <f t="shared" si="37"/>
        <v>1.8119771657452557E-2</v>
      </c>
      <c r="O324" s="62">
        <f t="shared" si="37"/>
        <v>2.0252338795180055E-2</v>
      </c>
      <c r="P324" s="54" t="s">
        <v>655</v>
      </c>
      <c r="Q324" s="52" t="s">
        <v>656</v>
      </c>
      <c r="R324" s="93">
        <v>47599</v>
      </c>
      <c r="S324" s="72">
        <v>4.3146139999999999E-2</v>
      </c>
      <c r="T324" s="62">
        <f t="shared" si="35"/>
        <v>1.0131784340018407E-2</v>
      </c>
      <c r="V324" s="71">
        <v>1.1105033600000001</v>
      </c>
      <c r="W324" s="71">
        <v>2.8388244</v>
      </c>
      <c r="X324" s="71">
        <v>4.33555855</v>
      </c>
      <c r="Y324" s="71">
        <v>5.6016621099999995</v>
      </c>
      <c r="Z324" s="114">
        <v>7.1483188899999996</v>
      </c>
      <c r="AB324" s="70">
        <v>4.001053050937918E-2</v>
      </c>
      <c r="AC324" s="70">
        <v>4.6210848421067457E-2</v>
      </c>
      <c r="AD324" s="70">
        <v>5.3277924340018407E-2</v>
      </c>
      <c r="AE324" s="70">
        <v>5.660719725745255E-2</v>
      </c>
      <c r="AF324" s="62">
        <v>6.005948839518005E-2</v>
      </c>
      <c r="AG324" s="70">
        <v>2.286413309379183E-3</v>
      </c>
      <c r="AH324" s="70">
        <v>9.3316593210674547E-3</v>
      </c>
      <c r="AI324" s="70">
        <v>1.5761268640018405E-2</v>
      </c>
      <c r="AJ324" s="70">
        <v>1.8119771657452557E-2</v>
      </c>
      <c r="AK324" s="62">
        <v>2.0252338795180055E-2</v>
      </c>
    </row>
    <row r="325" spans="2:37" x14ac:dyDescent="0.35">
      <c r="B325" s="56" t="s">
        <v>657</v>
      </c>
      <c r="C325" s="66" t="s">
        <v>232</v>
      </c>
      <c r="D325" s="66" t="s">
        <v>642</v>
      </c>
      <c r="E325" s="66" t="s">
        <v>658</v>
      </c>
      <c r="F325" s="73">
        <f t="shared" si="36"/>
        <v>4.0233898352356093E-2</v>
      </c>
      <c r="G325" s="75">
        <f t="shared" si="36"/>
        <v>4.6978074873894764E-2</v>
      </c>
      <c r="H325" s="75">
        <f t="shared" si="36"/>
        <v>5.3713027986344718E-2</v>
      </c>
      <c r="I325" s="75">
        <f t="shared" si="36"/>
        <v>5.7237065941997782E-2</v>
      </c>
      <c r="J325" s="63">
        <f t="shared" si="36"/>
        <v>6.0562003453692191E-2</v>
      </c>
      <c r="K325" s="75">
        <f t="shared" si="37"/>
        <v>2.5044231523560822E-3</v>
      </c>
      <c r="L325" s="75">
        <f t="shared" si="37"/>
        <v>1.0062123273894765E-2</v>
      </c>
      <c r="M325" s="75">
        <f t="shared" si="37"/>
        <v>1.6173358586344729E-2</v>
      </c>
      <c r="N325" s="75">
        <f t="shared" si="37"/>
        <v>1.8713696341997779E-2</v>
      </c>
      <c r="O325" s="63">
        <f t="shared" si="37"/>
        <v>2.0727126853692174E-2</v>
      </c>
      <c r="P325" s="56" t="s">
        <v>659</v>
      </c>
      <c r="Q325" s="66" t="s">
        <v>660</v>
      </c>
      <c r="R325" s="95">
        <v>47490</v>
      </c>
      <c r="S325" s="73">
        <v>4.3874969999999999E-2</v>
      </c>
      <c r="T325" s="63">
        <f t="shared" si="35"/>
        <v>9.8380579863447185E-3</v>
      </c>
      <c r="V325" s="107">
        <v>1.1099827600000001</v>
      </c>
      <c r="W325" s="107">
        <v>2.8331554799999998</v>
      </c>
      <c r="X325" s="107">
        <v>4.3239289799999998</v>
      </c>
      <c r="Y325" s="107">
        <v>5.5819819600000002</v>
      </c>
      <c r="Z325" s="116">
        <v>7.1161868799999999</v>
      </c>
      <c r="AB325" s="75">
        <v>4.0233898352356093E-2</v>
      </c>
      <c r="AC325" s="75">
        <v>4.6978074873894764E-2</v>
      </c>
      <c r="AD325" s="75">
        <v>5.3713027986344718E-2</v>
      </c>
      <c r="AE325" s="75">
        <v>5.7237065941997782E-2</v>
      </c>
      <c r="AF325" s="63">
        <v>6.0562003453692191E-2</v>
      </c>
      <c r="AG325" s="75">
        <v>2.5044231523560822E-3</v>
      </c>
      <c r="AH325" s="75">
        <v>1.0062123273894765E-2</v>
      </c>
      <c r="AI325" s="75">
        <v>1.6173358586344729E-2</v>
      </c>
      <c r="AJ325" s="75">
        <v>1.8713696341997779E-2</v>
      </c>
      <c r="AK325" s="63">
        <v>2.0727126853692174E-2</v>
      </c>
    </row>
  </sheetData>
  <mergeCells count="10">
    <mergeCell ref="V10:Z10"/>
    <mergeCell ref="V19:Z19"/>
    <mergeCell ref="F8:J8"/>
    <mergeCell ref="K8:O8"/>
    <mergeCell ref="AB8:AF8"/>
    <mergeCell ref="AG8:AK8"/>
    <mergeCell ref="F9:J9"/>
    <mergeCell ref="K9:O9"/>
    <mergeCell ref="AB9:AF9"/>
    <mergeCell ref="AG9:AK9"/>
  </mergeCells>
  <conditionalFormatting sqref="F31">
    <cfRule type="colorScale" priority="151">
      <colorScale>
        <cfvo type="min"/>
        <cfvo type="max"/>
        <color rgb="FFFFEF9C"/>
        <color rgb="FF63BE7B"/>
      </colorScale>
    </cfRule>
  </conditionalFormatting>
  <conditionalFormatting sqref="F12:J17">
    <cfRule type="colorScale" priority="159">
      <colorScale>
        <cfvo type="min"/>
        <cfvo type="max"/>
        <color rgb="FFFFEF9C"/>
        <color rgb="FF63BE7B"/>
      </colorScale>
    </cfRule>
  </conditionalFormatting>
  <conditionalFormatting sqref="F21:J27">
    <cfRule type="colorScale" priority="110">
      <colorScale>
        <cfvo type="min"/>
        <cfvo type="max"/>
        <color rgb="FFFFEF9C"/>
        <color rgb="FF63BE7B"/>
      </colorScale>
    </cfRule>
  </conditionalFormatting>
  <conditionalFormatting sqref="F31:J70 F72:J78 F80:J110">
    <cfRule type="colorScale" priority="157">
      <colorScale>
        <cfvo type="min"/>
        <cfvo type="max"/>
        <color rgb="FFFFEF9C"/>
        <color rgb="FF63BE7B"/>
      </colorScale>
    </cfRule>
  </conditionalFormatting>
  <conditionalFormatting sqref="F31:J70 F72:J78">
    <cfRule type="colorScale" priority="179">
      <colorScale>
        <cfvo type="min"/>
        <cfvo type="max"/>
        <color rgb="FFFFEF9C"/>
        <color rgb="FF63BE7B"/>
      </colorScale>
    </cfRule>
  </conditionalFormatting>
  <conditionalFormatting sqref="F31:J70 F72:J110">
    <cfRule type="colorScale" priority="181">
      <colorScale>
        <cfvo type="min"/>
        <cfvo type="max"/>
        <color rgb="FFFFEF9C"/>
        <color rgb="FF63BE7B"/>
      </colorScale>
    </cfRule>
  </conditionalFormatting>
  <conditionalFormatting sqref="F32:J50 G31:J31 F52:J70 F72:J78 F80:J110">
    <cfRule type="colorScale" priority="156">
      <colorScale>
        <cfvo type="min"/>
        <cfvo type="max"/>
        <color rgb="FFFFEF9C"/>
        <color rgb="FF63BE7B"/>
      </colorScale>
    </cfRule>
  </conditionalFormatting>
  <conditionalFormatting sqref="F45:J53 F290:J316">
    <cfRule type="cellIs" dxfId="55" priority="153" operator="lessThan">
      <formula>0</formula>
    </cfRule>
  </conditionalFormatting>
  <conditionalFormatting sqref="F51:J51">
    <cfRule type="colorScale" priority="152">
      <colorScale>
        <cfvo type="min"/>
        <cfvo type="max"/>
        <color rgb="FFFFEF9C"/>
        <color rgb="FF63BE7B"/>
      </colorScale>
    </cfRule>
  </conditionalFormatting>
  <conditionalFormatting sqref="F55:J60 F62:J65 F73:J75 F77:J78 F80:J98">
    <cfRule type="cellIs" dxfId="54" priority="155" operator="lessThan">
      <formula>0</formula>
    </cfRule>
  </conditionalFormatting>
  <conditionalFormatting sqref="F67:J71">
    <cfRule type="cellIs" dxfId="53" priority="50" operator="lessThan">
      <formula>0</formula>
    </cfRule>
  </conditionalFormatting>
  <conditionalFormatting sqref="F71:J71">
    <cfRule type="colorScale" priority="53">
      <colorScale>
        <cfvo type="min"/>
        <cfvo type="max"/>
        <color rgb="FFFFEF9C"/>
        <color rgb="FF63BE7B"/>
      </colorScale>
    </cfRule>
    <cfRule type="colorScale" priority="51">
      <colorScale>
        <cfvo type="min"/>
        <cfvo type="max"/>
        <color rgb="FFFFEF9C"/>
        <color rgb="FF63BE7B"/>
      </colorScale>
    </cfRule>
    <cfRule type="colorScale" priority="55">
      <colorScale>
        <cfvo type="min"/>
        <cfvo type="max"/>
        <color rgb="FFFFEF9C"/>
        <color rgb="FF63BE7B"/>
      </colorScale>
    </cfRule>
    <cfRule type="colorScale" priority="52">
      <colorScale>
        <cfvo type="min"/>
        <cfvo type="max"/>
        <color rgb="FFFFEF9C"/>
        <color rgb="FF63BE7B"/>
      </colorScale>
    </cfRule>
  </conditionalFormatting>
  <conditionalFormatting sqref="F79:J79">
    <cfRule type="colorScale" priority="148">
      <colorScale>
        <cfvo type="min"/>
        <cfvo type="max"/>
        <color rgb="FFFFEF9C"/>
        <color rgb="FF63BE7B"/>
      </colorScale>
    </cfRule>
    <cfRule type="colorScale" priority="149">
      <colorScale>
        <cfvo type="min"/>
        <cfvo type="max"/>
        <color rgb="FFFFEF9C"/>
        <color rgb="FF63BE7B"/>
      </colorScale>
    </cfRule>
    <cfRule type="colorScale" priority="150">
      <colorScale>
        <cfvo type="min"/>
        <cfvo type="max"/>
        <color rgb="FFFFEF9C"/>
        <color rgb="FF63BE7B"/>
      </colorScale>
    </cfRule>
  </conditionalFormatting>
  <conditionalFormatting sqref="F111:J113">
    <cfRule type="colorScale" priority="164">
      <colorScale>
        <cfvo type="min"/>
        <cfvo type="max"/>
        <color rgb="FFFFEF9C"/>
        <color rgb="FF63BE7B"/>
      </colorScale>
    </cfRule>
  </conditionalFormatting>
  <conditionalFormatting sqref="F114:J114">
    <cfRule type="colorScale" priority="162">
      <colorScale>
        <cfvo type="min"/>
        <cfvo type="max"/>
        <color rgb="FFFFEF9C"/>
        <color rgb="FF63BE7B"/>
      </colorScale>
    </cfRule>
    <cfRule type="colorScale" priority="160">
      <colorScale>
        <cfvo type="min"/>
        <cfvo type="max"/>
        <color rgb="FFFFEF9C"/>
        <color rgb="FF63BE7B"/>
      </colorScale>
    </cfRule>
    <cfRule type="colorScale" priority="161">
      <colorScale>
        <cfvo type="min"/>
        <cfvo type="max"/>
        <color rgb="FFFFEF9C"/>
        <color rgb="FF63BE7B"/>
      </colorScale>
    </cfRule>
  </conditionalFormatting>
  <conditionalFormatting sqref="F115:J134 F136:J138">
    <cfRule type="cellIs" dxfId="52" priority="143" operator="lessThan">
      <formula>0</formula>
    </cfRule>
  </conditionalFormatting>
  <conditionalFormatting sqref="F115:J134">
    <cfRule type="colorScale" priority="145">
      <colorScale>
        <cfvo type="min"/>
        <cfvo type="max"/>
        <color rgb="FFFFEF9C"/>
        <color rgb="FF63BE7B"/>
      </colorScale>
    </cfRule>
    <cfRule type="colorScale" priority="144">
      <colorScale>
        <cfvo type="min"/>
        <cfvo type="max"/>
        <color rgb="FFFFEF9C"/>
        <color rgb="FF63BE7B"/>
      </colorScale>
    </cfRule>
  </conditionalFormatting>
  <conditionalFormatting sqref="F115:J138">
    <cfRule type="colorScale" priority="147">
      <colorScale>
        <cfvo type="min"/>
        <cfvo type="max"/>
        <color rgb="FFFFEF9C"/>
        <color rgb="FF63BE7B"/>
      </colorScale>
    </cfRule>
  </conditionalFormatting>
  <conditionalFormatting sqref="F135:J135">
    <cfRule type="colorScale" priority="142">
      <colorScale>
        <cfvo type="min"/>
        <cfvo type="max"/>
        <color rgb="FFFFEF9C"/>
        <color rgb="FF63BE7B"/>
      </colorScale>
    </cfRule>
    <cfRule type="colorScale" priority="141">
      <colorScale>
        <cfvo type="min"/>
        <cfvo type="max"/>
        <color rgb="FFFFEF9C"/>
        <color rgb="FF63BE7B"/>
      </colorScale>
    </cfRule>
  </conditionalFormatting>
  <conditionalFormatting sqref="F136:J138">
    <cfRule type="colorScale" priority="146">
      <colorScale>
        <cfvo type="min"/>
        <cfvo type="max"/>
        <color rgb="FFFFEF9C"/>
        <color rgb="FF63BE7B"/>
      </colorScale>
    </cfRule>
  </conditionalFormatting>
  <conditionalFormatting sqref="F142:J142">
    <cfRule type="colorScale" priority="138">
      <colorScale>
        <cfvo type="min"/>
        <cfvo type="max"/>
        <color rgb="FFFFEF9C"/>
        <color rgb="FF63BE7B"/>
      </colorScale>
    </cfRule>
    <cfRule type="colorScale" priority="139">
      <colorScale>
        <cfvo type="min"/>
        <cfvo type="max"/>
        <color rgb="FFFFEF9C"/>
        <color rgb="FF63BE7B"/>
      </colorScale>
    </cfRule>
  </conditionalFormatting>
  <conditionalFormatting sqref="F143:J258 F260:J276 F320:J325">
    <cfRule type="cellIs" dxfId="51" priority="163" operator="lessThan">
      <formula>0</formula>
    </cfRule>
  </conditionalFormatting>
  <conditionalFormatting sqref="F143:J258">
    <cfRule type="colorScale" priority="168">
      <colorScale>
        <cfvo type="min"/>
        <cfvo type="max"/>
        <color rgb="FFFFEF9C"/>
        <color rgb="FF63BE7B"/>
      </colorScale>
    </cfRule>
  </conditionalFormatting>
  <conditionalFormatting sqref="F259:J259">
    <cfRule type="colorScale" priority="137">
      <colorScale>
        <cfvo type="min"/>
        <cfvo type="max"/>
        <color rgb="FFFFEF9C"/>
        <color rgb="FF63BE7B"/>
      </colorScale>
    </cfRule>
    <cfRule type="colorScale" priority="136">
      <colorScale>
        <cfvo type="min"/>
        <cfvo type="max"/>
        <color rgb="FFFFEF9C"/>
        <color rgb="FF63BE7B"/>
      </colorScale>
    </cfRule>
  </conditionalFormatting>
  <conditionalFormatting sqref="F260:J276">
    <cfRule type="colorScale" priority="175">
      <colorScale>
        <cfvo type="min"/>
        <cfvo type="max"/>
        <color rgb="FFFFEF9C"/>
        <color rgb="FF63BE7B"/>
      </colorScale>
    </cfRule>
  </conditionalFormatting>
  <conditionalFormatting sqref="F280:J286">
    <cfRule type="cellIs" dxfId="50" priority="134" operator="lessThan">
      <formula>0</formula>
    </cfRule>
    <cfRule type="colorScale" priority="135">
      <colorScale>
        <cfvo type="min"/>
        <cfvo type="max"/>
        <color rgb="FFFFEF9C"/>
        <color rgb="FF63BE7B"/>
      </colorScale>
    </cfRule>
  </conditionalFormatting>
  <conditionalFormatting sqref="F300:J310">
    <cfRule type="colorScale" priority="185">
      <colorScale>
        <cfvo type="min"/>
        <cfvo type="max"/>
        <color rgb="FFFFEF9C"/>
        <color rgb="FF63BE7B"/>
      </colorScale>
    </cfRule>
  </conditionalFormatting>
  <conditionalFormatting sqref="F311:J316 F290:J299">
    <cfRule type="colorScale" priority="132">
      <colorScale>
        <cfvo type="min"/>
        <cfvo type="max"/>
        <color rgb="FFFFEF9C"/>
        <color rgb="FF63BE7B"/>
      </colorScale>
    </cfRule>
  </conditionalFormatting>
  <conditionalFormatting sqref="F320:J325">
    <cfRule type="colorScale" priority="165">
      <colorScale>
        <cfvo type="min"/>
        <cfvo type="max"/>
        <color rgb="FFFFEF9C"/>
        <color rgb="FF63BE7B"/>
      </colorScale>
    </cfRule>
  </conditionalFormatting>
  <conditionalFormatting sqref="G31:J31 F32:J39 F41:J43 F100:J112">
    <cfRule type="cellIs" dxfId="49" priority="154" operator="lessThan">
      <formula>0</formula>
    </cfRule>
  </conditionalFormatting>
  <conditionalFormatting sqref="K12:O17">
    <cfRule type="colorScale" priority="158">
      <colorScale>
        <cfvo type="min"/>
        <cfvo type="max"/>
        <color theme="0"/>
        <color theme="8" tint="0.39997558519241921"/>
      </colorScale>
    </cfRule>
  </conditionalFormatting>
  <conditionalFormatting sqref="K21:O27">
    <cfRule type="colorScale" priority="109">
      <colorScale>
        <cfvo type="min"/>
        <cfvo type="max"/>
        <color theme="0"/>
        <color theme="8" tint="0.39997558519241921"/>
      </colorScale>
    </cfRule>
  </conditionalFormatting>
  <conditionalFormatting sqref="K31:O70 K72:O110">
    <cfRule type="colorScale" priority="180">
      <colorScale>
        <cfvo type="min"/>
        <cfvo type="max"/>
        <color theme="0"/>
        <color theme="8" tint="0.39997558519241921"/>
      </colorScale>
    </cfRule>
  </conditionalFormatting>
  <conditionalFormatting sqref="K71:O71">
    <cfRule type="colorScale" priority="54">
      <colorScale>
        <cfvo type="min"/>
        <cfvo type="max"/>
        <color theme="0"/>
        <color theme="8" tint="0.39997558519241921"/>
      </colorScale>
    </cfRule>
  </conditionalFormatting>
  <conditionalFormatting sqref="K115:O138">
    <cfRule type="colorScale" priority="140">
      <colorScale>
        <cfvo type="min"/>
        <cfvo type="max"/>
        <color theme="0"/>
        <color theme="8" tint="0.39997558519241921"/>
      </colorScale>
    </cfRule>
  </conditionalFormatting>
  <conditionalFormatting sqref="K143:O258">
    <cfRule type="colorScale" priority="169">
      <colorScale>
        <cfvo type="min"/>
        <cfvo type="max"/>
        <color theme="0"/>
        <color theme="8" tint="0.39997558519241921"/>
      </colorScale>
    </cfRule>
  </conditionalFormatting>
  <conditionalFormatting sqref="K260:O276">
    <cfRule type="colorScale" priority="176">
      <colorScale>
        <cfvo type="min"/>
        <cfvo type="max"/>
        <color theme="0"/>
        <color theme="8" tint="0.39997558519241921"/>
      </colorScale>
    </cfRule>
  </conditionalFormatting>
  <conditionalFormatting sqref="K280:O286">
    <cfRule type="colorScale" priority="133">
      <colorScale>
        <cfvo type="min"/>
        <cfvo type="max"/>
        <color theme="0"/>
        <color theme="8" tint="0.39997558519241921"/>
      </colorScale>
    </cfRule>
  </conditionalFormatting>
  <conditionalFormatting sqref="K290:O316">
    <cfRule type="colorScale" priority="186">
      <colorScale>
        <cfvo type="min"/>
        <cfvo type="max"/>
        <color theme="0"/>
        <color theme="8" tint="0.39997558519241921"/>
      </colorScale>
    </cfRule>
  </conditionalFormatting>
  <conditionalFormatting sqref="K320:O325">
    <cfRule type="colorScale" priority="166">
      <colorScale>
        <cfvo type="min"/>
        <cfvo type="max"/>
        <color theme="0"/>
        <color theme="8" tint="0.39997558519241921"/>
      </colorScale>
    </cfRule>
  </conditionalFormatting>
  <conditionalFormatting sqref="T31:T110">
    <cfRule type="colorScale" priority="182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14">
    <cfRule type="colorScale" priority="1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15:T138">
    <cfRule type="colorScale" priority="112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16:T134">
    <cfRule type="colorScale" priority="1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5">
    <cfRule type="colorScale" priority="1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6:T138">
    <cfRule type="colorScale" priority="1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9:T140">
    <cfRule type="colorScale" priority="1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42">
    <cfRule type="colorScale" priority="1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43:T276">
    <cfRule type="colorScale" priority="178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44:T258">
    <cfRule type="colorScale" priority="1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59">
    <cfRule type="colorScale" priority="1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60:T276">
    <cfRule type="colorScale" priority="1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78">
    <cfRule type="colorScale" priority="1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80:T286">
    <cfRule type="colorScale" priority="111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288">
    <cfRule type="colorScale" priority="1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90 T311 T292:T299">
    <cfRule type="colorScale" priority="1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91:T316">
    <cfRule type="colorScale" priority="187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292:T316">
    <cfRule type="colorScale" priority="1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00:T304">
    <cfRule type="colorScale" priority="1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05:T310">
    <cfRule type="colorScale" priority="1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2">
    <cfRule type="colorScale" priority="1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3:T314">
    <cfRule type="colorScale" priority="1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5">
    <cfRule type="colorScale" priority="1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6">
    <cfRule type="colorScale" priority="1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20:T325">
    <cfRule type="colorScale" priority="167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AB31">
    <cfRule type="colorScale" priority="20">
      <colorScale>
        <cfvo type="min"/>
        <cfvo type="max"/>
        <color rgb="FFFFEF9C"/>
        <color rgb="FF63BE7B"/>
      </colorScale>
    </cfRule>
  </conditionalFormatting>
  <conditionalFormatting sqref="AB12:AF17">
    <cfRule type="colorScale" priority="24">
      <colorScale>
        <cfvo type="min"/>
        <cfvo type="max"/>
        <color rgb="FFFFEF9C"/>
        <color rgb="FF63BE7B"/>
      </colorScale>
    </cfRule>
  </conditionalFormatting>
  <conditionalFormatting sqref="AB21:AF26">
    <cfRule type="colorScale" priority="5">
      <colorScale>
        <cfvo type="min"/>
        <cfvo type="max"/>
        <color rgb="FFFFEF9C"/>
        <color rgb="FF63BE7B"/>
      </colorScale>
    </cfRule>
  </conditionalFormatting>
  <conditionalFormatting sqref="AB31:AF110">
    <cfRule type="colorScale" priority="41">
      <colorScale>
        <cfvo type="min"/>
        <cfvo type="max"/>
        <color rgb="FFFFEF9C"/>
        <color rgb="FF63BE7B"/>
      </colorScale>
    </cfRule>
  </conditionalFormatting>
  <conditionalFormatting sqref="AB45:AF53">
    <cfRule type="cellIs" dxfId="48" priority="22" operator="lessThan">
      <formula>0</formula>
    </cfRule>
  </conditionalFormatting>
  <conditionalFormatting sqref="AB51:AF51">
    <cfRule type="colorScale" priority="21">
      <colorScale>
        <cfvo type="min"/>
        <cfvo type="max"/>
        <color rgb="FFFFEF9C"/>
        <color rgb="FF63BE7B"/>
      </colorScale>
    </cfRule>
  </conditionalFormatting>
  <conditionalFormatting sqref="AB55:AF60 AB62:AF65 AB67:AF71 AB73:AF75 AB77:AF78 AB80:AF98 AB115:AF134 AB136:AF138 AB143:AF258 AB260:AF276 AB320:AF325">
    <cfRule type="cellIs" dxfId="47" priority="25" operator="lessThan">
      <formula>0</formula>
    </cfRule>
  </conditionalFormatting>
  <conditionalFormatting sqref="AB62:AF65 AB52:AF53 AB32:AF39 AC31:AF31 AB41:AF43 AB45:AF50 AB55:AF60 AB80:AF98 AB67:AF71 AB73:AF75 AB100:AF110 AB77:AF78">
    <cfRule type="colorScale" priority="27">
      <colorScale>
        <cfvo type="min"/>
        <cfvo type="max"/>
        <color rgb="FFFFEF9C"/>
        <color rgb="FF63BE7B"/>
      </colorScale>
    </cfRule>
  </conditionalFormatting>
  <conditionalFormatting sqref="AB62:AF65 AB55:AF60 AB31:AF39 AB41:AF43 AB45:AF53 AB80:AF98 AB67:AF71 AB73:AF75 AB100:AF110 AB77:AF78">
    <cfRule type="colorScale" priority="28">
      <colorScale>
        <cfvo type="min"/>
        <cfvo type="max"/>
        <color rgb="FFFFEF9C"/>
        <color rgb="FF63BE7B"/>
      </colorScale>
    </cfRule>
  </conditionalFormatting>
  <conditionalFormatting sqref="AB115:AF134">
    <cfRule type="colorScale" priority="26">
      <colorScale>
        <cfvo type="min"/>
        <cfvo type="max"/>
        <color rgb="FFFFEF9C"/>
        <color rgb="FF63BE7B"/>
      </colorScale>
    </cfRule>
  </conditionalFormatting>
  <conditionalFormatting sqref="AB136:AF138 AB115:AF134">
    <cfRule type="colorScale" priority="30">
      <colorScale>
        <cfvo type="min"/>
        <cfvo type="max"/>
        <color rgb="FFFFEF9C"/>
        <color rgb="FF63BE7B"/>
      </colorScale>
    </cfRule>
  </conditionalFormatting>
  <conditionalFormatting sqref="AB136:AF138">
    <cfRule type="colorScale" priority="29">
      <colorScale>
        <cfvo type="min"/>
        <cfvo type="max"/>
        <color rgb="FFFFEF9C"/>
        <color rgb="FF63BE7B"/>
      </colorScale>
    </cfRule>
  </conditionalFormatting>
  <conditionalFormatting sqref="AB143:AF258">
    <cfRule type="colorScale" priority="38">
      <colorScale>
        <cfvo type="min"/>
        <cfvo type="max"/>
        <color rgb="FFFFEF9C"/>
        <color rgb="FF63BE7B"/>
      </colorScale>
    </cfRule>
  </conditionalFormatting>
  <conditionalFormatting sqref="AB260:AF276">
    <cfRule type="colorScale" priority="42">
      <colorScale>
        <cfvo type="min"/>
        <cfvo type="max"/>
        <color rgb="FFFFEF9C"/>
        <color rgb="FF63BE7B"/>
      </colorScale>
    </cfRule>
  </conditionalFormatting>
  <conditionalFormatting sqref="AB280:AF286">
    <cfRule type="cellIs" dxfId="46" priority="18" operator="lessThan">
      <formula>0</formula>
    </cfRule>
    <cfRule type="colorScale" priority="19">
      <colorScale>
        <cfvo type="min"/>
        <cfvo type="max"/>
        <color rgb="FFFFEF9C"/>
        <color rgb="FF63BE7B"/>
      </colorScale>
    </cfRule>
  </conditionalFormatting>
  <conditionalFormatting sqref="AB290:AF299">
    <cfRule type="colorScale" priority="31">
      <colorScale>
        <cfvo type="min"/>
        <cfvo type="max"/>
        <color rgb="FFFFEF9C"/>
        <color rgb="FF63BE7B"/>
      </colorScale>
    </cfRule>
  </conditionalFormatting>
  <conditionalFormatting sqref="AB290:AF316">
    <cfRule type="cellIs" dxfId="45" priority="1" operator="lessThan">
      <formula>0</formula>
    </cfRule>
  </conditionalFormatting>
  <conditionalFormatting sqref="AB300:AF303">
    <cfRule type="colorScale" priority="33">
      <colorScale>
        <cfvo type="min"/>
        <cfvo type="max"/>
        <color rgb="FFFFEF9C"/>
        <color rgb="FF63BE7B"/>
      </colorScale>
    </cfRule>
  </conditionalFormatting>
  <conditionalFormatting sqref="AB304:AF310">
    <cfRule type="colorScale" priority="13">
      <colorScale>
        <cfvo type="min"/>
        <cfvo type="max"/>
        <color rgb="FFFFEF9C"/>
        <color rgb="FF63BE7B"/>
      </colorScale>
    </cfRule>
  </conditionalFormatting>
  <conditionalFormatting sqref="AB311:AF311">
    <cfRule type="colorScale" priority="2">
      <colorScale>
        <cfvo type="min"/>
        <cfvo type="max"/>
        <color rgb="FFFFEF9C"/>
        <color rgb="FF63BE7B"/>
      </colorScale>
    </cfRule>
  </conditionalFormatting>
  <conditionalFormatting sqref="AB312:AF315">
    <cfRule type="colorScale" priority="10">
      <colorScale>
        <cfvo type="min"/>
        <cfvo type="max"/>
        <color rgb="FFFFEF9C"/>
        <color rgb="FF63BE7B"/>
      </colorScale>
    </cfRule>
  </conditionalFormatting>
  <conditionalFormatting sqref="AB316:AF316">
    <cfRule type="colorScale" priority="7">
      <colorScale>
        <cfvo type="min"/>
        <cfvo type="max"/>
        <color rgb="FFFFEF9C"/>
        <color rgb="FF63BE7B"/>
      </colorScale>
    </cfRule>
  </conditionalFormatting>
  <conditionalFormatting sqref="AB320:AF325">
    <cfRule type="colorScale" priority="35">
      <colorScale>
        <cfvo type="min"/>
        <cfvo type="max"/>
        <color rgb="FFFFEF9C"/>
        <color rgb="FF63BE7B"/>
      </colorScale>
    </cfRule>
  </conditionalFormatting>
  <conditionalFormatting sqref="AC290:AD316">
    <cfRule type="colorScale" priority="34">
      <colorScale>
        <cfvo type="min"/>
        <cfvo type="max"/>
        <color rgb="FFFFEF9C"/>
        <color rgb="FF63BE7B"/>
      </colorScale>
    </cfRule>
  </conditionalFormatting>
  <conditionalFormatting sqref="AC320:AD325">
    <cfRule type="colorScale" priority="37">
      <colorScale>
        <cfvo type="min"/>
        <cfvo type="max"/>
        <color rgb="FFFFEF9C"/>
        <color rgb="FF63BE7B"/>
      </colorScale>
    </cfRule>
  </conditionalFormatting>
  <conditionalFormatting sqref="AC31:AF31 AB32:AF39 AB41:AF43 AB100:AF112">
    <cfRule type="cellIs" dxfId="44" priority="23" operator="lessThan">
      <formula>0</formula>
    </cfRule>
  </conditionalFormatting>
  <conditionalFormatting sqref="AG12:AK17">
    <cfRule type="colorScale" priority="17">
      <colorScale>
        <cfvo type="min"/>
        <cfvo type="max"/>
        <color theme="0"/>
        <color theme="8" tint="0.39997558519241921"/>
      </colorScale>
    </cfRule>
  </conditionalFormatting>
  <conditionalFormatting sqref="AG21:AK26">
    <cfRule type="colorScale" priority="4">
      <colorScale>
        <cfvo type="min"/>
        <cfvo type="max"/>
        <color theme="0"/>
        <color theme="8" tint="0.39997558519241921"/>
      </colorScale>
    </cfRule>
  </conditionalFormatting>
  <conditionalFormatting sqref="AG31:AK110">
    <cfRule type="colorScale" priority="40">
      <colorScale>
        <cfvo type="min"/>
        <cfvo type="max"/>
        <color theme="0"/>
        <color theme="8" tint="0.39997558519241921"/>
      </colorScale>
    </cfRule>
  </conditionalFormatting>
  <conditionalFormatting sqref="AG115:AK138">
    <cfRule type="colorScale" priority="16">
      <colorScale>
        <cfvo type="min"/>
        <cfvo type="max"/>
        <color theme="0"/>
        <color theme="8" tint="0.39997558519241921"/>
      </colorScale>
    </cfRule>
  </conditionalFormatting>
  <conditionalFormatting sqref="AG143:AK258">
    <cfRule type="colorScale" priority="39">
      <colorScale>
        <cfvo type="min"/>
        <cfvo type="max"/>
        <color theme="0"/>
        <color theme="8" tint="0.39997558519241921"/>
      </colorScale>
    </cfRule>
  </conditionalFormatting>
  <conditionalFormatting sqref="AG260:AK276">
    <cfRule type="colorScale" priority="43">
      <colorScale>
        <cfvo type="min"/>
        <cfvo type="max"/>
        <color theme="0"/>
        <color theme="8" tint="0.39997558519241921"/>
      </colorScale>
    </cfRule>
  </conditionalFormatting>
  <conditionalFormatting sqref="AG280:AK286">
    <cfRule type="colorScale" priority="15">
      <colorScale>
        <cfvo type="min"/>
        <cfvo type="max"/>
        <color theme="0"/>
        <color theme="8" tint="0.39997558519241921"/>
      </colorScale>
    </cfRule>
  </conditionalFormatting>
  <conditionalFormatting sqref="AG290:AK303">
    <cfRule type="colorScale" priority="32">
      <colorScale>
        <cfvo type="min"/>
        <cfvo type="max"/>
        <color theme="0"/>
        <color theme="8" tint="0.39997558519241921"/>
      </colorScale>
    </cfRule>
  </conditionalFormatting>
  <conditionalFormatting sqref="AG304:AK310">
    <cfRule type="colorScale" priority="14">
      <colorScale>
        <cfvo type="min"/>
        <cfvo type="max"/>
        <color theme="0"/>
        <color theme="8" tint="0.39997558519241921"/>
      </colorScale>
    </cfRule>
  </conditionalFormatting>
  <conditionalFormatting sqref="AG311:AK311">
    <cfRule type="colorScale" priority="3">
      <colorScale>
        <cfvo type="min"/>
        <cfvo type="max"/>
        <color theme="0"/>
        <color theme="8" tint="0.39997558519241921"/>
      </colorScale>
    </cfRule>
  </conditionalFormatting>
  <conditionalFormatting sqref="AG312:AK315">
    <cfRule type="colorScale" priority="11">
      <colorScale>
        <cfvo type="min"/>
        <cfvo type="max"/>
        <color theme="0"/>
        <color theme="8" tint="0.39997558519241921"/>
      </colorScale>
    </cfRule>
  </conditionalFormatting>
  <conditionalFormatting sqref="AG316:AK316">
    <cfRule type="colorScale" priority="8">
      <colorScale>
        <cfvo type="min"/>
        <cfvo type="max"/>
        <color theme="0"/>
        <color theme="8" tint="0.39997558519241921"/>
      </colorScale>
    </cfRule>
  </conditionalFormatting>
  <conditionalFormatting sqref="AG320:AK325">
    <cfRule type="colorScale" priority="36">
      <colorScale>
        <cfvo type="min"/>
        <cfvo type="max"/>
        <color theme="0"/>
        <color theme="8" tint="0.39997558519241921"/>
      </colorScale>
    </cfRule>
  </conditionalFormatting>
  <pageMargins left="0.7" right="0.7" top="0.75" bottom="0.75" header="0.3" footer="0.3"/>
  <pageSetup orientation="portrait" r:id="rId1"/>
  <headerFooter>
    <oddFooter>&amp;C&amp;1#&amp;"Calibri"&amp;10&amp;K000000 For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7B4C7-8C08-4007-A1CB-19054B91E49C}">
  <sheetPr>
    <tabColor theme="7" tint="0.39997558519241921"/>
  </sheetPr>
  <dimension ref="B2:AK325"/>
  <sheetViews>
    <sheetView showGridLines="0" zoomScale="85" zoomScaleNormal="85" workbookViewId="0">
      <selection activeCell="B7" sqref="B7"/>
    </sheetView>
  </sheetViews>
  <sheetFormatPr defaultRowHeight="14.5" x14ac:dyDescent="0.35"/>
  <cols>
    <col min="1" max="1" width="8.7265625" style="52"/>
    <col min="2" max="2" width="76" style="52" bestFit="1" customWidth="1"/>
    <col min="3" max="3" width="16.1796875" style="52" bestFit="1" customWidth="1"/>
    <col min="4" max="4" width="24" style="52" bestFit="1" customWidth="1"/>
    <col min="5" max="5" width="21" style="52" bestFit="1" customWidth="1"/>
    <col min="6" max="7" width="7.81640625" style="52" bestFit="1" customWidth="1"/>
    <col min="8" max="10" width="7.1796875" style="52" bestFit="1" customWidth="1"/>
    <col min="11" max="11" width="6.81640625" style="52" bestFit="1" customWidth="1"/>
    <col min="12" max="15" width="6.1796875" style="52" bestFit="1" customWidth="1"/>
    <col min="16" max="16" width="15.26953125" style="52" bestFit="1" customWidth="1"/>
    <col min="17" max="17" width="22.1796875" style="52" bestFit="1" customWidth="1"/>
    <col min="18" max="18" width="13.7265625" style="52" bestFit="1" customWidth="1"/>
    <col min="19" max="19" width="9.54296875" style="52" bestFit="1" customWidth="1"/>
    <col min="20" max="20" width="19.81640625" style="52" bestFit="1" customWidth="1"/>
    <col min="21" max="21" width="8.7265625" style="52"/>
    <col min="22" max="26" width="4.7265625" style="52" hidden="1" customWidth="1"/>
    <col min="27" max="27" width="0" style="52" hidden="1" customWidth="1"/>
    <col min="28" max="37" width="6.1796875" style="52" hidden="1" customWidth="1"/>
    <col min="38" max="16384" width="8.7265625" style="52"/>
  </cols>
  <sheetData>
    <row r="2" spans="2:37" ht="15" thickBot="1" x14ac:dyDescent="0.4">
      <c r="C2" s="129" t="s">
        <v>9</v>
      </c>
      <c r="D2" s="129" t="s">
        <v>10</v>
      </c>
      <c r="E2" s="129" t="s">
        <v>11</v>
      </c>
      <c r="F2" s="129" t="s">
        <v>12</v>
      </c>
      <c r="G2" s="129" t="s">
        <v>13</v>
      </c>
    </row>
    <row r="3" spans="2:37" ht="17.5" thickBot="1" x14ac:dyDescent="0.45">
      <c r="B3" s="51" t="s">
        <v>218</v>
      </c>
      <c r="C3" s="128">
        <f>C4</f>
        <v>0.998</v>
      </c>
      <c r="D3" s="130">
        <f>D4</f>
        <v>0.99399999999999999</v>
      </c>
      <c r="E3" s="130">
        <f>E4</f>
        <v>0.99399999999999999</v>
      </c>
      <c r="F3" s="130">
        <f>F4</f>
        <v>0.99399999999999999</v>
      </c>
      <c r="G3" s="130">
        <f>G4</f>
        <v>0.99399999999999999</v>
      </c>
    </row>
    <row r="4" spans="2:37" x14ac:dyDescent="0.35">
      <c r="B4" s="52" t="s">
        <v>217</v>
      </c>
      <c r="C4" s="131">
        <v>0.998</v>
      </c>
      <c r="D4" s="131">
        <v>0.99399999999999999</v>
      </c>
      <c r="E4" s="131">
        <v>0.99399999999999999</v>
      </c>
      <c r="F4" s="131">
        <v>0.99399999999999999</v>
      </c>
      <c r="G4" s="131">
        <v>0.99399999999999999</v>
      </c>
    </row>
    <row r="8" spans="2:37" x14ac:dyDescent="0.35">
      <c r="F8" s="158" t="s">
        <v>220</v>
      </c>
      <c r="G8" s="159"/>
      <c r="H8" s="159"/>
      <c r="I8" s="159"/>
      <c r="J8" s="160"/>
      <c r="K8" s="158" t="s">
        <v>297</v>
      </c>
      <c r="L8" s="159"/>
      <c r="M8" s="159"/>
      <c r="N8" s="159"/>
      <c r="O8" s="160"/>
      <c r="AB8" s="158" t="s">
        <v>220</v>
      </c>
      <c r="AC8" s="159"/>
      <c r="AD8" s="159"/>
      <c r="AE8" s="159"/>
      <c r="AF8" s="160"/>
      <c r="AG8" s="158" t="s">
        <v>299</v>
      </c>
      <c r="AH8" s="159"/>
      <c r="AI8" s="159"/>
      <c r="AJ8" s="159"/>
      <c r="AK8" s="160"/>
    </row>
    <row r="9" spans="2:37" x14ac:dyDescent="0.35">
      <c r="F9" s="155" t="s">
        <v>1</v>
      </c>
      <c r="G9" s="156"/>
      <c r="H9" s="156"/>
      <c r="I9" s="156"/>
      <c r="J9" s="157"/>
      <c r="K9" s="155" t="s">
        <v>2</v>
      </c>
      <c r="L9" s="156"/>
      <c r="M9" s="156"/>
      <c r="N9" s="156"/>
      <c r="O9" s="157"/>
      <c r="AB9" s="155" t="s">
        <v>1</v>
      </c>
      <c r="AC9" s="156"/>
      <c r="AD9" s="156"/>
      <c r="AE9" s="156"/>
      <c r="AF9" s="157"/>
      <c r="AG9" s="155" t="s">
        <v>2</v>
      </c>
      <c r="AH9" s="156"/>
      <c r="AI9" s="156"/>
      <c r="AJ9" s="156"/>
      <c r="AK9" s="157"/>
    </row>
    <row r="10" spans="2:37" ht="15.5" x14ac:dyDescent="0.35">
      <c r="B10" s="121" t="s">
        <v>3</v>
      </c>
      <c r="C10" s="122"/>
      <c r="D10" s="122"/>
      <c r="E10" s="122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Q10" s="125"/>
      <c r="R10" s="125"/>
      <c r="S10" s="125"/>
      <c r="T10" s="125"/>
      <c r="V10" s="155" t="s">
        <v>412</v>
      </c>
      <c r="W10" s="156"/>
      <c r="X10" s="156"/>
      <c r="Y10" s="156"/>
      <c r="Z10" s="157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</row>
    <row r="11" spans="2:37" x14ac:dyDescent="0.35">
      <c r="B11" s="84" t="s">
        <v>5</v>
      </c>
      <c r="C11" s="83" t="s">
        <v>6</v>
      </c>
      <c r="D11" s="83" t="s">
        <v>7</v>
      </c>
      <c r="E11" s="83" t="s">
        <v>8</v>
      </c>
      <c r="F11" s="82" t="s">
        <v>9</v>
      </c>
      <c r="G11" s="81" t="s">
        <v>10</v>
      </c>
      <c r="H11" s="81" t="s">
        <v>11</v>
      </c>
      <c r="I11" s="81" t="s">
        <v>12</v>
      </c>
      <c r="J11" s="80" t="s">
        <v>13</v>
      </c>
      <c r="K11" s="82" t="s">
        <v>9</v>
      </c>
      <c r="L11" s="81" t="s">
        <v>10</v>
      </c>
      <c r="M11" s="81" t="s">
        <v>11</v>
      </c>
      <c r="N11" s="81" t="s">
        <v>12</v>
      </c>
      <c r="O11" s="80" t="s">
        <v>13</v>
      </c>
      <c r="P11" s="69" t="s">
        <v>14</v>
      </c>
      <c r="Q11" s="57" t="s">
        <v>15</v>
      </c>
      <c r="R11" s="57" t="s">
        <v>16</v>
      </c>
      <c r="S11" s="57" t="s">
        <v>413</v>
      </c>
      <c r="T11" s="57" t="s">
        <v>18</v>
      </c>
      <c r="V11" s="109" t="s">
        <v>9</v>
      </c>
      <c r="W11" s="105" t="s">
        <v>10</v>
      </c>
      <c r="X11" s="105" t="s">
        <v>11</v>
      </c>
      <c r="Y11" s="105" t="s">
        <v>12</v>
      </c>
      <c r="Z11" s="110" t="s">
        <v>13</v>
      </c>
      <c r="AB11" s="82" t="s">
        <v>9</v>
      </c>
      <c r="AC11" s="81" t="s">
        <v>10</v>
      </c>
      <c r="AD11" s="81" t="s">
        <v>11</v>
      </c>
      <c r="AE11" s="81" t="s">
        <v>12</v>
      </c>
      <c r="AF11" s="80" t="s">
        <v>13</v>
      </c>
      <c r="AG11" s="82" t="s">
        <v>9</v>
      </c>
      <c r="AH11" s="81" t="s">
        <v>10</v>
      </c>
      <c r="AI11" s="81" t="s">
        <v>11</v>
      </c>
      <c r="AJ11" s="81" t="s">
        <v>12</v>
      </c>
      <c r="AK11" s="80" t="s">
        <v>13</v>
      </c>
    </row>
    <row r="12" spans="2:37" x14ac:dyDescent="0.35">
      <c r="B12" s="55" t="s">
        <v>19</v>
      </c>
      <c r="C12" s="123"/>
      <c r="D12" s="11" t="s">
        <v>20</v>
      </c>
      <c r="E12" s="123"/>
      <c r="F12" s="74" t="str">
        <f t="shared" ref="F12:J17" si="0">IF(ISNUMBER(AB12),AB12-((C$4-C$3)/V12),"")</f>
        <v/>
      </c>
      <c r="G12" s="79">
        <f t="shared" si="0"/>
        <v>4.8068576350153963E-2</v>
      </c>
      <c r="H12" s="79">
        <f t="shared" si="0"/>
        <v>5.2004567612795746E-2</v>
      </c>
      <c r="I12" s="79">
        <f t="shared" si="0"/>
        <v>5.5554302886213019E-2</v>
      </c>
      <c r="J12" s="61">
        <f t="shared" si="0"/>
        <v>5.9783202372398196E-2</v>
      </c>
      <c r="K12" s="88" t="str">
        <f t="shared" ref="K12:O17" si="1">IF(ISNUMBER(AG12),IF(AG12-((C$4-C$3)/V12)&lt;0,"",AG12-((C$4-C$3)/V12)),"")</f>
        <v/>
      </c>
      <c r="L12" s="86">
        <f t="shared" si="1"/>
        <v>6.3983599501539704E-3</v>
      </c>
      <c r="M12" s="86">
        <f t="shared" si="1"/>
        <v>1.0232829112795747E-2</v>
      </c>
      <c r="N12" s="86">
        <f t="shared" si="1"/>
        <v>1.2995538486213024E-2</v>
      </c>
      <c r="O12" s="89">
        <f t="shared" si="1"/>
        <v>1.5729873172398205E-2</v>
      </c>
      <c r="P12" s="15"/>
      <c r="Q12" s="132"/>
      <c r="R12" s="132"/>
      <c r="S12" s="132"/>
      <c r="T12" s="16"/>
      <c r="V12" s="17">
        <v>1.11062455</v>
      </c>
      <c r="W12" s="18">
        <v>2.8580098399999998</v>
      </c>
      <c r="X12" s="18">
        <v>4.3982281700000003</v>
      </c>
      <c r="Y12" s="18">
        <v>5.7146113500000002</v>
      </c>
      <c r="Z12" s="19">
        <v>7.3324319099999995</v>
      </c>
      <c r="AB12" s="74"/>
      <c r="AC12" s="79">
        <v>4.8068576350153963E-2</v>
      </c>
      <c r="AD12" s="79">
        <v>5.2004567612795746E-2</v>
      </c>
      <c r="AE12" s="79">
        <v>5.5554302886213019E-2</v>
      </c>
      <c r="AF12" s="61">
        <v>5.9783202372398196E-2</v>
      </c>
      <c r="AG12" s="79"/>
      <c r="AH12" s="79">
        <v>6.3983599501539704E-3</v>
      </c>
      <c r="AI12" s="79">
        <v>1.0232829112795747E-2</v>
      </c>
      <c r="AJ12" s="79">
        <v>1.2995538486213024E-2</v>
      </c>
      <c r="AK12" s="79">
        <v>1.5729873172398205E-2</v>
      </c>
    </row>
    <row r="13" spans="2:37" x14ac:dyDescent="0.35">
      <c r="B13" s="54" t="s">
        <v>22</v>
      </c>
      <c r="C13" s="122"/>
      <c r="D13" s="20" t="s">
        <v>23</v>
      </c>
      <c r="E13" s="122"/>
      <c r="F13" s="72">
        <f t="shared" si="0"/>
        <v>4.1674057159380405E-2</v>
      </c>
      <c r="G13" s="70">
        <f t="shared" si="0"/>
        <v>4.8390610971220473E-2</v>
      </c>
      <c r="H13" s="70">
        <f t="shared" si="0"/>
        <v>5.2685799990909596E-2</v>
      </c>
      <c r="I13" s="70">
        <f t="shared" si="0"/>
        <v>5.6255664329489058E-2</v>
      </c>
      <c r="J13" s="62">
        <f t="shared" si="0"/>
        <v>6.0445427104090649E-2</v>
      </c>
      <c r="K13" s="85" t="str">
        <f t="shared" si="1"/>
        <v/>
      </c>
      <c r="L13" s="67">
        <f t="shared" si="1"/>
        <v>6.6975716712204857E-3</v>
      </c>
      <c r="M13" s="67">
        <f t="shared" si="1"/>
        <v>1.0873029890909606E-2</v>
      </c>
      <c r="N13" s="67">
        <f t="shared" si="1"/>
        <v>1.3657650729489056E-2</v>
      </c>
      <c r="O13" s="90">
        <f t="shared" si="1"/>
        <v>1.6359579304090648E-2</v>
      </c>
      <c r="P13" s="24"/>
      <c r="Q13" s="25"/>
      <c r="R13" s="25"/>
      <c r="S13" s="25"/>
      <c r="T13" s="26"/>
      <c r="V13" s="27">
        <v>1.11501297</v>
      </c>
      <c r="W13" s="28">
        <v>2.86184694</v>
      </c>
      <c r="X13" s="28">
        <v>4.3940738700000006</v>
      </c>
      <c r="Y13" s="28">
        <v>5.6998341199999993</v>
      </c>
      <c r="Z13" s="29">
        <v>7.3012165000000007</v>
      </c>
      <c r="AB13" s="72">
        <v>4.1674057159380405E-2</v>
      </c>
      <c r="AC13" s="70">
        <v>4.8390610971220473E-2</v>
      </c>
      <c r="AD13" s="70">
        <v>5.2685799990909596E-2</v>
      </c>
      <c r="AE13" s="70">
        <v>5.6255664329489058E-2</v>
      </c>
      <c r="AF13" s="62">
        <v>6.0445427104090649E-2</v>
      </c>
      <c r="AG13" s="70" t="s">
        <v>21</v>
      </c>
      <c r="AH13" s="70">
        <v>6.6975716712204857E-3</v>
      </c>
      <c r="AI13" s="70">
        <v>1.0873029890909606E-2</v>
      </c>
      <c r="AJ13" s="70">
        <v>1.3657650729489056E-2</v>
      </c>
      <c r="AK13" s="70">
        <v>1.6359579304090648E-2</v>
      </c>
    </row>
    <row r="14" spans="2:37" x14ac:dyDescent="0.35">
      <c r="B14" s="55" t="s">
        <v>24</v>
      </c>
      <c r="C14" s="123"/>
      <c r="D14" s="11" t="s">
        <v>20</v>
      </c>
      <c r="E14" s="123"/>
      <c r="F14" s="74">
        <f t="shared" si="0"/>
        <v>6.6021752263801081E-2</v>
      </c>
      <c r="G14" s="79">
        <f t="shared" si="0"/>
        <v>7.4250934163362467E-2</v>
      </c>
      <c r="H14" s="79">
        <f t="shared" si="0"/>
        <v>8.101095272404453E-2</v>
      </c>
      <c r="I14" s="79" t="str">
        <f t="shared" si="0"/>
        <v/>
      </c>
      <c r="J14" s="61" t="str">
        <f t="shared" si="0"/>
        <v/>
      </c>
      <c r="K14" s="88">
        <f t="shared" si="1"/>
        <v>2.2862489663801108E-2</v>
      </c>
      <c r="L14" s="86">
        <f t="shared" si="1"/>
        <v>3.0975083063362469E-2</v>
      </c>
      <c r="M14" s="86">
        <f t="shared" si="1"/>
        <v>3.7339211324044524E-2</v>
      </c>
      <c r="N14" s="86" t="str">
        <f t="shared" si="1"/>
        <v/>
      </c>
      <c r="O14" s="89" t="str">
        <f t="shared" si="1"/>
        <v/>
      </c>
      <c r="P14" s="15"/>
      <c r="Q14" s="132"/>
      <c r="R14" s="132"/>
      <c r="S14" s="132"/>
      <c r="T14" s="16"/>
      <c r="V14" s="17">
        <v>1.0784823000000001</v>
      </c>
      <c r="W14" s="18">
        <v>2.6662056299999999</v>
      </c>
      <c r="X14" s="18">
        <v>3.9536605799999998</v>
      </c>
      <c r="Y14" s="18">
        <v>4.9855123099999998</v>
      </c>
      <c r="Z14" s="19">
        <v>6.1781157799999997</v>
      </c>
      <c r="AB14" s="74">
        <v>6.6021752263801081E-2</v>
      </c>
      <c r="AC14" s="79">
        <v>7.4250934163362467E-2</v>
      </c>
      <c r="AD14" s="79">
        <v>8.101095272404453E-2</v>
      </c>
      <c r="AE14" s="79"/>
      <c r="AF14" s="61"/>
      <c r="AG14" s="79">
        <v>2.2862489663801108E-2</v>
      </c>
      <c r="AH14" s="79">
        <v>3.0975083063362469E-2</v>
      </c>
      <c r="AI14" s="79">
        <v>3.7339211324044524E-2</v>
      </c>
      <c r="AJ14" s="79"/>
      <c r="AK14" s="79"/>
    </row>
    <row r="15" spans="2:37" x14ac:dyDescent="0.35">
      <c r="B15" s="56" t="s">
        <v>25</v>
      </c>
      <c r="C15" s="124"/>
      <c r="D15" s="20" t="s">
        <v>23</v>
      </c>
      <c r="E15" s="124"/>
      <c r="F15" s="73">
        <f t="shared" si="0"/>
        <v>5.3571297813671696E-2</v>
      </c>
      <c r="G15" s="75">
        <f t="shared" si="0"/>
        <v>7.0073628528350904E-2</v>
      </c>
      <c r="H15" s="75">
        <f t="shared" si="0"/>
        <v>8.151072012745228E-2</v>
      </c>
      <c r="I15" s="75">
        <f t="shared" si="0"/>
        <v>8.683572375286179E-2</v>
      </c>
      <c r="J15" s="63">
        <f t="shared" si="0"/>
        <v>9.2879235198636431E-2</v>
      </c>
      <c r="K15" s="91">
        <f t="shared" si="1"/>
        <v>1.1008117313671703E-2</v>
      </c>
      <c r="L15" s="87">
        <f t="shared" si="1"/>
        <v>2.6987240028350908E-2</v>
      </c>
      <c r="M15" s="87">
        <f t="shared" si="1"/>
        <v>3.755921612745227E-2</v>
      </c>
      <c r="N15" s="87">
        <f t="shared" si="1"/>
        <v>4.192662165286179E-2</v>
      </c>
      <c r="O15" s="92">
        <f t="shared" si="1"/>
        <v>4.6411789198636422E-2</v>
      </c>
      <c r="P15" s="33"/>
      <c r="Q15" s="133"/>
      <c r="R15" s="133"/>
      <c r="S15" s="133"/>
      <c r="T15" s="34"/>
      <c r="V15" s="27">
        <v>1.0708171500000001</v>
      </c>
      <c r="W15" s="28">
        <v>2.6627576100000003</v>
      </c>
      <c r="X15" s="28">
        <v>3.9068649099999999</v>
      </c>
      <c r="Y15" s="28">
        <v>4.8487798800000004</v>
      </c>
      <c r="Z15" s="29">
        <v>5.84969289</v>
      </c>
      <c r="AB15" s="73">
        <v>5.3571297813671696E-2</v>
      </c>
      <c r="AC15" s="75">
        <v>7.0073628528350904E-2</v>
      </c>
      <c r="AD15" s="75">
        <v>8.151072012745228E-2</v>
      </c>
      <c r="AE15" s="75">
        <v>8.683572375286179E-2</v>
      </c>
      <c r="AF15" s="63">
        <v>9.2879235198636431E-2</v>
      </c>
      <c r="AG15" s="75">
        <v>1.1008117313671703E-2</v>
      </c>
      <c r="AH15" s="75">
        <v>2.6987240028350908E-2</v>
      </c>
      <c r="AI15" s="75">
        <v>3.755921612745227E-2</v>
      </c>
      <c r="AJ15" s="75">
        <v>4.192662165286179E-2</v>
      </c>
      <c r="AK15" s="75">
        <v>4.6411789198636422E-2</v>
      </c>
    </row>
    <row r="16" spans="2:37" x14ac:dyDescent="0.35">
      <c r="B16" s="54" t="s">
        <v>26</v>
      </c>
      <c r="C16" s="122"/>
      <c r="D16" s="11" t="s">
        <v>23</v>
      </c>
      <c r="E16" s="122"/>
      <c r="F16" s="72">
        <f t="shared" si="0"/>
        <v>4.1931114647729438E-2</v>
      </c>
      <c r="G16" s="70">
        <f t="shared" si="0"/>
        <v>4.8630628271795484E-2</v>
      </c>
      <c r="H16" s="70">
        <f t="shared" si="0"/>
        <v>5.337973178247004E-2</v>
      </c>
      <c r="I16" s="70" t="str">
        <f t="shared" si="0"/>
        <v/>
      </c>
      <c r="J16" s="62" t="str">
        <f t="shared" si="0"/>
        <v/>
      </c>
      <c r="K16" s="85" t="str">
        <f t="shared" si="1"/>
        <v/>
      </c>
      <c r="L16" s="67">
        <f t="shared" si="1"/>
        <v>6.9319822717954938E-3</v>
      </c>
      <c r="M16" s="67">
        <f t="shared" si="1"/>
        <v>1.1536944282470044E-2</v>
      </c>
      <c r="N16" s="67" t="str">
        <f t="shared" si="1"/>
        <v/>
      </c>
      <c r="O16" s="90" t="str">
        <f t="shared" si="1"/>
        <v/>
      </c>
      <c r="P16" s="24"/>
      <c r="Q16" s="25"/>
      <c r="R16" s="25"/>
      <c r="S16" s="25"/>
      <c r="T16" s="26"/>
      <c r="V16" s="17">
        <v>1.1040885300000001</v>
      </c>
      <c r="W16" s="18">
        <v>2.8253561</v>
      </c>
      <c r="X16" s="18">
        <v>4.3483261199999994</v>
      </c>
      <c r="Y16" s="18">
        <v>5.6218750900000005</v>
      </c>
      <c r="Z16" s="19">
        <v>7.1402587399999993</v>
      </c>
      <c r="AB16" s="72">
        <v>4.1931114647729438E-2</v>
      </c>
      <c r="AC16" s="70">
        <v>4.8630628271795484E-2</v>
      </c>
      <c r="AD16" s="70">
        <v>5.337973178247004E-2</v>
      </c>
      <c r="AE16" s="70"/>
      <c r="AF16" s="62"/>
      <c r="AG16" s="70" t="s">
        <v>21</v>
      </c>
      <c r="AH16" s="70">
        <v>6.9319822717954938E-3</v>
      </c>
      <c r="AI16" s="70">
        <v>1.1536944282470044E-2</v>
      </c>
      <c r="AJ16" s="70"/>
      <c r="AK16" s="70"/>
    </row>
    <row r="17" spans="2:37" x14ac:dyDescent="0.35">
      <c r="B17" s="56" t="s">
        <v>27</v>
      </c>
      <c r="C17" s="124"/>
      <c r="D17" s="35" t="s">
        <v>23</v>
      </c>
      <c r="E17" s="124"/>
      <c r="F17" s="73" t="str">
        <f t="shared" si="0"/>
        <v/>
      </c>
      <c r="G17" s="75">
        <f t="shared" si="0"/>
        <v>5.1299177100618716E-2</v>
      </c>
      <c r="H17" s="75">
        <f t="shared" si="0"/>
        <v>5.8175702869915899E-2</v>
      </c>
      <c r="I17" s="75" t="str">
        <f t="shared" si="0"/>
        <v/>
      </c>
      <c r="J17" s="63">
        <f t="shared" si="0"/>
        <v>7.3014621212826661E-2</v>
      </c>
      <c r="K17" s="91" t="str">
        <f t="shared" si="1"/>
        <v/>
      </c>
      <c r="L17" s="87">
        <f t="shared" si="1"/>
        <v>9.5183085006187163E-3</v>
      </c>
      <c r="M17" s="87">
        <f t="shared" si="1"/>
        <v>1.6165195569915906E-2</v>
      </c>
      <c r="N17" s="87" t="str">
        <f t="shared" si="1"/>
        <v/>
      </c>
      <c r="O17" s="92">
        <f t="shared" si="1"/>
        <v>2.8366495112826656E-2</v>
      </c>
      <c r="P17" s="33"/>
      <c r="Q17" s="133"/>
      <c r="R17" s="133"/>
      <c r="S17" s="133"/>
      <c r="T17" s="34"/>
      <c r="V17" s="36">
        <v>1.1004231499999999</v>
      </c>
      <c r="W17" s="37">
        <v>2.8071467800000001</v>
      </c>
      <c r="X17" s="37">
        <v>4.3077624600000002</v>
      </c>
      <c r="Y17" s="37">
        <v>5.5394182199999999</v>
      </c>
      <c r="Z17" s="38">
        <v>6.9670829599999999</v>
      </c>
      <c r="AB17" s="73"/>
      <c r="AC17" s="75">
        <v>5.1299177100618716E-2</v>
      </c>
      <c r="AD17" s="75">
        <v>5.8175702869915899E-2</v>
      </c>
      <c r="AE17" s="75"/>
      <c r="AF17" s="63">
        <v>7.3014621212826661E-2</v>
      </c>
      <c r="AG17" s="75"/>
      <c r="AH17" s="75">
        <v>9.5183085006187163E-3</v>
      </c>
      <c r="AI17" s="75">
        <v>1.6165195569915906E-2</v>
      </c>
      <c r="AJ17" s="75"/>
      <c r="AK17" s="75">
        <v>2.8366495112826656E-2</v>
      </c>
    </row>
    <row r="18" spans="2:37" x14ac:dyDescent="0.35">
      <c r="C18" s="122"/>
      <c r="D18" s="122"/>
      <c r="E18" s="122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V18" s="40"/>
      <c r="W18" s="40"/>
      <c r="X18" s="40"/>
      <c r="Y18" s="40"/>
      <c r="Z18" s="40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</row>
    <row r="19" spans="2:37" ht="15.5" x14ac:dyDescent="0.35">
      <c r="B19" s="121" t="s">
        <v>223</v>
      </c>
      <c r="C19" s="122"/>
      <c r="D19" s="122"/>
      <c r="E19" s="122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Q19" s="125"/>
      <c r="R19" s="125"/>
      <c r="S19" s="125"/>
      <c r="T19" s="125"/>
      <c r="V19" s="155" t="s">
        <v>412</v>
      </c>
      <c r="W19" s="156"/>
      <c r="X19" s="156"/>
      <c r="Y19" s="156"/>
      <c r="Z19" s="157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</row>
    <row r="20" spans="2:37" x14ac:dyDescent="0.35">
      <c r="B20" s="84" t="s">
        <v>5</v>
      </c>
      <c r="C20" s="83" t="s">
        <v>6</v>
      </c>
      <c r="D20" s="83" t="s">
        <v>7</v>
      </c>
      <c r="E20" s="83" t="s">
        <v>8</v>
      </c>
      <c r="F20" s="82" t="s">
        <v>9</v>
      </c>
      <c r="G20" s="81" t="s">
        <v>10</v>
      </c>
      <c r="H20" s="81" t="s">
        <v>11</v>
      </c>
      <c r="I20" s="81" t="s">
        <v>12</v>
      </c>
      <c r="J20" s="80" t="s">
        <v>13</v>
      </c>
      <c r="K20" s="82" t="s">
        <v>9</v>
      </c>
      <c r="L20" s="81" t="s">
        <v>10</v>
      </c>
      <c r="M20" s="81" t="s">
        <v>11</v>
      </c>
      <c r="N20" s="81" t="s">
        <v>12</v>
      </c>
      <c r="O20" s="80" t="s">
        <v>13</v>
      </c>
      <c r="P20" s="69" t="s">
        <v>14</v>
      </c>
      <c r="Q20" s="57" t="s">
        <v>15</v>
      </c>
      <c r="R20" s="57" t="s">
        <v>16</v>
      </c>
      <c r="S20" s="57" t="s">
        <v>413</v>
      </c>
      <c r="T20" s="57" t="s">
        <v>18</v>
      </c>
      <c r="V20" s="109" t="s">
        <v>9</v>
      </c>
      <c r="W20" s="105" t="s">
        <v>10</v>
      </c>
      <c r="X20" s="105" t="s">
        <v>11</v>
      </c>
      <c r="Y20" s="105" t="s">
        <v>12</v>
      </c>
      <c r="Z20" s="110" t="s">
        <v>13</v>
      </c>
      <c r="AB20" s="82" t="s">
        <v>9</v>
      </c>
      <c r="AC20" s="81" t="s">
        <v>10</v>
      </c>
      <c r="AD20" s="81" t="s">
        <v>11</v>
      </c>
      <c r="AE20" s="81" t="s">
        <v>12</v>
      </c>
      <c r="AF20" s="80" t="s">
        <v>13</v>
      </c>
      <c r="AG20" s="82" t="s">
        <v>9</v>
      </c>
      <c r="AH20" s="81" t="s">
        <v>10</v>
      </c>
      <c r="AI20" s="81" t="s">
        <v>11</v>
      </c>
      <c r="AJ20" s="81" t="s">
        <v>12</v>
      </c>
      <c r="AK20" s="80" t="s">
        <v>13</v>
      </c>
    </row>
    <row r="21" spans="2:37" x14ac:dyDescent="0.35">
      <c r="B21" s="55" t="s">
        <v>19</v>
      </c>
      <c r="C21" s="123"/>
      <c r="D21" s="11" t="s">
        <v>20</v>
      </c>
      <c r="E21" s="123"/>
      <c r="F21" s="74" t="str">
        <f t="shared" ref="F21:J26" si="2">IF(ISNUMBER(AB21),AB21-((C$4-C$3)/V21),"")</f>
        <v/>
      </c>
      <c r="G21" s="79">
        <f t="shared" si="2"/>
        <v>5.0692192023880166E-2</v>
      </c>
      <c r="H21" s="79">
        <f t="shared" si="2"/>
        <v>5.5476116872910833E-2</v>
      </c>
      <c r="I21" s="79">
        <f t="shared" si="2"/>
        <v>5.9632347965918681E-2</v>
      </c>
      <c r="J21" s="61">
        <f t="shared" si="2"/>
        <v>6.4233821692528753E-2</v>
      </c>
      <c r="K21" s="88" t="str">
        <f t="shared" ref="K21:O26" si="3">IF(ISNUMBER(AG21),IF(AG21-((C$4-C$3)/V21)&lt;0,"",AG21-((C$4-C$3)/V21)),"")</f>
        <v/>
      </c>
      <c r="L21" s="86">
        <f t="shared" si="3"/>
        <v>8.9783501238801695E-3</v>
      </c>
      <c r="M21" s="86">
        <f t="shared" si="3"/>
        <v>1.3640209772910826E-2</v>
      </c>
      <c r="N21" s="86">
        <f t="shared" si="3"/>
        <v>1.6987745365918683E-2</v>
      </c>
      <c r="O21" s="89">
        <f t="shared" si="3"/>
        <v>2.0066781292528747E-2</v>
      </c>
      <c r="P21" s="15"/>
      <c r="Q21" s="132"/>
      <c r="R21" s="132"/>
      <c r="S21" s="132"/>
      <c r="T21" s="16"/>
      <c r="V21" s="17">
        <v>1.11062455</v>
      </c>
      <c r="W21" s="18">
        <v>2.8580098399999998</v>
      </c>
      <c r="X21" s="18">
        <v>4.3982281700000003</v>
      </c>
      <c r="Y21" s="18">
        <v>5.7146113500000002</v>
      </c>
      <c r="Z21" s="19">
        <v>7.3324319099999995</v>
      </c>
      <c r="AB21" s="74"/>
      <c r="AC21" s="79">
        <v>5.0692192023880166E-2</v>
      </c>
      <c r="AD21" s="79">
        <v>5.5476116872910833E-2</v>
      </c>
      <c r="AE21" s="79">
        <v>5.9632347965918681E-2</v>
      </c>
      <c r="AF21" s="61">
        <v>6.4233821692528753E-2</v>
      </c>
      <c r="AG21" s="79"/>
      <c r="AH21" s="79">
        <v>8.9783501238801695E-3</v>
      </c>
      <c r="AI21" s="79">
        <v>1.3640209772910826E-2</v>
      </c>
      <c r="AJ21" s="79">
        <v>1.6987745365918683E-2</v>
      </c>
      <c r="AK21" s="79">
        <v>2.0066781292528747E-2</v>
      </c>
    </row>
    <row r="22" spans="2:37" x14ac:dyDescent="0.35">
      <c r="B22" s="54" t="s">
        <v>22</v>
      </c>
      <c r="C22" s="122"/>
      <c r="D22" s="20" t="s">
        <v>23</v>
      </c>
      <c r="E22" s="122"/>
      <c r="F22" s="72">
        <f t="shared" si="2"/>
        <v>4.2381763353796814E-2</v>
      </c>
      <c r="G22" s="70">
        <f t="shared" si="2"/>
        <v>5.1158330955576932E-2</v>
      </c>
      <c r="H22" s="70">
        <f t="shared" si="2"/>
        <v>5.6425617333992276E-2</v>
      </c>
      <c r="I22" s="70">
        <f t="shared" si="2"/>
        <v>6.0582385142351938E-2</v>
      </c>
      <c r="J22" s="62">
        <f t="shared" si="2"/>
        <v>6.5092615879244364E-2</v>
      </c>
      <c r="K22" s="85">
        <f t="shared" si="3"/>
        <v>3.5597665379682227E-4</v>
      </c>
      <c r="L22" s="67">
        <f t="shared" si="3"/>
        <v>9.4167877555769389E-3</v>
      </c>
      <c r="M22" s="67">
        <f t="shared" si="3"/>
        <v>1.453848323399228E-2</v>
      </c>
      <c r="N22" s="67">
        <f t="shared" si="3"/>
        <v>1.7886601442351935E-2</v>
      </c>
      <c r="O22" s="90">
        <f t="shared" si="3"/>
        <v>2.088159167924436E-2</v>
      </c>
      <c r="P22" s="24"/>
      <c r="Q22" s="25"/>
      <c r="R22" s="25"/>
      <c r="S22" s="25"/>
      <c r="T22" s="26"/>
      <c r="V22" s="27">
        <v>1.11501297</v>
      </c>
      <c r="W22" s="28">
        <v>2.86184694</v>
      </c>
      <c r="X22" s="28">
        <v>4.3940738700000006</v>
      </c>
      <c r="Y22" s="28">
        <v>5.6998341199999993</v>
      </c>
      <c r="Z22" s="29">
        <v>7.3012165000000007</v>
      </c>
      <c r="AB22" s="72">
        <v>4.2381763353796814E-2</v>
      </c>
      <c r="AC22" s="70">
        <v>5.1158330955576932E-2</v>
      </c>
      <c r="AD22" s="70">
        <v>5.6425617333992276E-2</v>
      </c>
      <c r="AE22" s="70">
        <v>6.0582385142351938E-2</v>
      </c>
      <c r="AF22" s="62">
        <v>6.5092615879244364E-2</v>
      </c>
      <c r="AG22" s="70">
        <v>3.5597665379682227E-4</v>
      </c>
      <c r="AH22" s="70">
        <v>9.4167877555769389E-3</v>
      </c>
      <c r="AI22" s="70">
        <v>1.453848323399228E-2</v>
      </c>
      <c r="AJ22" s="70">
        <v>1.7886601442351935E-2</v>
      </c>
      <c r="AK22" s="70">
        <v>2.088159167924436E-2</v>
      </c>
    </row>
    <row r="23" spans="2:37" x14ac:dyDescent="0.35">
      <c r="B23" s="55" t="s">
        <v>24</v>
      </c>
      <c r="C23" s="123"/>
      <c r="D23" s="11" t="s">
        <v>20</v>
      </c>
      <c r="E23" s="123"/>
      <c r="F23" s="74">
        <f t="shared" si="2"/>
        <v>7.2200993622995355E-2</v>
      </c>
      <c r="G23" s="79">
        <f t="shared" si="2"/>
        <v>8.1916071201678708E-2</v>
      </c>
      <c r="H23" s="79">
        <f>IF(ISNUMBER(AD23),AD23-((E$4-E$3)/X23),"")</f>
        <v>8.9261598491482033E-2</v>
      </c>
      <c r="I23" s="79" t="str">
        <f>IF(ISNUMBER(AE23),AE23-((F$4-F$3)/Y23),"")</f>
        <v/>
      </c>
      <c r="J23" s="61" t="str">
        <f>IF(ISNUMBER(AF23),AF23-((G$4-G$3)/Z23),"")</f>
        <v/>
      </c>
      <c r="K23" s="88">
        <f>IF(ISNUMBER(AG23),IF(AG23-((C$4-C$3)/V23)&lt;0,"",AG23-((C$4-C$3)/V23)),"")</f>
        <v>2.8744764522995368E-2</v>
      </c>
      <c r="L23" s="86">
        <f>IF(ISNUMBER(AH23),IF(AH23-((D$4-D$3)/W23)&lt;0,"",AH23-((D$4-D$3)/W23)),"")</f>
        <v>3.8245282001678697E-2</v>
      </c>
      <c r="M23" s="86">
        <f t="shared" si="3"/>
        <v>4.5114276791482041E-2</v>
      </c>
      <c r="N23" s="86" t="str">
        <f t="shared" si="3"/>
        <v/>
      </c>
      <c r="O23" s="89" t="str">
        <f t="shared" si="3"/>
        <v/>
      </c>
      <c r="P23" s="15"/>
      <c r="Q23" s="132"/>
      <c r="R23" s="132"/>
      <c r="S23" s="132"/>
      <c r="T23" s="16"/>
      <c r="V23" s="17">
        <v>1.0784823000000001</v>
      </c>
      <c r="W23" s="18">
        <v>2.6662056299999999</v>
      </c>
      <c r="X23" s="18">
        <v>3.9536605799999998</v>
      </c>
      <c r="Y23" s="18">
        <v>4.9855123099999998</v>
      </c>
      <c r="Z23" s="19">
        <v>6.1781157799999997</v>
      </c>
      <c r="AB23" s="74">
        <v>7.2200993622995355E-2</v>
      </c>
      <c r="AC23" s="79">
        <v>8.1916071201678708E-2</v>
      </c>
      <c r="AD23" s="79">
        <v>8.9261598491482033E-2</v>
      </c>
      <c r="AE23" s="79"/>
      <c r="AF23" s="61"/>
      <c r="AG23" s="79">
        <v>2.8744764522995368E-2</v>
      </c>
      <c r="AH23" s="79">
        <v>3.8245282001678697E-2</v>
      </c>
      <c r="AI23" s="79">
        <v>4.5114276791482041E-2</v>
      </c>
      <c r="AJ23" s="79"/>
      <c r="AK23" s="79"/>
    </row>
    <row r="24" spans="2:37" x14ac:dyDescent="0.35">
      <c r="B24" s="56" t="s">
        <v>25</v>
      </c>
      <c r="C24" s="124"/>
      <c r="D24" s="20" t="s">
        <v>23</v>
      </c>
      <c r="E24" s="124"/>
      <c r="F24" s="73">
        <f t="shared" si="2"/>
        <v>5.8237218143644659E-2</v>
      </c>
      <c r="G24" s="75">
        <f t="shared" si="2"/>
        <v>7.9189370042952817E-2</v>
      </c>
      <c r="H24" s="75">
        <f t="shared" si="2"/>
        <v>9.2794598664466724E-2</v>
      </c>
      <c r="I24" s="75">
        <f t="shared" si="2"/>
        <v>9.8027883424917167E-2</v>
      </c>
      <c r="J24" s="63">
        <f t="shared" si="2"/>
        <v>0.10307203799120131</v>
      </c>
      <c r="K24" s="91">
        <f t="shared" si="3"/>
        <v>1.5472537043644673E-2</v>
      </c>
      <c r="L24" s="87">
        <f t="shared" si="3"/>
        <v>3.5589915342952833E-2</v>
      </c>
      <c r="M24" s="87">
        <f t="shared" si="3"/>
        <v>4.803824006446672E-2</v>
      </c>
      <c r="N24" s="87">
        <f t="shared" si="3"/>
        <v>5.2249147924917159E-2</v>
      </c>
      <c r="O24" s="92">
        <f t="shared" si="3"/>
        <v>5.5709913591201296E-2</v>
      </c>
      <c r="P24" s="33"/>
      <c r="Q24" s="133"/>
      <c r="R24" s="133"/>
      <c r="S24" s="133"/>
      <c r="T24" s="34"/>
      <c r="V24" s="27">
        <v>1.0708171500000001</v>
      </c>
      <c r="W24" s="28">
        <v>2.6627576100000003</v>
      </c>
      <c r="X24" s="28">
        <v>3.9068649099999999</v>
      </c>
      <c r="Y24" s="28">
        <v>4.8487798800000004</v>
      </c>
      <c r="Z24" s="29">
        <v>5.84969289</v>
      </c>
      <c r="AB24" s="73">
        <v>5.8237218143644659E-2</v>
      </c>
      <c r="AC24" s="75">
        <v>7.9189370042952817E-2</v>
      </c>
      <c r="AD24" s="75">
        <v>9.2794598664466724E-2</v>
      </c>
      <c r="AE24" s="75">
        <v>9.8027883424917167E-2</v>
      </c>
      <c r="AF24" s="63">
        <v>0.10307203799120131</v>
      </c>
      <c r="AG24" s="75">
        <v>1.5472537043644673E-2</v>
      </c>
      <c r="AH24" s="75">
        <v>3.5589915342952833E-2</v>
      </c>
      <c r="AI24" s="75">
        <v>4.803824006446672E-2</v>
      </c>
      <c r="AJ24" s="75">
        <v>5.2249147924917159E-2</v>
      </c>
      <c r="AK24" s="75">
        <v>5.5709913591201296E-2</v>
      </c>
    </row>
    <row r="25" spans="2:37" x14ac:dyDescent="0.35">
      <c r="B25" s="54" t="s">
        <v>26</v>
      </c>
      <c r="C25" s="122"/>
      <c r="D25" s="11" t="s">
        <v>23</v>
      </c>
      <c r="E25" s="122"/>
      <c r="F25" s="72">
        <f t="shared" si="2"/>
        <v>4.2747141172689691E-2</v>
      </c>
      <c r="G25" s="70">
        <f t="shared" si="2"/>
        <v>5.1474072429588118E-2</v>
      </c>
      <c r="H25" s="70">
        <f t="shared" si="2"/>
        <v>5.7270862434810541E-2</v>
      </c>
      <c r="I25" s="70" t="str">
        <f t="shared" si="2"/>
        <v/>
      </c>
      <c r="J25" s="62" t="str">
        <f t="shared" si="2"/>
        <v/>
      </c>
      <c r="K25" s="85">
        <f t="shared" si="3"/>
        <v>7.0786207268969982E-4</v>
      </c>
      <c r="L25" s="67">
        <f t="shared" si="3"/>
        <v>9.724679729588126E-3</v>
      </c>
      <c r="M25" s="67">
        <f t="shared" si="3"/>
        <v>1.5347438634810546E-2</v>
      </c>
      <c r="N25" s="67" t="str">
        <f t="shared" si="3"/>
        <v/>
      </c>
      <c r="O25" s="90" t="str">
        <f t="shared" si="3"/>
        <v/>
      </c>
      <c r="P25" s="24"/>
      <c r="Q25" s="25"/>
      <c r="R25" s="25"/>
      <c r="S25" s="25"/>
      <c r="T25" s="26"/>
      <c r="V25" s="17">
        <v>1.1040885300000001</v>
      </c>
      <c r="W25" s="18">
        <v>2.8253561</v>
      </c>
      <c r="X25" s="18">
        <v>4.3483261199999994</v>
      </c>
      <c r="Y25" s="18">
        <v>5.6218750900000005</v>
      </c>
      <c r="Z25" s="19">
        <v>7.1402587399999993</v>
      </c>
      <c r="AB25" s="72">
        <v>4.2747141172689691E-2</v>
      </c>
      <c r="AC25" s="70">
        <v>5.1474072429588118E-2</v>
      </c>
      <c r="AD25" s="70">
        <v>5.7270862434810541E-2</v>
      </c>
      <c r="AE25" s="70"/>
      <c r="AF25" s="62"/>
      <c r="AG25" s="70">
        <v>7.0786207268969982E-4</v>
      </c>
      <c r="AH25" s="70">
        <v>9.724679729588126E-3</v>
      </c>
      <c r="AI25" s="70">
        <v>1.5347438634810546E-2</v>
      </c>
      <c r="AJ25" s="70"/>
      <c r="AK25" s="70"/>
    </row>
    <row r="26" spans="2:37" x14ac:dyDescent="0.35">
      <c r="B26" s="56" t="s">
        <v>27</v>
      </c>
      <c r="C26" s="124"/>
      <c r="D26" s="35" t="s">
        <v>23</v>
      </c>
      <c r="E26" s="124"/>
      <c r="F26" s="73" t="str">
        <f t="shared" si="2"/>
        <v/>
      </c>
      <c r="G26" s="75">
        <f t="shared" si="2"/>
        <v>5.3355767960229887E-2</v>
      </c>
      <c r="H26" s="75">
        <f t="shared" si="2"/>
        <v>6.0911663452867582E-2</v>
      </c>
      <c r="I26" s="75" t="str">
        <f t="shared" si="2"/>
        <v/>
      </c>
      <c r="J26" s="63">
        <f t="shared" si="2"/>
        <v>7.6849199855150929E-2</v>
      </c>
      <c r="K26" s="91" t="str">
        <f t="shared" si="3"/>
        <v/>
      </c>
      <c r="L26" s="87">
        <f t="shared" si="3"/>
        <v>1.1542981760229895E-2</v>
      </c>
      <c r="M26" s="87">
        <f t="shared" si="3"/>
        <v>1.8841621652867589E-2</v>
      </c>
      <c r="N26" s="87" t="str">
        <f t="shared" si="3"/>
        <v/>
      </c>
      <c r="O26" s="92">
        <f t="shared" si="3"/>
        <v>3.2058628855150935E-2</v>
      </c>
      <c r="P26" s="33"/>
      <c r="Q26" s="133"/>
      <c r="R26" s="133"/>
      <c r="S26" s="133"/>
      <c r="T26" s="34"/>
      <c r="V26" s="36">
        <v>1.1004231499999999</v>
      </c>
      <c r="W26" s="37">
        <v>2.8071467800000001</v>
      </c>
      <c r="X26" s="37">
        <v>4.3077624600000002</v>
      </c>
      <c r="Y26" s="37">
        <v>5.5394182199999999</v>
      </c>
      <c r="Z26" s="38">
        <v>6.9670829599999999</v>
      </c>
      <c r="AB26" s="73"/>
      <c r="AC26" s="75">
        <v>5.3355767960229887E-2</v>
      </c>
      <c r="AD26" s="75">
        <v>6.0911663452867582E-2</v>
      </c>
      <c r="AE26" s="75"/>
      <c r="AF26" s="63">
        <v>7.6849199855150929E-2</v>
      </c>
      <c r="AG26" s="75"/>
      <c r="AH26" s="75">
        <v>1.1542981760229895E-2</v>
      </c>
      <c r="AI26" s="75">
        <v>1.8841621652867589E-2</v>
      </c>
      <c r="AJ26" s="75"/>
      <c r="AK26" s="75">
        <v>3.2058628855150935E-2</v>
      </c>
    </row>
    <row r="27" spans="2:37" x14ac:dyDescent="0.35">
      <c r="C27" s="122"/>
      <c r="D27" s="122"/>
      <c r="E27" s="122"/>
      <c r="F27" s="59"/>
      <c r="G27" s="59"/>
      <c r="H27" s="59"/>
      <c r="I27" s="59"/>
      <c r="J27" s="59"/>
      <c r="K27" s="67"/>
      <c r="L27" s="67"/>
      <c r="M27" s="67"/>
      <c r="N27" s="67"/>
      <c r="O27" s="67"/>
      <c r="P27" s="126"/>
      <c r="Q27" s="126"/>
      <c r="R27" s="126"/>
      <c r="S27" s="126"/>
      <c r="T27" s="134"/>
      <c r="V27" s="40"/>
      <c r="W27" s="40"/>
      <c r="X27" s="40"/>
      <c r="Y27" s="40"/>
      <c r="Z27" s="40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</row>
    <row r="28" spans="2:37" ht="15.5" x14ac:dyDescent="0.35">
      <c r="B28" s="121" t="s">
        <v>28</v>
      </c>
      <c r="C28" s="122"/>
      <c r="D28" s="122"/>
      <c r="E28" s="122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V28" s="40"/>
      <c r="W28" s="40"/>
      <c r="X28" s="40"/>
      <c r="Y28" s="40"/>
      <c r="Z28" s="40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</row>
    <row r="29" spans="2:37" x14ac:dyDescent="0.35">
      <c r="B29" s="84" t="s">
        <v>5</v>
      </c>
      <c r="C29" s="83" t="s">
        <v>6</v>
      </c>
      <c r="D29" s="83" t="s">
        <v>7</v>
      </c>
      <c r="E29" s="83" t="s">
        <v>8</v>
      </c>
      <c r="F29" s="82" t="s">
        <v>9</v>
      </c>
      <c r="G29" s="81" t="s">
        <v>10</v>
      </c>
      <c r="H29" s="81" t="s">
        <v>11</v>
      </c>
      <c r="I29" s="81" t="s">
        <v>12</v>
      </c>
      <c r="J29" s="80" t="s">
        <v>13</v>
      </c>
      <c r="K29" s="82" t="s">
        <v>9</v>
      </c>
      <c r="L29" s="81" t="s">
        <v>10</v>
      </c>
      <c r="M29" s="81" t="s">
        <v>11</v>
      </c>
      <c r="N29" s="81" t="s">
        <v>12</v>
      </c>
      <c r="O29" s="80" t="s">
        <v>13</v>
      </c>
      <c r="P29" s="69" t="s">
        <v>14</v>
      </c>
      <c r="Q29" s="57" t="s">
        <v>15</v>
      </c>
      <c r="R29" s="57" t="s">
        <v>16</v>
      </c>
      <c r="S29" s="57" t="s">
        <v>413</v>
      </c>
      <c r="T29" s="57" t="s">
        <v>18</v>
      </c>
      <c r="V29" s="109" t="s">
        <v>9</v>
      </c>
      <c r="W29" s="105" t="s">
        <v>10</v>
      </c>
      <c r="X29" s="105" t="s">
        <v>11</v>
      </c>
      <c r="Y29" s="105" t="s">
        <v>12</v>
      </c>
      <c r="Z29" s="110" t="s">
        <v>13</v>
      </c>
      <c r="AB29" s="82" t="s">
        <v>9</v>
      </c>
      <c r="AC29" s="81" t="s">
        <v>10</v>
      </c>
      <c r="AD29" s="81" t="s">
        <v>11</v>
      </c>
      <c r="AE29" s="81" t="s">
        <v>12</v>
      </c>
      <c r="AF29" s="80" t="s">
        <v>13</v>
      </c>
      <c r="AG29" s="82" t="s">
        <v>9</v>
      </c>
      <c r="AH29" s="81" t="s">
        <v>10</v>
      </c>
      <c r="AI29" s="81" t="s">
        <v>11</v>
      </c>
      <c r="AJ29" s="81" t="s">
        <v>12</v>
      </c>
      <c r="AK29" s="80" t="s">
        <v>13</v>
      </c>
    </row>
    <row r="30" spans="2:37" x14ac:dyDescent="0.35">
      <c r="B30" s="78" t="s">
        <v>416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6"/>
      <c r="P30" s="78"/>
      <c r="Q30" s="77"/>
      <c r="R30" s="77"/>
      <c r="S30" s="77"/>
      <c r="T30" s="76"/>
      <c r="V30" s="111"/>
      <c r="W30" s="106"/>
      <c r="X30" s="106"/>
      <c r="Y30" s="106"/>
      <c r="Z30" s="112"/>
      <c r="AB30" s="77"/>
      <c r="AC30" s="77"/>
      <c r="AD30" s="77"/>
      <c r="AE30" s="77"/>
      <c r="AF30" s="77"/>
      <c r="AG30" s="77"/>
      <c r="AH30" s="77"/>
      <c r="AI30" s="77"/>
      <c r="AJ30" s="77"/>
      <c r="AK30" s="77"/>
    </row>
    <row r="31" spans="2:37" x14ac:dyDescent="0.35">
      <c r="B31" s="55" t="s">
        <v>29</v>
      </c>
      <c r="C31" s="52" t="s">
        <v>30</v>
      </c>
      <c r="D31" s="52" t="s">
        <v>31</v>
      </c>
      <c r="E31" s="52" t="s">
        <v>417</v>
      </c>
      <c r="F31" s="88">
        <f>IF(ISNUMBER(AB31),AB31-((C$4-C$3)/V31),"")</f>
        <v>4.0821894212657216E-2</v>
      </c>
      <c r="G31" s="59">
        <f>IF(ISNUMBER(AC31),AC31-((D$4-D$3)/W31),"")</f>
        <v>4.5910188942874977E-2</v>
      </c>
      <c r="H31" s="70">
        <f>IF(ISNUMBER(AD31),AD31-((E$4-E$3)/X31),"")</f>
        <v>4.9947008379922837E-2</v>
      </c>
      <c r="I31" s="70">
        <f>IF(ISNUMBER(AE31),AE31-((F$4-F$3)/Y31),"")</f>
        <v>5.2555788767674722E-2</v>
      </c>
      <c r="J31" s="62">
        <f>IF(ISNUMBER(AF31),AF31-((G$4-G$3)/Z31),"")</f>
        <v>5.5500485200237398E-2</v>
      </c>
      <c r="K31" s="72" t="str">
        <f>IF(ISNUMBER(AG31),IF(AG31-((C$4-C$3)/V31)&lt;0,"",AG31-((C$4-C$3)/V31)),"")</f>
        <v/>
      </c>
      <c r="L31" s="59">
        <f>IF(ISNUMBER(AH31),IF(AH31-((D$4-D$3)/W31)&lt;0,"",AH31-((D$4-D$3)/W31)),"")</f>
        <v>4.2970032428749794E-3</v>
      </c>
      <c r="M31" s="70">
        <f>IF(ISNUMBER(AI31),IF(AI31-((E$4-E$3)/X31)&lt;0,"",AI31-((E$4-E$3)/X31)),"")</f>
        <v>8.266832879922829E-3</v>
      </c>
      <c r="N31" s="70">
        <f>IF(ISNUMBER(AJ31),IF(AJ31-((F$4-F$3)/Y31)&lt;0,"",AJ31-((F$4-F$3)/Y31)),"")</f>
        <v>1.0115177467674725E-2</v>
      </c>
      <c r="O31" s="62">
        <f>IF(ISNUMBER(AK31),IF(AK31-((G$4-G$3)/Z31)&lt;0,"",AK31-((G$4-G$3)/Z31)),"")</f>
        <v>1.1585530700237401E-2</v>
      </c>
      <c r="P31" s="54" t="s">
        <v>418</v>
      </c>
      <c r="Q31" s="52" t="s">
        <v>419</v>
      </c>
      <c r="R31" s="93" t="s">
        <v>32</v>
      </c>
      <c r="S31" s="70">
        <v>5.666421E-2</v>
      </c>
      <c r="T31" s="62">
        <f>IF(S31="","",H31-S31)</f>
        <v>-6.7172016200771623E-3</v>
      </c>
      <c r="V31" s="113">
        <v>1.1149594199999999</v>
      </c>
      <c r="W31" s="71">
        <v>2.87330211</v>
      </c>
      <c r="X31" s="71">
        <v>4.4350127000000006</v>
      </c>
      <c r="Y31" s="71">
        <v>5.7861477699999995</v>
      </c>
      <c r="Z31" s="114">
        <v>7.4819803299999998</v>
      </c>
      <c r="AB31" s="74">
        <v>4.0821894212657216E-2</v>
      </c>
      <c r="AC31" s="70">
        <v>4.5910188942874977E-2</v>
      </c>
      <c r="AD31" s="70">
        <v>4.9947008379922837E-2</v>
      </c>
      <c r="AE31" s="70">
        <v>5.2555788767674722E-2</v>
      </c>
      <c r="AF31" s="62">
        <v>5.5500485200237398E-2</v>
      </c>
      <c r="AG31" s="70" t="s">
        <v>21</v>
      </c>
      <c r="AH31" s="70">
        <v>4.2970032428749794E-3</v>
      </c>
      <c r="AI31" s="70">
        <v>8.266832879922829E-3</v>
      </c>
      <c r="AJ31" s="70">
        <v>1.0115177467674725E-2</v>
      </c>
      <c r="AK31" s="70">
        <v>1.1585530700237401E-2</v>
      </c>
    </row>
    <row r="32" spans="2:37" x14ac:dyDescent="0.35">
      <c r="B32" s="54" t="s">
        <v>29</v>
      </c>
      <c r="C32" s="52" t="s">
        <v>33</v>
      </c>
      <c r="D32" s="52" t="s">
        <v>31</v>
      </c>
      <c r="E32" s="52" t="s">
        <v>34</v>
      </c>
      <c r="F32" s="72">
        <f t="shared" ref="F32:J89" si="4">IF(ISNUMBER(AB32),AB32-((C$4-C$3)/V32),"")</f>
        <v>4.1178643367626132E-2</v>
      </c>
      <c r="G32" s="59">
        <f t="shared" si="4"/>
        <v>4.7671269572603418E-2</v>
      </c>
      <c r="H32" s="70">
        <f t="shared" si="4"/>
        <v>5.2994444746733288E-2</v>
      </c>
      <c r="I32" s="70">
        <f t="shared" si="4"/>
        <v>5.6469074902716201E-2</v>
      </c>
      <c r="J32" s="62">
        <f t="shared" si="4"/>
        <v>5.9935655481780481E-2</v>
      </c>
      <c r="K32" s="72" t="str">
        <f t="shared" ref="K32:O89" si="5">IF(ISNUMBER(AG32),IF(AG32-((C$4-C$3)/V32)&lt;0,"",AG32-((C$4-C$3)/V32)),"")</f>
        <v/>
      </c>
      <c r="L32" s="59">
        <f t="shared" si="5"/>
        <v>5.9646688726034194E-3</v>
      </c>
      <c r="M32" s="70">
        <f t="shared" si="5"/>
        <v>1.1150945546733291E-2</v>
      </c>
      <c r="N32" s="70">
        <f t="shared" si="5"/>
        <v>1.3821036202716207E-2</v>
      </c>
      <c r="O32" s="62">
        <f t="shared" si="5"/>
        <v>1.5814220481780487E-2</v>
      </c>
      <c r="P32" s="54" t="s">
        <v>21</v>
      </c>
      <c r="Q32" s="52" t="s">
        <v>21</v>
      </c>
      <c r="R32" s="93" t="s">
        <v>21</v>
      </c>
      <c r="S32" s="70">
        <v>0</v>
      </c>
      <c r="T32" s="62">
        <f t="shared" ref="T32:T110" si="6">IF(S32="","",H32-S32)</f>
        <v>5.2994444746733288E-2</v>
      </c>
      <c r="V32" s="113">
        <v>1.11431334</v>
      </c>
      <c r="W32" s="71">
        <v>2.8613519300000001</v>
      </c>
      <c r="X32" s="71">
        <v>4.3897899200000001</v>
      </c>
      <c r="Y32" s="71">
        <v>5.6839228300000002</v>
      </c>
      <c r="Z32" s="114">
        <v>7.2684430300000002</v>
      </c>
      <c r="AB32" s="72">
        <v>4.1178643367626132E-2</v>
      </c>
      <c r="AC32" s="70">
        <v>4.7671269572603418E-2</v>
      </c>
      <c r="AD32" s="70">
        <v>5.2994444746733288E-2</v>
      </c>
      <c r="AE32" s="70">
        <v>5.6469074902716201E-2</v>
      </c>
      <c r="AF32" s="62">
        <v>5.9935655481780481E-2</v>
      </c>
      <c r="AG32" s="70" t="s">
        <v>21</v>
      </c>
      <c r="AH32" s="70">
        <v>5.9646688726034194E-3</v>
      </c>
      <c r="AI32" s="70">
        <v>1.1150945546733291E-2</v>
      </c>
      <c r="AJ32" s="70">
        <v>1.3821036202716207E-2</v>
      </c>
      <c r="AK32" s="70">
        <v>1.5814220481780487E-2</v>
      </c>
    </row>
    <row r="33" spans="2:37" x14ac:dyDescent="0.35">
      <c r="B33" s="56" t="s">
        <v>29</v>
      </c>
      <c r="C33" s="66" t="s">
        <v>35</v>
      </c>
      <c r="D33" s="66" t="s">
        <v>31</v>
      </c>
      <c r="E33" s="66" t="s">
        <v>338</v>
      </c>
      <c r="F33" s="73">
        <f t="shared" si="4"/>
        <v>4.2001629785737384E-2</v>
      </c>
      <c r="G33" s="75">
        <f t="shared" si="4"/>
        <v>4.9917122373660541E-2</v>
      </c>
      <c r="H33" s="75">
        <f t="shared" si="4"/>
        <v>5.6615036261955701E-2</v>
      </c>
      <c r="I33" s="75">
        <f t="shared" si="4"/>
        <v>6.1034013767344381E-2</v>
      </c>
      <c r="J33" s="63">
        <f t="shared" si="4"/>
        <v>6.5303649639513517E-2</v>
      </c>
      <c r="K33" s="73" t="str">
        <f t="shared" si="5"/>
        <v/>
      </c>
      <c r="L33" s="75">
        <f t="shared" si="5"/>
        <v>8.1413211736605408E-3</v>
      </c>
      <c r="M33" s="75">
        <f t="shared" si="5"/>
        <v>1.4657604661955701E-2</v>
      </c>
      <c r="N33" s="75">
        <f t="shared" si="5"/>
        <v>1.8229609167344375E-2</v>
      </c>
      <c r="O33" s="63">
        <f t="shared" si="5"/>
        <v>2.0994209639513504E-2</v>
      </c>
      <c r="P33" s="54" t="s">
        <v>21</v>
      </c>
      <c r="Q33" s="52" t="s">
        <v>21</v>
      </c>
      <c r="R33" s="93" t="s">
        <v>21</v>
      </c>
      <c r="S33" s="70">
        <v>0</v>
      </c>
      <c r="T33" s="62">
        <f t="shared" si="6"/>
        <v>5.6615036261955701E-2</v>
      </c>
      <c r="V33" s="115">
        <v>1.1141570599999999</v>
      </c>
      <c r="W33" s="107">
        <v>2.8571017300000001</v>
      </c>
      <c r="X33" s="107">
        <v>4.3736548800000001</v>
      </c>
      <c r="Y33" s="107">
        <v>5.6469979400000003</v>
      </c>
      <c r="Z33" s="116">
        <v>7.1861846300000005</v>
      </c>
      <c r="AB33" s="73">
        <v>4.2001629785737384E-2</v>
      </c>
      <c r="AC33" s="75">
        <v>4.9917122373660541E-2</v>
      </c>
      <c r="AD33" s="75">
        <v>5.6615036261955701E-2</v>
      </c>
      <c r="AE33" s="75">
        <v>6.1034013767344381E-2</v>
      </c>
      <c r="AF33" s="63">
        <v>6.5303649639513517E-2</v>
      </c>
      <c r="AG33" s="70" t="s">
        <v>21</v>
      </c>
      <c r="AH33" s="70">
        <v>8.1413211736605408E-3</v>
      </c>
      <c r="AI33" s="70">
        <v>1.4657604661955701E-2</v>
      </c>
      <c r="AJ33" s="70">
        <v>1.8229609167344375E-2</v>
      </c>
      <c r="AK33" s="70">
        <v>2.0994209639513504E-2</v>
      </c>
    </row>
    <row r="34" spans="2:37" x14ac:dyDescent="0.35">
      <c r="B34" s="54" t="s">
        <v>37</v>
      </c>
      <c r="C34" s="52" t="s">
        <v>30</v>
      </c>
      <c r="D34" s="52" t="s">
        <v>31</v>
      </c>
      <c r="E34" s="52" t="s">
        <v>338</v>
      </c>
      <c r="F34" s="72">
        <f t="shared" si="4"/>
        <v>4.1302351414402E-2</v>
      </c>
      <c r="G34" s="59">
        <f t="shared" si="4"/>
        <v>4.6824570694353182E-2</v>
      </c>
      <c r="H34" s="70">
        <f t="shared" si="4"/>
        <v>5.0603389528215074E-2</v>
      </c>
      <c r="I34" s="70">
        <f t="shared" si="4"/>
        <v>5.3249082830801125E-2</v>
      </c>
      <c r="J34" s="62">
        <f t="shared" si="4"/>
        <v>5.6161493657545802E-2</v>
      </c>
      <c r="K34" s="72" t="str">
        <f t="shared" si="5"/>
        <v/>
      </c>
      <c r="L34" s="59">
        <f t="shared" si="5"/>
        <v>5.1641062943531824E-3</v>
      </c>
      <c r="M34" s="70">
        <f t="shared" si="5"/>
        <v>8.8889798282150746E-3</v>
      </c>
      <c r="N34" s="70">
        <f t="shared" si="5"/>
        <v>1.0772490330801127E-2</v>
      </c>
      <c r="O34" s="62">
        <f t="shared" si="5"/>
        <v>1.2215606157545796E-2</v>
      </c>
      <c r="P34" s="55" t="s">
        <v>21</v>
      </c>
      <c r="Q34" s="65" t="s">
        <v>21</v>
      </c>
      <c r="R34" s="99" t="s">
        <v>21</v>
      </c>
      <c r="S34" s="79">
        <v>0</v>
      </c>
      <c r="T34" s="61">
        <f t="shared" si="6"/>
        <v>5.0603389528215074E-2</v>
      </c>
      <c r="V34" s="113">
        <v>1.1140661300000001</v>
      </c>
      <c r="W34" s="71">
        <v>2.8661206099999998</v>
      </c>
      <c r="X34" s="71">
        <v>4.4197632999999996</v>
      </c>
      <c r="Y34" s="71">
        <v>5.7612569699999998</v>
      </c>
      <c r="Z34" s="114">
        <v>7.4412038699999998</v>
      </c>
      <c r="AB34" s="72">
        <v>4.1302351414402E-2</v>
      </c>
      <c r="AC34" s="70">
        <v>4.6824570694353182E-2</v>
      </c>
      <c r="AD34" s="70">
        <v>5.0603389528215074E-2</v>
      </c>
      <c r="AE34" s="70">
        <v>5.3249082830801125E-2</v>
      </c>
      <c r="AF34" s="62">
        <v>5.6161493657545802E-2</v>
      </c>
      <c r="AG34" s="70" t="s">
        <v>21</v>
      </c>
      <c r="AH34" s="70">
        <v>5.1641062943531824E-3</v>
      </c>
      <c r="AI34" s="70">
        <v>8.8889798282150746E-3</v>
      </c>
      <c r="AJ34" s="70">
        <v>1.0772490330801127E-2</v>
      </c>
      <c r="AK34" s="70">
        <v>1.2215606157545796E-2</v>
      </c>
    </row>
    <row r="35" spans="2:37" x14ac:dyDescent="0.35">
      <c r="B35" s="54" t="s">
        <v>37</v>
      </c>
      <c r="C35" s="52" t="s">
        <v>33</v>
      </c>
      <c r="D35" s="52" t="s">
        <v>31</v>
      </c>
      <c r="E35" s="52" t="s">
        <v>38</v>
      </c>
      <c r="F35" s="72">
        <f t="shared" si="4"/>
        <v>4.160028891227828E-2</v>
      </c>
      <c r="G35" s="59">
        <f t="shared" si="4"/>
        <v>4.7808743936252146E-2</v>
      </c>
      <c r="H35" s="70">
        <f t="shared" si="4"/>
        <v>5.3052151287991824E-2</v>
      </c>
      <c r="I35" s="70">
        <f t="shared" si="4"/>
        <v>5.6431310993340991E-2</v>
      </c>
      <c r="J35" s="62">
        <f t="shared" si="4"/>
        <v>5.9985563923573876E-2</v>
      </c>
      <c r="K35" s="72" t="str">
        <f t="shared" si="5"/>
        <v/>
      </c>
      <c r="L35" s="59">
        <f t="shared" si="5"/>
        <v>6.096908236252154E-3</v>
      </c>
      <c r="M35" s="70">
        <f t="shared" si="5"/>
        <v>1.1206885587991825E-2</v>
      </c>
      <c r="N35" s="70">
        <f t="shared" si="5"/>
        <v>1.3786238693340981E-2</v>
      </c>
      <c r="O35" s="62">
        <f t="shared" si="5"/>
        <v>1.5861033123573884E-2</v>
      </c>
      <c r="P35" s="54" t="s">
        <v>21</v>
      </c>
      <c r="Q35" s="52" t="s">
        <v>21</v>
      </c>
      <c r="R35" s="93" t="s">
        <v>21</v>
      </c>
      <c r="S35" s="70">
        <v>0</v>
      </c>
      <c r="T35" s="62">
        <f t="shared" si="6"/>
        <v>5.3052151287991824E-2</v>
      </c>
      <c r="V35" s="113">
        <v>1.1135028</v>
      </c>
      <c r="W35" s="71">
        <v>2.8590983899999998</v>
      </c>
      <c r="X35" s="71">
        <v>4.3868445200000004</v>
      </c>
      <c r="Y35" s="71">
        <v>5.6816495900000001</v>
      </c>
      <c r="Z35" s="114">
        <v>7.2658531699999997</v>
      </c>
      <c r="AB35" s="72">
        <v>4.160028891227828E-2</v>
      </c>
      <c r="AC35" s="70">
        <v>4.7808743936252146E-2</v>
      </c>
      <c r="AD35" s="70">
        <v>5.3052151287991824E-2</v>
      </c>
      <c r="AE35" s="70">
        <v>5.6431310993340991E-2</v>
      </c>
      <c r="AF35" s="62">
        <v>5.9985563923573876E-2</v>
      </c>
      <c r="AG35" s="70" t="s">
        <v>21</v>
      </c>
      <c r="AH35" s="70">
        <v>6.096908236252154E-3</v>
      </c>
      <c r="AI35" s="70">
        <v>1.1206885587991825E-2</v>
      </c>
      <c r="AJ35" s="70">
        <v>1.3786238693340981E-2</v>
      </c>
      <c r="AK35" s="70">
        <v>1.5861033123573884E-2</v>
      </c>
    </row>
    <row r="36" spans="2:37" x14ac:dyDescent="0.35">
      <c r="B36" s="56" t="s">
        <v>37</v>
      </c>
      <c r="C36" s="66" t="s">
        <v>35</v>
      </c>
      <c r="D36" s="66" t="s">
        <v>31</v>
      </c>
      <c r="E36" s="66" t="s">
        <v>39</v>
      </c>
      <c r="F36" s="73">
        <f t="shared" si="4"/>
        <v>4.2035913875013577E-2</v>
      </c>
      <c r="G36" s="75">
        <f t="shared" si="4"/>
        <v>5.0077955894808152E-2</v>
      </c>
      <c r="H36" s="75">
        <f t="shared" si="4"/>
        <v>5.6708324920585043E-2</v>
      </c>
      <c r="I36" s="75">
        <f t="shared" si="4"/>
        <v>6.1037816189786619E-2</v>
      </c>
      <c r="J36" s="63">
        <f t="shared" si="4"/>
        <v>6.5393264806625592E-2</v>
      </c>
      <c r="K36" s="73" t="str">
        <f t="shared" si="5"/>
        <v/>
      </c>
      <c r="L36" s="75">
        <f t="shared" si="5"/>
        <v>8.3009228948081517E-3</v>
      </c>
      <c r="M36" s="75">
        <f t="shared" si="5"/>
        <v>1.4750454820585034E-2</v>
      </c>
      <c r="N36" s="75">
        <f t="shared" si="5"/>
        <v>1.8236687389786618E-2</v>
      </c>
      <c r="O36" s="63">
        <f t="shared" si="5"/>
        <v>2.1081391306625594E-2</v>
      </c>
      <c r="P36" s="56" t="s">
        <v>21</v>
      </c>
      <c r="Q36" s="66" t="s">
        <v>21</v>
      </c>
      <c r="R36" s="95" t="s">
        <v>21</v>
      </c>
      <c r="S36" s="75">
        <v>0</v>
      </c>
      <c r="T36" s="63">
        <f t="shared" si="6"/>
        <v>5.6708324920585043E-2</v>
      </c>
      <c r="V36" s="115">
        <v>1.1140390899999999</v>
      </c>
      <c r="W36" s="107">
        <v>2.85611617</v>
      </c>
      <c r="X36" s="107">
        <v>4.3716618700000005</v>
      </c>
      <c r="Y36" s="107">
        <v>5.6448913899999997</v>
      </c>
      <c r="Z36" s="116">
        <v>7.1828872500000003</v>
      </c>
      <c r="AB36" s="73">
        <v>4.2035913875013577E-2</v>
      </c>
      <c r="AC36" s="75">
        <v>5.0077955894808152E-2</v>
      </c>
      <c r="AD36" s="75">
        <v>5.6708324920585043E-2</v>
      </c>
      <c r="AE36" s="75">
        <v>6.1037816189786619E-2</v>
      </c>
      <c r="AF36" s="63">
        <v>6.5393264806625592E-2</v>
      </c>
      <c r="AG36" s="75" t="s">
        <v>21</v>
      </c>
      <c r="AH36" s="75">
        <v>8.3009228948081517E-3</v>
      </c>
      <c r="AI36" s="75">
        <v>1.4750454820585034E-2</v>
      </c>
      <c r="AJ36" s="75">
        <v>1.8236687389786618E-2</v>
      </c>
      <c r="AK36" s="75">
        <v>2.1081391306625594E-2</v>
      </c>
    </row>
    <row r="37" spans="2:37" x14ac:dyDescent="0.35">
      <c r="B37" s="54" t="s">
        <v>40</v>
      </c>
      <c r="C37" s="52" t="s">
        <v>30</v>
      </c>
      <c r="D37" s="52" t="s">
        <v>31</v>
      </c>
      <c r="E37" s="52" t="s">
        <v>21</v>
      </c>
      <c r="F37" s="72">
        <f t="shared" si="4"/>
        <v>4.1676780524529305E-2</v>
      </c>
      <c r="G37" s="59">
        <f t="shared" si="4"/>
        <v>4.6922638403726721E-2</v>
      </c>
      <c r="H37" s="70">
        <f t="shared" si="4"/>
        <v>5.096924939204369E-2</v>
      </c>
      <c r="I37" s="70">
        <f t="shared" si="4"/>
        <v>5.3995320679001348E-2</v>
      </c>
      <c r="J37" s="62">
        <f t="shared" si="4"/>
        <v>5.7393538728196247E-2</v>
      </c>
      <c r="K37" s="72" t="str">
        <f t="shared" si="5"/>
        <v/>
      </c>
      <c r="L37" s="59">
        <f t="shared" si="5"/>
        <v>5.2570636037267233E-3</v>
      </c>
      <c r="M37" s="70">
        <f t="shared" si="5"/>
        <v>9.2358281920436915E-3</v>
      </c>
      <c r="N37" s="70">
        <f t="shared" si="5"/>
        <v>1.1480491779001354E-2</v>
      </c>
      <c r="O37" s="62">
        <f t="shared" si="5"/>
        <v>1.3392660128196258E-2</v>
      </c>
      <c r="P37" s="54" t="s">
        <v>21</v>
      </c>
      <c r="Q37" s="52" t="s">
        <v>21</v>
      </c>
      <c r="R37" s="93" t="s">
        <v>21</v>
      </c>
      <c r="S37" s="70">
        <v>0</v>
      </c>
      <c r="T37" s="62">
        <f t="shared" si="6"/>
        <v>5.096924939204369E-2</v>
      </c>
      <c r="V37" s="113">
        <v>1.1133708100000002</v>
      </c>
      <c r="W37" s="71">
        <v>2.8643167000000003</v>
      </c>
      <c r="X37" s="71">
        <v>4.4142707200000002</v>
      </c>
      <c r="Y37" s="71">
        <v>5.7451104099999997</v>
      </c>
      <c r="Z37" s="114">
        <v>7.3940612000000003</v>
      </c>
      <c r="AB37" s="72">
        <v>4.1676780524529305E-2</v>
      </c>
      <c r="AC37" s="70">
        <v>4.6922638403726721E-2</v>
      </c>
      <c r="AD37" s="70">
        <v>5.096924939204369E-2</v>
      </c>
      <c r="AE37" s="70">
        <v>5.3995320679001348E-2</v>
      </c>
      <c r="AF37" s="62">
        <v>5.7393538728196247E-2</v>
      </c>
      <c r="AG37" s="70" t="s">
        <v>21</v>
      </c>
      <c r="AH37" s="70">
        <v>5.2570636037267233E-3</v>
      </c>
      <c r="AI37" s="70">
        <v>9.2358281920436915E-3</v>
      </c>
      <c r="AJ37" s="70">
        <v>1.1480491779001354E-2</v>
      </c>
      <c r="AK37" s="70">
        <v>1.3392660128196258E-2</v>
      </c>
    </row>
    <row r="38" spans="2:37" x14ac:dyDescent="0.35">
      <c r="B38" s="54" t="s">
        <v>40</v>
      </c>
      <c r="C38" s="52" t="s">
        <v>33</v>
      </c>
      <c r="D38" s="52" t="s">
        <v>31</v>
      </c>
      <c r="E38" s="52" t="s">
        <v>41</v>
      </c>
      <c r="F38" s="72">
        <f t="shared" si="4"/>
        <v>4.1970057281007431E-2</v>
      </c>
      <c r="G38" s="59">
        <f t="shared" si="4"/>
        <v>4.8641127035218557E-2</v>
      </c>
      <c r="H38" s="70">
        <f t="shared" si="4"/>
        <v>5.4418906611728698E-2</v>
      </c>
      <c r="I38" s="70">
        <f t="shared" si="4"/>
        <v>5.8341788612843996E-2</v>
      </c>
      <c r="J38" s="62">
        <f t="shared" si="4"/>
        <v>6.2307690713396417E-2</v>
      </c>
      <c r="K38" s="72" t="str">
        <f t="shared" si="5"/>
        <v/>
      </c>
      <c r="L38" s="59">
        <f t="shared" si="5"/>
        <v>6.88251533521856E-3</v>
      </c>
      <c r="M38" s="70">
        <f t="shared" si="5"/>
        <v>1.2495266711728698E-2</v>
      </c>
      <c r="N38" s="70">
        <f t="shared" si="5"/>
        <v>1.5585059212844005E-2</v>
      </c>
      <c r="O38" s="62">
        <f t="shared" si="5"/>
        <v>1.8059146813396425E-2</v>
      </c>
      <c r="P38" s="54" t="s">
        <v>420</v>
      </c>
      <c r="Q38" s="52" t="s">
        <v>421</v>
      </c>
      <c r="R38" s="93">
        <v>47729</v>
      </c>
      <c r="S38" s="70">
        <v>5.2675130000000001E-2</v>
      </c>
      <c r="T38" s="62">
        <f t="shared" si="6"/>
        <v>1.7437766117286979E-3</v>
      </c>
      <c r="V38" s="113">
        <v>1.1128384</v>
      </c>
      <c r="W38" s="71">
        <v>2.8528704</v>
      </c>
      <c r="X38" s="71">
        <v>4.3658999099999996</v>
      </c>
      <c r="Y38" s="71">
        <v>5.6338060600000004</v>
      </c>
      <c r="Z38" s="114">
        <v>7.1620708100000003</v>
      </c>
      <c r="AB38" s="72">
        <v>4.1970057281007431E-2</v>
      </c>
      <c r="AC38" s="70">
        <v>4.8641127035218557E-2</v>
      </c>
      <c r="AD38" s="70">
        <v>5.4418906611728698E-2</v>
      </c>
      <c r="AE38" s="70">
        <v>5.8341788612843996E-2</v>
      </c>
      <c r="AF38" s="62">
        <v>6.2307690713396417E-2</v>
      </c>
      <c r="AG38" s="70" t="s">
        <v>21</v>
      </c>
      <c r="AH38" s="70">
        <v>6.88251533521856E-3</v>
      </c>
      <c r="AI38" s="70">
        <v>1.2495266711728698E-2</v>
      </c>
      <c r="AJ38" s="70">
        <v>1.5585059212844005E-2</v>
      </c>
      <c r="AK38" s="70">
        <v>1.8059146813396425E-2</v>
      </c>
    </row>
    <row r="39" spans="2:37" x14ac:dyDescent="0.35">
      <c r="B39" s="56" t="s">
        <v>40</v>
      </c>
      <c r="C39" s="66" t="s">
        <v>35</v>
      </c>
      <c r="D39" s="66" t="s">
        <v>31</v>
      </c>
      <c r="E39" s="66" t="s">
        <v>21</v>
      </c>
      <c r="F39" s="73">
        <f t="shared" si="4"/>
        <v>4.2407962421859957E-2</v>
      </c>
      <c r="G39" s="75">
        <f t="shared" si="4"/>
        <v>5.1022313070839403E-2</v>
      </c>
      <c r="H39" s="75">
        <f t="shared" si="4"/>
        <v>5.8379587498465925E-2</v>
      </c>
      <c r="I39" s="75">
        <f t="shared" si="4"/>
        <v>6.3518887505077753E-2</v>
      </c>
      <c r="J39" s="63">
        <f t="shared" si="4"/>
        <v>6.8390446701550936E-2</v>
      </c>
      <c r="K39" s="73">
        <f t="shared" si="5"/>
        <v>3.4065092185995519E-4</v>
      </c>
      <c r="L39" s="75">
        <f t="shared" si="5"/>
        <v>9.1991462708394048E-3</v>
      </c>
      <c r="M39" s="75">
        <f t="shared" si="5"/>
        <v>1.6331736798465928E-2</v>
      </c>
      <c r="N39" s="75">
        <f t="shared" si="5"/>
        <v>2.0578454005077764E-2</v>
      </c>
      <c r="O39" s="63">
        <f t="shared" si="5"/>
        <v>2.3916522201550935E-2</v>
      </c>
      <c r="P39" s="54" t="s">
        <v>21</v>
      </c>
      <c r="Q39" s="52" t="s">
        <v>21</v>
      </c>
      <c r="R39" s="93" t="s">
        <v>21</v>
      </c>
      <c r="S39" s="70"/>
      <c r="T39" s="62" t="str">
        <f t="shared" si="6"/>
        <v/>
      </c>
      <c r="V39" s="115">
        <v>1.11353342</v>
      </c>
      <c r="W39" s="107">
        <v>2.8508406600000002</v>
      </c>
      <c r="X39" s="107">
        <v>4.3522981500000002</v>
      </c>
      <c r="Y39" s="107">
        <v>5.5985861400000001</v>
      </c>
      <c r="Z39" s="116">
        <v>7.0801746900000007</v>
      </c>
      <c r="AB39" s="73">
        <v>4.2407962421859957E-2</v>
      </c>
      <c r="AC39" s="75">
        <v>5.1022313070839403E-2</v>
      </c>
      <c r="AD39" s="75">
        <v>5.8379587498465925E-2</v>
      </c>
      <c r="AE39" s="75">
        <v>6.3518887505077753E-2</v>
      </c>
      <c r="AF39" s="63">
        <v>6.8390446701550936E-2</v>
      </c>
      <c r="AG39" s="70">
        <v>3.4065092185995519E-4</v>
      </c>
      <c r="AH39" s="70">
        <v>9.1991462708394048E-3</v>
      </c>
      <c r="AI39" s="70">
        <v>1.6331736798465928E-2</v>
      </c>
      <c r="AJ39" s="70">
        <v>2.0578454005077764E-2</v>
      </c>
      <c r="AK39" s="70">
        <v>2.3916522201550935E-2</v>
      </c>
    </row>
    <row r="40" spans="2:37" x14ac:dyDescent="0.35">
      <c r="B40" s="78" t="s">
        <v>422</v>
      </c>
      <c r="C40" s="77"/>
      <c r="D40" s="77"/>
      <c r="E40" s="77"/>
      <c r="F40" s="77" t="str">
        <f t="shared" si="4"/>
        <v/>
      </c>
      <c r="G40" s="77" t="str">
        <f t="shared" si="4"/>
        <v/>
      </c>
      <c r="H40" s="77" t="str">
        <f t="shared" si="4"/>
        <v/>
      </c>
      <c r="I40" s="77" t="str">
        <f t="shared" si="4"/>
        <v/>
      </c>
      <c r="J40" s="77" t="str">
        <f t="shared" si="4"/>
        <v/>
      </c>
      <c r="K40" s="77" t="str">
        <f t="shared" si="5"/>
        <v/>
      </c>
      <c r="L40" s="77" t="str">
        <f t="shared" si="5"/>
        <v/>
      </c>
      <c r="M40" s="77" t="str">
        <f t="shared" si="5"/>
        <v/>
      </c>
      <c r="N40" s="77" t="str">
        <f t="shared" si="5"/>
        <v/>
      </c>
      <c r="O40" s="76" t="str">
        <f t="shared" si="5"/>
        <v/>
      </c>
      <c r="P40" s="78"/>
      <c r="Q40" s="77"/>
      <c r="R40" s="94"/>
      <c r="S40" s="77"/>
      <c r="T40" s="76" t="str">
        <f t="shared" si="6"/>
        <v/>
      </c>
      <c r="V40" s="111"/>
      <c r="W40" s="106"/>
      <c r="X40" s="106"/>
      <c r="Y40" s="106"/>
      <c r="Z40" s="112"/>
      <c r="AB40" s="77"/>
      <c r="AC40" s="77"/>
      <c r="AD40" s="77"/>
      <c r="AE40" s="77"/>
      <c r="AF40" s="77"/>
      <c r="AG40" s="77"/>
      <c r="AH40" s="77"/>
      <c r="AI40" s="77"/>
      <c r="AJ40" s="77"/>
      <c r="AK40" s="77"/>
    </row>
    <row r="41" spans="2:37" x14ac:dyDescent="0.35">
      <c r="B41" s="54" t="s">
        <v>42</v>
      </c>
      <c r="C41" s="52" t="s">
        <v>30</v>
      </c>
      <c r="D41" s="52" t="s">
        <v>43</v>
      </c>
      <c r="E41" s="52" t="s">
        <v>423</v>
      </c>
      <c r="F41" s="72">
        <f t="shared" si="4"/>
        <v>4.1403438568918531E-2</v>
      </c>
      <c r="G41" s="59">
        <f t="shared" si="4"/>
        <v>4.6834491242243405E-2</v>
      </c>
      <c r="H41" s="70">
        <f t="shared" si="4"/>
        <v>5.1221177805739981E-2</v>
      </c>
      <c r="I41" s="70">
        <f t="shared" si="4"/>
        <v>5.4196663911823442E-2</v>
      </c>
      <c r="J41" s="62">
        <f t="shared" si="4"/>
        <v>5.7370204453607646E-2</v>
      </c>
      <c r="K41" s="72" t="str">
        <f t="shared" si="5"/>
        <v/>
      </c>
      <c r="L41" s="59">
        <f t="shared" si="5"/>
        <v>5.1728352422434135E-3</v>
      </c>
      <c r="M41" s="70">
        <f t="shared" si="5"/>
        <v>9.4741442057399809E-3</v>
      </c>
      <c r="N41" s="70">
        <f t="shared" si="5"/>
        <v>1.1671511811823437E-2</v>
      </c>
      <c r="O41" s="62">
        <f t="shared" si="5"/>
        <v>1.3371515553607632E-2</v>
      </c>
      <c r="P41" s="54" t="s">
        <v>424</v>
      </c>
      <c r="Q41" s="52" t="s">
        <v>425</v>
      </c>
      <c r="R41" s="93" t="s">
        <v>32</v>
      </c>
      <c r="S41" s="70">
        <v>5.1008490000000004E-2</v>
      </c>
      <c r="T41" s="62">
        <f t="shared" si="6"/>
        <v>2.1268780573997781E-4</v>
      </c>
      <c r="V41" s="113">
        <v>1.1138873199999999</v>
      </c>
      <c r="W41" s="71">
        <v>2.86575537</v>
      </c>
      <c r="X41" s="71">
        <v>4.4132895799999998</v>
      </c>
      <c r="Y41" s="71">
        <v>5.7406777800000004</v>
      </c>
      <c r="Z41" s="114">
        <v>7.3893742900000001</v>
      </c>
      <c r="AB41" s="72">
        <v>4.1403438568918531E-2</v>
      </c>
      <c r="AC41" s="70">
        <v>4.6834491242243405E-2</v>
      </c>
      <c r="AD41" s="70">
        <v>5.1221177805739981E-2</v>
      </c>
      <c r="AE41" s="70">
        <v>5.4196663911823442E-2</v>
      </c>
      <c r="AF41" s="62">
        <v>5.7370204453607646E-2</v>
      </c>
      <c r="AG41" s="70" t="s">
        <v>21</v>
      </c>
      <c r="AH41" s="70">
        <v>5.1728352422434135E-3</v>
      </c>
      <c r="AI41" s="70">
        <v>9.4741442057399809E-3</v>
      </c>
      <c r="AJ41" s="70">
        <v>1.1671511811823437E-2</v>
      </c>
      <c r="AK41" s="70">
        <v>1.3371515553607632E-2</v>
      </c>
    </row>
    <row r="42" spans="2:37" x14ac:dyDescent="0.35">
      <c r="B42" s="54" t="s">
        <v>42</v>
      </c>
      <c r="C42" s="52" t="s">
        <v>33</v>
      </c>
      <c r="D42" s="52" t="s">
        <v>43</v>
      </c>
      <c r="E42" s="52" t="s">
        <v>426</v>
      </c>
      <c r="F42" s="72">
        <f t="shared" si="4"/>
        <v>4.1285333214610156E-2</v>
      </c>
      <c r="G42" s="59">
        <f t="shared" si="4"/>
        <v>4.8751706384489758E-2</v>
      </c>
      <c r="H42" s="70">
        <f t="shared" si="4"/>
        <v>5.4566340695305651E-2</v>
      </c>
      <c r="I42" s="70">
        <f t="shared" si="4"/>
        <v>5.8721525492538888E-2</v>
      </c>
      <c r="J42" s="62">
        <f t="shared" si="4"/>
        <v>6.2656963580783889E-2</v>
      </c>
      <c r="K42" s="72" t="str">
        <f t="shared" si="5"/>
        <v/>
      </c>
      <c r="L42" s="59">
        <f t="shared" si="5"/>
        <v>6.9903027844897617E-3</v>
      </c>
      <c r="M42" s="70">
        <f t="shared" si="5"/>
        <v>1.2636478495305654E-2</v>
      </c>
      <c r="N42" s="70">
        <f t="shared" si="5"/>
        <v>1.594414069253889E-2</v>
      </c>
      <c r="O42" s="62">
        <f t="shared" si="5"/>
        <v>1.8392262080783893E-2</v>
      </c>
      <c r="P42" s="54" t="s">
        <v>427</v>
      </c>
      <c r="Q42" s="52" t="s">
        <v>428</v>
      </c>
      <c r="R42" s="93" t="s">
        <v>32</v>
      </c>
      <c r="S42" s="70">
        <v>5.5220859999999997E-2</v>
      </c>
      <c r="T42" s="62">
        <f t="shared" si="6"/>
        <v>-6.5451930469434538E-4</v>
      </c>
      <c r="V42" s="113">
        <v>1.1140676</v>
      </c>
      <c r="W42" s="71">
        <v>2.8542840300000001</v>
      </c>
      <c r="X42" s="71">
        <v>4.3653988900000007</v>
      </c>
      <c r="Y42" s="71">
        <v>5.6278866399999998</v>
      </c>
      <c r="Z42" s="114">
        <v>7.1467687200000007</v>
      </c>
      <c r="AB42" s="72">
        <v>4.1285333214610156E-2</v>
      </c>
      <c r="AC42" s="70">
        <v>4.8751706384489758E-2</v>
      </c>
      <c r="AD42" s="70">
        <v>5.4566340695305651E-2</v>
      </c>
      <c r="AE42" s="70">
        <v>5.8721525492538888E-2</v>
      </c>
      <c r="AF42" s="62">
        <v>6.2656963580783889E-2</v>
      </c>
      <c r="AG42" s="70" t="s">
        <v>21</v>
      </c>
      <c r="AH42" s="70">
        <v>6.9903027844897617E-3</v>
      </c>
      <c r="AI42" s="70">
        <v>1.2636478495305654E-2</v>
      </c>
      <c r="AJ42" s="70">
        <v>1.594414069253889E-2</v>
      </c>
      <c r="AK42" s="70">
        <v>1.8392262080783893E-2</v>
      </c>
    </row>
    <row r="43" spans="2:37" x14ac:dyDescent="0.35">
      <c r="B43" s="54" t="s">
        <v>42</v>
      </c>
      <c r="C43" s="52" t="s">
        <v>35</v>
      </c>
      <c r="D43" s="52" t="s">
        <v>43</v>
      </c>
      <c r="E43" s="52" t="s">
        <v>429</v>
      </c>
      <c r="F43" s="72">
        <f t="shared" si="4"/>
        <v>4.2760968814859891E-2</v>
      </c>
      <c r="G43" s="59">
        <f t="shared" si="4"/>
        <v>5.1896365224026034E-2</v>
      </c>
      <c r="H43" s="70">
        <f t="shared" si="4"/>
        <v>5.9759035575309677E-2</v>
      </c>
      <c r="I43" s="70">
        <f t="shared" si="4"/>
        <v>6.5071324545049117E-2</v>
      </c>
      <c r="J43" s="62">
        <f t="shared" si="4"/>
        <v>7.0441777697933555E-2</v>
      </c>
      <c r="K43" s="72">
        <f t="shared" si="5"/>
        <v>6.7424401485988942E-4</v>
      </c>
      <c r="L43" s="59">
        <f t="shared" si="5"/>
        <v>1.0028646924026038E-2</v>
      </c>
      <c r="M43" s="70">
        <f t="shared" si="5"/>
        <v>1.7632449675309664E-2</v>
      </c>
      <c r="N43" s="70">
        <f t="shared" si="5"/>
        <v>2.2037058045049129E-2</v>
      </c>
      <c r="O43" s="62">
        <f t="shared" si="5"/>
        <v>2.5847061797933561E-2</v>
      </c>
      <c r="P43" s="54" t="s">
        <v>21</v>
      </c>
      <c r="Q43" s="52" t="s">
        <v>21</v>
      </c>
      <c r="R43" s="93" t="s">
        <v>21</v>
      </c>
      <c r="S43" s="70">
        <v>0</v>
      </c>
      <c r="T43" s="62">
        <f t="shared" si="6"/>
        <v>5.9759035575309677E-2</v>
      </c>
      <c r="V43" s="113">
        <v>1.11306474</v>
      </c>
      <c r="W43" s="71">
        <v>2.8459736800000002</v>
      </c>
      <c r="X43" s="71">
        <v>4.3357729699999998</v>
      </c>
      <c r="Y43" s="71">
        <v>5.5651344700000003</v>
      </c>
      <c r="Z43" s="114">
        <v>7.0103917000000004</v>
      </c>
      <c r="AB43" s="72">
        <v>4.2760968814859891E-2</v>
      </c>
      <c r="AC43" s="70">
        <v>5.1896365224026034E-2</v>
      </c>
      <c r="AD43" s="70">
        <v>5.9759035575309677E-2</v>
      </c>
      <c r="AE43" s="70">
        <v>6.5071324545049117E-2</v>
      </c>
      <c r="AF43" s="62">
        <v>7.0441777697933555E-2</v>
      </c>
      <c r="AG43" s="70">
        <v>6.7424401485988942E-4</v>
      </c>
      <c r="AH43" s="70">
        <v>1.0028646924026038E-2</v>
      </c>
      <c r="AI43" s="70">
        <v>1.7632449675309664E-2</v>
      </c>
      <c r="AJ43" s="70">
        <v>2.2037058045049129E-2</v>
      </c>
      <c r="AK43" s="70">
        <v>2.5847061797933561E-2</v>
      </c>
    </row>
    <row r="44" spans="2:37" x14ac:dyDescent="0.35">
      <c r="B44" s="78" t="s">
        <v>45</v>
      </c>
      <c r="C44" s="77"/>
      <c r="D44" s="77"/>
      <c r="E44" s="77"/>
      <c r="F44" s="77" t="str">
        <f t="shared" si="4"/>
        <v/>
      </c>
      <c r="G44" s="77" t="str">
        <f t="shared" si="4"/>
        <v/>
      </c>
      <c r="H44" s="77" t="str">
        <f t="shared" si="4"/>
        <v/>
      </c>
      <c r="I44" s="77" t="str">
        <f t="shared" si="4"/>
        <v/>
      </c>
      <c r="J44" s="77" t="str">
        <f t="shared" si="4"/>
        <v/>
      </c>
      <c r="K44" s="77" t="str">
        <f t="shared" si="5"/>
        <v/>
      </c>
      <c r="L44" s="77" t="str">
        <f t="shared" si="5"/>
        <v/>
      </c>
      <c r="M44" s="77" t="str">
        <f t="shared" si="5"/>
        <v/>
      </c>
      <c r="N44" s="77" t="str">
        <f t="shared" si="5"/>
        <v/>
      </c>
      <c r="O44" s="76" t="str">
        <f t="shared" si="5"/>
        <v/>
      </c>
      <c r="P44" s="78"/>
      <c r="Q44" s="77"/>
      <c r="R44" s="94"/>
      <c r="S44" s="77"/>
      <c r="T44" s="76" t="str">
        <f t="shared" si="6"/>
        <v/>
      </c>
      <c r="V44" s="111"/>
      <c r="W44" s="106"/>
      <c r="X44" s="106"/>
      <c r="Y44" s="106"/>
      <c r="Z44" s="112"/>
      <c r="AB44" s="77"/>
      <c r="AC44" s="77"/>
      <c r="AD44" s="77"/>
      <c r="AE44" s="77"/>
      <c r="AF44" s="77"/>
      <c r="AG44" s="77"/>
      <c r="AH44" s="77"/>
      <c r="AI44" s="77"/>
      <c r="AJ44" s="77"/>
      <c r="AK44" s="77"/>
    </row>
    <row r="45" spans="2:37" x14ac:dyDescent="0.35">
      <c r="B45" s="55" t="s">
        <v>46</v>
      </c>
      <c r="C45" s="65" t="s">
        <v>30</v>
      </c>
      <c r="D45" s="65" t="s">
        <v>47</v>
      </c>
      <c r="E45" s="65" t="s">
        <v>430</v>
      </c>
      <c r="F45" s="74">
        <f t="shared" si="4"/>
        <v>4.0773564188797434E-2</v>
      </c>
      <c r="G45" s="79">
        <f t="shared" si="4"/>
        <v>4.6546046410937097E-2</v>
      </c>
      <c r="H45" s="79">
        <f t="shared" si="4"/>
        <v>5.0847066102552518E-2</v>
      </c>
      <c r="I45" s="79">
        <f t="shared" si="4"/>
        <v>5.4163351899532468E-2</v>
      </c>
      <c r="J45" s="61">
        <f t="shared" si="4"/>
        <v>5.7754195777171051E-2</v>
      </c>
      <c r="K45" s="74" t="str">
        <f t="shared" si="5"/>
        <v/>
      </c>
      <c r="L45" s="79">
        <f t="shared" si="5"/>
        <v>4.8987857109370992E-3</v>
      </c>
      <c r="M45" s="79">
        <f t="shared" si="5"/>
        <v>9.11930980255252E-3</v>
      </c>
      <c r="N45" s="79">
        <f t="shared" si="5"/>
        <v>1.1639946099532473E-2</v>
      </c>
      <c r="O45" s="61">
        <f t="shared" si="5"/>
        <v>1.3738903977171054E-2</v>
      </c>
      <c r="P45" s="54" t="s">
        <v>431</v>
      </c>
      <c r="Q45" s="52" t="s">
        <v>432</v>
      </c>
      <c r="R45" s="93" t="s">
        <v>32</v>
      </c>
      <c r="S45" s="70">
        <v>4.7540899999999997E-2</v>
      </c>
      <c r="T45" s="62">
        <f t="shared" si="6"/>
        <v>3.3061661025525213E-3</v>
      </c>
      <c r="V45" s="117">
        <v>1.1150665200000001</v>
      </c>
      <c r="W45" s="60">
        <v>2.86957313</v>
      </c>
      <c r="X45" s="60">
        <v>4.42114808</v>
      </c>
      <c r="Y45" s="60">
        <v>5.7492642199999997</v>
      </c>
      <c r="Z45" s="118">
        <v>7.3877832899999998</v>
      </c>
      <c r="AB45" s="74">
        <v>4.0773564188797434E-2</v>
      </c>
      <c r="AC45" s="79">
        <v>4.6546046410937097E-2</v>
      </c>
      <c r="AD45" s="79">
        <v>5.0847066102552518E-2</v>
      </c>
      <c r="AE45" s="79">
        <v>5.4163351899532468E-2</v>
      </c>
      <c r="AF45" s="61">
        <v>5.7754195777171051E-2</v>
      </c>
      <c r="AG45" s="70" t="s">
        <v>21</v>
      </c>
      <c r="AH45" s="70">
        <v>4.8987857109370992E-3</v>
      </c>
      <c r="AI45" s="70">
        <v>9.11930980255252E-3</v>
      </c>
      <c r="AJ45" s="70">
        <v>1.1639946099532473E-2</v>
      </c>
      <c r="AK45" s="70">
        <v>1.3738903977171054E-2</v>
      </c>
    </row>
    <row r="46" spans="2:37" x14ac:dyDescent="0.35">
      <c r="B46" s="54" t="s">
        <v>46</v>
      </c>
      <c r="C46" s="52" t="s">
        <v>33</v>
      </c>
      <c r="D46" s="52" t="s">
        <v>47</v>
      </c>
      <c r="E46" s="52" t="s">
        <v>433</v>
      </c>
      <c r="F46" s="72">
        <f t="shared" si="4"/>
        <v>4.147288880364771E-2</v>
      </c>
      <c r="G46" s="59">
        <f t="shared" si="4"/>
        <v>4.842529902627845E-2</v>
      </c>
      <c r="H46" s="70">
        <f t="shared" si="4"/>
        <v>5.4354565894083495E-2</v>
      </c>
      <c r="I46" s="70">
        <f t="shared" si="4"/>
        <v>5.8279105842027529E-2</v>
      </c>
      <c r="J46" s="62">
        <f t="shared" si="4"/>
        <v>6.1977968246945618E-2</v>
      </c>
      <c r="K46" s="72" t="str">
        <f t="shared" si="5"/>
        <v/>
      </c>
      <c r="L46" s="59">
        <f t="shared" si="5"/>
        <v>6.6776221262784523E-3</v>
      </c>
      <c r="M46" s="70">
        <f t="shared" si="5"/>
        <v>1.2434136894083498E-2</v>
      </c>
      <c r="N46" s="70">
        <f t="shared" si="5"/>
        <v>1.5526152642027537E-2</v>
      </c>
      <c r="O46" s="62">
        <f t="shared" si="5"/>
        <v>1.7749120646945608E-2</v>
      </c>
      <c r="P46" s="54" t="s">
        <v>21</v>
      </c>
      <c r="Q46" s="52" t="s">
        <v>21</v>
      </c>
      <c r="R46" s="93" t="s">
        <v>21</v>
      </c>
      <c r="S46" s="70">
        <v>0</v>
      </c>
      <c r="T46" s="62">
        <f t="shared" si="6"/>
        <v>5.4354565894083495E-2</v>
      </c>
      <c r="V46" s="113">
        <v>1.1137716600000001</v>
      </c>
      <c r="W46" s="71">
        <v>2.8557998800000002</v>
      </c>
      <c r="X46" s="71">
        <v>4.3696663400000002</v>
      </c>
      <c r="Y46" s="71">
        <v>5.6380898699999999</v>
      </c>
      <c r="Z46" s="114">
        <v>7.1730648600000002</v>
      </c>
      <c r="AB46" s="72">
        <v>4.147288880364771E-2</v>
      </c>
      <c r="AC46" s="70">
        <v>4.842529902627845E-2</v>
      </c>
      <c r="AD46" s="70">
        <v>5.4354565894083495E-2</v>
      </c>
      <c r="AE46" s="70">
        <v>5.8279105842027529E-2</v>
      </c>
      <c r="AF46" s="62">
        <v>6.1977968246945618E-2</v>
      </c>
      <c r="AG46" s="70" t="s">
        <v>21</v>
      </c>
      <c r="AH46" s="70">
        <v>6.6776221262784523E-3</v>
      </c>
      <c r="AI46" s="70">
        <v>1.2434136894083498E-2</v>
      </c>
      <c r="AJ46" s="70">
        <v>1.5526152642027537E-2</v>
      </c>
      <c r="AK46" s="70">
        <v>1.7749120646945608E-2</v>
      </c>
    </row>
    <row r="47" spans="2:37" x14ac:dyDescent="0.35">
      <c r="B47" s="56" t="s">
        <v>46</v>
      </c>
      <c r="C47" s="66" t="s">
        <v>35</v>
      </c>
      <c r="D47" s="66" t="s">
        <v>47</v>
      </c>
      <c r="E47" s="66" t="s">
        <v>21</v>
      </c>
      <c r="F47" s="73">
        <f t="shared" si="4"/>
        <v>4.2436410009837069E-2</v>
      </c>
      <c r="G47" s="75">
        <f t="shared" si="4"/>
        <v>5.1027311874651933E-2</v>
      </c>
      <c r="H47" s="75">
        <f t="shared" si="4"/>
        <v>5.8582867724812214E-2</v>
      </c>
      <c r="I47" s="75">
        <f t="shared" si="4"/>
        <v>6.354494190190961E-2</v>
      </c>
      <c r="J47" s="63">
        <f t="shared" si="4"/>
        <v>6.8422646342900517E-2</v>
      </c>
      <c r="K47" s="73">
        <f t="shared" si="5"/>
        <v>3.5349500983707267E-4</v>
      </c>
      <c r="L47" s="75">
        <f t="shared" si="5"/>
        <v>9.1973102746519333E-3</v>
      </c>
      <c r="M47" s="75">
        <f t="shared" si="5"/>
        <v>1.6519194024812209E-2</v>
      </c>
      <c r="N47" s="75">
        <f t="shared" si="5"/>
        <v>2.0599068001909613E-2</v>
      </c>
      <c r="O47" s="63">
        <f t="shared" si="5"/>
        <v>2.3943099342900509E-2</v>
      </c>
      <c r="P47" s="54" t="s">
        <v>21</v>
      </c>
      <c r="Q47" s="52" t="s">
        <v>21</v>
      </c>
      <c r="R47" s="93" t="s">
        <v>21</v>
      </c>
      <c r="S47" s="70">
        <v>0</v>
      </c>
      <c r="T47" s="62">
        <f t="shared" si="6"/>
        <v>5.8582867724812214E-2</v>
      </c>
      <c r="V47" s="115">
        <v>1.1135653000000001</v>
      </c>
      <c r="W47" s="107">
        <v>2.8509033400000003</v>
      </c>
      <c r="X47" s="107">
        <v>4.3508703099999995</v>
      </c>
      <c r="Y47" s="107">
        <v>5.5966181800000001</v>
      </c>
      <c r="Z47" s="116">
        <v>7.0780715999999995</v>
      </c>
      <c r="AB47" s="73">
        <v>4.2436410009837069E-2</v>
      </c>
      <c r="AC47" s="75">
        <v>5.1027311874651933E-2</v>
      </c>
      <c r="AD47" s="75">
        <v>5.8582867724812214E-2</v>
      </c>
      <c r="AE47" s="75">
        <v>6.354494190190961E-2</v>
      </c>
      <c r="AF47" s="63">
        <v>6.8422646342900517E-2</v>
      </c>
      <c r="AG47" s="70">
        <v>3.5349500983707267E-4</v>
      </c>
      <c r="AH47" s="70">
        <v>9.1973102746519333E-3</v>
      </c>
      <c r="AI47" s="70">
        <v>1.6519194024812209E-2</v>
      </c>
      <c r="AJ47" s="70">
        <v>2.0599068001909613E-2</v>
      </c>
      <c r="AK47" s="70">
        <v>2.3943099342900509E-2</v>
      </c>
    </row>
    <row r="48" spans="2:37" x14ac:dyDescent="0.35">
      <c r="B48" s="54" t="s">
        <v>49</v>
      </c>
      <c r="C48" s="52" t="s">
        <v>30</v>
      </c>
      <c r="D48" s="52" t="s">
        <v>47</v>
      </c>
      <c r="E48" s="52" t="s">
        <v>356</v>
      </c>
      <c r="F48" s="72">
        <f t="shared" si="4"/>
        <v>4.0561499656445357E-2</v>
      </c>
      <c r="G48" s="59">
        <f t="shared" si="4"/>
        <v>4.5907378414671782E-2</v>
      </c>
      <c r="H48" s="70">
        <f t="shared" si="4"/>
        <v>5.0100656731543285E-2</v>
      </c>
      <c r="I48" s="70">
        <f t="shared" si="4"/>
        <v>5.2852405704857525E-2</v>
      </c>
      <c r="J48" s="62">
        <f t="shared" si="4"/>
        <v>5.6547922963291641E-2</v>
      </c>
      <c r="K48" s="72" t="str">
        <f t="shared" si="5"/>
        <v/>
      </c>
      <c r="L48" s="59">
        <f t="shared" si="5"/>
        <v>4.2935108146717913E-3</v>
      </c>
      <c r="M48" s="70">
        <f t="shared" si="5"/>
        <v>8.412100131543282E-3</v>
      </c>
      <c r="N48" s="70">
        <f t="shared" si="5"/>
        <v>1.0396812904857517E-2</v>
      </c>
      <c r="O48" s="62">
        <f t="shared" si="5"/>
        <v>1.2586122263291626E-2</v>
      </c>
      <c r="P48" s="55" t="s">
        <v>434</v>
      </c>
      <c r="Q48" s="65" t="s">
        <v>435</v>
      </c>
      <c r="R48" s="99" t="s">
        <v>32</v>
      </c>
      <c r="S48" s="79">
        <v>5.0398800000000001E-2</v>
      </c>
      <c r="T48" s="61">
        <f t="shared" si="6"/>
        <v>-2.981432684567159E-4</v>
      </c>
      <c r="V48" s="113">
        <v>1.1154549499999999</v>
      </c>
      <c r="W48" s="71">
        <v>2.8741830900000003</v>
      </c>
      <c r="X48" s="71">
        <v>4.4342922200000006</v>
      </c>
      <c r="Y48" s="71">
        <v>5.7809760699999995</v>
      </c>
      <c r="Z48" s="114">
        <v>7.4515341499999996</v>
      </c>
      <c r="AB48" s="72">
        <v>4.0561499656445357E-2</v>
      </c>
      <c r="AC48" s="70">
        <v>4.5907378414671782E-2</v>
      </c>
      <c r="AD48" s="70">
        <v>5.0100656731543285E-2</v>
      </c>
      <c r="AE48" s="70">
        <v>5.2852405704857525E-2</v>
      </c>
      <c r="AF48" s="62">
        <v>5.6547922963291641E-2</v>
      </c>
      <c r="AG48" s="70" t="s">
        <v>21</v>
      </c>
      <c r="AH48" s="70">
        <v>4.2935108146717913E-3</v>
      </c>
      <c r="AI48" s="70">
        <v>8.412100131543282E-3</v>
      </c>
      <c r="AJ48" s="70">
        <v>1.0396812904857517E-2</v>
      </c>
      <c r="AK48" s="70">
        <v>1.2586122263291626E-2</v>
      </c>
    </row>
    <row r="49" spans="2:37" x14ac:dyDescent="0.35">
      <c r="B49" s="54" t="s">
        <v>49</v>
      </c>
      <c r="C49" s="52" t="s">
        <v>33</v>
      </c>
      <c r="D49" s="52" t="s">
        <v>47</v>
      </c>
      <c r="E49" s="52" t="s">
        <v>274</v>
      </c>
      <c r="F49" s="72">
        <f t="shared" si="4"/>
        <v>4.0988545316331719E-2</v>
      </c>
      <c r="G49" s="59">
        <f t="shared" si="4"/>
        <v>4.7889559385954537E-2</v>
      </c>
      <c r="H49" s="70">
        <f t="shared" si="4"/>
        <v>5.3405958117398948E-2</v>
      </c>
      <c r="I49" s="70">
        <f t="shared" si="4"/>
        <v>5.7064390108663571E-2</v>
      </c>
      <c r="J49" s="62">
        <f t="shared" si="4"/>
        <v>6.1043876708812228E-2</v>
      </c>
      <c r="K49" s="72" t="str">
        <f t="shared" si="5"/>
        <v/>
      </c>
      <c r="L49" s="59">
        <f t="shared" si="5"/>
        <v>6.174532585954534E-3</v>
      </c>
      <c r="M49" s="70">
        <f t="shared" si="5"/>
        <v>1.1541840717398943E-2</v>
      </c>
      <c r="N49" s="70">
        <f t="shared" si="5"/>
        <v>1.4384616708663572E-2</v>
      </c>
      <c r="O49" s="62">
        <f t="shared" si="5"/>
        <v>1.6866001708812237E-2</v>
      </c>
      <c r="P49" s="54" t="s">
        <v>436</v>
      </c>
      <c r="Q49" s="52" t="s">
        <v>437</v>
      </c>
      <c r="R49" s="93" t="s">
        <v>32</v>
      </c>
      <c r="S49" s="70">
        <v>5.508801E-2</v>
      </c>
      <c r="T49" s="62">
        <f t="shared" si="6"/>
        <v>-1.6820518826010517E-3</v>
      </c>
      <c r="V49" s="113">
        <v>1.11462423</v>
      </c>
      <c r="W49" s="71">
        <v>2.86052573</v>
      </c>
      <c r="X49" s="71">
        <v>4.3844226100000006</v>
      </c>
      <c r="Y49" s="71">
        <v>5.66996726</v>
      </c>
      <c r="Z49" s="114">
        <v>7.2282039100000004</v>
      </c>
      <c r="AB49" s="72">
        <v>4.0988545316331719E-2</v>
      </c>
      <c r="AC49" s="70">
        <v>4.7889559385954537E-2</v>
      </c>
      <c r="AD49" s="70">
        <v>5.3405958117398948E-2</v>
      </c>
      <c r="AE49" s="70">
        <v>5.7064390108663571E-2</v>
      </c>
      <c r="AF49" s="62">
        <v>6.1043876708812228E-2</v>
      </c>
      <c r="AG49" s="70" t="s">
        <v>21</v>
      </c>
      <c r="AH49" s="70">
        <v>6.174532585954534E-3</v>
      </c>
      <c r="AI49" s="70">
        <v>1.1541840717398943E-2</v>
      </c>
      <c r="AJ49" s="70">
        <v>1.4384616708663572E-2</v>
      </c>
      <c r="AK49" s="70">
        <v>1.6866001708812237E-2</v>
      </c>
    </row>
    <row r="50" spans="2:37" x14ac:dyDescent="0.35">
      <c r="B50" s="56" t="s">
        <v>49</v>
      </c>
      <c r="C50" s="66" t="s">
        <v>35</v>
      </c>
      <c r="D50" s="66" t="s">
        <v>47</v>
      </c>
      <c r="E50" s="66" t="s">
        <v>21</v>
      </c>
      <c r="F50" s="73">
        <f t="shared" si="4"/>
        <v>4.2119433656322841E-2</v>
      </c>
      <c r="G50" s="75">
        <f t="shared" si="4"/>
        <v>5.0174691658061196E-2</v>
      </c>
      <c r="H50" s="75">
        <f t="shared" si="4"/>
        <v>5.7204120066610964E-2</v>
      </c>
      <c r="I50" s="75">
        <f t="shared" si="4"/>
        <v>6.2346740297004787E-2</v>
      </c>
      <c r="J50" s="63">
        <f t="shared" si="4"/>
        <v>6.7132904816785716E-2</v>
      </c>
      <c r="K50" s="73">
        <f t="shared" si="5"/>
        <v>4.8923456322843423E-5</v>
      </c>
      <c r="L50" s="75">
        <f t="shared" si="5"/>
        <v>8.3850424580611971E-3</v>
      </c>
      <c r="M50" s="75">
        <f t="shared" si="5"/>
        <v>1.5214695266610963E-2</v>
      </c>
      <c r="N50" s="75">
        <f t="shared" si="5"/>
        <v>1.9469515497004784E-2</v>
      </c>
      <c r="O50" s="63">
        <f t="shared" si="5"/>
        <v>2.2726904816785704E-2</v>
      </c>
      <c r="P50" s="56" t="s">
        <v>21</v>
      </c>
      <c r="Q50" s="66" t="s">
        <v>21</v>
      </c>
      <c r="R50" s="95" t="s">
        <v>21</v>
      </c>
      <c r="S50" s="75">
        <v>0</v>
      </c>
      <c r="T50" s="63">
        <f t="shared" si="6"/>
        <v>5.7204120066610964E-2</v>
      </c>
      <c r="V50" s="115">
        <v>1.1140113</v>
      </c>
      <c r="W50" s="107">
        <v>2.8556534600000001</v>
      </c>
      <c r="X50" s="107">
        <v>4.3673423299999996</v>
      </c>
      <c r="Y50" s="107">
        <v>5.6266705699999999</v>
      </c>
      <c r="Z50" s="116">
        <v>7.1308633400000003</v>
      </c>
      <c r="AB50" s="73">
        <v>4.2119433656322841E-2</v>
      </c>
      <c r="AC50" s="75">
        <v>5.0174691658061196E-2</v>
      </c>
      <c r="AD50" s="75">
        <v>5.7204120066610964E-2</v>
      </c>
      <c r="AE50" s="75">
        <v>6.2346740297004787E-2</v>
      </c>
      <c r="AF50" s="63">
        <v>6.7132904816785716E-2</v>
      </c>
      <c r="AG50" s="75">
        <v>4.8923456322843423E-5</v>
      </c>
      <c r="AH50" s="75">
        <v>8.3850424580611971E-3</v>
      </c>
      <c r="AI50" s="75">
        <v>1.5214695266610963E-2</v>
      </c>
      <c r="AJ50" s="75">
        <v>1.9469515497004784E-2</v>
      </c>
      <c r="AK50" s="75">
        <v>2.2726904816785704E-2</v>
      </c>
    </row>
    <row r="51" spans="2:37" x14ac:dyDescent="0.35">
      <c r="B51" s="55" t="s">
        <v>50</v>
      </c>
      <c r="C51" s="65" t="s">
        <v>30</v>
      </c>
      <c r="D51" s="65" t="s">
        <v>47</v>
      </c>
      <c r="E51" s="65" t="s">
        <v>179</v>
      </c>
      <c r="F51" s="74">
        <f t="shared" si="4"/>
        <v>4.0388180707396797E-2</v>
      </c>
      <c r="G51" s="79">
        <f t="shared" si="4"/>
        <v>4.5975323121475786E-2</v>
      </c>
      <c r="H51" s="79">
        <f t="shared" si="4"/>
        <v>5.040946185606017E-2</v>
      </c>
      <c r="I51" s="79">
        <f t="shared" si="4"/>
        <v>5.344635769157504E-2</v>
      </c>
      <c r="J51" s="61">
        <f t="shared" si="4"/>
        <v>5.6974138827560417E-2</v>
      </c>
      <c r="K51" s="74" t="str">
        <f t="shared" si="5"/>
        <v/>
      </c>
      <c r="L51" s="79">
        <f t="shared" si="5"/>
        <v>4.358618621475796E-3</v>
      </c>
      <c r="M51" s="79">
        <f t="shared" si="5"/>
        <v>8.7055041560601676E-3</v>
      </c>
      <c r="N51" s="79">
        <f t="shared" si="5"/>
        <v>1.0961339191575046E-2</v>
      </c>
      <c r="O51" s="61">
        <f t="shared" si="5"/>
        <v>1.2995784227560411E-2</v>
      </c>
      <c r="P51" s="54" t="s">
        <v>438</v>
      </c>
      <c r="Q51" s="52" t="s">
        <v>439</v>
      </c>
      <c r="R51" s="93" t="s">
        <v>32</v>
      </c>
      <c r="S51" s="70">
        <v>4.912826E-2</v>
      </c>
      <c r="T51" s="62">
        <f t="shared" si="6"/>
        <v>1.2812018560601698E-3</v>
      </c>
      <c r="V51" s="117">
        <v>1.1157689399999999</v>
      </c>
      <c r="W51" s="60">
        <v>2.8743024099999999</v>
      </c>
      <c r="X51" s="60">
        <v>4.4311414100000004</v>
      </c>
      <c r="Y51" s="60">
        <v>5.7690979100000002</v>
      </c>
      <c r="Z51" s="118">
        <v>7.427222679999999</v>
      </c>
      <c r="AB51" s="74">
        <v>4.0388180707396797E-2</v>
      </c>
      <c r="AC51" s="79">
        <v>4.5975323121475786E-2</v>
      </c>
      <c r="AD51" s="79">
        <v>5.040946185606017E-2</v>
      </c>
      <c r="AE51" s="79">
        <v>5.344635769157504E-2</v>
      </c>
      <c r="AF51" s="61">
        <v>5.6974138827560417E-2</v>
      </c>
      <c r="AG51" s="70" t="s">
        <v>21</v>
      </c>
      <c r="AH51" s="70">
        <v>4.358618621475796E-3</v>
      </c>
      <c r="AI51" s="70">
        <v>8.7055041560601676E-3</v>
      </c>
      <c r="AJ51" s="70">
        <v>1.0961339191575046E-2</v>
      </c>
      <c r="AK51" s="70">
        <v>1.2995784227560411E-2</v>
      </c>
    </row>
    <row r="52" spans="2:37" x14ac:dyDescent="0.35">
      <c r="B52" s="54" t="s">
        <v>50</v>
      </c>
      <c r="C52" s="52" t="s">
        <v>33</v>
      </c>
      <c r="D52" s="52" t="s">
        <v>47</v>
      </c>
      <c r="E52" s="52" t="s">
        <v>133</v>
      </c>
      <c r="F52" s="72">
        <f t="shared" si="4"/>
        <v>4.1227661310905515E-2</v>
      </c>
      <c r="G52" s="59">
        <f t="shared" si="4"/>
        <v>4.8115057023687777E-2</v>
      </c>
      <c r="H52" s="70">
        <f t="shared" si="4"/>
        <v>5.382971599725913E-2</v>
      </c>
      <c r="I52" s="70">
        <f t="shared" si="4"/>
        <v>5.7856745164712717E-2</v>
      </c>
      <c r="J52" s="62">
        <f t="shared" si="4"/>
        <v>6.1546710636361725E-2</v>
      </c>
      <c r="K52" s="72" t="str">
        <f t="shared" si="5"/>
        <v/>
      </c>
      <c r="L52" s="59">
        <f t="shared" si="5"/>
        <v>6.3843997236877701E-3</v>
      </c>
      <c r="M52" s="70">
        <f t="shared" si="5"/>
        <v>1.1939308897259124E-2</v>
      </c>
      <c r="N52" s="70">
        <f t="shared" si="5"/>
        <v>1.5128994164712726E-2</v>
      </c>
      <c r="O52" s="62">
        <f t="shared" si="5"/>
        <v>1.7342459636361721E-2</v>
      </c>
      <c r="P52" s="54" t="s">
        <v>440</v>
      </c>
      <c r="Q52" s="52" t="s">
        <v>441</v>
      </c>
      <c r="R52" s="93" t="s">
        <v>32</v>
      </c>
      <c r="S52" s="70">
        <v>4.9999729999999999E-2</v>
      </c>
      <c r="T52" s="62">
        <f t="shared" si="6"/>
        <v>3.8299859972591305E-3</v>
      </c>
      <c r="V52" s="113">
        <v>1.1142247700000001</v>
      </c>
      <c r="W52" s="71">
        <v>2.8584783599999999</v>
      </c>
      <c r="X52" s="71">
        <v>4.3779418400000001</v>
      </c>
      <c r="Y52" s="71">
        <v>5.6525192999999998</v>
      </c>
      <c r="Z52" s="114">
        <v>7.1970449500000004</v>
      </c>
      <c r="AB52" s="72">
        <v>4.1227661310905515E-2</v>
      </c>
      <c r="AC52" s="70">
        <v>4.8115057023687777E-2</v>
      </c>
      <c r="AD52" s="70">
        <v>5.382971599725913E-2</v>
      </c>
      <c r="AE52" s="70">
        <v>5.7856745164712717E-2</v>
      </c>
      <c r="AF52" s="62">
        <v>6.1546710636361725E-2</v>
      </c>
      <c r="AG52" s="70" t="s">
        <v>21</v>
      </c>
      <c r="AH52" s="70">
        <v>6.3843997236877701E-3</v>
      </c>
      <c r="AI52" s="70">
        <v>1.1939308897259124E-2</v>
      </c>
      <c r="AJ52" s="70">
        <v>1.5128994164712726E-2</v>
      </c>
      <c r="AK52" s="70">
        <v>1.7342459636361721E-2</v>
      </c>
    </row>
    <row r="53" spans="2:37" x14ac:dyDescent="0.35">
      <c r="B53" s="56" t="s">
        <v>50</v>
      </c>
      <c r="C53" s="66" t="s">
        <v>35</v>
      </c>
      <c r="D53" s="66" t="s">
        <v>47</v>
      </c>
      <c r="E53" s="66" t="s">
        <v>21</v>
      </c>
      <c r="F53" s="73">
        <f t="shared" si="4"/>
        <v>4.2460144701261478E-2</v>
      </c>
      <c r="G53" s="75">
        <f t="shared" si="4"/>
        <v>5.0966978014766004E-2</v>
      </c>
      <c r="H53" s="75">
        <f t="shared" si="4"/>
        <v>5.8482260032212519E-2</v>
      </c>
      <c r="I53" s="75">
        <f t="shared" si="4"/>
        <v>6.3619413989120327E-2</v>
      </c>
      <c r="J53" s="63">
        <f t="shared" si="4"/>
        <v>6.8406252872399528E-2</v>
      </c>
      <c r="K53" s="73">
        <f t="shared" si="5"/>
        <v>3.7690300126148532E-4</v>
      </c>
      <c r="L53" s="75">
        <f t="shared" si="5"/>
        <v>9.1401519147659982E-3</v>
      </c>
      <c r="M53" s="75">
        <f t="shared" si="5"/>
        <v>1.6424328132212517E-2</v>
      </c>
      <c r="N53" s="75">
        <f t="shared" si="5"/>
        <v>2.0669482389120326E-2</v>
      </c>
      <c r="O53" s="63">
        <f t="shared" si="5"/>
        <v>2.392861367239953E-2</v>
      </c>
      <c r="P53" s="54" t="s">
        <v>21</v>
      </c>
      <c r="Q53" s="52" t="s">
        <v>21</v>
      </c>
      <c r="R53" s="93" t="s">
        <v>21</v>
      </c>
      <c r="S53" s="70"/>
      <c r="T53" s="62" t="str">
        <f t="shared" si="6"/>
        <v/>
      </c>
      <c r="V53" s="115">
        <v>1.1135289099999999</v>
      </c>
      <c r="W53" s="107">
        <v>2.8511191</v>
      </c>
      <c r="X53" s="107">
        <v>4.3519424500000001</v>
      </c>
      <c r="Y53" s="107">
        <v>5.5970652599999999</v>
      </c>
      <c r="Z53" s="116">
        <v>7.0781691100000002</v>
      </c>
      <c r="AB53" s="73">
        <v>4.2460144701261478E-2</v>
      </c>
      <c r="AC53" s="75">
        <v>5.0966978014766004E-2</v>
      </c>
      <c r="AD53" s="75">
        <v>5.8482260032212519E-2</v>
      </c>
      <c r="AE53" s="75">
        <v>6.3619413989120327E-2</v>
      </c>
      <c r="AF53" s="63">
        <v>6.8406252872399528E-2</v>
      </c>
      <c r="AG53" s="70">
        <v>3.7690300126148532E-4</v>
      </c>
      <c r="AH53" s="70">
        <v>9.1401519147659982E-3</v>
      </c>
      <c r="AI53" s="70">
        <v>1.6424328132212517E-2</v>
      </c>
      <c r="AJ53" s="70">
        <v>2.0669482389120326E-2</v>
      </c>
      <c r="AK53" s="70">
        <v>2.392861367239953E-2</v>
      </c>
    </row>
    <row r="54" spans="2:37" x14ac:dyDescent="0.35">
      <c r="B54" s="78" t="s">
        <v>51</v>
      </c>
      <c r="C54" s="77"/>
      <c r="D54" s="77"/>
      <c r="E54" s="77"/>
      <c r="F54" s="77" t="str">
        <f t="shared" si="4"/>
        <v/>
      </c>
      <c r="G54" s="77" t="str">
        <f t="shared" si="4"/>
        <v/>
      </c>
      <c r="H54" s="77" t="str">
        <f t="shared" si="4"/>
        <v/>
      </c>
      <c r="I54" s="77" t="str">
        <f t="shared" si="4"/>
        <v/>
      </c>
      <c r="J54" s="77" t="str">
        <f t="shared" si="4"/>
        <v/>
      </c>
      <c r="K54" s="77" t="str">
        <f t="shared" si="5"/>
        <v/>
      </c>
      <c r="L54" s="77" t="str">
        <f t="shared" si="5"/>
        <v/>
      </c>
      <c r="M54" s="77" t="str">
        <f t="shared" si="5"/>
        <v/>
      </c>
      <c r="N54" s="77" t="str">
        <f t="shared" si="5"/>
        <v/>
      </c>
      <c r="O54" s="76" t="str">
        <f t="shared" si="5"/>
        <v/>
      </c>
      <c r="P54" s="78"/>
      <c r="Q54" s="77"/>
      <c r="R54" s="94"/>
      <c r="S54" s="77"/>
      <c r="T54" s="76" t="str">
        <f t="shared" si="6"/>
        <v/>
      </c>
      <c r="V54" s="111"/>
      <c r="W54" s="106"/>
      <c r="X54" s="106"/>
      <c r="Y54" s="106"/>
      <c r="Z54" s="112"/>
      <c r="AB54" s="77"/>
      <c r="AC54" s="77"/>
      <c r="AD54" s="77"/>
      <c r="AE54" s="77"/>
      <c r="AF54" s="77"/>
      <c r="AG54" s="77"/>
      <c r="AH54" s="77"/>
      <c r="AI54" s="77"/>
      <c r="AJ54" s="77"/>
      <c r="AK54" s="77"/>
    </row>
    <row r="55" spans="2:37" x14ac:dyDescent="0.35">
      <c r="B55" s="55" t="s">
        <v>52</v>
      </c>
      <c r="C55" s="65" t="s">
        <v>30</v>
      </c>
      <c r="D55" s="65" t="s">
        <v>53</v>
      </c>
      <c r="E55" s="65" t="s">
        <v>57</v>
      </c>
      <c r="F55" s="74">
        <f t="shared" si="4"/>
        <v>4.1488543250654278E-2</v>
      </c>
      <c r="G55" s="79">
        <f t="shared" si="4"/>
        <v>4.6716965880730821E-2</v>
      </c>
      <c r="H55" s="79">
        <f t="shared" si="4"/>
        <v>5.0601357086605396E-2</v>
      </c>
      <c r="I55" s="79">
        <f t="shared" si="4"/>
        <v>5.3343746183165119E-2</v>
      </c>
      <c r="J55" s="61">
        <f t="shared" si="4"/>
        <v>5.6538500458309417E-2</v>
      </c>
      <c r="K55" s="74" t="str">
        <f t="shared" si="5"/>
        <v/>
      </c>
      <c r="L55" s="79">
        <f t="shared" si="5"/>
        <v>5.0612372807308237E-3</v>
      </c>
      <c r="M55" s="79">
        <f t="shared" si="5"/>
        <v>8.8865418866053997E-3</v>
      </c>
      <c r="N55" s="79">
        <f t="shared" si="5"/>
        <v>1.0861980983165119E-2</v>
      </c>
      <c r="O55" s="61">
        <f t="shared" si="5"/>
        <v>1.2575461058309416E-2</v>
      </c>
      <c r="P55" s="54" t="s">
        <v>442</v>
      </c>
      <c r="Q55" s="52" t="s">
        <v>443</v>
      </c>
      <c r="R55" s="93" t="s">
        <v>32</v>
      </c>
      <c r="S55" s="70">
        <v>4.8480519999999999E-2</v>
      </c>
      <c r="T55" s="62">
        <f t="shared" si="6"/>
        <v>2.1208370866053969E-3</v>
      </c>
      <c r="V55" s="117">
        <v>1.1137322599999999</v>
      </c>
      <c r="W55" s="60">
        <v>2.8662122399999999</v>
      </c>
      <c r="X55" s="60">
        <v>4.4201450500000004</v>
      </c>
      <c r="Y55" s="60">
        <v>5.7603010500000007</v>
      </c>
      <c r="Z55" s="118">
        <v>7.4310724700000002</v>
      </c>
      <c r="AB55" s="74">
        <v>4.1488543250654278E-2</v>
      </c>
      <c r="AC55" s="79">
        <v>4.6716965880730821E-2</v>
      </c>
      <c r="AD55" s="79">
        <v>5.0601357086605396E-2</v>
      </c>
      <c r="AE55" s="79">
        <v>5.3343746183165119E-2</v>
      </c>
      <c r="AF55" s="61">
        <v>5.6538500458309417E-2</v>
      </c>
      <c r="AG55" s="70" t="s">
        <v>21</v>
      </c>
      <c r="AH55" s="70">
        <v>5.0612372807308237E-3</v>
      </c>
      <c r="AI55" s="70">
        <v>8.8865418866053997E-3</v>
      </c>
      <c r="AJ55" s="70">
        <v>1.0861980983165119E-2</v>
      </c>
      <c r="AK55" s="70">
        <v>1.2575461058309416E-2</v>
      </c>
    </row>
    <row r="56" spans="2:37" x14ac:dyDescent="0.35">
      <c r="B56" s="54" t="s">
        <v>52</v>
      </c>
      <c r="C56" s="52" t="s">
        <v>33</v>
      </c>
      <c r="D56" s="52" t="s">
        <v>53</v>
      </c>
      <c r="E56" s="52" t="s">
        <v>58</v>
      </c>
      <c r="F56" s="72">
        <f t="shared" si="4"/>
        <v>4.1907046625617159E-2</v>
      </c>
      <c r="G56" s="59">
        <f t="shared" si="4"/>
        <v>4.8182271747135859E-2</v>
      </c>
      <c r="H56" s="70">
        <f t="shared" si="4"/>
        <v>5.3736908544569986E-2</v>
      </c>
      <c r="I56" s="70">
        <f t="shared" si="4"/>
        <v>5.7294417105901684E-2</v>
      </c>
      <c r="J56" s="62">
        <f t="shared" si="4"/>
        <v>6.0961866579111415E-2</v>
      </c>
      <c r="K56" s="72" t="str">
        <f t="shared" si="5"/>
        <v/>
      </c>
      <c r="L56" s="59">
        <f t="shared" si="5"/>
        <v>6.4478997471358645E-3</v>
      </c>
      <c r="M56" s="70">
        <f t="shared" si="5"/>
        <v>1.1851634544569976E-2</v>
      </c>
      <c r="N56" s="70">
        <f t="shared" si="5"/>
        <v>1.459881500590168E-2</v>
      </c>
      <c r="O56" s="62">
        <f t="shared" si="5"/>
        <v>1.678552887911142E-2</v>
      </c>
      <c r="P56" s="54" t="s">
        <v>444</v>
      </c>
      <c r="Q56" s="52" t="s">
        <v>445</v>
      </c>
      <c r="R56" s="93" t="s">
        <v>32</v>
      </c>
      <c r="S56" s="70">
        <v>5.0425230000000001E-2</v>
      </c>
      <c r="T56" s="62">
        <f t="shared" si="6"/>
        <v>3.3116785445699848E-3</v>
      </c>
      <c r="V56" s="113">
        <v>1.1129647899999999</v>
      </c>
      <c r="W56" s="71">
        <v>2.8558996900000002</v>
      </c>
      <c r="X56" s="71">
        <v>4.3763954299999996</v>
      </c>
      <c r="Y56" s="71">
        <v>5.65892149</v>
      </c>
      <c r="Z56" s="114">
        <v>7.2195382500000003</v>
      </c>
      <c r="AB56" s="72">
        <v>4.1907046625617159E-2</v>
      </c>
      <c r="AC56" s="70">
        <v>4.8182271747135859E-2</v>
      </c>
      <c r="AD56" s="70">
        <v>5.3736908544569986E-2</v>
      </c>
      <c r="AE56" s="70">
        <v>5.7294417105901684E-2</v>
      </c>
      <c r="AF56" s="62">
        <v>6.0961866579111415E-2</v>
      </c>
      <c r="AG56" s="70" t="s">
        <v>21</v>
      </c>
      <c r="AH56" s="70">
        <v>6.4478997471358645E-3</v>
      </c>
      <c r="AI56" s="70">
        <v>1.1851634544569976E-2</v>
      </c>
      <c r="AJ56" s="70">
        <v>1.459881500590168E-2</v>
      </c>
      <c r="AK56" s="70">
        <v>1.678552887911142E-2</v>
      </c>
    </row>
    <row r="57" spans="2:37" x14ac:dyDescent="0.35">
      <c r="B57" s="56" t="s">
        <v>52</v>
      </c>
      <c r="C57" s="66" t="s">
        <v>35</v>
      </c>
      <c r="D57" s="66" t="s">
        <v>53</v>
      </c>
      <c r="E57" s="66" t="s">
        <v>351</v>
      </c>
      <c r="F57" s="73">
        <f t="shared" si="4"/>
        <v>4.2482204760489917E-2</v>
      </c>
      <c r="G57" s="75">
        <f t="shared" si="4"/>
        <v>5.103588085313375E-2</v>
      </c>
      <c r="H57" s="75">
        <f t="shared" si="4"/>
        <v>5.8388650837310166E-2</v>
      </c>
      <c r="I57" s="75">
        <f t="shared" si="4"/>
        <v>6.3526058740437985E-2</v>
      </c>
      <c r="J57" s="63">
        <f t="shared" si="4"/>
        <v>6.8060623176529375E-2</v>
      </c>
      <c r="K57" s="73">
        <f t="shared" si="5"/>
        <v>3.9938986048991716E-4</v>
      </c>
      <c r="L57" s="75">
        <f t="shared" si="5"/>
        <v>9.2063551531337551E-3</v>
      </c>
      <c r="M57" s="75">
        <f t="shared" si="5"/>
        <v>1.6336168337310164E-2</v>
      </c>
      <c r="N57" s="75">
        <f t="shared" si="5"/>
        <v>2.0581714040437984E-2</v>
      </c>
      <c r="O57" s="63">
        <f t="shared" si="5"/>
        <v>2.360276907652939E-2</v>
      </c>
      <c r="P57" s="54" t="s">
        <v>21</v>
      </c>
      <c r="Q57" s="52" t="s">
        <v>21</v>
      </c>
      <c r="R57" s="93" t="s">
        <v>21</v>
      </c>
      <c r="S57" s="70">
        <v>0</v>
      </c>
      <c r="T57" s="62">
        <f t="shared" si="6"/>
        <v>5.8388650837310166E-2</v>
      </c>
      <c r="V57" s="115">
        <v>1.11349148</v>
      </c>
      <c r="W57" s="107">
        <v>2.8507305399999998</v>
      </c>
      <c r="X57" s="107">
        <v>4.3521748999999996</v>
      </c>
      <c r="Y57" s="107">
        <v>5.5984514999999995</v>
      </c>
      <c r="Z57" s="116">
        <v>7.0855457400000006</v>
      </c>
      <c r="AB57" s="73">
        <v>4.2482204760489917E-2</v>
      </c>
      <c r="AC57" s="75">
        <v>5.103588085313375E-2</v>
      </c>
      <c r="AD57" s="75">
        <v>5.8388650837310166E-2</v>
      </c>
      <c r="AE57" s="75">
        <v>6.3526058740437985E-2</v>
      </c>
      <c r="AF57" s="63">
        <v>6.8060623176529375E-2</v>
      </c>
      <c r="AG57" s="70">
        <v>3.9938986048991716E-4</v>
      </c>
      <c r="AH57" s="70">
        <v>9.2063551531337551E-3</v>
      </c>
      <c r="AI57" s="70">
        <v>1.6336168337310164E-2</v>
      </c>
      <c r="AJ57" s="70">
        <v>2.0581714040437984E-2</v>
      </c>
      <c r="AK57" s="70">
        <v>2.360276907652939E-2</v>
      </c>
    </row>
    <row r="58" spans="2:37" x14ac:dyDescent="0.35">
      <c r="B58" s="54" t="s">
        <v>56</v>
      </c>
      <c r="C58" s="52" t="s">
        <v>30</v>
      </c>
      <c r="D58" s="52" t="s">
        <v>53</v>
      </c>
      <c r="E58" s="52" t="s">
        <v>446</v>
      </c>
      <c r="F58" s="72">
        <f t="shared" si="4"/>
        <v>4.1121313628864301E-2</v>
      </c>
      <c r="G58" s="59">
        <f t="shared" si="4"/>
        <v>4.6656516219535746E-2</v>
      </c>
      <c r="H58" s="70">
        <f t="shared" si="4"/>
        <v>5.0596460701265139E-2</v>
      </c>
      <c r="I58" s="70">
        <f t="shared" si="4"/>
        <v>5.3531752963393207E-2</v>
      </c>
      <c r="J58" s="62">
        <f t="shared" si="4"/>
        <v>5.6548636374116647E-2</v>
      </c>
      <c r="K58" s="72" t="str">
        <f t="shared" si="5"/>
        <v/>
      </c>
      <c r="L58" s="59">
        <f t="shared" si="5"/>
        <v>5.0040485195357483E-3</v>
      </c>
      <c r="M58" s="70">
        <f t="shared" si="5"/>
        <v>8.8819928012651463E-3</v>
      </c>
      <c r="N58" s="70">
        <f t="shared" si="5"/>
        <v>1.1040687463393208E-2</v>
      </c>
      <c r="O58" s="62">
        <f t="shared" si="5"/>
        <v>1.2587187574116639E-2</v>
      </c>
      <c r="P58" s="55" t="s">
        <v>447</v>
      </c>
      <c r="Q58" s="65" t="s">
        <v>448</v>
      </c>
      <c r="R58" s="99" t="s">
        <v>32</v>
      </c>
      <c r="S58" s="79">
        <v>5.63525E-2</v>
      </c>
      <c r="T58" s="61">
        <f t="shared" si="6"/>
        <v>-5.7560392987348608E-3</v>
      </c>
      <c r="V58" s="113">
        <v>1.1144128</v>
      </c>
      <c r="W58" s="71">
        <v>2.8677592500000002</v>
      </c>
      <c r="X58" s="71">
        <v>4.4217300100000001</v>
      </c>
      <c r="Y58" s="71">
        <v>5.7591678100000001</v>
      </c>
      <c r="Z58" s="114">
        <v>7.4282652799999997</v>
      </c>
      <c r="AB58" s="72">
        <v>4.1121313628864301E-2</v>
      </c>
      <c r="AC58" s="70">
        <v>4.6656516219535746E-2</v>
      </c>
      <c r="AD58" s="70">
        <v>5.0596460701265139E-2</v>
      </c>
      <c r="AE58" s="70">
        <v>5.3531752963393207E-2</v>
      </c>
      <c r="AF58" s="62">
        <v>5.6548636374116647E-2</v>
      </c>
      <c r="AG58" s="70" t="s">
        <v>21</v>
      </c>
      <c r="AH58" s="70">
        <v>5.0040485195357483E-3</v>
      </c>
      <c r="AI58" s="70">
        <v>8.8819928012651463E-3</v>
      </c>
      <c r="AJ58" s="70">
        <v>1.1040687463393208E-2</v>
      </c>
      <c r="AK58" s="70">
        <v>1.2587187574116639E-2</v>
      </c>
    </row>
    <row r="59" spans="2:37" x14ac:dyDescent="0.35">
      <c r="B59" s="54" t="s">
        <v>56</v>
      </c>
      <c r="C59" s="52" t="s">
        <v>33</v>
      </c>
      <c r="D59" s="52" t="s">
        <v>53</v>
      </c>
      <c r="E59" s="52" t="s">
        <v>449</v>
      </c>
      <c r="F59" s="72">
        <f t="shared" si="4"/>
        <v>4.1824664704766472E-2</v>
      </c>
      <c r="G59" s="59">
        <f t="shared" si="4"/>
        <v>4.8055714023128172E-2</v>
      </c>
      <c r="H59" s="70">
        <f t="shared" si="4"/>
        <v>5.3425643299192263E-2</v>
      </c>
      <c r="I59" s="70">
        <f t="shared" si="4"/>
        <v>5.6845654068438028E-2</v>
      </c>
      <c r="J59" s="62">
        <f t="shared" si="4"/>
        <v>6.0409593980497875E-2</v>
      </c>
      <c r="K59" s="72" t="str">
        <f t="shared" si="5"/>
        <v/>
      </c>
      <c r="L59" s="59">
        <f t="shared" si="5"/>
        <v>6.3276830231281771E-3</v>
      </c>
      <c r="M59" s="70">
        <f t="shared" si="5"/>
        <v>1.1557481299192271E-2</v>
      </c>
      <c r="N59" s="70">
        <f t="shared" si="5"/>
        <v>1.4175378068438035E-2</v>
      </c>
      <c r="O59" s="62">
        <f t="shared" si="5"/>
        <v>1.6261579280497866E-2</v>
      </c>
      <c r="P59" s="54" t="s">
        <v>450</v>
      </c>
      <c r="Q59" s="52" t="s">
        <v>451</v>
      </c>
      <c r="R59" s="93" t="s">
        <v>32</v>
      </c>
      <c r="S59" s="70">
        <v>5.1954790000000001E-2</v>
      </c>
      <c r="T59" s="62">
        <f t="shared" si="6"/>
        <v>1.4708532991922624E-3</v>
      </c>
      <c r="V59" s="113">
        <v>1.11312404</v>
      </c>
      <c r="W59" s="71">
        <v>2.85695202</v>
      </c>
      <c r="X59" s="71">
        <v>4.3807031900000002</v>
      </c>
      <c r="Y59" s="71">
        <v>5.6696380199999998</v>
      </c>
      <c r="Z59" s="114">
        <v>7.2437576200000002</v>
      </c>
      <c r="AB59" s="72">
        <v>4.1824664704766472E-2</v>
      </c>
      <c r="AC59" s="70">
        <v>4.8055714023128172E-2</v>
      </c>
      <c r="AD59" s="70">
        <v>5.3425643299192263E-2</v>
      </c>
      <c r="AE59" s="70">
        <v>5.6845654068438028E-2</v>
      </c>
      <c r="AF59" s="62">
        <v>6.0409593980497875E-2</v>
      </c>
      <c r="AG59" s="70" t="s">
        <v>21</v>
      </c>
      <c r="AH59" s="70">
        <v>6.3276830231281771E-3</v>
      </c>
      <c r="AI59" s="70">
        <v>1.1557481299192271E-2</v>
      </c>
      <c r="AJ59" s="70">
        <v>1.4175378068438035E-2</v>
      </c>
      <c r="AK59" s="70">
        <v>1.6261579280497866E-2</v>
      </c>
    </row>
    <row r="60" spans="2:37" x14ac:dyDescent="0.35">
      <c r="B60" s="54" t="s">
        <v>56</v>
      </c>
      <c r="C60" s="52" t="s">
        <v>35</v>
      </c>
      <c r="D60" s="52" t="s">
        <v>53</v>
      </c>
      <c r="E60" s="52" t="s">
        <v>54</v>
      </c>
      <c r="F60" s="72">
        <f t="shared" si="4"/>
        <v>4.21315034805382E-2</v>
      </c>
      <c r="G60" s="59">
        <f t="shared" si="4"/>
        <v>5.022648637010825E-2</v>
      </c>
      <c r="H60" s="70">
        <f t="shared" si="4"/>
        <v>5.710714179670788E-2</v>
      </c>
      <c r="I60" s="70">
        <f t="shared" si="4"/>
        <v>6.1979000296894696E-2</v>
      </c>
      <c r="J60" s="62">
        <f t="shared" si="4"/>
        <v>6.6593887231293641E-2</v>
      </c>
      <c r="K60" s="72">
        <f t="shared" si="5"/>
        <v>6.5267980538200043E-5</v>
      </c>
      <c r="L60" s="59">
        <f t="shared" si="5"/>
        <v>8.4365475701082392E-3</v>
      </c>
      <c r="M60" s="70">
        <f t="shared" si="5"/>
        <v>1.5124279396707879E-2</v>
      </c>
      <c r="N60" s="70">
        <f t="shared" si="5"/>
        <v>1.9123250996894693E-2</v>
      </c>
      <c r="O60" s="62">
        <f t="shared" si="5"/>
        <v>2.2217189731293632E-2</v>
      </c>
      <c r="P60" s="56" t="s">
        <v>452</v>
      </c>
      <c r="Q60" s="66" t="s">
        <v>453</v>
      </c>
      <c r="R60" s="95" t="s">
        <v>32</v>
      </c>
      <c r="S60" s="75">
        <v>5.5392690000000001E-2</v>
      </c>
      <c r="T60" s="63">
        <f t="shared" si="6"/>
        <v>1.714451796707879E-3</v>
      </c>
      <c r="V60" s="113">
        <v>1.1139706199999999</v>
      </c>
      <c r="W60" s="71">
        <v>2.8553310500000002</v>
      </c>
      <c r="X60" s="71">
        <v>4.36767415</v>
      </c>
      <c r="Y60" s="71">
        <v>5.6309045500000003</v>
      </c>
      <c r="Z60" s="114">
        <v>7.1455821999999998</v>
      </c>
      <c r="AB60" s="72">
        <v>4.21315034805382E-2</v>
      </c>
      <c r="AC60" s="70">
        <v>5.022648637010825E-2</v>
      </c>
      <c r="AD60" s="70">
        <v>5.710714179670788E-2</v>
      </c>
      <c r="AE60" s="70">
        <v>6.1979000296894696E-2</v>
      </c>
      <c r="AF60" s="62">
        <v>6.6593887231293641E-2</v>
      </c>
      <c r="AG60" s="70">
        <v>6.5267980538200043E-5</v>
      </c>
      <c r="AH60" s="70">
        <v>8.4365475701082392E-3</v>
      </c>
      <c r="AI60" s="70">
        <v>1.5124279396707879E-2</v>
      </c>
      <c r="AJ60" s="70">
        <v>1.9123250996894693E-2</v>
      </c>
      <c r="AK60" s="70">
        <v>2.2217189731293632E-2</v>
      </c>
    </row>
    <row r="61" spans="2:37" x14ac:dyDescent="0.35">
      <c r="B61" s="78" t="s">
        <v>59</v>
      </c>
      <c r="C61" s="77"/>
      <c r="D61" s="77"/>
      <c r="E61" s="77"/>
      <c r="F61" s="77" t="str">
        <f t="shared" si="4"/>
        <v/>
      </c>
      <c r="G61" s="77" t="str">
        <f t="shared" si="4"/>
        <v/>
      </c>
      <c r="H61" s="77" t="str">
        <f t="shared" si="4"/>
        <v/>
      </c>
      <c r="I61" s="77" t="str">
        <f t="shared" si="4"/>
        <v/>
      </c>
      <c r="J61" s="77" t="str">
        <f t="shared" si="4"/>
        <v/>
      </c>
      <c r="K61" s="77" t="str">
        <f t="shared" si="5"/>
        <v/>
      </c>
      <c r="L61" s="77" t="str">
        <f t="shared" si="5"/>
        <v/>
      </c>
      <c r="M61" s="77" t="str">
        <f t="shared" si="5"/>
        <v/>
      </c>
      <c r="N61" s="77" t="str">
        <f t="shared" si="5"/>
        <v/>
      </c>
      <c r="O61" s="76" t="str">
        <f t="shared" si="5"/>
        <v/>
      </c>
      <c r="P61" s="78"/>
      <c r="Q61" s="77"/>
      <c r="R61" s="94"/>
      <c r="S61" s="77"/>
      <c r="T61" s="76" t="str">
        <f t="shared" si="6"/>
        <v/>
      </c>
      <c r="V61" s="111"/>
      <c r="W61" s="106"/>
      <c r="X61" s="106"/>
      <c r="Y61" s="106"/>
      <c r="Z61" s="112"/>
      <c r="AB61" s="77"/>
      <c r="AC61" s="77"/>
      <c r="AD61" s="77"/>
      <c r="AE61" s="77"/>
      <c r="AF61" s="77"/>
      <c r="AG61" s="77"/>
      <c r="AH61" s="77"/>
      <c r="AI61" s="77"/>
      <c r="AJ61" s="77"/>
      <c r="AK61" s="77"/>
    </row>
    <row r="62" spans="2:37" x14ac:dyDescent="0.35">
      <c r="B62" s="55" t="s">
        <v>60</v>
      </c>
      <c r="C62" s="65" t="s">
        <v>61</v>
      </c>
      <c r="D62" s="65" t="s">
        <v>62</v>
      </c>
      <c r="E62" s="65" t="s">
        <v>179</v>
      </c>
      <c r="F62" s="74">
        <f t="shared" si="4"/>
        <v>4.190137299760277E-2</v>
      </c>
      <c r="G62" s="79">
        <f t="shared" si="4"/>
        <v>4.7059171105991428E-2</v>
      </c>
      <c r="H62" s="79">
        <f t="shared" si="4"/>
        <v>5.1128936100378101E-2</v>
      </c>
      <c r="I62" s="79">
        <f t="shared" si="4"/>
        <v>5.3720379775444284E-2</v>
      </c>
      <c r="J62" s="61">
        <f t="shared" si="4"/>
        <v>5.687603839528145E-2</v>
      </c>
      <c r="K62" s="74" t="str">
        <f t="shared" si="5"/>
        <v/>
      </c>
      <c r="L62" s="79">
        <f t="shared" si="5"/>
        <v>5.3874846059914303E-3</v>
      </c>
      <c r="M62" s="79">
        <f t="shared" si="5"/>
        <v>9.3878097003781032E-3</v>
      </c>
      <c r="N62" s="79">
        <f t="shared" si="5"/>
        <v>1.1220202675444279E-2</v>
      </c>
      <c r="O62" s="61">
        <f t="shared" si="5"/>
        <v>1.289741439528146E-2</v>
      </c>
      <c r="P62" s="54" t="s">
        <v>454</v>
      </c>
      <c r="Q62" s="52" t="s">
        <v>455</v>
      </c>
      <c r="R62" s="93" t="s">
        <v>32</v>
      </c>
      <c r="S62" s="70">
        <v>0</v>
      </c>
      <c r="T62" s="62">
        <f t="shared" si="6"/>
        <v>5.1128936100378101E-2</v>
      </c>
      <c r="V62" s="117">
        <v>1.11294034</v>
      </c>
      <c r="W62" s="60">
        <v>2.8627273899999999</v>
      </c>
      <c r="X62" s="60">
        <v>4.41091006</v>
      </c>
      <c r="Y62" s="60">
        <v>5.7453269699999998</v>
      </c>
      <c r="Z62" s="118">
        <v>7.4083347999999996</v>
      </c>
      <c r="AB62" s="74">
        <v>4.190137299760277E-2</v>
      </c>
      <c r="AC62" s="79">
        <v>4.7059171105991428E-2</v>
      </c>
      <c r="AD62" s="79">
        <v>5.1128936100378101E-2</v>
      </c>
      <c r="AE62" s="79">
        <v>5.3720379775444284E-2</v>
      </c>
      <c r="AF62" s="61">
        <v>5.687603839528145E-2</v>
      </c>
      <c r="AG62" s="70" t="s">
        <v>21</v>
      </c>
      <c r="AH62" s="70">
        <v>5.3874846059914303E-3</v>
      </c>
      <c r="AI62" s="70">
        <v>9.3878097003781032E-3</v>
      </c>
      <c r="AJ62" s="70">
        <v>1.1220202675444279E-2</v>
      </c>
      <c r="AK62" s="70">
        <v>1.289741439528146E-2</v>
      </c>
    </row>
    <row r="63" spans="2:37" x14ac:dyDescent="0.35">
      <c r="B63" s="56" t="s">
        <v>60</v>
      </c>
      <c r="C63" s="66" t="s">
        <v>63</v>
      </c>
      <c r="D63" s="66" t="s">
        <v>62</v>
      </c>
      <c r="E63" s="66" t="s">
        <v>21</v>
      </c>
      <c r="F63" s="73">
        <f t="shared" si="4"/>
        <v>4.3647035062562289E-2</v>
      </c>
      <c r="G63" s="75">
        <f t="shared" si="4"/>
        <v>5.0286760670306907E-2</v>
      </c>
      <c r="H63" s="75">
        <f t="shared" si="4"/>
        <v>5.5810968210146306E-2</v>
      </c>
      <c r="I63" s="75">
        <f t="shared" si="4"/>
        <v>5.9366539707411667E-2</v>
      </c>
      <c r="J63" s="63">
        <f t="shared" si="4"/>
        <v>6.2656645805886119E-2</v>
      </c>
      <c r="K63" s="73">
        <f t="shared" si="5"/>
        <v>1.5437129625622895E-3</v>
      </c>
      <c r="L63" s="75">
        <f t="shared" si="5"/>
        <v>8.5068677703069064E-3</v>
      </c>
      <c r="M63" s="75">
        <f t="shared" si="5"/>
        <v>1.3903398210146302E-2</v>
      </c>
      <c r="N63" s="75">
        <f t="shared" si="5"/>
        <v>1.6655217707411657E-2</v>
      </c>
      <c r="O63" s="63">
        <f t="shared" si="5"/>
        <v>1.8479657305886125E-2</v>
      </c>
      <c r="P63" s="54" t="s">
        <v>21</v>
      </c>
      <c r="Q63" s="52" t="s">
        <v>21</v>
      </c>
      <c r="R63" s="93" t="s">
        <v>21</v>
      </c>
      <c r="S63" s="70">
        <v>0</v>
      </c>
      <c r="T63" s="62">
        <f t="shared" si="6"/>
        <v>5.5810968210146306E-2</v>
      </c>
      <c r="V63" s="115">
        <v>1.11154496</v>
      </c>
      <c r="W63" s="107">
        <v>2.8509689200000001</v>
      </c>
      <c r="X63" s="107">
        <v>4.37327143</v>
      </c>
      <c r="Y63" s="107">
        <v>5.6655284799999999</v>
      </c>
      <c r="Z63" s="116">
        <v>7.2563824400000003</v>
      </c>
      <c r="AB63" s="73">
        <v>4.3647035062562289E-2</v>
      </c>
      <c r="AC63" s="75">
        <v>5.0286760670306907E-2</v>
      </c>
      <c r="AD63" s="75">
        <v>5.5810968210146306E-2</v>
      </c>
      <c r="AE63" s="75">
        <v>5.9366539707411667E-2</v>
      </c>
      <c r="AF63" s="63">
        <v>6.2656645805886119E-2</v>
      </c>
      <c r="AG63" s="70">
        <v>1.5437129625622895E-3</v>
      </c>
      <c r="AH63" s="70">
        <v>8.5068677703069064E-3</v>
      </c>
      <c r="AI63" s="70">
        <v>1.3903398210146302E-2</v>
      </c>
      <c r="AJ63" s="70">
        <v>1.6655217707411657E-2</v>
      </c>
      <c r="AK63" s="70">
        <v>1.8479657305886125E-2</v>
      </c>
    </row>
    <row r="64" spans="2:37" x14ac:dyDescent="0.35">
      <c r="B64" s="55" t="s">
        <v>64</v>
      </c>
      <c r="C64" s="65" t="s">
        <v>65</v>
      </c>
      <c r="D64" s="65" t="s">
        <v>62</v>
      </c>
      <c r="E64" s="65" t="s">
        <v>179</v>
      </c>
      <c r="F64" s="74">
        <f t="shared" si="4"/>
        <v>4.1168652332544131E-2</v>
      </c>
      <c r="G64" s="79">
        <f t="shared" si="4"/>
        <v>4.7299682103591291E-2</v>
      </c>
      <c r="H64" s="79">
        <f t="shared" si="4"/>
        <v>5.2417946884125127E-2</v>
      </c>
      <c r="I64" s="79">
        <f t="shared" si="4"/>
        <v>5.5568610551475876E-2</v>
      </c>
      <c r="J64" s="61">
        <f t="shared" si="4"/>
        <v>5.873471271344121E-2</v>
      </c>
      <c r="K64" s="74" t="str">
        <f t="shared" si="5"/>
        <v/>
      </c>
      <c r="L64" s="79">
        <f t="shared" si="5"/>
        <v>5.6119899035912968E-3</v>
      </c>
      <c r="M64" s="79">
        <f t="shared" si="5"/>
        <v>1.0605610884125125E-2</v>
      </c>
      <c r="N64" s="79">
        <f t="shared" si="5"/>
        <v>1.2969990151475874E-2</v>
      </c>
      <c r="O64" s="61">
        <f t="shared" si="5"/>
        <v>1.4672277513441214E-2</v>
      </c>
      <c r="P64" s="55" t="s">
        <v>21</v>
      </c>
      <c r="Q64" s="65" t="s">
        <v>21</v>
      </c>
      <c r="R64" s="99" t="s">
        <v>21</v>
      </c>
      <c r="S64" s="79">
        <v>0</v>
      </c>
      <c r="T64" s="61">
        <f t="shared" si="6"/>
        <v>5.2417946884125127E-2</v>
      </c>
      <c r="V64" s="117">
        <v>1.1143433700000001</v>
      </c>
      <c r="W64" s="60">
        <v>2.8636919999999999</v>
      </c>
      <c r="X64" s="60">
        <v>4.3984839400000002</v>
      </c>
      <c r="Y64" s="60">
        <v>5.7053882399999996</v>
      </c>
      <c r="Z64" s="118">
        <v>7.3194586099999999</v>
      </c>
      <c r="AB64" s="74">
        <v>4.1168652332544131E-2</v>
      </c>
      <c r="AC64" s="79">
        <v>4.7299682103591291E-2</v>
      </c>
      <c r="AD64" s="79">
        <v>5.2417946884125127E-2</v>
      </c>
      <c r="AE64" s="79">
        <v>5.5568610551475876E-2</v>
      </c>
      <c r="AF64" s="61">
        <v>5.873471271344121E-2</v>
      </c>
      <c r="AG64" s="79" t="s">
        <v>21</v>
      </c>
      <c r="AH64" s="79">
        <v>5.6119899035912968E-3</v>
      </c>
      <c r="AI64" s="79">
        <v>1.0605610884125125E-2</v>
      </c>
      <c r="AJ64" s="79">
        <v>1.2969990151475874E-2</v>
      </c>
      <c r="AK64" s="79">
        <v>1.4672277513441214E-2</v>
      </c>
    </row>
    <row r="65" spans="2:37" x14ac:dyDescent="0.35">
      <c r="B65" s="56" t="s">
        <v>64</v>
      </c>
      <c r="C65" s="66" t="s">
        <v>66</v>
      </c>
      <c r="D65" s="66" t="s">
        <v>62</v>
      </c>
      <c r="E65" s="66" t="s">
        <v>21</v>
      </c>
      <c r="F65" s="73">
        <f t="shared" si="4"/>
        <v>4.2252592090573339E-2</v>
      </c>
      <c r="G65" s="75">
        <f t="shared" si="4"/>
        <v>4.9787237775713332E-2</v>
      </c>
      <c r="H65" s="75">
        <f t="shared" si="4"/>
        <v>5.641514394135197E-2</v>
      </c>
      <c r="I65" s="75">
        <f t="shared" si="4"/>
        <v>5.9921624195585596E-2</v>
      </c>
      <c r="J65" s="63">
        <f t="shared" si="4"/>
        <v>6.4010966219311613E-2</v>
      </c>
      <c r="K65" s="73">
        <f t="shared" si="5"/>
        <v>1.8743259057334236E-4</v>
      </c>
      <c r="L65" s="75">
        <f t="shared" si="5"/>
        <v>8.0205407757133335E-3</v>
      </c>
      <c r="M65" s="75">
        <f t="shared" si="5"/>
        <v>1.4470257141351974E-2</v>
      </c>
      <c r="N65" s="75">
        <f t="shared" si="5"/>
        <v>1.7177558795585607E-2</v>
      </c>
      <c r="O65" s="63">
        <f t="shared" si="5"/>
        <v>1.9765394419311598E-2</v>
      </c>
      <c r="P65" s="56" t="s">
        <v>21</v>
      </c>
      <c r="Q65" s="66" t="s">
        <v>21</v>
      </c>
      <c r="R65" s="95" t="s">
        <v>21</v>
      </c>
      <c r="S65" s="75"/>
      <c r="T65" s="63" t="str">
        <f t="shared" si="6"/>
        <v/>
      </c>
      <c r="V65" s="115">
        <v>1.1137713599999999</v>
      </c>
      <c r="W65" s="107">
        <v>2.8570229</v>
      </c>
      <c r="X65" s="107">
        <v>4.3753304700000006</v>
      </c>
      <c r="Y65" s="107">
        <v>5.6602071199999999</v>
      </c>
      <c r="Z65" s="116">
        <v>7.2258606099999998</v>
      </c>
      <c r="AB65" s="73">
        <v>4.2252592090573339E-2</v>
      </c>
      <c r="AC65" s="75">
        <v>4.9787237775713332E-2</v>
      </c>
      <c r="AD65" s="75">
        <v>5.641514394135197E-2</v>
      </c>
      <c r="AE65" s="75">
        <v>5.9921624195585596E-2</v>
      </c>
      <c r="AF65" s="63">
        <v>6.4010966219311613E-2</v>
      </c>
      <c r="AG65" s="75">
        <v>1.8743259057334236E-4</v>
      </c>
      <c r="AH65" s="75">
        <v>8.0205407757133335E-3</v>
      </c>
      <c r="AI65" s="75">
        <v>1.4470257141351974E-2</v>
      </c>
      <c r="AJ65" s="75">
        <v>1.7177558795585607E-2</v>
      </c>
      <c r="AK65" s="75">
        <v>1.9765394419311598E-2</v>
      </c>
    </row>
    <row r="66" spans="2:37" x14ac:dyDescent="0.35">
      <c r="B66" s="78" t="s">
        <v>226</v>
      </c>
      <c r="C66" s="77"/>
      <c r="D66" s="77"/>
      <c r="E66" s="77"/>
      <c r="F66" s="77" t="str">
        <f t="shared" si="4"/>
        <v/>
      </c>
      <c r="G66" s="77" t="str">
        <f t="shared" si="4"/>
        <v/>
      </c>
      <c r="H66" s="77" t="str">
        <f t="shared" si="4"/>
        <v/>
      </c>
      <c r="I66" s="77" t="str">
        <f t="shared" si="4"/>
        <v/>
      </c>
      <c r="J66" s="77" t="str">
        <f t="shared" si="4"/>
        <v/>
      </c>
      <c r="K66" s="77" t="str">
        <f t="shared" si="5"/>
        <v/>
      </c>
      <c r="L66" s="77" t="str">
        <f t="shared" si="5"/>
        <v/>
      </c>
      <c r="M66" s="77" t="str">
        <f t="shared" si="5"/>
        <v/>
      </c>
      <c r="N66" s="77" t="str">
        <f t="shared" si="5"/>
        <v/>
      </c>
      <c r="O66" s="76" t="str">
        <f t="shared" si="5"/>
        <v/>
      </c>
      <c r="P66" s="78"/>
      <c r="Q66" s="77"/>
      <c r="R66" s="94"/>
      <c r="S66" s="77"/>
      <c r="T66" s="76" t="str">
        <f t="shared" si="6"/>
        <v/>
      </c>
      <c r="V66" s="111"/>
      <c r="W66" s="106"/>
      <c r="X66" s="106"/>
      <c r="Y66" s="106"/>
      <c r="Z66" s="112"/>
      <c r="AB66" s="77"/>
      <c r="AC66" s="77"/>
      <c r="AD66" s="77"/>
      <c r="AE66" s="77"/>
      <c r="AF66" s="77"/>
      <c r="AG66" s="77"/>
      <c r="AH66" s="77"/>
      <c r="AI66" s="77"/>
      <c r="AJ66" s="77"/>
      <c r="AK66" s="77"/>
    </row>
    <row r="67" spans="2:37" x14ac:dyDescent="0.35">
      <c r="B67" s="55" t="s">
        <v>227</v>
      </c>
      <c r="C67" s="65" t="s">
        <v>61</v>
      </c>
      <c r="D67" s="65" t="s">
        <v>97</v>
      </c>
      <c r="E67" s="65" t="s">
        <v>21</v>
      </c>
      <c r="F67" s="74">
        <f t="shared" si="4"/>
        <v>4.0277098050122702E-2</v>
      </c>
      <c r="G67" s="79">
        <f t="shared" si="4"/>
        <v>4.5198787824296156E-2</v>
      </c>
      <c r="H67" s="79">
        <f t="shared" si="4"/>
        <v>4.8682653267194315E-2</v>
      </c>
      <c r="I67" s="79">
        <f t="shared" si="4"/>
        <v>5.08698299587413E-2</v>
      </c>
      <c r="J67" s="61">
        <f t="shared" si="4"/>
        <v>5.3153973793868818E-2</v>
      </c>
      <c r="K67" s="74" t="str">
        <f t="shared" si="5"/>
        <v/>
      </c>
      <c r="L67" s="79">
        <f t="shared" si="5"/>
        <v>3.6202710242961662E-3</v>
      </c>
      <c r="M67" s="79">
        <f t="shared" si="5"/>
        <v>7.0649314671943197E-3</v>
      </c>
      <c r="N67" s="79">
        <f t="shared" si="5"/>
        <v>8.5100658587413044E-3</v>
      </c>
      <c r="O67" s="61">
        <f t="shared" si="5"/>
        <v>9.3347641938688174E-3</v>
      </c>
      <c r="P67" s="54" t="s">
        <v>21</v>
      </c>
      <c r="Q67" s="52" t="s">
        <v>21</v>
      </c>
      <c r="R67" s="93" t="s">
        <v>21</v>
      </c>
      <c r="S67" s="70"/>
      <c r="T67" s="62" t="str">
        <f t="shared" si="6"/>
        <v/>
      </c>
      <c r="V67" s="117">
        <v>1.1159919299999999</v>
      </c>
      <c r="W67" s="60">
        <v>2.8795010799999998</v>
      </c>
      <c r="X67" s="60">
        <v>4.4550444100000002</v>
      </c>
      <c r="Y67" s="60">
        <v>5.8311374999999996</v>
      </c>
      <c r="Z67" s="118">
        <v>7.58685367</v>
      </c>
      <c r="AB67" s="74">
        <v>4.0277098050122702E-2</v>
      </c>
      <c r="AC67" s="79">
        <v>4.5198787824296156E-2</v>
      </c>
      <c r="AD67" s="79">
        <v>4.8682653267194315E-2</v>
      </c>
      <c r="AE67" s="79">
        <v>5.08698299587413E-2</v>
      </c>
      <c r="AF67" s="61">
        <v>5.3153973793868818E-2</v>
      </c>
      <c r="AG67" s="70" t="s">
        <v>21</v>
      </c>
      <c r="AH67" s="70">
        <v>3.6202710242961662E-3</v>
      </c>
      <c r="AI67" s="70">
        <v>7.0649314671943197E-3</v>
      </c>
      <c r="AJ67" s="70">
        <v>8.5100658587413044E-3</v>
      </c>
      <c r="AK67" s="70">
        <v>9.3347641938688174E-3</v>
      </c>
    </row>
    <row r="68" spans="2:37" x14ac:dyDescent="0.35">
      <c r="B68" s="56" t="s">
        <v>227</v>
      </c>
      <c r="C68" s="66" t="s">
        <v>63</v>
      </c>
      <c r="D68" s="66" t="s">
        <v>97</v>
      </c>
      <c r="E68" s="66" t="s">
        <v>21</v>
      </c>
      <c r="F68" s="73">
        <f t="shared" si="4"/>
        <v>4.1715004120480868E-2</v>
      </c>
      <c r="G68" s="75">
        <f t="shared" si="4"/>
        <v>4.7963574622952351E-2</v>
      </c>
      <c r="H68" s="75">
        <f t="shared" si="4"/>
        <v>5.2824995590672025E-2</v>
      </c>
      <c r="I68" s="75">
        <f t="shared" si="4"/>
        <v>5.6094624060609929E-2</v>
      </c>
      <c r="J68" s="63">
        <f t="shared" si="4"/>
        <v>5.8958362218449786E-2</v>
      </c>
      <c r="K68" s="73" t="str">
        <f t="shared" si="5"/>
        <v/>
      </c>
      <c r="L68" s="75">
        <f t="shared" si="5"/>
        <v>6.2816665229523637E-3</v>
      </c>
      <c r="M68" s="75">
        <f t="shared" si="5"/>
        <v>1.1052927490672028E-2</v>
      </c>
      <c r="N68" s="75">
        <f t="shared" si="5"/>
        <v>1.3539079560609932E-2</v>
      </c>
      <c r="O68" s="63">
        <f t="shared" si="5"/>
        <v>1.4945799618449784E-2</v>
      </c>
      <c r="P68" s="54" t="s">
        <v>21</v>
      </c>
      <c r="Q68" s="52" t="s">
        <v>21</v>
      </c>
      <c r="R68" s="93" t="s">
        <v>21</v>
      </c>
      <c r="S68" s="70"/>
      <c r="T68" s="62" t="str">
        <f t="shared" si="6"/>
        <v/>
      </c>
      <c r="V68" s="115">
        <v>1.1145090799999999</v>
      </c>
      <c r="W68" s="71">
        <v>2.86684604</v>
      </c>
      <c r="X68" s="107">
        <v>4.4144491199999996</v>
      </c>
      <c r="Y68" s="107">
        <v>5.7434041699999998</v>
      </c>
      <c r="Z68" s="116">
        <v>7.4052191799999996</v>
      </c>
      <c r="AB68" s="73">
        <v>4.1715004120480868E-2</v>
      </c>
      <c r="AC68" s="75">
        <v>4.7963574622952351E-2</v>
      </c>
      <c r="AD68" s="75">
        <v>5.2824995590672025E-2</v>
      </c>
      <c r="AE68" s="75">
        <v>5.6094624060609929E-2</v>
      </c>
      <c r="AF68" s="63">
        <v>5.8958362218449786E-2</v>
      </c>
      <c r="AG68" s="70" t="s">
        <v>21</v>
      </c>
      <c r="AH68" s="70">
        <v>6.2816665229523637E-3</v>
      </c>
      <c r="AI68" s="70">
        <v>1.1052927490672028E-2</v>
      </c>
      <c r="AJ68" s="70">
        <v>1.3539079560609932E-2</v>
      </c>
      <c r="AK68" s="70">
        <v>1.4945799618449784E-2</v>
      </c>
    </row>
    <row r="69" spans="2:37" x14ac:dyDescent="0.35">
      <c r="B69" s="55" t="s">
        <v>228</v>
      </c>
      <c r="C69" s="65" t="s">
        <v>65</v>
      </c>
      <c r="D69" s="65" t="s">
        <v>97</v>
      </c>
      <c r="E69" s="65" t="s">
        <v>21</v>
      </c>
      <c r="F69" s="74">
        <f t="shared" si="4"/>
        <v>4.1035572204338192E-2</v>
      </c>
      <c r="G69" s="79">
        <f t="shared" si="4"/>
        <v>4.7298253779406184E-2</v>
      </c>
      <c r="H69" s="79">
        <f t="shared" si="4"/>
        <v>5.2466450302030523E-2</v>
      </c>
      <c r="I69" s="79">
        <f t="shared" si="4"/>
        <v>5.5569383772782706E-2</v>
      </c>
      <c r="J69" s="61">
        <f t="shared" si="4"/>
        <v>5.9100044458083277E-2</v>
      </c>
      <c r="K69" s="74" t="str">
        <f t="shared" si="5"/>
        <v/>
      </c>
      <c r="L69" s="79">
        <f t="shared" si="5"/>
        <v>5.6117478794061922E-3</v>
      </c>
      <c r="M69" s="79">
        <f t="shared" si="5"/>
        <v>1.0652256802030521E-2</v>
      </c>
      <c r="N69" s="79">
        <f t="shared" si="5"/>
        <v>1.2971459672782694E-2</v>
      </c>
      <c r="O69" s="61">
        <f t="shared" si="5"/>
        <v>1.501921925808327E-2</v>
      </c>
      <c r="P69" s="55" t="s">
        <v>21</v>
      </c>
      <c r="Q69" s="65" t="s">
        <v>21</v>
      </c>
      <c r="R69" s="99" t="s">
        <v>21</v>
      </c>
      <c r="S69" s="79">
        <v>0</v>
      </c>
      <c r="T69" s="61">
        <f t="shared" si="6"/>
        <v>5.2466450302030523E-2</v>
      </c>
      <c r="V69" s="117">
        <v>1.11457614</v>
      </c>
      <c r="W69" s="60">
        <v>2.8640946999999999</v>
      </c>
      <c r="X69" s="60">
        <v>4.3983510900000002</v>
      </c>
      <c r="Y69" s="60">
        <v>5.7050857500000003</v>
      </c>
      <c r="Z69" s="118">
        <v>7.3111397399999998</v>
      </c>
      <c r="AB69" s="74">
        <v>4.1035572204338192E-2</v>
      </c>
      <c r="AC69" s="79">
        <v>4.7298253779406184E-2</v>
      </c>
      <c r="AD69" s="79">
        <v>5.2466450302030523E-2</v>
      </c>
      <c r="AE69" s="79">
        <v>5.5569383772782706E-2</v>
      </c>
      <c r="AF69" s="61">
        <v>5.9100044458083277E-2</v>
      </c>
      <c r="AG69" s="79" t="s">
        <v>21</v>
      </c>
      <c r="AH69" s="79">
        <v>5.6117478794061922E-3</v>
      </c>
      <c r="AI69" s="79">
        <v>1.0652256802030521E-2</v>
      </c>
      <c r="AJ69" s="79">
        <v>1.2971459672782694E-2</v>
      </c>
      <c r="AK69" s="79">
        <v>1.501921925808327E-2</v>
      </c>
    </row>
    <row r="70" spans="2:37" x14ac:dyDescent="0.35">
      <c r="B70" s="56" t="s">
        <v>228</v>
      </c>
      <c r="C70" s="66" t="s">
        <v>66</v>
      </c>
      <c r="D70" s="66" t="s">
        <v>97</v>
      </c>
      <c r="E70" s="66" t="s">
        <v>21</v>
      </c>
      <c r="F70" s="73">
        <f t="shared" si="4"/>
        <v>4.2175065618944178E-2</v>
      </c>
      <c r="G70" s="75">
        <f t="shared" si="4"/>
        <v>5.0346949175662799E-2</v>
      </c>
      <c r="H70" s="75">
        <f t="shared" si="4"/>
        <v>5.7301754057580853E-2</v>
      </c>
      <c r="I70" s="75">
        <f t="shared" si="4"/>
        <v>6.1810592284503134E-2</v>
      </c>
      <c r="J70" s="63">
        <f t="shared" si="4"/>
        <v>6.5912605808227928E-2</v>
      </c>
      <c r="K70" s="73">
        <f t="shared" si="5"/>
        <v>1.1049941894418144E-4</v>
      </c>
      <c r="L70" s="75">
        <f t="shared" si="5"/>
        <v>8.5528732756627937E-3</v>
      </c>
      <c r="M70" s="75">
        <f t="shared" si="5"/>
        <v>1.5309712157580847E-2</v>
      </c>
      <c r="N70" s="75">
        <f t="shared" si="5"/>
        <v>1.896483748450313E-2</v>
      </c>
      <c r="O70" s="63">
        <f t="shared" si="5"/>
        <v>2.1572289808227924E-2</v>
      </c>
      <c r="P70" s="56" t="s">
        <v>21</v>
      </c>
      <c r="Q70" s="66" t="s">
        <v>21</v>
      </c>
      <c r="R70" s="95" t="s">
        <v>21</v>
      </c>
      <c r="S70" s="75">
        <v>0</v>
      </c>
      <c r="T70" s="63">
        <f t="shared" si="6"/>
        <v>5.7301754057580853E-2</v>
      </c>
      <c r="V70" s="113">
        <v>1.1138925200000001</v>
      </c>
      <c r="W70" s="71">
        <v>2.8546260299999999</v>
      </c>
      <c r="X70" s="107">
        <v>4.36529335</v>
      </c>
      <c r="Y70" s="107">
        <v>5.6299800300000005</v>
      </c>
      <c r="Z70" s="114">
        <v>7.1573078100000007</v>
      </c>
      <c r="AB70" s="73">
        <v>4.2175065618944178E-2</v>
      </c>
      <c r="AC70" s="75">
        <v>5.0346949175662799E-2</v>
      </c>
      <c r="AD70" s="75">
        <v>5.7301754057580853E-2</v>
      </c>
      <c r="AE70" s="75">
        <v>6.1810592284503134E-2</v>
      </c>
      <c r="AF70" s="63">
        <v>6.5912605808227928E-2</v>
      </c>
      <c r="AG70" s="75">
        <v>1.1049941894418144E-4</v>
      </c>
      <c r="AH70" s="75">
        <v>8.5528732756627937E-3</v>
      </c>
      <c r="AI70" s="75">
        <v>1.5309712157580847E-2</v>
      </c>
      <c r="AJ70" s="75">
        <v>1.896483748450313E-2</v>
      </c>
      <c r="AK70" s="75">
        <v>2.1572289808227924E-2</v>
      </c>
    </row>
    <row r="71" spans="2:37" x14ac:dyDescent="0.35">
      <c r="B71" s="56" t="s">
        <v>306</v>
      </c>
      <c r="C71" s="66" t="s">
        <v>61</v>
      </c>
      <c r="D71" s="66" t="s">
        <v>97</v>
      </c>
      <c r="E71" s="66" t="s">
        <v>21</v>
      </c>
      <c r="F71" s="73">
        <f t="shared" si="4"/>
        <v>4.0006928699705097E-2</v>
      </c>
      <c r="G71" s="75">
        <f t="shared" si="4"/>
        <v>4.4990465546222297E-2</v>
      </c>
      <c r="H71" s="75">
        <f t="shared" si="4"/>
        <v>4.8466136221193529E-2</v>
      </c>
      <c r="I71" s="75">
        <f t="shared" si="4"/>
        <v>5.0754081824707892E-2</v>
      </c>
      <c r="J71" s="63">
        <f t="shared" si="4"/>
        <v>5.3321725973075426E-2</v>
      </c>
      <c r="K71" s="73" t="str">
        <f t="shared" si="5"/>
        <v/>
      </c>
      <c r="L71" s="75">
        <f t="shared" si="5"/>
        <v>3.4231442462223064E-3</v>
      </c>
      <c r="M71" s="75">
        <f t="shared" si="5"/>
        <v>6.8596076211935326E-3</v>
      </c>
      <c r="N71" s="75">
        <f t="shared" si="5"/>
        <v>8.4003913247078822E-3</v>
      </c>
      <c r="O71" s="63">
        <f t="shared" si="5"/>
        <v>9.4965912730754255E-3</v>
      </c>
      <c r="P71" s="56" t="s">
        <v>21</v>
      </c>
      <c r="Q71" s="66" t="s">
        <v>21</v>
      </c>
      <c r="R71" s="95" t="s">
        <v>21</v>
      </c>
      <c r="S71" s="75">
        <v>0</v>
      </c>
      <c r="T71" s="63">
        <f t="shared" si="6"/>
        <v>4.8466136221193529E-2</v>
      </c>
      <c r="V71" s="117">
        <v>1.1164846900000001</v>
      </c>
      <c r="W71" s="60">
        <v>2.88164182</v>
      </c>
      <c r="X71" s="60">
        <v>4.4596599399999999</v>
      </c>
      <c r="Y71" s="60">
        <v>5.8375225899999998</v>
      </c>
      <c r="Z71" s="118">
        <v>7.5891252800000002</v>
      </c>
      <c r="AB71" s="73">
        <v>4.0006928699705097E-2</v>
      </c>
      <c r="AC71" s="75">
        <v>4.4990465546222297E-2</v>
      </c>
      <c r="AD71" s="75">
        <v>4.8466136221193529E-2</v>
      </c>
      <c r="AE71" s="75">
        <v>5.0754081824707892E-2</v>
      </c>
      <c r="AF71" s="63">
        <v>5.3321725973075426E-2</v>
      </c>
      <c r="AG71" s="75" t="s">
        <v>21</v>
      </c>
      <c r="AH71" s="75">
        <v>3.4231442462223064E-3</v>
      </c>
      <c r="AI71" s="75">
        <v>6.8596076211935326E-3</v>
      </c>
      <c r="AJ71" s="75">
        <v>8.4003913247078822E-3</v>
      </c>
      <c r="AK71" s="75">
        <v>9.4965912730754255E-3</v>
      </c>
    </row>
    <row r="72" spans="2:37" x14ac:dyDescent="0.35">
      <c r="B72" s="78" t="s">
        <v>301</v>
      </c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6"/>
      <c r="P72" s="78"/>
      <c r="Q72" s="77"/>
      <c r="R72" s="94"/>
      <c r="S72" s="77"/>
      <c r="T72" s="76"/>
      <c r="V72" s="111"/>
      <c r="W72" s="106"/>
      <c r="X72" s="106"/>
      <c r="Y72" s="106"/>
      <c r="Z72" s="112"/>
      <c r="AB72" s="77"/>
      <c r="AC72" s="77"/>
      <c r="AD72" s="77"/>
      <c r="AE72" s="77"/>
      <c r="AF72" s="77"/>
      <c r="AG72" s="77"/>
      <c r="AH72" s="77"/>
      <c r="AI72" s="77"/>
      <c r="AJ72" s="77"/>
      <c r="AK72" s="77"/>
    </row>
    <row r="73" spans="2:37" s="136" customFormat="1" x14ac:dyDescent="0.35">
      <c r="B73" s="55" t="s">
        <v>303</v>
      </c>
      <c r="C73" s="65" t="s">
        <v>30</v>
      </c>
      <c r="D73" s="65" t="s">
        <v>304</v>
      </c>
      <c r="E73" s="65" t="s">
        <v>21</v>
      </c>
      <c r="F73" s="74">
        <f t="shared" ref="F73:J75" si="7">IF(ISNUMBER(AB73),AB73-((C$4-C$3)/V73),"")</f>
        <v>4.0369132477329255E-2</v>
      </c>
      <c r="G73" s="79">
        <f t="shared" si="7"/>
        <v>4.5628514809079992E-2</v>
      </c>
      <c r="H73" s="79">
        <f t="shared" si="7"/>
        <v>4.9317309933624279E-2</v>
      </c>
      <c r="I73" s="79">
        <f t="shared" si="7"/>
        <v>5.2127253717148866E-2</v>
      </c>
      <c r="J73" s="61">
        <f t="shared" si="7"/>
        <v>5.5249965481519635E-2</v>
      </c>
      <c r="K73" s="74" t="str">
        <f t="shared" ref="K73:O75" si="8">IF(ISNUMBER(AG73),IF(AG73-((C$4-C$3)/V73)&lt;0,"",AG73-((C$4-C$3)/V73)),"")</f>
        <v/>
      </c>
      <c r="L73" s="79">
        <f t="shared" si="8"/>
        <v>4.0287346090799956E-3</v>
      </c>
      <c r="M73" s="79">
        <f t="shared" si="8"/>
        <v>7.6682846336242876E-3</v>
      </c>
      <c r="N73" s="79">
        <f t="shared" si="8"/>
        <v>9.7072525171488667E-3</v>
      </c>
      <c r="O73" s="61">
        <f t="shared" si="8"/>
        <v>1.1346034581519634E-2</v>
      </c>
      <c r="P73" s="54" t="s">
        <v>21</v>
      </c>
      <c r="Q73" s="52" t="s">
        <v>21</v>
      </c>
      <c r="R73" s="93" t="s">
        <v>21</v>
      </c>
      <c r="S73" s="70">
        <v>0</v>
      </c>
      <c r="T73" s="62">
        <f t="shared" si="6"/>
        <v>4.9317309933624279E-2</v>
      </c>
      <c r="U73" s="54"/>
      <c r="V73" s="117">
        <v>1.1158146799999999</v>
      </c>
      <c r="W73" s="60">
        <v>2.8765308300000001</v>
      </c>
      <c r="X73" s="60">
        <v>4.4449271499999998</v>
      </c>
      <c r="Y73" s="60">
        <v>5.8028738500000001</v>
      </c>
      <c r="Z73" s="118">
        <v>7.5047828499999998</v>
      </c>
      <c r="AB73" s="74">
        <v>4.0369132477329255E-2</v>
      </c>
      <c r="AC73" s="79">
        <v>4.5628514809079992E-2</v>
      </c>
      <c r="AD73" s="79">
        <v>4.9317309933624279E-2</v>
      </c>
      <c r="AE73" s="79">
        <v>5.2127253717148866E-2</v>
      </c>
      <c r="AF73" s="61">
        <v>5.5249965481519635E-2</v>
      </c>
      <c r="AG73" s="70" t="s">
        <v>21</v>
      </c>
      <c r="AH73" s="70">
        <v>4.0287346090799956E-3</v>
      </c>
      <c r="AI73" s="70">
        <v>7.6682846336242876E-3</v>
      </c>
      <c r="AJ73" s="70">
        <v>9.7072525171488667E-3</v>
      </c>
      <c r="AK73" s="70">
        <v>1.1346034581519634E-2</v>
      </c>
    </row>
    <row r="74" spans="2:37" s="136" customFormat="1" x14ac:dyDescent="0.35">
      <c r="B74" s="54" t="s">
        <v>303</v>
      </c>
      <c r="C74" s="66" t="s">
        <v>35</v>
      </c>
      <c r="D74" s="52" t="s">
        <v>304</v>
      </c>
      <c r="E74" s="52" t="s">
        <v>21</v>
      </c>
      <c r="F74" s="72">
        <f t="shared" si="7"/>
        <v>4.2459313752637222E-2</v>
      </c>
      <c r="G74" s="59">
        <f t="shared" si="7"/>
        <v>5.097522123511003E-2</v>
      </c>
      <c r="H74" s="70">
        <f t="shared" si="7"/>
        <v>5.8291190934328344E-2</v>
      </c>
      <c r="I74" s="70">
        <f t="shared" si="7"/>
        <v>6.3158208133500468E-2</v>
      </c>
      <c r="J74" s="62">
        <f t="shared" si="7"/>
        <v>6.6928140808184683E-2</v>
      </c>
      <c r="K74" s="72">
        <f t="shared" si="8"/>
        <v>3.7611175263723221E-4</v>
      </c>
      <c r="L74" s="59">
        <f t="shared" si="8"/>
        <v>9.1480035351100275E-3</v>
      </c>
      <c r="M74" s="70">
        <f t="shared" si="8"/>
        <v>1.6243616834328331E-2</v>
      </c>
      <c r="N74" s="70">
        <f t="shared" si="8"/>
        <v>2.0234613533500468E-2</v>
      </c>
      <c r="O74" s="62">
        <f t="shared" si="8"/>
        <v>2.2532765208184685E-2</v>
      </c>
      <c r="P74" s="54" t="s">
        <v>21</v>
      </c>
      <c r="Q74" s="52" t="s">
        <v>21</v>
      </c>
      <c r="R74" s="93" t="s">
        <v>21</v>
      </c>
      <c r="S74" s="70">
        <v>0</v>
      </c>
      <c r="T74" s="62">
        <f t="shared" si="6"/>
        <v>5.8291190934328344E-2</v>
      </c>
      <c r="U74" s="54"/>
      <c r="V74" s="113">
        <v>1.1135300399999999</v>
      </c>
      <c r="W74" s="71">
        <v>2.8510826699999998</v>
      </c>
      <c r="X74" s="71">
        <v>4.3533601800000001</v>
      </c>
      <c r="Y74" s="71">
        <v>5.6034328499999999</v>
      </c>
      <c r="Z74" s="114">
        <v>7.1105842399999997</v>
      </c>
      <c r="AB74" s="72">
        <v>4.2459313752637222E-2</v>
      </c>
      <c r="AC74" s="70">
        <v>5.097522123511003E-2</v>
      </c>
      <c r="AD74" s="70">
        <v>5.8291190934328344E-2</v>
      </c>
      <c r="AE74" s="70">
        <v>6.3158208133500468E-2</v>
      </c>
      <c r="AF74" s="62">
        <v>6.6928140808184683E-2</v>
      </c>
      <c r="AG74" s="70">
        <v>3.7611175263723221E-4</v>
      </c>
      <c r="AH74" s="70">
        <v>9.1480035351100275E-3</v>
      </c>
      <c r="AI74" s="70">
        <v>1.6243616834328331E-2</v>
      </c>
      <c r="AJ74" s="70">
        <v>2.0234613533500468E-2</v>
      </c>
      <c r="AK74" s="70">
        <v>2.2532765208184685E-2</v>
      </c>
    </row>
    <row r="75" spans="2:37" s="136" customFormat="1" x14ac:dyDescent="0.35">
      <c r="B75" s="56" t="s">
        <v>303</v>
      </c>
      <c r="C75" s="52" t="s">
        <v>33</v>
      </c>
      <c r="D75" s="66" t="s">
        <v>304</v>
      </c>
      <c r="E75" s="53" t="s">
        <v>21</v>
      </c>
      <c r="F75" s="73">
        <f t="shared" si="7"/>
        <v>4.1076963308442092E-2</v>
      </c>
      <c r="G75" s="75">
        <f t="shared" si="7"/>
        <v>4.7972854861279751E-2</v>
      </c>
      <c r="H75" s="75">
        <f t="shared" si="7"/>
        <v>5.3411884686060819E-2</v>
      </c>
      <c r="I75" s="75">
        <f t="shared" si="7"/>
        <v>5.702234701205388E-2</v>
      </c>
      <c r="J75" s="63">
        <f t="shared" si="7"/>
        <v>6.0685299923615037E-2</v>
      </c>
      <c r="K75" s="73" t="str">
        <f t="shared" si="8"/>
        <v/>
      </c>
      <c r="L75" s="75">
        <f t="shared" si="8"/>
        <v>6.2523025612797566E-3</v>
      </c>
      <c r="M75" s="75">
        <f t="shared" si="8"/>
        <v>1.154663238606082E-2</v>
      </c>
      <c r="N75" s="75">
        <f t="shared" si="8"/>
        <v>1.4344177912053868E-2</v>
      </c>
      <c r="O75" s="63">
        <f t="shared" si="8"/>
        <v>1.6526030223615037E-2</v>
      </c>
      <c r="P75" s="54" t="s">
        <v>21</v>
      </c>
      <c r="Q75" s="52" t="s">
        <v>21</v>
      </c>
      <c r="R75" s="93" t="s">
        <v>21</v>
      </c>
      <c r="S75" s="70">
        <v>0</v>
      </c>
      <c r="T75" s="62">
        <f t="shared" si="6"/>
        <v>5.3411884686060819E-2</v>
      </c>
      <c r="U75" s="54"/>
      <c r="V75" s="115">
        <v>1.11447341</v>
      </c>
      <c r="W75" s="71">
        <v>2.8597620699999999</v>
      </c>
      <c r="X75" s="107">
        <v>4.3834977400000001</v>
      </c>
      <c r="Y75" s="107">
        <v>5.6697332999999999</v>
      </c>
      <c r="Z75" s="116">
        <v>7.2362535800000005</v>
      </c>
      <c r="AB75" s="73">
        <v>4.1076963308442092E-2</v>
      </c>
      <c r="AC75" s="75">
        <v>4.7972854861279751E-2</v>
      </c>
      <c r="AD75" s="75">
        <v>5.3411884686060819E-2</v>
      </c>
      <c r="AE75" s="75">
        <v>5.702234701205388E-2</v>
      </c>
      <c r="AF75" s="63">
        <v>6.0685299923615037E-2</v>
      </c>
      <c r="AG75" s="70" t="s">
        <v>21</v>
      </c>
      <c r="AH75" s="70">
        <v>6.2523025612797566E-3</v>
      </c>
      <c r="AI75" s="70">
        <v>1.154663238606082E-2</v>
      </c>
      <c r="AJ75" s="70">
        <v>1.4344177912053868E-2</v>
      </c>
      <c r="AK75" s="70">
        <v>1.6526030223615037E-2</v>
      </c>
    </row>
    <row r="76" spans="2:37" s="136" customFormat="1" x14ac:dyDescent="0.35">
      <c r="B76" s="78" t="s">
        <v>302</v>
      </c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8"/>
      <c r="Q76" s="77"/>
      <c r="R76" s="94"/>
      <c r="S76" s="77"/>
      <c r="T76" s="77"/>
      <c r="U76" s="54"/>
      <c r="V76" s="111"/>
      <c r="W76" s="106"/>
      <c r="X76" s="106"/>
      <c r="Y76" s="106"/>
      <c r="Z76" s="112"/>
      <c r="AB76" s="77"/>
      <c r="AC76" s="77"/>
      <c r="AD76" s="77"/>
      <c r="AE76" s="77"/>
      <c r="AF76" s="77"/>
      <c r="AG76" s="77"/>
      <c r="AH76" s="77"/>
      <c r="AI76" s="77"/>
      <c r="AJ76" s="77"/>
      <c r="AK76" s="77"/>
    </row>
    <row r="77" spans="2:37" s="136" customFormat="1" x14ac:dyDescent="0.35">
      <c r="B77" s="55" t="s">
        <v>305</v>
      </c>
      <c r="C77" s="65" t="s">
        <v>30</v>
      </c>
      <c r="D77" s="65" t="s">
        <v>131</v>
      </c>
      <c r="E77" s="65" t="s">
        <v>21</v>
      </c>
      <c r="F77" s="74">
        <f t="shared" ref="F77:J78" si="9">IF(ISNUMBER(AB77),AB77-((C$4-C$3)/V77),"")</f>
        <v>4.0462165776274782E-2</v>
      </c>
      <c r="G77" s="79">
        <f t="shared" si="9"/>
        <v>4.5638726221370711E-2</v>
      </c>
      <c r="H77" s="79">
        <f t="shared" si="9"/>
        <v>4.936950360922622E-2</v>
      </c>
      <c r="I77" s="79">
        <f t="shared" si="9"/>
        <v>5.1936840509669902E-2</v>
      </c>
      <c r="J77" s="61">
        <f t="shared" si="9"/>
        <v>5.4631079658917711E-2</v>
      </c>
      <c r="K77" s="74" t="str">
        <f t="shared" ref="K77:O78" si="10">IF(ISNUMBER(AG77),IF(AG77-((C$4-C$3)/V77)&lt;0,"",AG77-((C$4-C$3)/V77)),"")</f>
        <v/>
      </c>
      <c r="L77" s="79">
        <f t="shared" si="10"/>
        <v>4.0385747213707232E-3</v>
      </c>
      <c r="M77" s="79">
        <f t="shared" si="10"/>
        <v>7.7179794092262222E-3</v>
      </c>
      <c r="N77" s="79">
        <f t="shared" si="10"/>
        <v>9.5262306096699119E-3</v>
      </c>
      <c r="O77" s="61">
        <f t="shared" si="10"/>
        <v>1.0753099858917706E-2</v>
      </c>
      <c r="P77" s="55" t="s">
        <v>21</v>
      </c>
      <c r="Q77" s="65" t="s">
        <v>21</v>
      </c>
      <c r="R77" s="99" t="s">
        <v>21</v>
      </c>
      <c r="S77" s="79">
        <v>0</v>
      </c>
      <c r="T77" s="61">
        <f t="shared" si="6"/>
        <v>4.936950360922622E-2</v>
      </c>
      <c r="U77" s="54"/>
      <c r="V77" s="117">
        <v>1.11563948</v>
      </c>
      <c r="W77" s="60">
        <v>2.8761630900000004</v>
      </c>
      <c r="X77" s="60">
        <v>4.44404573</v>
      </c>
      <c r="Y77" s="60">
        <v>5.8045084099999995</v>
      </c>
      <c r="Z77" s="118">
        <v>7.5219520400000004</v>
      </c>
      <c r="AB77" s="74">
        <v>4.0462165776274782E-2</v>
      </c>
      <c r="AC77" s="79">
        <v>4.5638726221370711E-2</v>
      </c>
      <c r="AD77" s="79">
        <v>4.936950360922622E-2</v>
      </c>
      <c r="AE77" s="79">
        <v>5.1936840509669902E-2</v>
      </c>
      <c r="AF77" s="61">
        <v>5.4631079658917711E-2</v>
      </c>
      <c r="AG77" s="79" t="s">
        <v>21</v>
      </c>
      <c r="AH77" s="79">
        <v>4.0385747213707232E-3</v>
      </c>
      <c r="AI77" s="79">
        <v>7.7179794092262222E-3</v>
      </c>
      <c r="AJ77" s="79">
        <v>9.5262306096699119E-3</v>
      </c>
      <c r="AK77" s="79">
        <v>1.0753099858917706E-2</v>
      </c>
    </row>
    <row r="78" spans="2:37" s="136" customFormat="1" x14ac:dyDescent="0.35">
      <c r="B78" s="56" t="s">
        <v>305</v>
      </c>
      <c r="C78" s="66" t="s">
        <v>35</v>
      </c>
      <c r="D78" s="66" t="s">
        <v>131</v>
      </c>
      <c r="E78" s="66" t="s">
        <v>21</v>
      </c>
      <c r="F78" s="73">
        <f t="shared" si="9"/>
        <v>4.2474550198070782E-2</v>
      </c>
      <c r="G78" s="75">
        <f t="shared" si="9"/>
        <v>5.098118486454456E-2</v>
      </c>
      <c r="H78" s="75">
        <f t="shared" si="9"/>
        <v>5.829510991461883E-2</v>
      </c>
      <c r="I78" s="75">
        <f t="shared" si="9"/>
        <v>6.3161269386023733E-2</v>
      </c>
      <c r="J78" s="63">
        <f t="shared" si="9"/>
        <v>6.7269692861141941E-2</v>
      </c>
      <c r="K78" s="73">
        <f t="shared" si="10"/>
        <v>3.8513389807078111E-4</v>
      </c>
      <c r="L78" s="75">
        <f t="shared" si="10"/>
        <v>9.1511316645445599E-3</v>
      </c>
      <c r="M78" s="75">
        <f t="shared" si="10"/>
        <v>1.624547461461882E-2</v>
      </c>
      <c r="N78" s="75">
        <f t="shared" si="10"/>
        <v>2.0235950586023736E-2</v>
      </c>
      <c r="O78" s="63">
        <f t="shared" si="10"/>
        <v>2.2853823561141934E-2</v>
      </c>
      <c r="P78" s="56" t="s">
        <v>21</v>
      </c>
      <c r="Q78" s="66" t="s">
        <v>21</v>
      </c>
      <c r="R78" s="95" t="s">
        <v>21</v>
      </c>
      <c r="S78" s="75">
        <v>0</v>
      </c>
      <c r="T78" s="63">
        <f t="shared" si="6"/>
        <v>5.829510991461883E-2</v>
      </c>
      <c r="U78" s="54"/>
      <c r="V78" s="113">
        <v>1.11353645</v>
      </c>
      <c r="W78" s="71">
        <v>2.8510775900000001</v>
      </c>
      <c r="X78" s="107">
        <v>4.3533461400000002</v>
      </c>
      <c r="Y78" s="107">
        <v>5.6034110200000002</v>
      </c>
      <c r="Z78" s="114">
        <v>7.1049613299999992</v>
      </c>
      <c r="AB78" s="73">
        <v>4.2474550198070782E-2</v>
      </c>
      <c r="AC78" s="75">
        <v>5.098118486454456E-2</v>
      </c>
      <c r="AD78" s="75">
        <v>5.829510991461883E-2</v>
      </c>
      <c r="AE78" s="75">
        <v>6.3161269386023733E-2</v>
      </c>
      <c r="AF78" s="63">
        <v>6.7269692861141941E-2</v>
      </c>
      <c r="AG78" s="75">
        <v>3.8513389807078111E-4</v>
      </c>
      <c r="AH78" s="75">
        <v>9.1511316645445599E-3</v>
      </c>
      <c r="AI78" s="75">
        <v>1.624547461461882E-2</v>
      </c>
      <c r="AJ78" s="75">
        <v>2.0235950586023736E-2</v>
      </c>
      <c r="AK78" s="75">
        <v>2.2853823561141934E-2</v>
      </c>
    </row>
    <row r="79" spans="2:37" x14ac:dyDescent="0.35">
      <c r="B79" s="78" t="s">
        <v>67</v>
      </c>
      <c r="C79" s="77"/>
      <c r="D79" s="77"/>
      <c r="E79" s="77"/>
      <c r="F79" s="77" t="str">
        <f t="shared" si="4"/>
        <v/>
      </c>
      <c r="G79" s="77" t="str">
        <f t="shared" si="4"/>
        <v/>
      </c>
      <c r="H79" s="77" t="str">
        <f t="shared" si="4"/>
        <v/>
      </c>
      <c r="I79" s="77" t="str">
        <f t="shared" si="4"/>
        <v/>
      </c>
      <c r="J79" s="77" t="str">
        <f t="shared" si="4"/>
        <v/>
      </c>
      <c r="K79" s="77" t="str">
        <f t="shared" si="5"/>
        <v/>
      </c>
      <c r="L79" s="77" t="str">
        <f t="shared" si="5"/>
        <v/>
      </c>
      <c r="M79" s="77" t="str">
        <f t="shared" si="5"/>
        <v/>
      </c>
      <c r="N79" s="77" t="str">
        <f t="shared" si="5"/>
        <v/>
      </c>
      <c r="O79" s="76" t="str">
        <f t="shared" si="5"/>
        <v/>
      </c>
      <c r="P79" s="78"/>
      <c r="Q79" s="77"/>
      <c r="R79" s="94"/>
      <c r="S79" s="77"/>
      <c r="T79" s="76" t="str">
        <f t="shared" si="6"/>
        <v/>
      </c>
      <c r="V79" s="111"/>
      <c r="W79" s="106"/>
      <c r="X79" s="106"/>
      <c r="Y79" s="106"/>
      <c r="Z79" s="112"/>
      <c r="AB79" s="77"/>
      <c r="AC79" s="77"/>
      <c r="AD79" s="77"/>
      <c r="AE79" s="77"/>
      <c r="AF79" s="77"/>
      <c r="AG79" s="77"/>
      <c r="AH79" s="77"/>
      <c r="AI79" s="77"/>
      <c r="AJ79" s="77"/>
      <c r="AK79" s="77"/>
    </row>
    <row r="80" spans="2:37" x14ac:dyDescent="0.35">
      <c r="B80" s="55" t="s">
        <v>68</v>
      </c>
      <c r="C80" s="65" t="s">
        <v>61</v>
      </c>
      <c r="D80" s="65" t="s">
        <v>69</v>
      </c>
      <c r="E80" s="65" t="s">
        <v>21</v>
      </c>
      <c r="F80" s="74">
        <f t="shared" si="4"/>
        <v>4.3027346251935467E-2</v>
      </c>
      <c r="G80" s="79">
        <f t="shared" si="4"/>
        <v>4.8500199435631421E-2</v>
      </c>
      <c r="H80" s="79">
        <f t="shared" si="4"/>
        <v>5.3045657846923909E-2</v>
      </c>
      <c r="I80" s="79">
        <f t="shared" si="4"/>
        <v>5.5897409774139581E-2</v>
      </c>
      <c r="J80" s="61">
        <f t="shared" si="4"/>
        <v>5.9060862576065222E-2</v>
      </c>
      <c r="K80" s="74">
        <f t="shared" si="5"/>
        <v>9.0410665193547003E-4</v>
      </c>
      <c r="L80" s="79">
        <f t="shared" si="5"/>
        <v>6.7493908356314261E-3</v>
      </c>
      <c r="M80" s="79">
        <f t="shared" si="5"/>
        <v>1.1199178346923909E-2</v>
      </c>
      <c r="N80" s="79">
        <f t="shared" si="5"/>
        <v>1.3279264674139578E-2</v>
      </c>
      <c r="O80" s="61">
        <f t="shared" si="5"/>
        <v>1.4976499976065212E-2</v>
      </c>
      <c r="P80" s="55" t="s">
        <v>21</v>
      </c>
      <c r="Q80" s="65" t="s">
        <v>21</v>
      </c>
      <c r="R80" s="99" t="s">
        <v>21</v>
      </c>
      <c r="S80" s="79">
        <v>0</v>
      </c>
      <c r="T80" s="61">
        <f t="shared" si="6"/>
        <v>5.3045657846923909E-2</v>
      </c>
      <c r="V80" s="117">
        <v>1.11088034</v>
      </c>
      <c r="W80" s="60">
        <v>2.8503663700000001</v>
      </c>
      <c r="X80" s="60">
        <v>4.3774666400000006</v>
      </c>
      <c r="Y80" s="60">
        <v>5.6807288599999994</v>
      </c>
      <c r="Z80" s="118">
        <v>7.2901723200000008</v>
      </c>
      <c r="AB80" s="74">
        <v>4.3027346251935467E-2</v>
      </c>
      <c r="AC80" s="79">
        <v>4.8500199435631421E-2</v>
      </c>
      <c r="AD80" s="79">
        <v>5.3045657846923909E-2</v>
      </c>
      <c r="AE80" s="79">
        <v>5.5897409774139581E-2</v>
      </c>
      <c r="AF80" s="61">
        <v>5.9060862576065222E-2</v>
      </c>
      <c r="AG80" s="79">
        <v>9.0410665193547003E-4</v>
      </c>
      <c r="AH80" s="79">
        <v>6.7493908356314261E-3</v>
      </c>
      <c r="AI80" s="79">
        <v>1.1199178346923909E-2</v>
      </c>
      <c r="AJ80" s="79">
        <v>1.3279264674139578E-2</v>
      </c>
      <c r="AK80" s="79">
        <v>1.4976499976065212E-2</v>
      </c>
    </row>
    <row r="81" spans="2:37" x14ac:dyDescent="0.35">
      <c r="B81" s="56" t="s">
        <v>68</v>
      </c>
      <c r="C81" s="66" t="s">
        <v>63</v>
      </c>
      <c r="D81" s="66" t="s">
        <v>69</v>
      </c>
      <c r="E81" s="66" t="s">
        <v>81</v>
      </c>
      <c r="F81" s="73">
        <f t="shared" si="4"/>
        <v>4.4499034351560544E-2</v>
      </c>
      <c r="G81" s="75">
        <f t="shared" si="4"/>
        <v>5.1001727232220476E-2</v>
      </c>
      <c r="H81" s="75">
        <f t="shared" si="4"/>
        <v>5.6272074000130123E-2</v>
      </c>
      <c r="I81" s="75">
        <f t="shared" si="4"/>
        <v>5.9438977156876224E-2</v>
      </c>
      <c r="J81" s="63">
        <f t="shared" si="4"/>
        <v>6.2436933439156982E-2</v>
      </c>
      <c r="K81" s="73">
        <f t="shared" si="5"/>
        <v>2.329857251560547E-3</v>
      </c>
      <c r="L81" s="75">
        <f t="shared" si="5"/>
        <v>9.1791109322204752E-3</v>
      </c>
      <c r="M81" s="75">
        <f t="shared" si="5"/>
        <v>1.4334502800130114E-2</v>
      </c>
      <c r="N81" s="75">
        <f t="shared" si="5"/>
        <v>1.6717719256876241E-2</v>
      </c>
      <c r="O81" s="63">
        <f t="shared" si="5"/>
        <v>1.8263105939156987E-2</v>
      </c>
      <c r="P81" s="56" t="s">
        <v>21</v>
      </c>
      <c r="Q81" s="66" t="s">
        <v>21</v>
      </c>
      <c r="R81" s="95" t="s">
        <v>21</v>
      </c>
      <c r="S81" s="75">
        <v>0</v>
      </c>
      <c r="T81" s="63">
        <f t="shared" si="6"/>
        <v>5.6272074000130123E-2</v>
      </c>
      <c r="V81" s="115">
        <v>1.1101091699999999</v>
      </c>
      <c r="W81" s="107">
        <v>2.8450119300000001</v>
      </c>
      <c r="X81" s="107">
        <v>4.3634018799999996</v>
      </c>
      <c r="Y81" s="107">
        <v>5.6549721100000001</v>
      </c>
      <c r="Z81" s="116">
        <v>7.2512765899999998</v>
      </c>
      <c r="AB81" s="73">
        <v>4.4499034351560544E-2</v>
      </c>
      <c r="AC81" s="75">
        <v>5.1001727232220476E-2</v>
      </c>
      <c r="AD81" s="75">
        <v>5.6272074000130123E-2</v>
      </c>
      <c r="AE81" s="75">
        <v>5.9438977156876224E-2</v>
      </c>
      <c r="AF81" s="63">
        <v>6.2436933439156982E-2</v>
      </c>
      <c r="AG81" s="75">
        <v>2.329857251560547E-3</v>
      </c>
      <c r="AH81" s="75">
        <v>9.1791109322204752E-3</v>
      </c>
      <c r="AI81" s="75">
        <v>1.4334502800130114E-2</v>
      </c>
      <c r="AJ81" s="75">
        <v>1.6717719256876241E-2</v>
      </c>
      <c r="AK81" s="75">
        <v>1.8263105939156987E-2</v>
      </c>
    </row>
    <row r="82" spans="2:37" x14ac:dyDescent="0.35">
      <c r="B82" s="55" t="s">
        <v>70</v>
      </c>
      <c r="C82" s="65" t="s">
        <v>65</v>
      </c>
      <c r="D82" s="65" t="s">
        <v>69</v>
      </c>
      <c r="E82" s="65" t="s">
        <v>229</v>
      </c>
      <c r="F82" s="74">
        <f t="shared" si="4"/>
        <v>4.3290281631546947E-2</v>
      </c>
      <c r="G82" s="79">
        <f t="shared" si="4"/>
        <v>4.9218967579841226E-2</v>
      </c>
      <c r="H82" s="79">
        <f t="shared" si="4"/>
        <v>5.3997051143321054E-2</v>
      </c>
      <c r="I82" s="79">
        <f t="shared" si="4"/>
        <v>5.7357585553087564E-2</v>
      </c>
      <c r="J82" s="61">
        <f t="shared" si="4"/>
        <v>6.083699091592349E-2</v>
      </c>
      <c r="K82" s="74">
        <f t="shared" si="5"/>
        <v>1.1588226315469479E-3</v>
      </c>
      <c r="L82" s="79">
        <f t="shared" si="5"/>
        <v>7.4306585798412268E-3</v>
      </c>
      <c r="M82" s="79">
        <f t="shared" si="5"/>
        <v>1.2098409943321054E-2</v>
      </c>
      <c r="N82" s="79">
        <f t="shared" si="5"/>
        <v>1.4657732853087583E-2</v>
      </c>
      <c r="O82" s="61">
        <f t="shared" si="5"/>
        <v>1.6663344115923493E-2</v>
      </c>
      <c r="P82" s="54" t="s">
        <v>456</v>
      </c>
      <c r="Q82" s="52" t="s">
        <v>457</v>
      </c>
      <c r="R82" s="93">
        <v>47371</v>
      </c>
      <c r="S82" s="70">
        <v>5.2440769999999998E-2</v>
      </c>
      <c r="T82" s="62">
        <f t="shared" si="6"/>
        <v>1.556281143321056E-3</v>
      </c>
      <c r="V82" s="117">
        <v>1.1103687</v>
      </c>
      <c r="W82" s="60">
        <v>2.8450917900000001</v>
      </c>
      <c r="X82" s="60">
        <v>4.3616853600000001</v>
      </c>
      <c r="Y82" s="60">
        <v>5.6445857999999998</v>
      </c>
      <c r="Z82" s="118">
        <v>7.2106178000000005</v>
      </c>
      <c r="AB82" s="74">
        <v>4.3290281631546947E-2</v>
      </c>
      <c r="AC82" s="79">
        <v>4.9218967579841226E-2</v>
      </c>
      <c r="AD82" s="79">
        <v>5.3997051143321054E-2</v>
      </c>
      <c r="AE82" s="79">
        <v>5.7357585553087564E-2</v>
      </c>
      <c r="AF82" s="61">
        <v>6.083699091592349E-2</v>
      </c>
      <c r="AG82" s="70">
        <v>1.1588226315469479E-3</v>
      </c>
      <c r="AH82" s="70">
        <v>7.4306585798412268E-3</v>
      </c>
      <c r="AI82" s="70">
        <v>1.2098409943321054E-2</v>
      </c>
      <c r="AJ82" s="70">
        <v>1.4657732853087583E-2</v>
      </c>
      <c r="AK82" s="70">
        <v>1.6663344115923493E-2</v>
      </c>
    </row>
    <row r="83" spans="2:37" x14ac:dyDescent="0.35">
      <c r="B83" s="54" t="s">
        <v>70</v>
      </c>
      <c r="C83" s="52" t="s">
        <v>66</v>
      </c>
      <c r="D83" s="52" t="s">
        <v>69</v>
      </c>
      <c r="E83" s="52" t="s">
        <v>81</v>
      </c>
      <c r="F83" s="72">
        <f t="shared" si="4"/>
        <v>4.4516468949749519E-2</v>
      </c>
      <c r="G83" s="59">
        <f t="shared" si="4"/>
        <v>5.2133414652144223E-2</v>
      </c>
      <c r="H83" s="59">
        <f t="shared" si="4"/>
        <v>5.8831341377856186E-2</v>
      </c>
      <c r="I83" s="59">
        <f t="shared" si="4"/>
        <v>6.3605091598114685E-2</v>
      </c>
      <c r="J83" s="62">
        <f t="shared" si="4"/>
        <v>6.7540676295839777E-2</v>
      </c>
      <c r="K83" s="72">
        <f t="shared" si="5"/>
        <v>2.3374221497495249E-3</v>
      </c>
      <c r="L83" s="59">
        <f t="shared" si="5"/>
        <v>1.025197285214423E-2</v>
      </c>
      <c r="M83" s="59">
        <f t="shared" si="5"/>
        <v>1.67547269778562E-2</v>
      </c>
      <c r="N83" s="59">
        <f t="shared" si="5"/>
        <v>2.0654565098114676E-2</v>
      </c>
      <c r="O83" s="62">
        <f t="shared" si="5"/>
        <v>2.3107414095839773E-2</v>
      </c>
      <c r="P83" s="54" t="s">
        <v>21</v>
      </c>
      <c r="Q83" s="52" t="s">
        <v>21</v>
      </c>
      <c r="R83" s="93" t="s">
        <v>21</v>
      </c>
      <c r="S83" s="70">
        <v>0</v>
      </c>
      <c r="T83" s="62">
        <f t="shared" si="6"/>
        <v>5.8831341377856186E-2</v>
      </c>
      <c r="V83" s="115">
        <v>1.1101311300000001</v>
      </c>
      <c r="W83" s="107">
        <v>2.8398007000000001</v>
      </c>
      <c r="X83" s="107">
        <v>4.3368851199999998</v>
      </c>
      <c r="Y83" s="107">
        <v>5.58312834</v>
      </c>
      <c r="Z83" s="116">
        <v>7.0813850400000007</v>
      </c>
      <c r="AB83" s="72">
        <v>4.4516468949749519E-2</v>
      </c>
      <c r="AC83" s="70">
        <v>5.2133414652144223E-2</v>
      </c>
      <c r="AD83" s="70">
        <v>5.8831341377856186E-2</v>
      </c>
      <c r="AE83" s="70">
        <v>6.3605091598114685E-2</v>
      </c>
      <c r="AF83" s="62">
        <v>6.7540676295839777E-2</v>
      </c>
      <c r="AG83" s="70">
        <v>2.3374221497495249E-3</v>
      </c>
      <c r="AH83" s="70">
        <v>1.025197285214423E-2</v>
      </c>
      <c r="AI83" s="70">
        <v>1.67547269778562E-2</v>
      </c>
      <c r="AJ83" s="70">
        <v>2.0654565098114676E-2</v>
      </c>
      <c r="AK83" s="70">
        <v>2.3107414095839773E-2</v>
      </c>
    </row>
    <row r="84" spans="2:37" x14ac:dyDescent="0.35">
      <c r="B84" s="55" t="s">
        <v>71</v>
      </c>
      <c r="C84" s="65" t="s">
        <v>61</v>
      </c>
      <c r="D84" s="65" t="s">
        <v>69</v>
      </c>
      <c r="E84" s="65" t="s">
        <v>21</v>
      </c>
      <c r="F84" s="74">
        <f t="shared" si="4"/>
        <v>4.1153126569751217E-2</v>
      </c>
      <c r="G84" s="79">
        <f t="shared" si="4"/>
        <v>4.6157268271243918E-2</v>
      </c>
      <c r="H84" s="79">
        <f t="shared" si="4"/>
        <v>4.9647770348980533E-2</v>
      </c>
      <c r="I84" s="79">
        <f t="shared" si="4"/>
        <v>5.2065021261115785E-2</v>
      </c>
      <c r="J84" s="61">
        <f t="shared" si="4"/>
        <v>5.4664997365848712E-2</v>
      </c>
      <c r="K84" s="74" t="str">
        <f t="shared" si="5"/>
        <v/>
      </c>
      <c r="L84" s="79">
        <f t="shared" si="5"/>
        <v>4.5329294712439256E-3</v>
      </c>
      <c r="M84" s="79">
        <f t="shared" si="5"/>
        <v>7.9835470489805372E-3</v>
      </c>
      <c r="N84" s="79">
        <f t="shared" si="5"/>
        <v>9.6484877611157892E-3</v>
      </c>
      <c r="O84" s="61">
        <f t="shared" si="5"/>
        <v>1.0784104965848716E-2</v>
      </c>
      <c r="P84" s="55" t="s">
        <v>21</v>
      </c>
      <c r="Q84" s="65" t="s">
        <v>21</v>
      </c>
      <c r="R84" s="99" t="s">
        <v>21</v>
      </c>
      <c r="S84" s="79">
        <v>0</v>
      </c>
      <c r="T84" s="61">
        <f t="shared" si="6"/>
        <v>4.9647770348980533E-2</v>
      </c>
      <c r="V84" s="117">
        <v>1.1143234199999998</v>
      </c>
      <c r="W84" s="60">
        <v>2.8706660099999999</v>
      </c>
      <c r="X84" s="60">
        <v>4.4349899600000002</v>
      </c>
      <c r="Y84" s="60">
        <v>5.7938588900000001</v>
      </c>
      <c r="Z84" s="118">
        <v>7.511518960000001</v>
      </c>
      <c r="AB84" s="74">
        <v>4.1153126569751217E-2</v>
      </c>
      <c r="AC84" s="79">
        <v>4.6157268271243918E-2</v>
      </c>
      <c r="AD84" s="79">
        <v>4.9647770348980533E-2</v>
      </c>
      <c r="AE84" s="79">
        <v>5.2065021261115785E-2</v>
      </c>
      <c r="AF84" s="61">
        <v>5.4664997365848712E-2</v>
      </c>
      <c r="AG84" s="79" t="s">
        <v>21</v>
      </c>
      <c r="AH84" s="79">
        <v>4.5329294712439256E-3</v>
      </c>
      <c r="AI84" s="79">
        <v>7.9835470489805372E-3</v>
      </c>
      <c r="AJ84" s="79">
        <v>9.6484877611157892E-3</v>
      </c>
      <c r="AK84" s="79">
        <v>1.0784104965848716E-2</v>
      </c>
    </row>
    <row r="85" spans="2:37" x14ac:dyDescent="0.35">
      <c r="B85" s="56" t="s">
        <v>71</v>
      </c>
      <c r="C85" s="66" t="s">
        <v>63</v>
      </c>
      <c r="D85" s="66" t="s">
        <v>69</v>
      </c>
      <c r="E85" s="66" t="s">
        <v>21</v>
      </c>
      <c r="F85" s="73">
        <f t="shared" si="4"/>
        <v>4.2689515046639828E-2</v>
      </c>
      <c r="G85" s="75">
        <f t="shared" si="4"/>
        <v>4.8601658226207246E-2</v>
      </c>
      <c r="H85" s="75">
        <f t="shared" si="4"/>
        <v>5.2879079480242515E-2</v>
      </c>
      <c r="I85" s="75">
        <f t="shared" si="4"/>
        <v>5.5802469216603666E-2</v>
      </c>
      <c r="J85" s="63">
        <f t="shared" si="4"/>
        <v>5.8510595651928586E-2</v>
      </c>
      <c r="K85" s="73">
        <f t="shared" si="5"/>
        <v>6.1555894663982511E-4</v>
      </c>
      <c r="L85" s="75">
        <f t="shared" si="5"/>
        <v>6.8933785262072465E-3</v>
      </c>
      <c r="M85" s="75">
        <f t="shared" si="5"/>
        <v>1.1105703280242522E-2</v>
      </c>
      <c r="N85" s="75">
        <f t="shared" si="5"/>
        <v>1.3260390316603667E-2</v>
      </c>
      <c r="O85" s="63">
        <f t="shared" si="5"/>
        <v>1.4514361751928589E-2</v>
      </c>
      <c r="P85" s="56" t="s">
        <v>21</v>
      </c>
      <c r="Q85" s="66" t="s">
        <v>21</v>
      </c>
      <c r="R85" s="95" t="s">
        <v>21</v>
      </c>
      <c r="S85" s="75">
        <v>0</v>
      </c>
      <c r="T85" s="63">
        <f t="shared" si="6"/>
        <v>5.2879079480242515E-2</v>
      </c>
      <c r="V85" s="115">
        <v>1.1131160500000001</v>
      </c>
      <c r="W85" s="107">
        <v>2.8616150399999998</v>
      </c>
      <c r="X85" s="107">
        <v>4.40858303</v>
      </c>
      <c r="Y85" s="107">
        <v>5.7410332100000003</v>
      </c>
      <c r="Z85" s="116">
        <v>7.4130034600000005</v>
      </c>
      <c r="AB85" s="73">
        <v>4.2689515046639828E-2</v>
      </c>
      <c r="AC85" s="75">
        <v>4.8601658226207246E-2</v>
      </c>
      <c r="AD85" s="75">
        <v>5.2879079480242515E-2</v>
      </c>
      <c r="AE85" s="75">
        <v>5.5802469216603666E-2</v>
      </c>
      <c r="AF85" s="63">
        <v>5.8510595651928586E-2</v>
      </c>
      <c r="AG85" s="75">
        <v>6.1555894663982511E-4</v>
      </c>
      <c r="AH85" s="75">
        <v>6.8933785262072465E-3</v>
      </c>
      <c r="AI85" s="75">
        <v>1.1105703280242522E-2</v>
      </c>
      <c r="AJ85" s="75">
        <v>1.3260390316603667E-2</v>
      </c>
      <c r="AK85" s="75">
        <v>1.4514361751928589E-2</v>
      </c>
    </row>
    <row r="86" spans="2:37" x14ac:dyDescent="0.35">
      <c r="B86" s="54" t="s">
        <v>72</v>
      </c>
      <c r="C86" s="52" t="s">
        <v>65</v>
      </c>
      <c r="D86" s="52" t="s">
        <v>69</v>
      </c>
      <c r="E86" s="52" t="s">
        <v>34</v>
      </c>
      <c r="F86" s="72">
        <f t="shared" si="4"/>
        <v>4.1032915365832853E-2</v>
      </c>
      <c r="G86" s="59">
        <f t="shared" si="4"/>
        <v>4.6873127322126971E-2</v>
      </c>
      <c r="H86" s="59">
        <f t="shared" si="4"/>
        <v>5.1733627098622628E-2</v>
      </c>
      <c r="I86" s="59">
        <f t="shared" si="4"/>
        <v>5.4798712737048408E-2</v>
      </c>
      <c r="J86" s="62">
        <f t="shared" si="4"/>
        <v>5.8356206090875766E-2</v>
      </c>
      <c r="K86" s="72" t="str">
        <f t="shared" si="5"/>
        <v/>
      </c>
      <c r="L86" s="59">
        <f t="shared" si="5"/>
        <v>5.2084018221269721E-3</v>
      </c>
      <c r="M86" s="59">
        <f t="shared" si="5"/>
        <v>9.9587244986226332E-3</v>
      </c>
      <c r="N86" s="59">
        <f t="shared" si="5"/>
        <v>1.2241880737048402E-2</v>
      </c>
      <c r="O86" s="62">
        <f t="shared" si="5"/>
        <v>1.4311259590875763E-2</v>
      </c>
      <c r="P86" s="54" t="s">
        <v>21</v>
      </c>
      <c r="Q86" s="52" t="s">
        <v>21</v>
      </c>
      <c r="R86" s="93" t="s">
        <v>21</v>
      </c>
      <c r="S86" s="70">
        <v>0</v>
      </c>
      <c r="T86" s="62">
        <f t="shared" si="6"/>
        <v>5.1733627098622628E-2</v>
      </c>
      <c r="V86" s="117">
        <v>1.11458938</v>
      </c>
      <c r="W86" s="60">
        <v>2.8667368799999999</v>
      </c>
      <c r="X86" s="60">
        <v>4.4090113299999993</v>
      </c>
      <c r="Y86" s="60">
        <v>5.7271269700000005</v>
      </c>
      <c r="Z86" s="118">
        <v>7.3515215499999993</v>
      </c>
      <c r="AB86" s="72">
        <v>4.1032915365832853E-2</v>
      </c>
      <c r="AC86" s="70">
        <v>4.6873127322126971E-2</v>
      </c>
      <c r="AD86" s="70">
        <v>5.1733627098622628E-2</v>
      </c>
      <c r="AE86" s="70">
        <v>5.4798712737048408E-2</v>
      </c>
      <c r="AF86" s="62">
        <v>5.8356206090875766E-2</v>
      </c>
      <c r="AG86" s="70" t="s">
        <v>21</v>
      </c>
      <c r="AH86" s="70">
        <v>5.2084018221269721E-3</v>
      </c>
      <c r="AI86" s="70">
        <v>9.9587244986226332E-3</v>
      </c>
      <c r="AJ86" s="70">
        <v>1.2241880737048402E-2</v>
      </c>
      <c r="AK86" s="70">
        <v>1.4311259590875763E-2</v>
      </c>
    </row>
    <row r="87" spans="2:37" x14ac:dyDescent="0.35">
      <c r="B87" s="56" t="s">
        <v>72</v>
      </c>
      <c r="C87" s="66" t="s">
        <v>66</v>
      </c>
      <c r="D87" s="66" t="s">
        <v>69</v>
      </c>
      <c r="E87" s="66" t="s">
        <v>36</v>
      </c>
      <c r="F87" s="73">
        <f t="shared" si="4"/>
        <v>4.2026317588501359E-2</v>
      </c>
      <c r="G87" s="75">
        <f t="shared" si="4"/>
        <v>4.9959187618330757E-2</v>
      </c>
      <c r="H87" s="75">
        <f t="shared" si="4"/>
        <v>5.6516006835550935E-2</v>
      </c>
      <c r="I87" s="75">
        <f t="shared" si="4"/>
        <v>6.0890483388086496E-2</v>
      </c>
      <c r="J87" s="63">
        <f t="shared" si="4"/>
        <v>6.4688379422184764E-2</v>
      </c>
      <c r="K87" s="73" t="str">
        <f t="shared" si="5"/>
        <v/>
      </c>
      <c r="L87" s="75">
        <f t="shared" si="5"/>
        <v>8.1846478183307553E-3</v>
      </c>
      <c r="M87" s="75">
        <f t="shared" si="5"/>
        <v>1.4565925435550927E-2</v>
      </c>
      <c r="N87" s="75">
        <f t="shared" si="5"/>
        <v>1.8095539588086518E-2</v>
      </c>
      <c r="O87" s="63">
        <f t="shared" si="5"/>
        <v>2.0412386322184749E-2</v>
      </c>
      <c r="P87" s="56" t="s">
        <v>21</v>
      </c>
      <c r="Q87" s="66" t="s">
        <v>21</v>
      </c>
      <c r="R87" s="95" t="s">
        <v>21</v>
      </c>
      <c r="S87" s="75">
        <v>0</v>
      </c>
      <c r="T87" s="63">
        <f t="shared" si="6"/>
        <v>5.6516006835550935E-2</v>
      </c>
      <c r="V87" s="115">
        <v>1.1140865499999999</v>
      </c>
      <c r="W87" s="107">
        <v>2.8567675800000001</v>
      </c>
      <c r="X87" s="107">
        <v>4.3739968499999993</v>
      </c>
      <c r="Y87" s="107">
        <v>5.6489804100000001</v>
      </c>
      <c r="Z87" s="116">
        <v>7.19895555</v>
      </c>
      <c r="AB87" s="73">
        <v>4.2026317588501359E-2</v>
      </c>
      <c r="AC87" s="75">
        <v>4.9959187618330757E-2</v>
      </c>
      <c r="AD87" s="75">
        <v>5.6516006835550935E-2</v>
      </c>
      <c r="AE87" s="75">
        <v>6.0890483388086496E-2</v>
      </c>
      <c r="AF87" s="63">
        <v>6.4688379422184764E-2</v>
      </c>
      <c r="AG87" s="75" t="s">
        <v>21</v>
      </c>
      <c r="AH87" s="75">
        <v>8.1846478183307553E-3</v>
      </c>
      <c r="AI87" s="75">
        <v>1.4565925435550927E-2</v>
      </c>
      <c r="AJ87" s="75">
        <v>1.8095539588086518E-2</v>
      </c>
      <c r="AK87" s="75">
        <v>2.0412386322184749E-2</v>
      </c>
    </row>
    <row r="88" spans="2:37" x14ac:dyDescent="0.35">
      <c r="B88" s="56" t="s">
        <v>74</v>
      </c>
      <c r="C88" s="66" t="s">
        <v>61</v>
      </c>
      <c r="D88" s="66" t="s">
        <v>69</v>
      </c>
      <c r="E88" s="66" t="s">
        <v>312</v>
      </c>
      <c r="F88" s="73">
        <f t="shared" si="4"/>
        <v>4.2010298933455315E-2</v>
      </c>
      <c r="G88" s="75">
        <f t="shared" si="4"/>
        <v>4.7723126320951138E-2</v>
      </c>
      <c r="H88" s="75">
        <f t="shared" si="4"/>
        <v>5.2183664922584701E-2</v>
      </c>
      <c r="I88" s="75">
        <f t="shared" si="4"/>
        <v>5.5239984519407884E-2</v>
      </c>
      <c r="J88" s="63">
        <f t="shared" si="4"/>
        <v>5.848423405287477E-2</v>
      </c>
      <c r="K88" s="73" t="str">
        <f t="shared" si="5"/>
        <v/>
      </c>
      <c r="L88" s="75">
        <f t="shared" si="5"/>
        <v>6.0156079209511357E-3</v>
      </c>
      <c r="M88" s="75">
        <f t="shared" si="5"/>
        <v>1.0385592022584704E-2</v>
      </c>
      <c r="N88" s="75">
        <f t="shared" si="5"/>
        <v>1.2659296419407877E-2</v>
      </c>
      <c r="O88" s="63">
        <f t="shared" si="5"/>
        <v>1.4431649852874779E-2</v>
      </c>
      <c r="P88" s="56" t="s">
        <v>21</v>
      </c>
      <c r="Q88" s="66" t="s">
        <v>21</v>
      </c>
      <c r="R88" s="95" t="s">
        <v>21</v>
      </c>
      <c r="S88" s="75">
        <v>0</v>
      </c>
      <c r="T88" s="63">
        <f t="shared" si="6"/>
        <v>5.2183664922584701E-2</v>
      </c>
      <c r="V88" s="117">
        <v>1.11274597</v>
      </c>
      <c r="W88" s="60">
        <v>2.85832175</v>
      </c>
      <c r="X88" s="60">
        <v>4.3949212800000002</v>
      </c>
      <c r="Y88" s="60">
        <v>5.7074863499999999</v>
      </c>
      <c r="Z88" s="118">
        <v>7.3294281200000002</v>
      </c>
      <c r="AB88" s="73">
        <v>4.2010298933455315E-2</v>
      </c>
      <c r="AC88" s="75">
        <v>4.7723126320951138E-2</v>
      </c>
      <c r="AD88" s="75">
        <v>5.2183664922584701E-2</v>
      </c>
      <c r="AE88" s="75">
        <v>5.5239984519407884E-2</v>
      </c>
      <c r="AF88" s="63">
        <v>5.848423405287477E-2</v>
      </c>
      <c r="AG88" s="75" t="s">
        <v>21</v>
      </c>
      <c r="AH88" s="75">
        <v>6.0156079209511357E-3</v>
      </c>
      <c r="AI88" s="75">
        <v>1.0385592022584704E-2</v>
      </c>
      <c r="AJ88" s="75">
        <v>1.2659296419407877E-2</v>
      </c>
      <c r="AK88" s="75">
        <v>1.4431649852874779E-2</v>
      </c>
    </row>
    <row r="89" spans="2:37" x14ac:dyDescent="0.35">
      <c r="B89" s="54" t="s">
        <v>76</v>
      </c>
      <c r="C89" s="52" t="s">
        <v>65</v>
      </c>
      <c r="D89" s="52" t="s">
        <v>69</v>
      </c>
      <c r="E89" s="52" t="s">
        <v>34</v>
      </c>
      <c r="F89" s="72">
        <f t="shared" si="4"/>
        <v>4.2049515623672221E-2</v>
      </c>
      <c r="G89" s="59">
        <f t="shared" si="4"/>
        <v>4.8124895440596158E-2</v>
      </c>
      <c r="H89" s="59">
        <f t="shared" si="4"/>
        <v>5.3630367241157592E-2</v>
      </c>
      <c r="I89" s="59">
        <f t="shared" si="4"/>
        <v>5.7001291059345156E-2</v>
      </c>
      <c r="J89" s="62">
        <f t="shared" si="4"/>
        <v>6.0479059985586739E-2</v>
      </c>
      <c r="K89" s="72" t="str">
        <f t="shared" si="5"/>
        <v/>
      </c>
      <c r="L89" s="59">
        <f t="shared" si="5"/>
        <v>6.3961510405961576E-3</v>
      </c>
      <c r="M89" s="59">
        <f t="shared" si="5"/>
        <v>1.1752892441157591E-2</v>
      </c>
      <c r="N89" s="59">
        <f t="shared" si="5"/>
        <v>1.432389375934516E-2</v>
      </c>
      <c r="O89" s="62">
        <f t="shared" si="5"/>
        <v>1.6328726685586728E-2</v>
      </c>
      <c r="P89" s="54" t="s">
        <v>21</v>
      </c>
      <c r="Q89" s="52" t="s">
        <v>21</v>
      </c>
      <c r="R89" s="93" t="s">
        <v>21</v>
      </c>
      <c r="S89" s="70">
        <v>0</v>
      </c>
      <c r="T89" s="62">
        <f t="shared" si="6"/>
        <v>5.3630367241157592E-2</v>
      </c>
      <c r="V89" s="117">
        <v>1.1126683099999999</v>
      </c>
      <c r="W89" s="60">
        <v>2.8557243199999998</v>
      </c>
      <c r="X89" s="60">
        <v>4.3773854100000005</v>
      </c>
      <c r="Y89" s="60">
        <v>5.6639652499999995</v>
      </c>
      <c r="Z89" s="118">
        <v>7.2364410500000007</v>
      </c>
      <c r="AB89" s="72">
        <v>4.2049515623672221E-2</v>
      </c>
      <c r="AC89" s="70">
        <v>4.8124895440596158E-2</v>
      </c>
      <c r="AD89" s="70">
        <v>5.3630367241157592E-2</v>
      </c>
      <c r="AE89" s="70">
        <v>5.7001291059345156E-2</v>
      </c>
      <c r="AF89" s="62">
        <v>6.0479059985586739E-2</v>
      </c>
      <c r="AG89" s="70" t="s">
        <v>21</v>
      </c>
      <c r="AH89" s="70">
        <v>6.3961510405961576E-3</v>
      </c>
      <c r="AI89" s="70">
        <v>1.1752892441157591E-2</v>
      </c>
      <c r="AJ89" s="70">
        <v>1.432389375934516E-2</v>
      </c>
      <c r="AK89" s="70">
        <v>1.6328726685586728E-2</v>
      </c>
    </row>
    <row r="90" spans="2:37" x14ac:dyDescent="0.35">
      <c r="B90" s="56" t="s">
        <v>76</v>
      </c>
      <c r="C90" s="66" t="s">
        <v>66</v>
      </c>
      <c r="D90" s="66" t="s">
        <v>69</v>
      </c>
      <c r="E90" s="66" t="s">
        <v>21</v>
      </c>
      <c r="F90" s="73">
        <f t="shared" ref="F90:J110" si="11">IF(ISNUMBER(AB90),AB90-((C$4-C$3)/V90),"")</f>
        <v>4.305756307487317E-2</v>
      </c>
      <c r="G90" s="75">
        <f t="shared" si="11"/>
        <v>5.1327156597941848E-2</v>
      </c>
      <c r="H90" s="75">
        <f t="shared" si="11"/>
        <v>5.8869726820212243E-2</v>
      </c>
      <c r="I90" s="75">
        <f t="shared" si="11"/>
        <v>6.3467785020114825E-2</v>
      </c>
      <c r="J90" s="63">
        <f t="shared" si="11"/>
        <v>6.7153490989103032E-2</v>
      </c>
      <c r="K90" s="73">
        <f t="shared" ref="K90:O110" si="12">IF(ISNUMBER(AG90),IF(AG90-((C$4-C$3)/V90)&lt;0,"",AG90-((C$4-C$3)/V90)),"")</f>
        <v>9.7221847487316809E-4</v>
      </c>
      <c r="L90" s="75">
        <f t="shared" si="12"/>
        <v>9.4930556979418521E-3</v>
      </c>
      <c r="M90" s="75">
        <f t="shared" si="12"/>
        <v>1.6797620420212232E-2</v>
      </c>
      <c r="N90" s="75">
        <f t="shared" si="12"/>
        <v>2.0531983420114818E-2</v>
      </c>
      <c r="O90" s="63">
        <f t="shared" si="12"/>
        <v>2.2749078689103031E-2</v>
      </c>
      <c r="P90" s="56" t="s">
        <v>21</v>
      </c>
      <c r="Q90" s="66" t="s">
        <v>21</v>
      </c>
      <c r="R90" s="95" t="s">
        <v>21</v>
      </c>
      <c r="S90" s="75">
        <v>0</v>
      </c>
      <c r="T90" s="63">
        <f t="shared" si="6"/>
        <v>5.8869726820212243E-2</v>
      </c>
      <c r="V90" s="115">
        <v>1.11258397</v>
      </c>
      <c r="W90" s="107">
        <v>2.8477576099999999</v>
      </c>
      <c r="X90" s="107">
        <v>4.3451515699999996</v>
      </c>
      <c r="Y90" s="107">
        <v>5.5915051399999998</v>
      </c>
      <c r="Z90" s="116">
        <v>7.0952348999999995</v>
      </c>
      <c r="AB90" s="73">
        <v>4.305756307487317E-2</v>
      </c>
      <c r="AC90" s="75">
        <v>5.1327156597941848E-2</v>
      </c>
      <c r="AD90" s="75">
        <v>5.8869726820212243E-2</v>
      </c>
      <c r="AE90" s="75">
        <v>6.3467785020114825E-2</v>
      </c>
      <c r="AF90" s="63">
        <v>6.7153490989103032E-2</v>
      </c>
      <c r="AG90" s="75">
        <v>9.7221847487316809E-4</v>
      </c>
      <c r="AH90" s="75">
        <v>9.4930556979418521E-3</v>
      </c>
      <c r="AI90" s="75">
        <v>1.6797620420212232E-2</v>
      </c>
      <c r="AJ90" s="75">
        <v>2.0531983420114818E-2</v>
      </c>
      <c r="AK90" s="75">
        <v>2.2749078689103031E-2</v>
      </c>
    </row>
    <row r="91" spans="2:37" x14ac:dyDescent="0.35">
      <c r="B91" s="54" t="s">
        <v>77</v>
      </c>
      <c r="C91" s="52" t="s">
        <v>61</v>
      </c>
      <c r="D91" s="52" t="s">
        <v>69</v>
      </c>
      <c r="E91" s="52" t="s">
        <v>21</v>
      </c>
      <c r="F91" s="72">
        <f t="shared" si="11"/>
        <v>4.1258645728840179E-2</v>
      </c>
      <c r="G91" s="59">
        <f t="shared" si="11"/>
        <v>4.6437046109693493E-2</v>
      </c>
      <c r="H91" s="59">
        <f t="shared" si="11"/>
        <v>5.0073949340493931E-2</v>
      </c>
      <c r="I91" s="59">
        <f t="shared" si="11"/>
        <v>5.2726913786507207E-2</v>
      </c>
      <c r="J91" s="62">
        <f t="shared" si="11"/>
        <v>5.5346337764121283E-2</v>
      </c>
      <c r="K91" s="72" t="str">
        <f t="shared" si="12"/>
        <v/>
      </c>
      <c r="L91" s="59">
        <f t="shared" si="12"/>
        <v>4.7962992096934965E-3</v>
      </c>
      <c r="M91" s="59">
        <f t="shared" si="12"/>
        <v>8.3866472404939447E-3</v>
      </c>
      <c r="N91" s="59">
        <f t="shared" si="12"/>
        <v>1.0276517886507205E-2</v>
      </c>
      <c r="O91" s="62">
        <f t="shared" si="12"/>
        <v>1.1436772564121284E-2</v>
      </c>
      <c r="P91" s="54" t="s">
        <v>21</v>
      </c>
      <c r="Q91" s="52" t="s">
        <v>21</v>
      </c>
      <c r="R91" s="93" t="s">
        <v>21</v>
      </c>
      <c r="S91" s="70">
        <v>0</v>
      </c>
      <c r="T91" s="62">
        <f t="shared" si="6"/>
        <v>5.0073949340493931E-2</v>
      </c>
      <c r="V91" s="117">
        <v>1.1141535899999999</v>
      </c>
      <c r="W91" s="60">
        <v>2.8686611200000001</v>
      </c>
      <c r="X91" s="60">
        <v>4.4282763000000003</v>
      </c>
      <c r="Y91" s="60">
        <v>5.7775633399999995</v>
      </c>
      <c r="Z91" s="118">
        <v>7.4771554</v>
      </c>
      <c r="AB91" s="72">
        <v>4.1258645728840179E-2</v>
      </c>
      <c r="AC91" s="70">
        <v>4.6437046109693493E-2</v>
      </c>
      <c r="AD91" s="70">
        <v>5.0073949340493931E-2</v>
      </c>
      <c r="AE91" s="70">
        <v>5.2726913786507207E-2</v>
      </c>
      <c r="AF91" s="62">
        <v>5.5346337764121283E-2</v>
      </c>
      <c r="AG91" s="70" t="s">
        <v>21</v>
      </c>
      <c r="AH91" s="70">
        <v>4.7962992096934965E-3</v>
      </c>
      <c r="AI91" s="70">
        <v>8.3866472404939447E-3</v>
      </c>
      <c r="AJ91" s="70">
        <v>1.0276517886507205E-2</v>
      </c>
      <c r="AK91" s="70">
        <v>1.1436772564121284E-2</v>
      </c>
    </row>
    <row r="92" spans="2:37" x14ac:dyDescent="0.35">
      <c r="B92" s="56" t="s">
        <v>77</v>
      </c>
      <c r="C92" s="66" t="s">
        <v>63</v>
      </c>
      <c r="D92" s="66" t="s">
        <v>69</v>
      </c>
      <c r="E92" s="66" t="s">
        <v>21</v>
      </c>
      <c r="F92" s="73">
        <f t="shared" si="11"/>
        <v>4.3038568964152445E-2</v>
      </c>
      <c r="G92" s="75">
        <f t="shared" si="11"/>
        <v>4.9099070384985302E-2</v>
      </c>
      <c r="H92" s="75">
        <f t="shared" si="11"/>
        <v>5.3565686325261631E-2</v>
      </c>
      <c r="I92" s="75">
        <f t="shared" si="11"/>
        <v>5.6161016241179668E-2</v>
      </c>
      <c r="J92" s="63">
        <f t="shared" si="11"/>
        <v>5.8722956876171045E-2</v>
      </c>
      <c r="K92" s="73">
        <f t="shared" si="12"/>
        <v>9.4789646415245014E-4</v>
      </c>
      <c r="L92" s="75">
        <f t="shared" si="12"/>
        <v>7.3669454849852991E-3</v>
      </c>
      <c r="M92" s="75">
        <f t="shared" si="12"/>
        <v>1.1759829625261625E-2</v>
      </c>
      <c r="N92" s="75">
        <f t="shared" si="12"/>
        <v>1.3601326141179669E-2</v>
      </c>
      <c r="O92" s="63">
        <f t="shared" si="12"/>
        <v>1.4715642776171036E-2</v>
      </c>
      <c r="P92" s="56" t="s">
        <v>21</v>
      </c>
      <c r="Q92" s="66" t="s">
        <v>21</v>
      </c>
      <c r="R92" s="95" t="s">
        <v>21</v>
      </c>
      <c r="S92" s="75">
        <v>0</v>
      </c>
      <c r="T92" s="63">
        <f t="shared" si="6"/>
        <v>5.3565686325261631E-2</v>
      </c>
      <c r="V92" s="115">
        <v>1.1126403899999999</v>
      </c>
      <c r="W92" s="107">
        <v>2.8584247199999999</v>
      </c>
      <c r="X92" s="107">
        <v>4.3992016600000001</v>
      </c>
      <c r="Y92" s="107">
        <v>5.7272081899999998</v>
      </c>
      <c r="Z92" s="116">
        <v>7.3956321899999997</v>
      </c>
      <c r="AB92" s="73">
        <v>4.3038568964152445E-2</v>
      </c>
      <c r="AC92" s="75">
        <v>4.9099070384985302E-2</v>
      </c>
      <c r="AD92" s="75">
        <v>5.3565686325261631E-2</v>
      </c>
      <c r="AE92" s="75">
        <v>5.6161016241179668E-2</v>
      </c>
      <c r="AF92" s="63">
        <v>5.8722956876171045E-2</v>
      </c>
      <c r="AG92" s="75">
        <v>9.4789646415245014E-4</v>
      </c>
      <c r="AH92" s="75">
        <v>7.3669454849852991E-3</v>
      </c>
      <c r="AI92" s="75">
        <v>1.1759829625261625E-2</v>
      </c>
      <c r="AJ92" s="75">
        <v>1.3601326141179669E-2</v>
      </c>
      <c r="AK92" s="75">
        <v>1.4715642776171036E-2</v>
      </c>
    </row>
    <row r="93" spans="2:37" x14ac:dyDescent="0.35">
      <c r="B93" s="54" t="s">
        <v>78</v>
      </c>
      <c r="C93" s="52" t="s">
        <v>65</v>
      </c>
      <c r="D93" s="52" t="s">
        <v>69</v>
      </c>
      <c r="E93" s="52" t="s">
        <v>79</v>
      </c>
      <c r="F93" s="72">
        <f t="shared" si="11"/>
        <v>4.1297911099436618E-2</v>
      </c>
      <c r="G93" s="59">
        <f t="shared" si="11"/>
        <v>4.7514935218863533E-2</v>
      </c>
      <c r="H93" s="59">
        <f t="shared" si="11"/>
        <v>5.2781382778096367E-2</v>
      </c>
      <c r="I93" s="59">
        <f t="shared" si="11"/>
        <v>5.6070421904242704E-2</v>
      </c>
      <c r="J93" s="62">
        <f t="shared" si="11"/>
        <v>5.9615782417394313E-2</v>
      </c>
      <c r="K93" s="72" t="str">
        <f t="shared" si="12"/>
        <v/>
      </c>
      <c r="L93" s="59">
        <f t="shared" si="12"/>
        <v>5.8189971188635364E-3</v>
      </c>
      <c r="M93" s="59">
        <f t="shared" si="12"/>
        <v>1.0951335978096364E-2</v>
      </c>
      <c r="N93" s="59">
        <f t="shared" si="12"/>
        <v>1.3445961404242705E-2</v>
      </c>
      <c r="O93" s="62">
        <f t="shared" si="12"/>
        <v>1.5510571717394308E-2</v>
      </c>
      <c r="P93" s="54" t="s">
        <v>21</v>
      </c>
      <c r="Q93" s="52" t="s">
        <v>21</v>
      </c>
      <c r="R93" s="93" t="s">
        <v>21</v>
      </c>
      <c r="S93" s="70">
        <v>0</v>
      </c>
      <c r="T93" s="62">
        <f t="shared" si="6"/>
        <v>5.2781382778096367E-2</v>
      </c>
      <c r="V93" s="117">
        <v>1.11406158</v>
      </c>
      <c r="W93" s="60">
        <v>2.8618625</v>
      </c>
      <c r="X93" s="60">
        <v>4.3926897800000004</v>
      </c>
      <c r="Y93" s="60">
        <v>5.69240178</v>
      </c>
      <c r="Z93" s="118">
        <v>7.2854559099999996</v>
      </c>
      <c r="AB93" s="72">
        <v>4.1297911099436618E-2</v>
      </c>
      <c r="AC93" s="70">
        <v>4.7514935218863533E-2</v>
      </c>
      <c r="AD93" s="70">
        <v>5.2781382778096367E-2</v>
      </c>
      <c r="AE93" s="70">
        <v>5.6070421904242704E-2</v>
      </c>
      <c r="AF93" s="62">
        <v>5.9615782417394313E-2</v>
      </c>
      <c r="AG93" s="70" t="s">
        <v>21</v>
      </c>
      <c r="AH93" s="70">
        <v>5.8189971188635364E-3</v>
      </c>
      <c r="AI93" s="70">
        <v>1.0951335978096364E-2</v>
      </c>
      <c r="AJ93" s="70">
        <v>1.3445961404242705E-2</v>
      </c>
      <c r="AK93" s="70">
        <v>1.5510571717394308E-2</v>
      </c>
    </row>
    <row r="94" spans="2:37" x14ac:dyDescent="0.35">
      <c r="B94" s="56" t="s">
        <v>78</v>
      </c>
      <c r="C94" s="66" t="s">
        <v>66</v>
      </c>
      <c r="D94" s="66" t="s">
        <v>69</v>
      </c>
      <c r="E94" s="66" t="s">
        <v>133</v>
      </c>
      <c r="F94" s="73">
        <f t="shared" si="11"/>
        <v>4.2530437587849031E-2</v>
      </c>
      <c r="G94" s="75">
        <f t="shared" si="11"/>
        <v>5.1025060245167085E-2</v>
      </c>
      <c r="H94" s="75">
        <f t="shared" si="11"/>
        <v>5.8578811435450004E-2</v>
      </c>
      <c r="I94" s="75">
        <f t="shared" si="11"/>
        <v>6.3174983844128271E-2</v>
      </c>
      <c r="J94" s="63">
        <f t="shared" si="11"/>
        <v>6.7197518268773182E-2</v>
      </c>
      <c r="K94" s="73">
        <f t="shared" si="12"/>
        <v>4.473989878490299E-4</v>
      </c>
      <c r="L94" s="75">
        <f t="shared" si="12"/>
        <v>9.1968359451670839E-3</v>
      </c>
      <c r="M94" s="75">
        <f t="shared" si="12"/>
        <v>1.6516578935449996E-2</v>
      </c>
      <c r="N94" s="75">
        <f t="shared" si="12"/>
        <v>2.0251267144128282E-2</v>
      </c>
      <c r="O94" s="63">
        <f t="shared" si="12"/>
        <v>2.2786843568773175E-2</v>
      </c>
      <c r="P94" s="56" t="s">
        <v>21</v>
      </c>
      <c r="Q94" s="66" t="s">
        <v>21</v>
      </c>
      <c r="R94" s="95" t="s">
        <v>21</v>
      </c>
      <c r="S94" s="75">
        <v>0</v>
      </c>
      <c r="T94" s="63">
        <f t="shared" si="6"/>
        <v>5.8578811435450004E-2</v>
      </c>
      <c r="V94" s="115">
        <v>1.11341537</v>
      </c>
      <c r="W94" s="107">
        <v>2.8506452200000001</v>
      </c>
      <c r="X94" s="107">
        <v>4.3506497499999996</v>
      </c>
      <c r="Y94" s="107">
        <v>5.60011072</v>
      </c>
      <c r="Z94" s="116">
        <v>7.1034137999999993</v>
      </c>
      <c r="AB94" s="73">
        <v>4.2530437587849031E-2</v>
      </c>
      <c r="AC94" s="75">
        <v>5.1025060245167085E-2</v>
      </c>
      <c r="AD94" s="75">
        <v>5.8578811435450004E-2</v>
      </c>
      <c r="AE94" s="75">
        <v>6.3174983844128271E-2</v>
      </c>
      <c r="AF94" s="63">
        <v>6.7197518268773182E-2</v>
      </c>
      <c r="AG94" s="75">
        <v>4.473989878490299E-4</v>
      </c>
      <c r="AH94" s="75">
        <v>9.1968359451670839E-3</v>
      </c>
      <c r="AI94" s="75">
        <v>1.6516578935449996E-2</v>
      </c>
      <c r="AJ94" s="75">
        <v>2.0251267144128282E-2</v>
      </c>
      <c r="AK94" s="75">
        <v>2.2786843568773175E-2</v>
      </c>
    </row>
    <row r="95" spans="2:37" x14ac:dyDescent="0.35">
      <c r="B95" s="54" t="s">
        <v>80</v>
      </c>
      <c r="C95" s="52" t="s">
        <v>61</v>
      </c>
      <c r="D95" s="52" t="s">
        <v>69</v>
      </c>
      <c r="E95" s="52" t="s">
        <v>21</v>
      </c>
      <c r="F95" s="72">
        <f t="shared" si="11"/>
        <v>4.0939403861247295E-2</v>
      </c>
      <c r="G95" s="59">
        <f t="shared" si="11"/>
        <v>4.6309255271919127E-2</v>
      </c>
      <c r="H95" s="70">
        <f t="shared" si="11"/>
        <v>5.0783091552635128E-2</v>
      </c>
      <c r="I95" s="70">
        <f t="shared" si="11"/>
        <v>5.3382264009500587E-2</v>
      </c>
      <c r="J95" s="62">
        <f t="shared" si="11"/>
        <v>5.6394663152742525E-2</v>
      </c>
      <c r="K95" s="72" t="str">
        <f t="shared" si="12"/>
        <v/>
      </c>
      <c r="L95" s="59">
        <f t="shared" si="12"/>
        <v>4.677205971919127E-3</v>
      </c>
      <c r="M95" s="70">
        <f t="shared" si="12"/>
        <v>9.0608935526351273E-3</v>
      </c>
      <c r="N95" s="70">
        <f t="shared" si="12"/>
        <v>1.0901112509500585E-2</v>
      </c>
      <c r="O95" s="62">
        <f t="shared" si="12"/>
        <v>1.2441297652742517E-2</v>
      </c>
      <c r="P95" s="54" t="s">
        <v>21</v>
      </c>
      <c r="Q95" s="52" t="s">
        <v>21</v>
      </c>
      <c r="R95" s="93" t="s">
        <v>21</v>
      </c>
      <c r="S95" s="70">
        <v>0</v>
      </c>
      <c r="T95" s="62">
        <f t="shared" si="6"/>
        <v>5.0783091552635128E-2</v>
      </c>
      <c r="V95" s="117">
        <v>1.1147189099999999</v>
      </c>
      <c r="W95" s="60">
        <v>2.8704119299999999</v>
      </c>
      <c r="X95" s="60">
        <v>4.42307351</v>
      </c>
      <c r="Y95" s="60">
        <v>5.7616172499999996</v>
      </c>
      <c r="Z95" s="118">
        <v>7.4349894000000001</v>
      </c>
      <c r="AB95" s="72">
        <v>4.0939403861247295E-2</v>
      </c>
      <c r="AC95" s="70">
        <v>4.6309255271919127E-2</v>
      </c>
      <c r="AD95" s="70">
        <v>5.0783091552635128E-2</v>
      </c>
      <c r="AE95" s="70">
        <v>5.3382264009500587E-2</v>
      </c>
      <c r="AF95" s="62">
        <v>5.6394663152742525E-2</v>
      </c>
      <c r="AG95" s="70" t="s">
        <v>21</v>
      </c>
      <c r="AH95" s="70">
        <v>4.677205971919127E-3</v>
      </c>
      <c r="AI95" s="70">
        <v>9.0608935526351273E-3</v>
      </c>
      <c r="AJ95" s="70">
        <v>1.0901112509500585E-2</v>
      </c>
      <c r="AK95" s="70">
        <v>1.2441297652742517E-2</v>
      </c>
    </row>
    <row r="96" spans="2:37" x14ac:dyDescent="0.35">
      <c r="B96" s="54" t="s">
        <v>80</v>
      </c>
      <c r="C96" s="52" t="s">
        <v>63</v>
      </c>
      <c r="D96" s="52" t="s">
        <v>69</v>
      </c>
      <c r="E96" s="52" t="s">
        <v>36</v>
      </c>
      <c r="F96" s="72">
        <f t="shared" si="11"/>
        <v>4.2794545820801264E-2</v>
      </c>
      <c r="G96" s="59">
        <f t="shared" si="11"/>
        <v>4.8996681970051678E-2</v>
      </c>
      <c r="H96" s="70">
        <f t="shared" si="11"/>
        <v>5.356743229978575E-2</v>
      </c>
      <c r="I96" s="70">
        <f t="shared" si="11"/>
        <v>5.6834064104423647E-2</v>
      </c>
      <c r="J96" s="62">
        <f t="shared" si="11"/>
        <v>6.0063277060048263E-2</v>
      </c>
      <c r="K96" s="72">
        <f t="shared" si="12"/>
        <v>7.1158002080127375E-4</v>
      </c>
      <c r="L96" s="59">
        <f t="shared" si="12"/>
        <v>7.2682689700516792E-3</v>
      </c>
      <c r="M96" s="70">
        <f t="shared" si="12"/>
        <v>1.1760942999785761E-2</v>
      </c>
      <c r="N96" s="70">
        <f t="shared" si="12"/>
        <v>1.4242965804423661E-2</v>
      </c>
      <c r="O96" s="62">
        <f t="shared" si="12"/>
        <v>1.6000867260048252E-2</v>
      </c>
      <c r="P96" s="54" t="s">
        <v>21</v>
      </c>
      <c r="Q96" s="52" t="s">
        <v>21</v>
      </c>
      <c r="R96" s="93" t="s">
        <v>21</v>
      </c>
      <c r="S96" s="70">
        <v>0</v>
      </c>
      <c r="T96" s="62">
        <f t="shared" si="6"/>
        <v>5.356743229978575E-2</v>
      </c>
      <c r="V96" s="115">
        <v>1.11299254</v>
      </c>
      <c r="W96" s="107">
        <v>2.85925948</v>
      </c>
      <c r="X96" s="107">
        <v>4.4008701400000003</v>
      </c>
      <c r="Y96" s="107">
        <v>5.7217804699999997</v>
      </c>
      <c r="Z96" s="116">
        <v>7.3634521399999997</v>
      </c>
      <c r="AB96" s="72">
        <v>4.2794545820801264E-2</v>
      </c>
      <c r="AC96" s="70">
        <v>4.8996681970051678E-2</v>
      </c>
      <c r="AD96" s="70">
        <v>5.356743229978575E-2</v>
      </c>
      <c r="AE96" s="70">
        <v>5.6834064104423647E-2</v>
      </c>
      <c r="AF96" s="62">
        <v>6.0063277060048263E-2</v>
      </c>
      <c r="AG96" s="70">
        <v>7.1158002080127375E-4</v>
      </c>
      <c r="AH96" s="70">
        <v>7.2682689700516792E-3</v>
      </c>
      <c r="AI96" s="70">
        <v>1.1760942999785761E-2</v>
      </c>
      <c r="AJ96" s="70">
        <v>1.4242965804423661E-2</v>
      </c>
      <c r="AK96" s="70">
        <v>1.6000867260048252E-2</v>
      </c>
    </row>
    <row r="97" spans="2:37" x14ac:dyDescent="0.35">
      <c r="B97" s="55" t="s">
        <v>82</v>
      </c>
      <c r="C97" s="65" t="s">
        <v>65</v>
      </c>
      <c r="D97" s="65" t="s">
        <v>69</v>
      </c>
      <c r="E97" s="65" t="s">
        <v>34</v>
      </c>
      <c r="F97" s="74">
        <f t="shared" si="11"/>
        <v>4.1657339135088539E-2</v>
      </c>
      <c r="G97" s="79">
        <f t="shared" si="11"/>
        <v>4.8039711441083065E-2</v>
      </c>
      <c r="H97" s="79">
        <f t="shared" si="11"/>
        <v>5.3624551176502763E-2</v>
      </c>
      <c r="I97" s="79">
        <f t="shared" si="11"/>
        <v>5.6995765360000138E-2</v>
      </c>
      <c r="J97" s="61">
        <f t="shared" si="11"/>
        <v>6.0519149162401892E-2</v>
      </c>
      <c r="K97" s="74" t="str">
        <f t="shared" si="12"/>
        <v/>
      </c>
      <c r="L97" s="79">
        <f t="shared" si="12"/>
        <v>6.3145201410830694E-3</v>
      </c>
      <c r="M97" s="79">
        <f t="shared" si="12"/>
        <v>1.1746709276502759E-2</v>
      </c>
      <c r="N97" s="79">
        <f t="shared" si="12"/>
        <v>1.4318392860000135E-2</v>
      </c>
      <c r="O97" s="61">
        <f t="shared" si="12"/>
        <v>1.6366830062401895E-2</v>
      </c>
      <c r="P97" s="55" t="s">
        <v>21</v>
      </c>
      <c r="Q97" s="65" t="s">
        <v>21</v>
      </c>
      <c r="R97" s="99" t="s">
        <v>21</v>
      </c>
      <c r="S97" s="79">
        <v>0</v>
      </c>
      <c r="T97" s="61">
        <f t="shared" si="6"/>
        <v>5.3624551176502763E-2</v>
      </c>
      <c r="V97" s="113">
        <v>1.11340898</v>
      </c>
      <c r="W97" s="71">
        <v>2.85752731</v>
      </c>
      <c r="X97" s="71">
        <v>4.3792704799999997</v>
      </c>
      <c r="Y97" s="71">
        <v>5.66570821</v>
      </c>
      <c r="Z97" s="114">
        <v>7.2370199</v>
      </c>
      <c r="AB97" s="74">
        <v>4.1657339135088539E-2</v>
      </c>
      <c r="AC97" s="79">
        <v>4.8039711441083065E-2</v>
      </c>
      <c r="AD97" s="79">
        <v>5.3624551176502763E-2</v>
      </c>
      <c r="AE97" s="79">
        <v>5.6995765360000138E-2</v>
      </c>
      <c r="AF97" s="61">
        <v>6.0519149162401892E-2</v>
      </c>
      <c r="AG97" s="79" t="s">
        <v>21</v>
      </c>
      <c r="AH97" s="79">
        <v>6.3145201410830694E-3</v>
      </c>
      <c r="AI97" s="79">
        <v>1.1746709276502759E-2</v>
      </c>
      <c r="AJ97" s="79">
        <v>1.4318392860000135E-2</v>
      </c>
      <c r="AK97" s="79">
        <v>1.6366830062401895E-2</v>
      </c>
    </row>
    <row r="98" spans="2:37" x14ac:dyDescent="0.35">
      <c r="B98" s="56" t="s">
        <v>82</v>
      </c>
      <c r="C98" s="66" t="s">
        <v>66</v>
      </c>
      <c r="D98" s="66" t="s">
        <v>69</v>
      </c>
      <c r="E98" s="66" t="s">
        <v>21</v>
      </c>
      <c r="F98" s="73">
        <f t="shared" si="11"/>
        <v>4.261834269106006E-2</v>
      </c>
      <c r="G98" s="75">
        <f t="shared" si="11"/>
        <v>5.139935130795778E-2</v>
      </c>
      <c r="H98" s="75">
        <f t="shared" si="11"/>
        <v>5.897285180701152E-2</v>
      </c>
      <c r="I98" s="75">
        <f t="shared" si="11"/>
        <v>6.3658895493942963E-2</v>
      </c>
      <c r="J98" s="63">
        <f t="shared" si="11"/>
        <v>6.7684366100005527E-2</v>
      </c>
      <c r="K98" s="73">
        <f t="shared" si="12"/>
        <v>5.3836409106006265E-4</v>
      </c>
      <c r="L98" s="75">
        <f t="shared" si="12"/>
        <v>9.5561600079577796E-3</v>
      </c>
      <c r="M98" s="75">
        <f t="shared" si="12"/>
        <v>1.6890888207011505E-2</v>
      </c>
      <c r="N98" s="75">
        <f t="shared" si="12"/>
        <v>2.0708742993942965E-2</v>
      </c>
      <c r="O98" s="63">
        <f t="shared" si="12"/>
        <v>2.3247992500005522E-2</v>
      </c>
      <c r="P98" s="56" t="s">
        <v>21</v>
      </c>
      <c r="Q98" s="66" t="s">
        <v>21</v>
      </c>
      <c r="R98" s="95" t="s">
        <v>21</v>
      </c>
      <c r="S98" s="75">
        <v>0</v>
      </c>
      <c r="T98" s="63">
        <f t="shared" si="6"/>
        <v>5.897285180701152E-2</v>
      </c>
      <c r="V98" s="113">
        <v>1.11325958</v>
      </c>
      <c r="W98" s="71">
        <v>2.8486194999999999</v>
      </c>
      <c r="X98" s="71">
        <v>4.34507551</v>
      </c>
      <c r="Y98" s="71">
        <v>5.5893499200000001</v>
      </c>
      <c r="Z98" s="114">
        <v>7.0836901699999997</v>
      </c>
      <c r="AB98" s="73">
        <v>4.261834269106006E-2</v>
      </c>
      <c r="AC98" s="75">
        <v>5.139935130795778E-2</v>
      </c>
      <c r="AD98" s="75">
        <v>5.897285180701152E-2</v>
      </c>
      <c r="AE98" s="75">
        <v>6.3658895493942963E-2</v>
      </c>
      <c r="AF98" s="63">
        <v>6.7684366100005527E-2</v>
      </c>
      <c r="AG98" s="75">
        <v>5.3836409106006265E-4</v>
      </c>
      <c r="AH98" s="75">
        <v>9.5561600079577796E-3</v>
      </c>
      <c r="AI98" s="75">
        <v>1.6890888207011505E-2</v>
      </c>
      <c r="AJ98" s="75">
        <v>2.0708742993942965E-2</v>
      </c>
      <c r="AK98" s="75">
        <v>2.3247992500005522E-2</v>
      </c>
    </row>
    <row r="99" spans="2:37" x14ac:dyDescent="0.35">
      <c r="B99" s="78" t="s">
        <v>458</v>
      </c>
      <c r="C99" s="77"/>
      <c r="D99" s="77"/>
      <c r="E99" s="77"/>
      <c r="F99" s="77" t="str">
        <f t="shared" si="11"/>
        <v/>
      </c>
      <c r="G99" s="77" t="str">
        <f t="shared" si="11"/>
        <v/>
      </c>
      <c r="H99" s="77" t="str">
        <f t="shared" si="11"/>
        <v/>
      </c>
      <c r="I99" s="77" t="str">
        <f t="shared" si="11"/>
        <v/>
      </c>
      <c r="J99" s="77" t="str">
        <f t="shared" si="11"/>
        <v/>
      </c>
      <c r="K99" s="77" t="str">
        <f t="shared" si="12"/>
        <v/>
      </c>
      <c r="L99" s="77" t="str">
        <f t="shared" si="12"/>
        <v/>
      </c>
      <c r="M99" s="77" t="str">
        <f t="shared" si="12"/>
        <v/>
      </c>
      <c r="N99" s="77" t="str">
        <f t="shared" si="12"/>
        <v/>
      </c>
      <c r="O99" s="76" t="str">
        <f t="shared" si="12"/>
        <v/>
      </c>
      <c r="P99" s="78"/>
      <c r="Q99" s="77"/>
      <c r="R99" s="94"/>
      <c r="S99" s="77"/>
      <c r="T99" s="76" t="str">
        <f t="shared" si="6"/>
        <v/>
      </c>
      <c r="V99" s="111"/>
      <c r="W99" s="106"/>
      <c r="X99" s="106"/>
      <c r="Y99" s="106"/>
      <c r="Z99" s="112"/>
      <c r="AB99" s="77"/>
      <c r="AC99" s="77"/>
      <c r="AD99" s="77"/>
      <c r="AE99" s="77"/>
      <c r="AF99" s="77"/>
      <c r="AG99" s="77"/>
      <c r="AH99" s="77"/>
      <c r="AI99" s="77"/>
      <c r="AJ99" s="77"/>
      <c r="AK99" s="77"/>
    </row>
    <row r="100" spans="2:37" x14ac:dyDescent="0.35">
      <c r="B100" s="54" t="s">
        <v>84</v>
      </c>
      <c r="C100" s="52" t="s">
        <v>85</v>
      </c>
      <c r="D100" s="52" t="s">
        <v>20</v>
      </c>
      <c r="E100" s="52" t="s">
        <v>459</v>
      </c>
      <c r="F100" s="72">
        <f t="shared" si="11"/>
        <v>4.2996911881860431E-2</v>
      </c>
      <c r="G100" s="59">
        <f t="shared" si="11"/>
        <v>4.8438479025553864E-2</v>
      </c>
      <c r="H100" s="70">
        <f t="shared" si="11"/>
        <v>5.2621860928812977E-2</v>
      </c>
      <c r="I100" s="70">
        <f t="shared" si="11"/>
        <v>5.5409084466089539E-2</v>
      </c>
      <c r="J100" s="62">
        <f t="shared" si="11"/>
        <v>5.8317606525929974E-2</v>
      </c>
      <c r="K100" s="72">
        <f t="shared" si="12"/>
        <v>8.7473548186042544E-4</v>
      </c>
      <c r="L100" s="59">
        <f t="shared" si="12"/>
        <v>6.690847425553868E-3</v>
      </c>
      <c r="M100" s="70">
        <f t="shared" si="12"/>
        <v>1.0798564728812975E-2</v>
      </c>
      <c r="N100" s="70">
        <f t="shared" si="12"/>
        <v>1.281777596608955E-2</v>
      </c>
      <c r="O100" s="62">
        <f t="shared" si="12"/>
        <v>1.4270377225929956E-2</v>
      </c>
      <c r="P100" s="54" t="s">
        <v>21</v>
      </c>
      <c r="Q100" s="52" t="s">
        <v>21</v>
      </c>
      <c r="R100" s="93" t="s">
        <v>21</v>
      </c>
      <c r="S100" s="70">
        <v>0</v>
      </c>
      <c r="T100" s="62">
        <f t="shared" si="6"/>
        <v>5.2621860928812977E-2</v>
      </c>
      <c r="V100" s="113">
        <v>1.11098502</v>
      </c>
      <c r="W100" s="71">
        <v>2.85085385</v>
      </c>
      <c r="X100" s="71">
        <v>4.3828567300000003</v>
      </c>
      <c r="Y100" s="71">
        <v>5.6925986100000001</v>
      </c>
      <c r="Z100" s="114">
        <v>7.31912612</v>
      </c>
      <c r="AB100" s="72">
        <v>4.2996911881860431E-2</v>
      </c>
      <c r="AC100" s="70">
        <v>4.8438479025553864E-2</v>
      </c>
      <c r="AD100" s="70">
        <v>5.2621860928812977E-2</v>
      </c>
      <c r="AE100" s="70">
        <v>5.5409084466089539E-2</v>
      </c>
      <c r="AF100" s="62">
        <v>5.8317606525929974E-2</v>
      </c>
      <c r="AG100" s="70">
        <v>8.7473548186042544E-4</v>
      </c>
      <c r="AH100" s="70">
        <v>6.690847425553868E-3</v>
      </c>
      <c r="AI100" s="70">
        <v>1.0798564728812975E-2</v>
      </c>
      <c r="AJ100" s="70">
        <v>1.281777596608955E-2</v>
      </c>
      <c r="AK100" s="70">
        <v>1.4270377225929956E-2</v>
      </c>
    </row>
    <row r="101" spans="2:37" x14ac:dyDescent="0.35">
      <c r="B101" s="54" t="s">
        <v>86</v>
      </c>
      <c r="C101" s="52" t="s">
        <v>85</v>
      </c>
      <c r="D101" s="52" t="s">
        <v>20</v>
      </c>
      <c r="E101" s="52" t="s">
        <v>459</v>
      </c>
      <c r="F101" s="72">
        <f t="shared" si="11"/>
        <v>4.3048204516837017E-2</v>
      </c>
      <c r="G101" s="59">
        <f t="shared" si="11"/>
        <v>4.8597714460075124E-2</v>
      </c>
      <c r="H101" s="70">
        <f t="shared" si="11"/>
        <v>5.273197270869473E-2</v>
      </c>
      <c r="I101" s="70">
        <f t="shared" si="11"/>
        <v>5.5528395891214929E-2</v>
      </c>
      <c r="J101" s="62">
        <f t="shared" si="11"/>
        <v>5.852179854605729E-2</v>
      </c>
      <c r="K101" s="72">
        <f t="shared" si="12"/>
        <v>9.2429631683701996E-4</v>
      </c>
      <c r="L101" s="59">
        <f t="shared" si="12"/>
        <v>6.8417637600751199E-3</v>
      </c>
      <c r="M101" s="70">
        <f t="shared" si="12"/>
        <v>1.0902773208694727E-2</v>
      </c>
      <c r="N101" s="70">
        <f t="shared" si="12"/>
        <v>1.293096159121492E-2</v>
      </c>
      <c r="O101" s="62">
        <f t="shared" si="12"/>
        <v>1.4464480946057288E-2</v>
      </c>
      <c r="P101" s="54" t="s">
        <v>21</v>
      </c>
      <c r="Q101" s="52" t="s">
        <v>21</v>
      </c>
      <c r="R101" s="93" t="s">
        <v>21</v>
      </c>
      <c r="S101" s="70">
        <v>0</v>
      </c>
      <c r="T101" s="62">
        <f t="shared" si="6"/>
        <v>5.273197270869473E-2</v>
      </c>
      <c r="V101" s="113">
        <v>1.1108616199999999</v>
      </c>
      <c r="W101" s="71">
        <v>2.8504346699999998</v>
      </c>
      <c r="X101" s="71">
        <v>4.3811690099999998</v>
      </c>
      <c r="Y101" s="71">
        <v>5.6884847199999999</v>
      </c>
      <c r="Z101" s="114">
        <v>7.3104505</v>
      </c>
      <c r="AB101" s="72">
        <v>4.3048204516837017E-2</v>
      </c>
      <c r="AC101" s="70">
        <v>4.8597714460075124E-2</v>
      </c>
      <c r="AD101" s="70">
        <v>5.273197270869473E-2</v>
      </c>
      <c r="AE101" s="70">
        <v>5.5528395891214929E-2</v>
      </c>
      <c r="AF101" s="62">
        <v>5.852179854605729E-2</v>
      </c>
      <c r="AG101" s="70">
        <v>9.2429631683701996E-4</v>
      </c>
      <c r="AH101" s="70">
        <v>6.8417637600751199E-3</v>
      </c>
      <c r="AI101" s="70">
        <v>1.0902773208694727E-2</v>
      </c>
      <c r="AJ101" s="70">
        <v>1.293096159121492E-2</v>
      </c>
      <c r="AK101" s="70">
        <v>1.4464480946057288E-2</v>
      </c>
    </row>
    <row r="102" spans="2:37" x14ac:dyDescent="0.35">
      <c r="B102" s="54" t="s">
        <v>87</v>
      </c>
      <c r="C102" s="52" t="s">
        <v>85</v>
      </c>
      <c r="D102" s="52" t="s">
        <v>20</v>
      </c>
      <c r="E102" s="52" t="s">
        <v>88</v>
      </c>
      <c r="F102" s="72">
        <f t="shared" si="11"/>
        <v>4.2927151811403795E-2</v>
      </c>
      <c r="G102" s="59">
        <f t="shared" si="11"/>
        <v>4.8449511763365961E-2</v>
      </c>
      <c r="H102" s="70">
        <f t="shared" si="11"/>
        <v>5.2883010018588673E-2</v>
      </c>
      <c r="I102" s="70">
        <f t="shared" si="11"/>
        <v>5.5410017014896201E-2</v>
      </c>
      <c r="J102" s="62">
        <f t="shared" si="11"/>
        <v>5.8364444125654474E-2</v>
      </c>
      <c r="K102" s="72">
        <f t="shared" si="12"/>
        <v>8.1026251140380208E-4</v>
      </c>
      <c r="L102" s="59">
        <f t="shared" si="12"/>
        <v>6.7020674633659575E-3</v>
      </c>
      <c r="M102" s="70">
        <f t="shared" si="12"/>
        <v>1.1045982418588677E-2</v>
      </c>
      <c r="N102" s="70">
        <f t="shared" si="12"/>
        <v>1.2818667414896196E-2</v>
      </c>
      <c r="O102" s="62">
        <f t="shared" si="12"/>
        <v>1.4314170525654478E-2</v>
      </c>
      <c r="P102" s="54" t="s">
        <v>21</v>
      </c>
      <c r="Q102" s="52" t="s">
        <v>21</v>
      </c>
      <c r="R102" s="93" t="s">
        <v>21</v>
      </c>
      <c r="S102" s="70">
        <v>0</v>
      </c>
      <c r="T102" s="62">
        <f t="shared" si="6"/>
        <v>5.2883010018588673E-2</v>
      </c>
      <c r="V102" s="113">
        <v>1.1110944</v>
      </c>
      <c r="W102" s="71">
        <v>2.8507827699999999</v>
      </c>
      <c r="X102" s="71">
        <v>4.3806891700000001</v>
      </c>
      <c r="Y102" s="71">
        <v>5.6921176300000003</v>
      </c>
      <c r="Z102" s="114">
        <v>7.3185160400000004</v>
      </c>
      <c r="AB102" s="72">
        <v>4.2927151811403795E-2</v>
      </c>
      <c r="AC102" s="70">
        <v>4.8449511763365961E-2</v>
      </c>
      <c r="AD102" s="70">
        <v>5.2883010018588673E-2</v>
      </c>
      <c r="AE102" s="70">
        <v>5.5410017014896201E-2</v>
      </c>
      <c r="AF102" s="62">
        <v>5.8364444125654474E-2</v>
      </c>
      <c r="AG102" s="70">
        <v>8.1026251140380208E-4</v>
      </c>
      <c r="AH102" s="70">
        <v>6.7020674633659575E-3</v>
      </c>
      <c r="AI102" s="70">
        <v>1.1045982418588677E-2</v>
      </c>
      <c r="AJ102" s="70">
        <v>1.2818667414896196E-2</v>
      </c>
      <c r="AK102" s="70">
        <v>1.4314170525654478E-2</v>
      </c>
    </row>
    <row r="103" spans="2:37" x14ac:dyDescent="0.35">
      <c r="B103" s="54" t="s">
        <v>89</v>
      </c>
      <c r="C103" s="52" t="s">
        <v>85</v>
      </c>
      <c r="D103" s="52" t="s">
        <v>20</v>
      </c>
      <c r="E103" s="52" t="s">
        <v>312</v>
      </c>
      <c r="F103" s="72">
        <f t="shared" si="11"/>
        <v>4.1636441737153758E-2</v>
      </c>
      <c r="G103" s="59">
        <f t="shared" si="11"/>
        <v>4.692433612051488E-2</v>
      </c>
      <c r="H103" s="70">
        <f t="shared" si="11"/>
        <v>5.0685577222457548E-2</v>
      </c>
      <c r="I103" s="70">
        <f t="shared" si="11"/>
        <v>5.3358611662448534E-2</v>
      </c>
      <c r="J103" s="62">
        <f t="shared" si="11"/>
        <v>5.6214765595496055E-2</v>
      </c>
      <c r="K103" s="72" t="str">
        <f t="shared" si="12"/>
        <v/>
      </c>
      <c r="L103" s="59">
        <f t="shared" si="12"/>
        <v>5.2577726205148851E-3</v>
      </c>
      <c r="M103" s="70">
        <f t="shared" si="12"/>
        <v>8.9663091224575549E-3</v>
      </c>
      <c r="N103" s="70">
        <f t="shared" si="12"/>
        <v>1.0876105462448526E-2</v>
      </c>
      <c r="O103" s="62">
        <f t="shared" si="12"/>
        <v>1.2266074895496058E-2</v>
      </c>
      <c r="P103" s="54" t="s">
        <v>21</v>
      </c>
      <c r="Q103" s="52" t="s">
        <v>21</v>
      </c>
      <c r="R103" s="93" t="s">
        <v>21</v>
      </c>
      <c r="S103" s="70">
        <v>0</v>
      </c>
      <c r="T103" s="62">
        <f t="shared" si="6"/>
        <v>5.0685577222457548E-2</v>
      </c>
      <c r="V103" s="113">
        <v>1.1134528399999999</v>
      </c>
      <c r="W103" s="71">
        <v>2.8642423699999999</v>
      </c>
      <c r="X103" s="71">
        <v>4.4176245099999996</v>
      </c>
      <c r="Y103" s="71">
        <v>5.7572947399999999</v>
      </c>
      <c r="Z103" s="114">
        <v>7.4361831899999995</v>
      </c>
      <c r="AB103" s="72">
        <v>4.1636441737153758E-2</v>
      </c>
      <c r="AC103" s="70">
        <v>4.692433612051488E-2</v>
      </c>
      <c r="AD103" s="70">
        <v>5.0685577222457548E-2</v>
      </c>
      <c r="AE103" s="70">
        <v>5.3358611662448534E-2</v>
      </c>
      <c r="AF103" s="62">
        <v>5.6214765595496055E-2</v>
      </c>
      <c r="AG103" s="70" t="s">
        <v>21</v>
      </c>
      <c r="AH103" s="70">
        <v>5.2577726205148851E-3</v>
      </c>
      <c r="AI103" s="70">
        <v>8.9663091224575549E-3</v>
      </c>
      <c r="AJ103" s="70">
        <v>1.0876105462448526E-2</v>
      </c>
      <c r="AK103" s="70">
        <v>1.2266074895496058E-2</v>
      </c>
    </row>
    <row r="104" spans="2:37" x14ac:dyDescent="0.35">
      <c r="B104" s="54" t="s">
        <v>90</v>
      </c>
      <c r="C104" s="52" t="s">
        <v>85</v>
      </c>
      <c r="D104" s="52" t="s">
        <v>20</v>
      </c>
      <c r="E104" s="52" t="s">
        <v>75</v>
      </c>
      <c r="F104" s="72">
        <f t="shared" si="11"/>
        <v>4.2962838335030777E-2</v>
      </c>
      <c r="G104" s="59">
        <f t="shared" si="11"/>
        <v>4.8754962442046468E-2</v>
      </c>
      <c r="H104" s="70">
        <f t="shared" si="11"/>
        <v>5.3090784708523658E-2</v>
      </c>
      <c r="I104" s="70">
        <f t="shared" si="11"/>
        <v>5.5977190905445784E-2</v>
      </c>
      <c r="J104" s="62">
        <f t="shared" si="11"/>
        <v>5.8804620657336264E-2</v>
      </c>
      <c r="K104" s="72">
        <f t="shared" si="12"/>
        <v>8.3665813503078657E-4</v>
      </c>
      <c r="L104" s="59">
        <f t="shared" si="12"/>
        <v>6.9875496420464724E-3</v>
      </c>
      <c r="M104" s="70">
        <f t="shared" si="12"/>
        <v>1.1239803308523665E-2</v>
      </c>
      <c r="N104" s="70">
        <f t="shared" si="12"/>
        <v>1.3353352905445773E-2</v>
      </c>
      <c r="O104" s="62">
        <f t="shared" si="12"/>
        <v>1.4733116257336257E-2</v>
      </c>
      <c r="P104" s="54" t="s">
        <v>21</v>
      </c>
      <c r="Q104" s="52" t="s">
        <v>21</v>
      </c>
      <c r="R104" s="93" t="s">
        <v>21</v>
      </c>
      <c r="S104" s="70">
        <v>0</v>
      </c>
      <c r="T104" s="62">
        <f t="shared" si="6"/>
        <v>5.3090784708523658E-2</v>
      </c>
      <c r="V104" s="113">
        <v>1.1110338200000001</v>
      </c>
      <c r="W104" s="71">
        <v>2.8494031400000002</v>
      </c>
      <c r="X104" s="71">
        <v>4.37600269</v>
      </c>
      <c r="Y104" s="71">
        <v>5.6775500299999999</v>
      </c>
      <c r="Z104" s="114">
        <v>7.2918755800000001</v>
      </c>
      <c r="AB104" s="72">
        <v>4.2962838335030777E-2</v>
      </c>
      <c r="AC104" s="70">
        <v>4.8754962442046468E-2</v>
      </c>
      <c r="AD104" s="70">
        <v>5.3090784708523658E-2</v>
      </c>
      <c r="AE104" s="70">
        <v>5.5977190905445784E-2</v>
      </c>
      <c r="AF104" s="62">
        <v>5.8804620657336264E-2</v>
      </c>
      <c r="AG104" s="70">
        <v>8.3665813503078657E-4</v>
      </c>
      <c r="AH104" s="70">
        <v>6.9875496420464724E-3</v>
      </c>
      <c r="AI104" s="70">
        <v>1.1239803308523665E-2</v>
      </c>
      <c r="AJ104" s="70">
        <v>1.3353352905445773E-2</v>
      </c>
      <c r="AK104" s="70">
        <v>1.4733116257336257E-2</v>
      </c>
    </row>
    <row r="105" spans="2:37" x14ac:dyDescent="0.35">
      <c r="B105" s="54" t="s">
        <v>91</v>
      </c>
      <c r="C105" s="52" t="s">
        <v>85</v>
      </c>
      <c r="D105" s="52" t="s">
        <v>20</v>
      </c>
      <c r="E105" s="52" t="s">
        <v>92</v>
      </c>
      <c r="F105" s="72">
        <f t="shared" si="11"/>
        <v>4.2309117336821585E-2</v>
      </c>
      <c r="G105" s="59">
        <f t="shared" si="11"/>
        <v>4.7703299309366745E-2</v>
      </c>
      <c r="H105" s="70">
        <f t="shared" si="11"/>
        <v>5.2064452379957549E-2</v>
      </c>
      <c r="I105" s="70">
        <f t="shared" si="11"/>
        <v>5.4736772879655872E-2</v>
      </c>
      <c r="J105" s="62">
        <f t="shared" si="11"/>
        <v>5.7655589247349044E-2</v>
      </c>
      <c r="K105" s="72">
        <f t="shared" si="12"/>
        <v>2.1651673682159152E-4</v>
      </c>
      <c r="L105" s="59">
        <f t="shared" si="12"/>
        <v>5.9936688093667478E-3</v>
      </c>
      <c r="M105" s="70">
        <f t="shared" si="12"/>
        <v>1.0270677079957546E-2</v>
      </c>
      <c r="N105" s="70">
        <f t="shared" si="12"/>
        <v>1.2181876979655873E-2</v>
      </c>
      <c r="O105" s="62">
        <f t="shared" si="12"/>
        <v>1.3641010747349049E-2</v>
      </c>
      <c r="P105" s="54" t="s">
        <v>21</v>
      </c>
      <c r="Q105" s="52" t="s">
        <v>21</v>
      </c>
      <c r="R105" s="93" t="s">
        <v>21</v>
      </c>
      <c r="S105" s="70">
        <v>0</v>
      </c>
      <c r="T105" s="62">
        <f t="shared" si="6"/>
        <v>5.2064452379957549E-2</v>
      </c>
      <c r="V105" s="113">
        <v>1.1122378500000001</v>
      </c>
      <c r="W105" s="71">
        <v>2.8577401600000001</v>
      </c>
      <c r="X105" s="71">
        <v>4.3961907600000005</v>
      </c>
      <c r="Y105" s="71">
        <v>5.7141752700000001</v>
      </c>
      <c r="Z105" s="114">
        <v>7.3560617100000005</v>
      </c>
      <c r="AB105" s="72">
        <v>4.2309117336821585E-2</v>
      </c>
      <c r="AC105" s="70">
        <v>4.7703299309366745E-2</v>
      </c>
      <c r="AD105" s="70">
        <v>5.2064452379957549E-2</v>
      </c>
      <c r="AE105" s="70">
        <v>5.4736772879655872E-2</v>
      </c>
      <c r="AF105" s="62">
        <v>5.7655589247349044E-2</v>
      </c>
      <c r="AG105" s="70">
        <v>2.1651673682159152E-4</v>
      </c>
      <c r="AH105" s="70">
        <v>5.9936688093667478E-3</v>
      </c>
      <c r="AI105" s="70">
        <v>1.0270677079957546E-2</v>
      </c>
      <c r="AJ105" s="70">
        <v>1.2181876979655873E-2</v>
      </c>
      <c r="AK105" s="70">
        <v>1.3641010747349049E-2</v>
      </c>
    </row>
    <row r="106" spans="2:37" x14ac:dyDescent="0.35">
      <c r="B106" s="54" t="s">
        <v>307</v>
      </c>
      <c r="C106" s="52" t="s">
        <v>85</v>
      </c>
      <c r="D106" s="52" t="s">
        <v>20</v>
      </c>
      <c r="E106" s="52" t="s">
        <v>313</v>
      </c>
      <c r="F106" s="72">
        <f t="shared" si="11"/>
        <v>4.0643568723667305E-2</v>
      </c>
      <c r="G106" s="59">
        <f t="shared" si="11"/>
        <v>4.6395490454588725E-2</v>
      </c>
      <c r="H106" s="70">
        <f t="shared" si="11"/>
        <v>5.062685636411255E-2</v>
      </c>
      <c r="I106" s="70">
        <f t="shared" si="11"/>
        <v>5.329636774042578E-2</v>
      </c>
      <c r="J106" s="62">
        <f t="shared" si="11"/>
        <v>5.6204979715267209E-2</v>
      </c>
      <c r="K106" s="72" t="str">
        <f t="shared" si="12"/>
        <v/>
      </c>
      <c r="L106" s="59">
        <f t="shared" si="12"/>
        <v>4.7541091545887249E-3</v>
      </c>
      <c r="M106" s="70">
        <f t="shared" si="12"/>
        <v>8.9093280641125532E-3</v>
      </c>
      <c r="N106" s="70">
        <f t="shared" si="12"/>
        <v>1.0817244840425778E-2</v>
      </c>
      <c r="O106" s="62">
        <f t="shared" si="12"/>
        <v>1.2260572315267202E-2</v>
      </c>
      <c r="P106" s="54" t="s">
        <v>21</v>
      </c>
      <c r="Q106" s="52" t="s">
        <v>21</v>
      </c>
      <c r="R106" s="93" t="s">
        <v>21</v>
      </c>
      <c r="S106" s="70">
        <v>0</v>
      </c>
      <c r="T106" s="62">
        <f t="shared" si="6"/>
        <v>5.062685636411255E-2</v>
      </c>
      <c r="V106" s="113">
        <v>1.1153369200000001</v>
      </c>
      <c r="W106" s="71">
        <v>2.8711252100000002</v>
      </c>
      <c r="X106" s="71">
        <v>4.4258334000000001</v>
      </c>
      <c r="Y106" s="71">
        <v>5.7651018399999998</v>
      </c>
      <c r="Z106" s="114">
        <v>7.4400778700000005</v>
      </c>
      <c r="AB106" s="72">
        <v>4.0643568723667305E-2</v>
      </c>
      <c r="AC106" s="70">
        <v>4.6395490454588725E-2</v>
      </c>
      <c r="AD106" s="70">
        <v>5.062685636411255E-2</v>
      </c>
      <c r="AE106" s="70">
        <v>5.329636774042578E-2</v>
      </c>
      <c r="AF106" s="62">
        <v>5.6204979715267209E-2</v>
      </c>
      <c r="AG106" s="70" t="s">
        <v>21</v>
      </c>
      <c r="AH106" s="70">
        <v>4.7541091545887249E-3</v>
      </c>
      <c r="AI106" s="70">
        <v>8.9093280641125532E-3</v>
      </c>
      <c r="AJ106" s="70">
        <v>1.0817244840425778E-2</v>
      </c>
      <c r="AK106" s="70">
        <v>1.2260572315267202E-2</v>
      </c>
    </row>
    <row r="107" spans="2:37" x14ac:dyDescent="0.35">
      <c r="B107" s="54" t="s">
        <v>308</v>
      </c>
      <c r="C107" s="52" t="s">
        <v>85</v>
      </c>
      <c r="D107" s="52" t="s">
        <v>20</v>
      </c>
      <c r="E107" s="52" t="s">
        <v>73</v>
      </c>
      <c r="F107" s="72">
        <f t="shared" si="11"/>
        <v>4.268221860615283E-2</v>
      </c>
      <c r="G107" s="59">
        <f t="shared" si="11"/>
        <v>4.9505586799749091E-2</v>
      </c>
      <c r="H107" s="70">
        <f t="shared" si="11"/>
        <v>5.5494933409049194E-2</v>
      </c>
      <c r="I107" s="70">
        <f t="shared" si="11"/>
        <v>5.8787260387627827E-2</v>
      </c>
      <c r="J107" s="62">
        <f t="shared" si="11"/>
        <v>6.2603232414328414E-2</v>
      </c>
      <c r="K107" s="72">
        <f t="shared" si="12"/>
        <v>5.6995050615283975E-4</v>
      </c>
      <c r="L107" s="59">
        <f t="shared" si="12"/>
        <v>7.6966702997490876E-3</v>
      </c>
      <c r="M107" s="70">
        <f t="shared" si="12"/>
        <v>1.3506806309049194E-2</v>
      </c>
      <c r="N107" s="70">
        <f t="shared" si="12"/>
        <v>1.6002658087627838E-2</v>
      </c>
      <c r="O107" s="62">
        <f t="shared" si="12"/>
        <v>1.8337635314328415E-2</v>
      </c>
      <c r="P107" s="54" t="s">
        <v>21</v>
      </c>
      <c r="Q107" s="52" t="s">
        <v>21</v>
      </c>
      <c r="R107" s="93" t="s">
        <v>21</v>
      </c>
      <c r="S107" s="70">
        <v>0</v>
      </c>
      <c r="T107" s="62">
        <f t="shared" si="6"/>
        <v>5.5494933409049194E-2</v>
      </c>
      <c r="V107" s="113">
        <v>1.1115512599999999</v>
      </c>
      <c r="W107" s="71">
        <v>2.8457839100000002</v>
      </c>
      <c r="X107" s="71">
        <v>4.3475889800000003</v>
      </c>
      <c r="Y107" s="71">
        <v>5.6068580799999994</v>
      </c>
      <c r="Z107" s="114">
        <v>7.1249633699999997</v>
      </c>
      <c r="AB107" s="72">
        <v>4.268221860615283E-2</v>
      </c>
      <c r="AC107" s="70">
        <v>4.9505586799749091E-2</v>
      </c>
      <c r="AD107" s="70">
        <v>5.5494933409049194E-2</v>
      </c>
      <c r="AE107" s="70">
        <v>5.8787260387627827E-2</v>
      </c>
      <c r="AF107" s="62">
        <v>6.2603232414328414E-2</v>
      </c>
      <c r="AG107" s="70">
        <v>5.6995050615283975E-4</v>
      </c>
      <c r="AH107" s="70">
        <v>7.6966702997490876E-3</v>
      </c>
      <c r="AI107" s="70">
        <v>1.3506806309049194E-2</v>
      </c>
      <c r="AJ107" s="70">
        <v>1.6002658087627838E-2</v>
      </c>
      <c r="AK107" s="70">
        <v>1.8337635314328415E-2</v>
      </c>
    </row>
    <row r="108" spans="2:37" x14ac:dyDescent="0.35">
      <c r="B108" s="54" t="s">
        <v>309</v>
      </c>
      <c r="C108" s="52" t="s">
        <v>85</v>
      </c>
      <c r="D108" s="52" t="s">
        <v>20</v>
      </c>
      <c r="E108" s="52" t="s">
        <v>48</v>
      </c>
      <c r="F108" s="72">
        <f t="shared" si="11"/>
        <v>4.4727475089938018E-2</v>
      </c>
      <c r="G108" s="59">
        <f t="shared" si="11"/>
        <v>5.5283261909988488E-2</v>
      </c>
      <c r="H108" s="70">
        <f t="shared" si="11"/>
        <v>6.3835410144585242E-2</v>
      </c>
      <c r="I108" s="70">
        <f t="shared" si="11"/>
        <v>6.964702875041387E-2</v>
      </c>
      <c r="J108" s="62">
        <f t="shared" si="11"/>
        <v>7.382917098436366E-2</v>
      </c>
      <c r="K108" s="72">
        <f t="shared" si="12"/>
        <v>2.4885953899380225E-3</v>
      </c>
      <c r="L108" s="59">
        <f t="shared" si="12"/>
        <v>1.3124638609988488E-2</v>
      </c>
      <c r="M108" s="70">
        <f t="shared" si="12"/>
        <v>2.1276578844585246E-2</v>
      </c>
      <c r="N108" s="70">
        <f t="shared" si="12"/>
        <v>2.6098564050413886E-2</v>
      </c>
      <c r="O108" s="62">
        <f t="shared" si="12"/>
        <v>2.8818666084363648E-2</v>
      </c>
      <c r="P108" s="54" t="s">
        <v>21</v>
      </c>
      <c r="Q108" s="52" t="s">
        <v>21</v>
      </c>
      <c r="R108" s="93" t="s">
        <v>21</v>
      </c>
      <c r="S108" s="70">
        <v>0</v>
      </c>
      <c r="T108" s="62">
        <f t="shared" si="6"/>
        <v>6.3835410144585242E-2</v>
      </c>
      <c r="V108" s="113">
        <v>1.1070181800000001</v>
      </c>
      <c r="W108" s="71">
        <v>2.8019976899999999</v>
      </c>
      <c r="X108" s="71">
        <v>4.2154819000000003</v>
      </c>
      <c r="Y108" s="71">
        <v>5.3311503199999999</v>
      </c>
      <c r="Z108" s="114">
        <v>6.6162750199999998</v>
      </c>
      <c r="AB108" s="72">
        <v>4.4727475089938018E-2</v>
      </c>
      <c r="AC108" s="70">
        <v>5.5283261909988488E-2</v>
      </c>
      <c r="AD108" s="70">
        <v>6.3835410144585242E-2</v>
      </c>
      <c r="AE108" s="70">
        <v>6.964702875041387E-2</v>
      </c>
      <c r="AF108" s="62">
        <v>7.382917098436366E-2</v>
      </c>
      <c r="AG108" s="70">
        <v>2.4885953899380225E-3</v>
      </c>
      <c r="AH108" s="70">
        <v>1.3124638609988488E-2</v>
      </c>
      <c r="AI108" s="70">
        <v>2.1276578844585246E-2</v>
      </c>
      <c r="AJ108" s="70">
        <v>2.6098564050413886E-2</v>
      </c>
      <c r="AK108" s="70">
        <v>2.8818666084363648E-2</v>
      </c>
    </row>
    <row r="109" spans="2:37" x14ac:dyDescent="0.35">
      <c r="B109" s="54" t="s">
        <v>310</v>
      </c>
      <c r="C109" s="52" t="s">
        <v>85</v>
      </c>
      <c r="D109" s="52" t="s">
        <v>20</v>
      </c>
      <c r="E109" s="52" t="s">
        <v>159</v>
      </c>
      <c r="F109" s="72">
        <f t="shared" si="11"/>
        <v>4.0745390940450481E-2</v>
      </c>
      <c r="G109" s="59">
        <f t="shared" si="11"/>
        <v>4.6770138035702076E-2</v>
      </c>
      <c r="H109" s="70">
        <f t="shared" si="11"/>
        <v>5.1130529294805292E-2</v>
      </c>
      <c r="I109" s="70">
        <f t="shared" si="11"/>
        <v>5.4862059879833183E-2</v>
      </c>
      <c r="J109" s="62">
        <f t="shared" si="11"/>
        <v>5.7442002511942453E-2</v>
      </c>
      <c r="K109" s="72" t="str">
        <f t="shared" si="12"/>
        <v/>
      </c>
      <c r="L109" s="59">
        <f t="shared" si="12"/>
        <v>5.1111635357020645E-3</v>
      </c>
      <c r="M109" s="70">
        <f t="shared" si="12"/>
        <v>9.3878324948052996E-3</v>
      </c>
      <c r="N109" s="70">
        <f t="shared" si="12"/>
        <v>1.2302507179833177E-2</v>
      </c>
      <c r="O109" s="62">
        <f t="shared" si="12"/>
        <v>1.3446635511942438E-2</v>
      </c>
      <c r="P109" s="54" t="s">
        <v>314</v>
      </c>
      <c r="Q109" s="52" t="s">
        <v>315</v>
      </c>
      <c r="R109" s="93">
        <v>47788</v>
      </c>
      <c r="S109" s="70">
        <v>4.9859109999999998E-2</v>
      </c>
      <c r="T109" s="62">
        <f t="shared" si="6"/>
        <v>1.2714192948052941E-3</v>
      </c>
      <c r="V109" s="113">
        <v>1.11512352</v>
      </c>
      <c r="W109" s="71">
        <v>2.8682015000000001</v>
      </c>
      <c r="X109" s="71">
        <v>4.4164314999999998</v>
      </c>
      <c r="Y109" s="71">
        <v>5.7332814900000004</v>
      </c>
      <c r="Z109" s="114">
        <v>7.3749420400000005</v>
      </c>
      <c r="AB109" s="72">
        <v>4.0745390940450481E-2</v>
      </c>
      <c r="AC109" s="70">
        <v>4.6770138035702076E-2</v>
      </c>
      <c r="AD109" s="70">
        <v>5.1130529294805292E-2</v>
      </c>
      <c r="AE109" s="70">
        <v>5.4862059879833183E-2</v>
      </c>
      <c r="AF109" s="62">
        <v>5.7442002511942453E-2</v>
      </c>
      <c r="AG109" s="70" t="s">
        <v>21</v>
      </c>
      <c r="AH109" s="70">
        <v>5.1111635357020645E-3</v>
      </c>
      <c r="AI109" s="70">
        <v>9.3878324948052996E-3</v>
      </c>
      <c r="AJ109" s="70">
        <v>1.2302507179833177E-2</v>
      </c>
      <c r="AK109" s="70">
        <v>1.3446635511942438E-2</v>
      </c>
    </row>
    <row r="110" spans="2:37" x14ac:dyDescent="0.35">
      <c r="B110" s="56" t="s">
        <v>311</v>
      </c>
      <c r="C110" s="52" t="s">
        <v>85</v>
      </c>
      <c r="D110" s="66" t="s">
        <v>20</v>
      </c>
      <c r="E110" s="66" t="s">
        <v>274</v>
      </c>
      <c r="F110" s="73">
        <f t="shared" si="11"/>
        <v>4.1752205593536561E-2</v>
      </c>
      <c r="G110" s="75">
        <f t="shared" si="11"/>
        <v>4.8389746205061715E-2</v>
      </c>
      <c r="H110" s="75">
        <f t="shared" si="11"/>
        <v>5.4431770992259015E-2</v>
      </c>
      <c r="I110" s="75">
        <f t="shared" si="11"/>
        <v>5.8627618784792064E-2</v>
      </c>
      <c r="J110" s="63">
        <f t="shared" si="11"/>
        <v>6.2547174928889754E-2</v>
      </c>
      <c r="K110" s="73" t="str">
        <f t="shared" si="12"/>
        <v/>
      </c>
      <c r="L110" s="75">
        <f t="shared" si="12"/>
        <v>6.6451611050617181E-3</v>
      </c>
      <c r="M110" s="75">
        <f t="shared" si="12"/>
        <v>1.2507925392259015E-2</v>
      </c>
      <c r="N110" s="75">
        <f t="shared" si="12"/>
        <v>1.5855606184792054E-2</v>
      </c>
      <c r="O110" s="63">
        <f t="shared" si="12"/>
        <v>1.8290533428889755E-2</v>
      </c>
      <c r="P110" s="56" t="s">
        <v>21</v>
      </c>
      <c r="Q110" s="66" t="s">
        <v>21</v>
      </c>
      <c r="R110" s="95" t="s">
        <v>21</v>
      </c>
      <c r="S110" s="75">
        <v>0</v>
      </c>
      <c r="T110" s="63">
        <f t="shared" si="6"/>
        <v>5.4431770992259015E-2</v>
      </c>
      <c r="V110" s="115">
        <v>1.1132405999999999</v>
      </c>
      <c r="W110" s="107">
        <v>2.8551066299999999</v>
      </c>
      <c r="X110" s="107">
        <v>4.3684389399999999</v>
      </c>
      <c r="Y110" s="107">
        <v>5.6305005100000001</v>
      </c>
      <c r="Z110" s="116">
        <v>7.1492569899999996</v>
      </c>
      <c r="AB110" s="73">
        <v>4.1752205593536561E-2</v>
      </c>
      <c r="AC110" s="75">
        <v>4.8389746205061715E-2</v>
      </c>
      <c r="AD110" s="75">
        <v>5.4431770992259015E-2</v>
      </c>
      <c r="AE110" s="75">
        <v>5.8627618784792064E-2</v>
      </c>
      <c r="AF110" s="63">
        <v>6.2547174928889754E-2</v>
      </c>
      <c r="AG110" s="75" t="s">
        <v>21</v>
      </c>
      <c r="AH110" s="75">
        <v>6.6451611050617181E-3</v>
      </c>
      <c r="AI110" s="75">
        <v>1.2507925392259015E-2</v>
      </c>
      <c r="AJ110" s="75">
        <v>1.5855606184792054E-2</v>
      </c>
      <c r="AK110" s="75">
        <v>1.8290533428889755E-2</v>
      </c>
    </row>
    <row r="111" spans="2:37" x14ac:dyDescent="0.35">
      <c r="B111" s="52" t="s">
        <v>21</v>
      </c>
      <c r="C111" s="52" t="s">
        <v>21</v>
      </c>
      <c r="E111" s="52" t="s">
        <v>21</v>
      </c>
      <c r="F111" s="70" t="s">
        <v>21</v>
      </c>
      <c r="G111" s="70"/>
      <c r="H111" s="70" t="s">
        <v>21</v>
      </c>
      <c r="I111" s="70"/>
      <c r="J111" s="70" t="s">
        <v>21</v>
      </c>
      <c r="K111" s="70" t="s">
        <v>21</v>
      </c>
      <c r="L111" s="70"/>
      <c r="M111" s="70" t="s">
        <v>21</v>
      </c>
      <c r="N111" s="70"/>
      <c r="O111" s="70" t="s">
        <v>21</v>
      </c>
      <c r="R111" s="93"/>
      <c r="V111" s="71"/>
      <c r="W111" s="71"/>
      <c r="X111" s="71"/>
      <c r="Y111" s="71"/>
      <c r="Z111" s="71"/>
      <c r="AB111" s="70" t="s">
        <v>21</v>
      </c>
      <c r="AC111" s="70"/>
      <c r="AD111" s="70" t="s">
        <v>21</v>
      </c>
      <c r="AE111" s="70"/>
      <c r="AF111" s="70" t="s">
        <v>21</v>
      </c>
      <c r="AG111" s="70" t="s">
        <v>21</v>
      </c>
      <c r="AH111" s="70"/>
      <c r="AI111" s="70" t="s">
        <v>21</v>
      </c>
      <c r="AJ111" s="70"/>
      <c r="AK111" s="70" t="s">
        <v>21</v>
      </c>
    </row>
    <row r="112" spans="2:37" ht="15.5" x14ac:dyDescent="0.35">
      <c r="B112" s="121" t="s">
        <v>93</v>
      </c>
      <c r="C112" s="52" t="s">
        <v>21</v>
      </c>
      <c r="E112" s="52" t="s">
        <v>21</v>
      </c>
      <c r="F112" s="70" t="s">
        <v>21</v>
      </c>
      <c r="G112" s="70"/>
      <c r="H112" s="70" t="s">
        <v>21</v>
      </c>
      <c r="I112" s="70"/>
      <c r="J112" s="70" t="s">
        <v>21</v>
      </c>
      <c r="K112" s="70" t="s">
        <v>21</v>
      </c>
      <c r="L112" s="70"/>
      <c r="M112" s="70" t="s">
        <v>21</v>
      </c>
      <c r="N112" s="70"/>
      <c r="O112" s="70" t="s">
        <v>21</v>
      </c>
      <c r="R112" s="93"/>
      <c r="V112" s="71"/>
      <c r="W112" s="71"/>
      <c r="X112" s="71"/>
      <c r="Y112" s="71"/>
      <c r="Z112" s="71"/>
      <c r="AB112" s="70" t="s">
        <v>21</v>
      </c>
      <c r="AC112" s="70"/>
      <c r="AD112" s="70" t="s">
        <v>21</v>
      </c>
      <c r="AE112" s="70"/>
      <c r="AF112" s="70" t="s">
        <v>21</v>
      </c>
      <c r="AG112" s="70" t="s">
        <v>21</v>
      </c>
      <c r="AH112" s="70"/>
      <c r="AI112" s="70" t="s">
        <v>21</v>
      </c>
      <c r="AJ112" s="70"/>
      <c r="AK112" s="70" t="s">
        <v>21</v>
      </c>
    </row>
    <row r="113" spans="2:37" x14ac:dyDescent="0.35">
      <c r="B113" s="84" t="s">
        <v>5</v>
      </c>
      <c r="C113" s="83" t="s">
        <v>6</v>
      </c>
      <c r="D113" s="83" t="s">
        <v>7</v>
      </c>
      <c r="E113" s="83" t="s">
        <v>8</v>
      </c>
      <c r="F113" s="82" t="s">
        <v>9</v>
      </c>
      <c r="G113" s="81" t="s">
        <v>10</v>
      </c>
      <c r="H113" s="81" t="s">
        <v>11</v>
      </c>
      <c r="I113" s="81" t="s">
        <v>12</v>
      </c>
      <c r="J113" s="80" t="s">
        <v>13</v>
      </c>
      <c r="K113" s="82" t="s">
        <v>9</v>
      </c>
      <c r="L113" s="81" t="s">
        <v>10</v>
      </c>
      <c r="M113" s="81" t="s">
        <v>11</v>
      </c>
      <c r="N113" s="81" t="s">
        <v>12</v>
      </c>
      <c r="O113" s="80" t="s">
        <v>13</v>
      </c>
      <c r="P113" s="69" t="s">
        <v>14</v>
      </c>
      <c r="Q113" s="57" t="s">
        <v>15</v>
      </c>
      <c r="R113" s="57" t="s">
        <v>16</v>
      </c>
      <c r="S113" s="57" t="s">
        <v>413</v>
      </c>
      <c r="T113" s="57" t="s">
        <v>18</v>
      </c>
      <c r="V113" s="109" t="s">
        <v>9</v>
      </c>
      <c r="W113" s="105" t="s">
        <v>10</v>
      </c>
      <c r="X113" s="105" t="s">
        <v>11</v>
      </c>
      <c r="Y113" s="105" t="s">
        <v>12</v>
      </c>
      <c r="Z113" s="110" t="s">
        <v>13</v>
      </c>
      <c r="AB113" s="82" t="s">
        <v>9</v>
      </c>
      <c r="AC113" s="81" t="s">
        <v>10</v>
      </c>
      <c r="AD113" s="81" t="s">
        <v>11</v>
      </c>
      <c r="AE113" s="81" t="s">
        <v>12</v>
      </c>
      <c r="AF113" s="80" t="s">
        <v>13</v>
      </c>
      <c r="AG113" s="57" t="s">
        <v>9</v>
      </c>
      <c r="AH113" s="57" t="s">
        <v>10</v>
      </c>
      <c r="AI113" s="57" t="s">
        <v>11</v>
      </c>
      <c r="AJ113" s="57" t="s">
        <v>12</v>
      </c>
      <c r="AK113" s="57" t="s">
        <v>13</v>
      </c>
    </row>
    <row r="114" spans="2:37" x14ac:dyDescent="0.35">
      <c r="B114" s="78" t="s">
        <v>94</v>
      </c>
      <c r="C114" s="77"/>
      <c r="D114" s="77"/>
      <c r="E114" s="77"/>
      <c r="F114" s="78"/>
      <c r="G114" s="77"/>
      <c r="H114" s="77"/>
      <c r="I114" s="77"/>
      <c r="J114" s="77"/>
      <c r="K114" s="77"/>
      <c r="L114" s="77"/>
      <c r="M114" s="77"/>
      <c r="N114" s="77"/>
      <c r="O114" s="76"/>
      <c r="P114" s="78"/>
      <c r="Q114" s="77"/>
      <c r="R114" s="94"/>
      <c r="S114" s="77"/>
      <c r="T114" s="76"/>
      <c r="V114" s="111"/>
      <c r="W114" s="106"/>
      <c r="X114" s="106"/>
      <c r="Y114" s="106"/>
      <c r="Z114" s="112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</row>
    <row r="115" spans="2:37" x14ac:dyDescent="0.35">
      <c r="B115" s="55" t="s">
        <v>95</v>
      </c>
      <c r="C115" s="65" t="s">
        <v>85</v>
      </c>
      <c r="D115" s="65" t="s">
        <v>43</v>
      </c>
      <c r="E115" s="65" t="s">
        <v>230</v>
      </c>
      <c r="F115" s="74">
        <f t="shared" ref="F115:J130" si="13">IF(ISNUMBER(AB115),AB115-((C$4-C$3)/V115),"")</f>
        <v>4.0587490832948409E-2</v>
      </c>
      <c r="G115" s="79">
        <f t="shared" si="13"/>
        <v>4.6468762787649352E-2</v>
      </c>
      <c r="H115" s="79">
        <f t="shared" si="13"/>
        <v>5.1045895894307643E-2</v>
      </c>
      <c r="I115" s="79">
        <f t="shared" si="13"/>
        <v>5.3689421580829948E-2</v>
      </c>
      <c r="J115" s="61">
        <f t="shared" si="13"/>
        <v>5.6477911338928065E-2</v>
      </c>
      <c r="K115" s="74" t="str">
        <f t="shared" ref="K115:O130" si="14">IF(ISNUMBER(AG115),IF(AG115-((C$4-C$3)/V115)&lt;0,"",AG115-((C$4-C$3)/V115)),"")</f>
        <v/>
      </c>
      <c r="L115" s="79">
        <f t="shared" si="14"/>
        <v>4.8268185876493511E-3</v>
      </c>
      <c r="M115" s="79">
        <f t="shared" si="14"/>
        <v>9.308734794307643E-3</v>
      </c>
      <c r="N115" s="79">
        <f t="shared" si="14"/>
        <v>1.1191759880829946E-2</v>
      </c>
      <c r="O115" s="61">
        <f t="shared" si="14"/>
        <v>1.2521231238928062E-2</v>
      </c>
      <c r="P115" s="55" t="s">
        <v>21</v>
      </c>
      <c r="Q115" s="65" t="s">
        <v>21</v>
      </c>
      <c r="R115" s="99" t="s">
        <v>21</v>
      </c>
      <c r="S115" s="79">
        <v>0</v>
      </c>
      <c r="T115" s="62">
        <f t="shared" ref="T115:T138" si="15">IF(S115="","",H115-S115)</f>
        <v>5.1045895894307643E-2</v>
      </c>
      <c r="V115" s="117">
        <v>1.11539535</v>
      </c>
      <c r="W115" s="60">
        <v>2.8706090100000003</v>
      </c>
      <c r="X115" s="60">
        <v>4.4202710399999994</v>
      </c>
      <c r="Y115" s="60">
        <v>5.7541802400000002</v>
      </c>
      <c r="Z115" s="118">
        <v>7.4246114700000003</v>
      </c>
      <c r="AB115" s="74">
        <v>4.0587490832948409E-2</v>
      </c>
      <c r="AC115" s="79">
        <v>4.6468762787649352E-2</v>
      </c>
      <c r="AD115" s="79">
        <v>5.1045895894307643E-2</v>
      </c>
      <c r="AE115" s="79">
        <v>5.3689421580829948E-2</v>
      </c>
      <c r="AF115" s="61">
        <v>5.6477911338928065E-2</v>
      </c>
      <c r="AG115" s="79" t="s">
        <v>21</v>
      </c>
      <c r="AH115" s="79">
        <v>4.8268185876493511E-3</v>
      </c>
      <c r="AI115" s="79">
        <v>9.308734794307643E-3</v>
      </c>
      <c r="AJ115" s="79">
        <v>1.1191759880829946E-2</v>
      </c>
      <c r="AK115" s="79">
        <v>1.2521231238928062E-2</v>
      </c>
    </row>
    <row r="116" spans="2:37" x14ac:dyDescent="0.35">
      <c r="B116" s="56" t="s">
        <v>95</v>
      </c>
      <c r="C116" s="66" t="s">
        <v>35</v>
      </c>
      <c r="D116" s="66" t="s">
        <v>43</v>
      </c>
      <c r="E116" s="66" t="s">
        <v>231</v>
      </c>
      <c r="F116" s="73">
        <f t="shared" si="13"/>
        <v>4.1884346555840293E-2</v>
      </c>
      <c r="G116" s="75">
        <f t="shared" si="13"/>
        <v>4.9664395220996416E-2</v>
      </c>
      <c r="H116" s="75">
        <f t="shared" si="13"/>
        <v>5.6217727126346699E-2</v>
      </c>
      <c r="I116" s="75">
        <f t="shared" si="13"/>
        <v>5.9815385736538343E-2</v>
      </c>
      <c r="J116" s="63">
        <f t="shared" si="13"/>
        <v>6.3386118185573229E-2</v>
      </c>
      <c r="K116" s="73" t="str">
        <f t="shared" si="14"/>
        <v/>
      </c>
      <c r="L116" s="75">
        <f t="shared" si="14"/>
        <v>7.9022708209964126E-3</v>
      </c>
      <c r="M116" s="75">
        <f t="shared" si="14"/>
        <v>1.4282136626346701E-2</v>
      </c>
      <c r="N116" s="75">
        <f t="shared" si="14"/>
        <v>1.7076359036538338E-2</v>
      </c>
      <c r="O116" s="63">
        <f t="shared" si="14"/>
        <v>1.9172233185573241E-2</v>
      </c>
      <c r="P116" s="56" t="s">
        <v>21</v>
      </c>
      <c r="Q116" s="66" t="s">
        <v>21</v>
      </c>
      <c r="R116" s="95" t="s">
        <v>21</v>
      </c>
      <c r="S116" s="75">
        <v>0</v>
      </c>
      <c r="T116" s="63">
        <f t="shared" si="15"/>
        <v>5.6217727126346699E-2</v>
      </c>
      <c r="V116" s="115">
        <v>1.1143006</v>
      </c>
      <c r="W116" s="107">
        <v>2.8585239100000002</v>
      </c>
      <c r="X116" s="107">
        <v>4.3784614899999994</v>
      </c>
      <c r="Y116" s="107">
        <v>5.6645974100000007</v>
      </c>
      <c r="Z116" s="116">
        <v>7.2406369000000002</v>
      </c>
      <c r="AB116" s="73">
        <v>4.1884346555840293E-2</v>
      </c>
      <c r="AC116" s="75">
        <v>4.9664395220996416E-2</v>
      </c>
      <c r="AD116" s="75">
        <v>5.6217727126346699E-2</v>
      </c>
      <c r="AE116" s="75">
        <v>5.9815385736538343E-2</v>
      </c>
      <c r="AF116" s="63">
        <v>6.3386118185573229E-2</v>
      </c>
      <c r="AG116" s="75" t="s">
        <v>21</v>
      </c>
      <c r="AH116" s="75">
        <v>7.9022708209964126E-3</v>
      </c>
      <c r="AI116" s="75">
        <v>1.4282136626346701E-2</v>
      </c>
      <c r="AJ116" s="75">
        <v>1.7076359036538338E-2</v>
      </c>
      <c r="AK116" s="75">
        <v>1.9172233185573241E-2</v>
      </c>
    </row>
    <row r="117" spans="2:37" x14ac:dyDescent="0.35">
      <c r="B117" s="54" t="s">
        <v>96</v>
      </c>
      <c r="C117" s="52" t="s">
        <v>85</v>
      </c>
      <c r="D117" s="52" t="s">
        <v>97</v>
      </c>
      <c r="E117" s="52" t="s">
        <v>21</v>
      </c>
      <c r="F117" s="72">
        <f t="shared" si="13"/>
        <v>4.1139613516471815E-2</v>
      </c>
      <c r="G117" s="59">
        <f t="shared" si="13"/>
        <v>4.7131772718698423E-2</v>
      </c>
      <c r="H117" s="59">
        <f t="shared" si="13"/>
        <v>5.1843502101889399E-2</v>
      </c>
      <c r="I117" s="59">
        <f t="shared" si="13"/>
        <v>5.4859026653036699E-2</v>
      </c>
      <c r="J117" s="62">
        <f t="shared" si="13"/>
        <v>5.791288619137476E-2</v>
      </c>
      <c r="K117" s="72" t="str">
        <f t="shared" si="14"/>
        <v/>
      </c>
      <c r="L117" s="59">
        <f t="shared" si="14"/>
        <v>5.4550487186984277E-3</v>
      </c>
      <c r="M117" s="59">
        <f t="shared" si="14"/>
        <v>1.0063658901889396E-2</v>
      </c>
      <c r="N117" s="59">
        <f t="shared" si="14"/>
        <v>1.2299546053036708E-2</v>
      </c>
      <c r="O117" s="62">
        <f t="shared" si="14"/>
        <v>1.3890172891374765E-2</v>
      </c>
      <c r="P117" s="54" t="s">
        <v>21</v>
      </c>
      <c r="Q117" s="52" t="s">
        <v>21</v>
      </c>
      <c r="R117" s="93" t="s">
        <v>21</v>
      </c>
      <c r="S117" s="70">
        <v>0</v>
      </c>
      <c r="T117" s="62">
        <f t="shared" si="15"/>
        <v>5.1843502101889399E-2</v>
      </c>
      <c r="V117" s="113">
        <v>1.1143698</v>
      </c>
      <c r="W117" s="71">
        <v>2.8645922499999998</v>
      </c>
      <c r="X117" s="71">
        <v>4.4059258099999994</v>
      </c>
      <c r="Y117" s="71">
        <v>5.7232623299999998</v>
      </c>
      <c r="Z117" s="114">
        <v>7.3578247000000001</v>
      </c>
      <c r="AB117" s="72">
        <v>4.1139613516471815E-2</v>
      </c>
      <c r="AC117" s="70">
        <v>4.7131772718698423E-2</v>
      </c>
      <c r="AD117" s="70">
        <v>5.1843502101889399E-2</v>
      </c>
      <c r="AE117" s="70">
        <v>5.4859026653036699E-2</v>
      </c>
      <c r="AF117" s="62">
        <v>5.791288619137476E-2</v>
      </c>
      <c r="AG117" s="70" t="s">
        <v>21</v>
      </c>
      <c r="AH117" s="70">
        <v>5.4550487186984277E-3</v>
      </c>
      <c r="AI117" s="70">
        <v>1.0063658901889396E-2</v>
      </c>
      <c r="AJ117" s="70">
        <v>1.2299546053036708E-2</v>
      </c>
      <c r="AK117" s="70">
        <v>1.3890172891374765E-2</v>
      </c>
    </row>
    <row r="118" spans="2:37" x14ac:dyDescent="0.35">
      <c r="B118" s="56" t="s">
        <v>96</v>
      </c>
      <c r="C118" s="66" t="s">
        <v>35</v>
      </c>
      <c r="D118" s="66" t="s">
        <v>97</v>
      </c>
      <c r="E118" s="66" t="s">
        <v>44</v>
      </c>
      <c r="F118" s="73">
        <f t="shared" si="13"/>
        <v>4.3461091612074211E-2</v>
      </c>
      <c r="G118" s="75">
        <f t="shared" si="13"/>
        <v>5.0639908200341074E-2</v>
      </c>
      <c r="H118" s="75">
        <f t="shared" si="13"/>
        <v>5.7030042570519877E-2</v>
      </c>
      <c r="I118" s="75">
        <f t="shared" si="13"/>
        <v>6.1266378319533098E-2</v>
      </c>
      <c r="J118" s="63">
        <f t="shared" si="13"/>
        <v>6.4761502967101897E-2</v>
      </c>
      <c r="K118" s="73">
        <f t="shared" si="14"/>
        <v>1.3482049120742204E-3</v>
      </c>
      <c r="L118" s="75">
        <f t="shared" si="14"/>
        <v>8.8343714003410838E-3</v>
      </c>
      <c r="M118" s="75">
        <f t="shared" si="14"/>
        <v>1.5053729870519873E-2</v>
      </c>
      <c r="N118" s="75">
        <f t="shared" si="14"/>
        <v>1.8450609319533098E-2</v>
      </c>
      <c r="O118" s="63">
        <f t="shared" si="14"/>
        <v>2.0479826767101895E-2</v>
      </c>
      <c r="P118" s="56" t="s">
        <v>21</v>
      </c>
      <c r="Q118" s="66" t="s">
        <v>21</v>
      </c>
      <c r="R118" s="95" t="s">
        <v>21</v>
      </c>
      <c r="S118" s="75">
        <v>0</v>
      </c>
      <c r="T118" s="63">
        <f t="shared" si="15"/>
        <v>5.7030042570519877E-2</v>
      </c>
      <c r="V118" s="115">
        <v>1.11200582</v>
      </c>
      <c r="W118" s="107">
        <v>2.84970911</v>
      </c>
      <c r="X118" s="107">
        <v>4.3625908100000004</v>
      </c>
      <c r="Y118" s="107">
        <v>5.6337703599999998</v>
      </c>
      <c r="Z118" s="116">
        <v>7.1830071800000006</v>
      </c>
      <c r="AB118" s="73">
        <v>4.3461091612074211E-2</v>
      </c>
      <c r="AC118" s="75">
        <v>5.0639908200341074E-2</v>
      </c>
      <c r="AD118" s="75">
        <v>5.7030042570519877E-2</v>
      </c>
      <c r="AE118" s="75">
        <v>6.1266378319533098E-2</v>
      </c>
      <c r="AF118" s="63">
        <v>6.4761502967101897E-2</v>
      </c>
      <c r="AG118" s="75">
        <v>1.3482049120742204E-3</v>
      </c>
      <c r="AH118" s="75">
        <v>8.8343714003410838E-3</v>
      </c>
      <c r="AI118" s="75">
        <v>1.5053729870519873E-2</v>
      </c>
      <c r="AJ118" s="75">
        <v>1.8450609319533098E-2</v>
      </c>
      <c r="AK118" s="75">
        <v>2.0479826767101895E-2</v>
      </c>
    </row>
    <row r="119" spans="2:37" x14ac:dyDescent="0.35">
      <c r="B119" s="54" t="s">
        <v>98</v>
      </c>
      <c r="C119" s="52" t="s">
        <v>85</v>
      </c>
      <c r="D119" s="52" t="s">
        <v>47</v>
      </c>
      <c r="E119" s="52" t="s">
        <v>21</v>
      </c>
      <c r="F119" s="72">
        <f t="shared" si="13"/>
        <v>4.1155933183358959E-2</v>
      </c>
      <c r="G119" s="59">
        <f t="shared" si="13"/>
        <v>4.7260857269918688E-2</v>
      </c>
      <c r="H119" s="59">
        <f t="shared" si="13"/>
        <v>5.2360810342370105E-2</v>
      </c>
      <c r="I119" s="59">
        <f t="shared" si="13"/>
        <v>5.5418058988120036E-2</v>
      </c>
      <c r="J119" s="62">
        <f t="shared" si="13"/>
        <v>5.862550782702497E-2</v>
      </c>
      <c r="K119" s="72" t="str">
        <f t="shared" si="14"/>
        <v/>
      </c>
      <c r="L119" s="59">
        <f t="shared" si="14"/>
        <v>5.5784565699186911E-3</v>
      </c>
      <c r="M119" s="59">
        <f t="shared" si="14"/>
        <v>1.05538674423701E-2</v>
      </c>
      <c r="N119" s="59">
        <f t="shared" si="14"/>
        <v>1.282946688812004E-2</v>
      </c>
      <c r="O119" s="62">
        <f t="shared" si="14"/>
        <v>1.4569334927024958E-2</v>
      </c>
      <c r="P119" s="54" t="s">
        <v>21</v>
      </c>
      <c r="Q119" s="52" t="s">
        <v>21</v>
      </c>
      <c r="R119" s="93" t="s">
        <v>21</v>
      </c>
      <c r="S119" s="70">
        <v>0</v>
      </c>
      <c r="T119" s="62">
        <f t="shared" si="15"/>
        <v>5.2360810342370105E-2</v>
      </c>
      <c r="V119" s="113">
        <v>1.1143246200000001</v>
      </c>
      <c r="W119" s="71">
        <v>2.8638765300000002</v>
      </c>
      <c r="X119" s="71">
        <v>4.3992576899999998</v>
      </c>
      <c r="Y119" s="71">
        <v>5.7082123100000004</v>
      </c>
      <c r="Z119" s="114">
        <v>7.3253358100000003</v>
      </c>
      <c r="AB119" s="72">
        <v>4.1155933183358959E-2</v>
      </c>
      <c r="AC119" s="70">
        <v>4.7260857269918688E-2</v>
      </c>
      <c r="AD119" s="70">
        <v>5.2360810342370105E-2</v>
      </c>
      <c r="AE119" s="70">
        <v>5.5418058988120036E-2</v>
      </c>
      <c r="AF119" s="62">
        <v>5.862550782702497E-2</v>
      </c>
      <c r="AG119" s="70" t="s">
        <v>21</v>
      </c>
      <c r="AH119" s="70">
        <v>5.5784565699186911E-3</v>
      </c>
      <c r="AI119" s="70">
        <v>1.05538674423701E-2</v>
      </c>
      <c r="AJ119" s="70">
        <v>1.282946688812004E-2</v>
      </c>
      <c r="AK119" s="70">
        <v>1.4569334927024958E-2</v>
      </c>
    </row>
    <row r="120" spans="2:37" x14ac:dyDescent="0.35">
      <c r="B120" s="56" t="s">
        <v>98</v>
      </c>
      <c r="C120" s="66" t="s">
        <v>35</v>
      </c>
      <c r="D120" s="66" t="s">
        <v>47</v>
      </c>
      <c r="E120" s="66" t="s">
        <v>460</v>
      </c>
      <c r="F120" s="73">
        <f t="shared" si="13"/>
        <v>4.2587848592753608E-2</v>
      </c>
      <c r="G120" s="75">
        <f t="shared" si="13"/>
        <v>5.0339145397287344E-2</v>
      </c>
      <c r="H120" s="75">
        <f t="shared" si="13"/>
        <v>5.7298133117204157E-2</v>
      </c>
      <c r="I120" s="75">
        <f t="shared" si="13"/>
        <v>6.1899409168201219E-2</v>
      </c>
      <c r="J120" s="63">
        <f t="shared" si="13"/>
        <v>6.583288829783826E-2</v>
      </c>
      <c r="K120" s="73">
        <f t="shared" si="14"/>
        <v>5.1615439275361653E-4</v>
      </c>
      <c r="L120" s="75">
        <f t="shared" si="14"/>
        <v>8.5496687972873506E-3</v>
      </c>
      <c r="M120" s="75">
        <f t="shared" si="14"/>
        <v>1.5309356917204158E-2</v>
      </c>
      <c r="N120" s="75">
        <f t="shared" si="14"/>
        <v>1.9051217168201202E-2</v>
      </c>
      <c r="O120" s="63">
        <f t="shared" si="14"/>
        <v>2.1499159197838239E-2</v>
      </c>
      <c r="P120" s="56" t="s">
        <v>461</v>
      </c>
      <c r="Q120" s="66" t="s">
        <v>462</v>
      </c>
      <c r="R120" s="95" t="s">
        <v>32</v>
      </c>
      <c r="S120" s="75">
        <v>5.1677850000000004E-2</v>
      </c>
      <c r="T120" s="63">
        <f t="shared" si="15"/>
        <v>5.6202831172041529E-3</v>
      </c>
      <c r="V120" s="115">
        <v>1.11326741</v>
      </c>
      <c r="W120" s="107">
        <v>2.85355589</v>
      </c>
      <c r="X120" s="107">
        <v>4.3643138400000003</v>
      </c>
      <c r="Y120" s="107">
        <v>5.6281650599999997</v>
      </c>
      <c r="Z120" s="116">
        <v>7.1564743700000006</v>
      </c>
      <c r="AB120" s="73">
        <v>4.2587848592753608E-2</v>
      </c>
      <c r="AC120" s="75">
        <v>5.0339145397287344E-2</v>
      </c>
      <c r="AD120" s="75">
        <v>5.7298133117204157E-2</v>
      </c>
      <c r="AE120" s="75">
        <v>6.1899409168201219E-2</v>
      </c>
      <c r="AF120" s="63">
        <v>6.583288829783826E-2</v>
      </c>
      <c r="AG120" s="75">
        <v>5.1615439275361653E-4</v>
      </c>
      <c r="AH120" s="75">
        <v>8.5496687972873506E-3</v>
      </c>
      <c r="AI120" s="75">
        <v>1.5309356917204158E-2</v>
      </c>
      <c r="AJ120" s="75">
        <v>1.9051217168201202E-2</v>
      </c>
      <c r="AK120" s="75">
        <v>2.1499159197838239E-2</v>
      </c>
    </row>
    <row r="121" spans="2:37" x14ac:dyDescent="0.35">
      <c r="B121" s="54" t="s">
        <v>99</v>
      </c>
      <c r="C121" s="52" t="s">
        <v>85</v>
      </c>
      <c r="D121" s="52" t="s">
        <v>69</v>
      </c>
      <c r="E121" s="52" t="s">
        <v>100</v>
      </c>
      <c r="F121" s="72">
        <f t="shared" si="13"/>
        <v>4.092849951850383E-2</v>
      </c>
      <c r="G121" s="59">
        <f t="shared" si="13"/>
        <v>4.7761458357838009E-2</v>
      </c>
      <c r="H121" s="59">
        <f t="shared" si="13"/>
        <v>5.3195255812646912E-2</v>
      </c>
      <c r="I121" s="59">
        <f t="shared" si="13"/>
        <v>5.6478942204343123E-2</v>
      </c>
      <c r="J121" s="62">
        <f t="shared" si="13"/>
        <v>6.0034808890422557E-2</v>
      </c>
      <c r="K121" s="72" t="str">
        <f t="shared" si="14"/>
        <v/>
      </c>
      <c r="L121" s="59">
        <f t="shared" si="14"/>
        <v>6.0538856578380047E-3</v>
      </c>
      <c r="M121" s="59">
        <f t="shared" si="14"/>
        <v>1.1343319112646908E-2</v>
      </c>
      <c r="N121" s="59">
        <f t="shared" si="14"/>
        <v>1.3832701504343129E-2</v>
      </c>
      <c r="O121" s="62">
        <f t="shared" si="14"/>
        <v>1.5909222090422566E-2</v>
      </c>
      <c r="P121" s="54" t="s">
        <v>21</v>
      </c>
      <c r="Q121" s="52" t="s">
        <v>21</v>
      </c>
      <c r="R121" s="93" t="s">
        <v>21</v>
      </c>
      <c r="S121" s="70">
        <v>0</v>
      </c>
      <c r="T121" s="62">
        <f t="shared" si="15"/>
        <v>5.3195255812646912E-2</v>
      </c>
      <c r="V121" s="113">
        <v>1.11472825</v>
      </c>
      <c r="W121" s="71">
        <v>2.8614871800000001</v>
      </c>
      <c r="X121" s="71">
        <v>4.3876548900000003</v>
      </c>
      <c r="Y121" s="71">
        <v>5.6812303499999999</v>
      </c>
      <c r="Z121" s="114">
        <v>7.2640964399999994</v>
      </c>
      <c r="AB121" s="72">
        <v>4.092849951850383E-2</v>
      </c>
      <c r="AC121" s="70">
        <v>4.7761458357838009E-2</v>
      </c>
      <c r="AD121" s="70">
        <v>5.3195255812646912E-2</v>
      </c>
      <c r="AE121" s="70">
        <v>5.6478942204343123E-2</v>
      </c>
      <c r="AF121" s="62">
        <v>6.0034808890422557E-2</v>
      </c>
      <c r="AG121" s="70" t="s">
        <v>21</v>
      </c>
      <c r="AH121" s="70">
        <v>6.0538856578380047E-3</v>
      </c>
      <c r="AI121" s="70">
        <v>1.1343319112646908E-2</v>
      </c>
      <c r="AJ121" s="70">
        <v>1.3832701504343129E-2</v>
      </c>
      <c r="AK121" s="70">
        <v>1.5909222090422566E-2</v>
      </c>
    </row>
    <row r="122" spans="2:37" x14ac:dyDescent="0.35">
      <c r="B122" s="56" t="s">
        <v>99</v>
      </c>
      <c r="C122" s="66" t="s">
        <v>35</v>
      </c>
      <c r="D122" s="66" t="s">
        <v>69</v>
      </c>
      <c r="E122" s="66" t="s">
        <v>224</v>
      </c>
      <c r="F122" s="73">
        <f t="shared" si="13"/>
        <v>4.1575435010529828E-2</v>
      </c>
      <c r="G122" s="75">
        <f t="shared" si="13"/>
        <v>5.03244781946268E-2</v>
      </c>
      <c r="H122" s="75">
        <f t="shared" si="13"/>
        <v>5.7391137061444851E-2</v>
      </c>
      <c r="I122" s="75">
        <f t="shared" si="13"/>
        <v>6.2081521778407971E-2</v>
      </c>
      <c r="J122" s="63">
        <f t="shared" si="13"/>
        <v>6.5717868499617471E-2</v>
      </c>
      <c r="K122" s="73" t="str">
        <f t="shared" si="14"/>
        <v/>
      </c>
      <c r="L122" s="75">
        <f t="shared" si="14"/>
        <v>8.5326846946267906E-3</v>
      </c>
      <c r="M122" s="75">
        <f t="shared" si="14"/>
        <v>1.5395274561444849E-2</v>
      </c>
      <c r="N122" s="75">
        <f t="shared" si="14"/>
        <v>1.9221893978407976E-2</v>
      </c>
      <c r="O122" s="63">
        <f t="shared" si="14"/>
        <v>2.1390447099617467E-2</v>
      </c>
      <c r="P122" s="56" t="s">
        <v>463</v>
      </c>
      <c r="Q122" s="66" t="s">
        <v>464</v>
      </c>
      <c r="R122" s="95" t="s">
        <v>32</v>
      </c>
      <c r="S122" s="75">
        <v>5.6397009999999997E-2</v>
      </c>
      <c r="T122" s="63">
        <f t="shared" si="15"/>
        <v>9.9412706144485358E-4</v>
      </c>
      <c r="V122" s="115">
        <v>1.11472046</v>
      </c>
      <c r="W122" s="107">
        <v>2.8561651000000001</v>
      </c>
      <c r="X122" s="107">
        <v>4.3660243599999999</v>
      </c>
      <c r="Y122" s="107">
        <v>5.6276593799999999</v>
      </c>
      <c r="Z122" s="116">
        <v>7.1569073400000001</v>
      </c>
      <c r="AB122" s="73">
        <v>4.1575435010529828E-2</v>
      </c>
      <c r="AC122" s="75">
        <v>5.03244781946268E-2</v>
      </c>
      <c r="AD122" s="75">
        <v>5.7391137061444851E-2</v>
      </c>
      <c r="AE122" s="75">
        <v>6.2081521778407971E-2</v>
      </c>
      <c r="AF122" s="63">
        <v>6.5717868499617471E-2</v>
      </c>
      <c r="AG122" s="75" t="s">
        <v>21</v>
      </c>
      <c r="AH122" s="75">
        <v>8.5326846946267906E-3</v>
      </c>
      <c r="AI122" s="75">
        <v>1.5395274561444849E-2</v>
      </c>
      <c r="AJ122" s="75">
        <v>1.9221893978407976E-2</v>
      </c>
      <c r="AK122" s="75">
        <v>2.1390447099617467E-2</v>
      </c>
    </row>
    <row r="123" spans="2:37" x14ac:dyDescent="0.35">
      <c r="B123" s="54" t="s">
        <v>101</v>
      </c>
      <c r="C123" s="52" t="s">
        <v>85</v>
      </c>
      <c r="D123" s="52" t="s">
        <v>31</v>
      </c>
      <c r="E123" s="52" t="s">
        <v>21</v>
      </c>
      <c r="F123" s="72">
        <f t="shared" si="13"/>
        <v>4.0591611002123593E-2</v>
      </c>
      <c r="G123" s="59">
        <f t="shared" si="13"/>
        <v>4.7071479447799901E-2</v>
      </c>
      <c r="H123" s="59">
        <f t="shared" si="13"/>
        <v>5.204471145688027E-2</v>
      </c>
      <c r="I123" s="59">
        <f t="shared" si="13"/>
        <v>5.5248650224985173E-2</v>
      </c>
      <c r="J123" s="62">
        <f t="shared" si="13"/>
        <v>5.8590797808442917E-2</v>
      </c>
      <c r="K123" s="72" t="str">
        <f t="shared" si="14"/>
        <v/>
      </c>
      <c r="L123" s="59">
        <f t="shared" si="14"/>
        <v>5.397069547799894E-3</v>
      </c>
      <c r="M123" s="59">
        <f t="shared" si="14"/>
        <v>1.0253508756880272E-2</v>
      </c>
      <c r="N123" s="59">
        <f t="shared" si="14"/>
        <v>1.2668292624985174E-2</v>
      </c>
      <c r="O123" s="62">
        <f t="shared" si="14"/>
        <v>1.4536428008442907E-2</v>
      </c>
      <c r="P123" s="54" t="s">
        <v>21</v>
      </c>
      <c r="Q123" s="52" t="s">
        <v>21</v>
      </c>
      <c r="R123" s="93" t="s">
        <v>21</v>
      </c>
      <c r="S123" s="70">
        <v>0</v>
      </c>
      <c r="T123" s="62">
        <f t="shared" si="15"/>
        <v>5.204471145688027E-2</v>
      </c>
      <c r="V123" s="113">
        <v>1.1154004200000001</v>
      </c>
      <c r="W123" s="71">
        <v>2.86691071</v>
      </c>
      <c r="X123" s="71">
        <v>4.4055900000000001</v>
      </c>
      <c r="Y123" s="71">
        <v>5.7170937799999999</v>
      </c>
      <c r="Z123" s="114">
        <v>7.3345695200000005</v>
      </c>
      <c r="AB123" s="72">
        <v>4.0591611002123593E-2</v>
      </c>
      <c r="AC123" s="70">
        <v>4.7071479447799901E-2</v>
      </c>
      <c r="AD123" s="70">
        <v>5.204471145688027E-2</v>
      </c>
      <c r="AE123" s="70">
        <v>5.5248650224985173E-2</v>
      </c>
      <c r="AF123" s="62">
        <v>5.8590797808442917E-2</v>
      </c>
      <c r="AG123" s="70" t="s">
        <v>21</v>
      </c>
      <c r="AH123" s="70">
        <v>5.397069547799894E-3</v>
      </c>
      <c r="AI123" s="70">
        <v>1.0253508756880272E-2</v>
      </c>
      <c r="AJ123" s="70">
        <v>1.2668292624985174E-2</v>
      </c>
      <c r="AK123" s="70">
        <v>1.4536428008442907E-2</v>
      </c>
    </row>
    <row r="124" spans="2:37" x14ac:dyDescent="0.35">
      <c r="B124" s="56" t="s">
        <v>101</v>
      </c>
      <c r="C124" s="66" t="s">
        <v>35</v>
      </c>
      <c r="D124" s="66" t="s">
        <v>31</v>
      </c>
      <c r="E124" s="66" t="s">
        <v>21</v>
      </c>
      <c r="F124" s="73">
        <f t="shared" si="13"/>
        <v>4.1884484425912409E-2</v>
      </c>
      <c r="G124" s="75">
        <f t="shared" si="13"/>
        <v>4.9664449125660266E-2</v>
      </c>
      <c r="H124" s="75">
        <f t="shared" si="13"/>
        <v>5.6217762477195017E-2</v>
      </c>
      <c r="I124" s="75">
        <f t="shared" si="13"/>
        <v>6.0090240079567328E-2</v>
      </c>
      <c r="J124" s="63">
        <f t="shared" si="13"/>
        <v>6.3578092855205562E-2</v>
      </c>
      <c r="K124" s="73" t="str">
        <f t="shared" si="14"/>
        <v/>
      </c>
      <c r="L124" s="75">
        <f t="shared" si="14"/>
        <v>7.9022996256602647E-3</v>
      </c>
      <c r="M124" s="75">
        <f t="shared" si="14"/>
        <v>1.4282153977195022E-2</v>
      </c>
      <c r="N124" s="75">
        <f t="shared" si="14"/>
        <v>1.7336973379567321E-2</v>
      </c>
      <c r="O124" s="63">
        <f t="shared" si="14"/>
        <v>1.9355997655205556E-2</v>
      </c>
      <c r="P124" s="56" t="s">
        <v>21</v>
      </c>
      <c r="Q124" s="66" t="s">
        <v>21</v>
      </c>
      <c r="R124" s="95" t="s">
        <v>21</v>
      </c>
      <c r="S124" s="75">
        <v>0</v>
      </c>
      <c r="T124" s="63">
        <f t="shared" si="15"/>
        <v>5.6217762477195017E-2</v>
      </c>
      <c r="V124" s="115">
        <v>1.1143006600000001</v>
      </c>
      <c r="W124" s="107">
        <v>2.85852387</v>
      </c>
      <c r="X124" s="107">
        <v>4.3784613700000001</v>
      </c>
      <c r="Y124" s="107">
        <v>5.6618114400000001</v>
      </c>
      <c r="Z124" s="116">
        <v>7.23328624</v>
      </c>
      <c r="AB124" s="73">
        <v>4.1884484425912409E-2</v>
      </c>
      <c r="AC124" s="75">
        <v>4.9664449125660266E-2</v>
      </c>
      <c r="AD124" s="75">
        <v>5.6217762477195017E-2</v>
      </c>
      <c r="AE124" s="75">
        <v>6.0090240079567328E-2</v>
      </c>
      <c r="AF124" s="63">
        <v>6.3578092855205562E-2</v>
      </c>
      <c r="AG124" s="75" t="s">
        <v>21</v>
      </c>
      <c r="AH124" s="75">
        <v>7.9022996256602647E-3</v>
      </c>
      <c r="AI124" s="75">
        <v>1.4282153977195022E-2</v>
      </c>
      <c r="AJ124" s="75">
        <v>1.7336973379567321E-2</v>
      </c>
      <c r="AK124" s="75">
        <v>1.9355997655205556E-2</v>
      </c>
    </row>
    <row r="125" spans="2:37" x14ac:dyDescent="0.35">
      <c r="B125" s="54" t="s">
        <v>102</v>
      </c>
      <c r="C125" s="52" t="s">
        <v>85</v>
      </c>
      <c r="D125" s="52" t="s">
        <v>69</v>
      </c>
      <c r="E125" s="52" t="s">
        <v>465</v>
      </c>
      <c r="F125" s="72">
        <f t="shared" si="13"/>
        <v>4.146972784685711E-2</v>
      </c>
      <c r="G125" s="59">
        <f t="shared" si="13"/>
        <v>4.7802512804610148E-2</v>
      </c>
      <c r="H125" s="59">
        <f t="shared" si="13"/>
        <v>5.3255404486139711E-2</v>
      </c>
      <c r="I125" s="59">
        <f t="shared" si="13"/>
        <v>5.6584792586848634E-2</v>
      </c>
      <c r="J125" s="62">
        <f t="shared" si="13"/>
        <v>5.9961959558415046E-2</v>
      </c>
      <c r="K125" s="72" t="str">
        <f t="shared" si="14"/>
        <v/>
      </c>
      <c r="L125" s="59">
        <f t="shared" si="14"/>
        <v>6.0903991046101398E-3</v>
      </c>
      <c r="M125" s="59">
        <f t="shared" si="14"/>
        <v>1.1398491686139716E-2</v>
      </c>
      <c r="N125" s="59">
        <f t="shared" si="14"/>
        <v>1.3931042986848646E-2</v>
      </c>
      <c r="O125" s="62">
        <f t="shared" si="14"/>
        <v>1.5839106158415057E-2</v>
      </c>
      <c r="P125" s="54" t="s">
        <v>21</v>
      </c>
      <c r="Q125" s="52" t="s">
        <v>21</v>
      </c>
      <c r="R125" s="93" t="s">
        <v>21</v>
      </c>
      <c r="S125" s="70">
        <v>0</v>
      </c>
      <c r="T125" s="62">
        <f t="shared" si="15"/>
        <v>5.3255404486139711E-2</v>
      </c>
      <c r="V125" s="113">
        <v>1.1137530499999999</v>
      </c>
      <c r="W125" s="71">
        <v>2.8595715799999999</v>
      </c>
      <c r="X125" s="71">
        <v>4.3852908900000003</v>
      </c>
      <c r="Y125" s="71">
        <v>5.6775863700000002</v>
      </c>
      <c r="Z125" s="114">
        <v>7.2619383499999994</v>
      </c>
      <c r="AB125" s="72">
        <v>4.146972784685711E-2</v>
      </c>
      <c r="AC125" s="70">
        <v>4.7802512804610148E-2</v>
      </c>
      <c r="AD125" s="70">
        <v>5.3255404486139711E-2</v>
      </c>
      <c r="AE125" s="70">
        <v>5.6584792586848634E-2</v>
      </c>
      <c r="AF125" s="62">
        <v>5.9961959558415046E-2</v>
      </c>
      <c r="AG125" s="70" t="s">
        <v>21</v>
      </c>
      <c r="AH125" s="70">
        <v>6.0903991046101398E-3</v>
      </c>
      <c r="AI125" s="70">
        <v>1.1398491686139716E-2</v>
      </c>
      <c r="AJ125" s="70">
        <v>1.3931042986848646E-2</v>
      </c>
      <c r="AK125" s="70">
        <v>1.5839106158415057E-2</v>
      </c>
    </row>
    <row r="126" spans="2:37" x14ac:dyDescent="0.35">
      <c r="B126" s="56" t="s">
        <v>102</v>
      </c>
      <c r="C126" s="66" t="s">
        <v>35</v>
      </c>
      <c r="D126" s="66" t="s">
        <v>69</v>
      </c>
      <c r="E126" s="66" t="s">
        <v>159</v>
      </c>
      <c r="F126" s="73">
        <f t="shared" si="13"/>
        <v>4.219181447185253E-2</v>
      </c>
      <c r="G126" s="75">
        <f t="shared" si="13"/>
        <v>5.0326675742810412E-2</v>
      </c>
      <c r="H126" s="75">
        <f t="shared" si="13"/>
        <v>5.7394732501752012E-2</v>
      </c>
      <c r="I126" s="75">
        <f t="shared" si="13"/>
        <v>6.1722483900565006E-2</v>
      </c>
      <c r="J126" s="63">
        <f t="shared" si="13"/>
        <v>6.5652494652839122E-2</v>
      </c>
      <c r="K126" s="73">
        <f t="shared" si="14"/>
        <v>1.3012537185253057E-4</v>
      </c>
      <c r="L126" s="75">
        <f t="shared" si="14"/>
        <v>8.5351598428104001E-3</v>
      </c>
      <c r="M126" s="75">
        <f t="shared" si="14"/>
        <v>1.5398993201752019E-2</v>
      </c>
      <c r="N126" s="75">
        <f t="shared" si="14"/>
        <v>1.8882561100565003E-2</v>
      </c>
      <c r="O126" s="63">
        <f t="shared" si="14"/>
        <v>2.1326389352839117E-2</v>
      </c>
      <c r="P126" s="56" t="s">
        <v>21</v>
      </c>
      <c r="Q126" s="66" t="s">
        <v>21</v>
      </c>
      <c r="R126" s="95" t="s">
        <v>21</v>
      </c>
      <c r="S126" s="75">
        <v>0</v>
      </c>
      <c r="T126" s="63">
        <f t="shared" si="15"/>
        <v>5.7394732501752012E-2</v>
      </c>
      <c r="V126" s="113">
        <v>1.11385136</v>
      </c>
      <c r="W126" s="71">
        <v>2.85464166</v>
      </c>
      <c r="X126" s="71">
        <v>4.3646090800000001</v>
      </c>
      <c r="Y126" s="71">
        <v>5.6299931000000001</v>
      </c>
      <c r="Z126" s="114">
        <v>7.1622187099999994</v>
      </c>
      <c r="AB126" s="73">
        <v>4.219181447185253E-2</v>
      </c>
      <c r="AC126" s="75">
        <v>5.0326675742810412E-2</v>
      </c>
      <c r="AD126" s="75">
        <v>5.7394732501752012E-2</v>
      </c>
      <c r="AE126" s="75">
        <v>6.1722483900565006E-2</v>
      </c>
      <c r="AF126" s="63">
        <v>6.5652494652839122E-2</v>
      </c>
      <c r="AG126" s="75">
        <v>1.3012537185253057E-4</v>
      </c>
      <c r="AH126" s="75">
        <v>8.5351598428104001E-3</v>
      </c>
      <c r="AI126" s="75">
        <v>1.5398993201752019E-2</v>
      </c>
      <c r="AJ126" s="75">
        <v>1.8882561100565003E-2</v>
      </c>
      <c r="AK126" s="75">
        <v>2.1326389352839117E-2</v>
      </c>
    </row>
    <row r="127" spans="2:37" x14ac:dyDescent="0.35">
      <c r="B127" s="55" t="s">
        <v>104</v>
      </c>
      <c r="C127" s="65" t="s">
        <v>85</v>
      </c>
      <c r="D127" s="65" t="s">
        <v>43</v>
      </c>
      <c r="E127" s="64" t="s">
        <v>423</v>
      </c>
      <c r="F127" s="79">
        <f t="shared" si="13"/>
        <v>4.0613688750322292E-2</v>
      </c>
      <c r="G127" s="79">
        <f t="shared" si="13"/>
        <v>4.63485728329458E-2</v>
      </c>
      <c r="H127" s="79">
        <f t="shared" si="13"/>
        <v>5.1041563103672777E-2</v>
      </c>
      <c r="I127" s="79">
        <f t="shared" si="13"/>
        <v>5.368556650155748E-2</v>
      </c>
      <c r="J127" s="61">
        <f t="shared" si="13"/>
        <v>5.6520959250727247E-2</v>
      </c>
      <c r="K127" s="79" t="str">
        <f t="shared" si="14"/>
        <v/>
      </c>
      <c r="L127" s="79">
        <f t="shared" si="14"/>
        <v>4.7115286329458021E-3</v>
      </c>
      <c r="M127" s="79">
        <f t="shared" si="14"/>
        <v>9.3037939036727767E-3</v>
      </c>
      <c r="N127" s="79">
        <f t="shared" si="14"/>
        <v>1.118760610155748E-2</v>
      </c>
      <c r="O127" s="61">
        <f t="shared" si="14"/>
        <v>1.2562134350727255E-2</v>
      </c>
      <c r="P127" s="55" t="s">
        <v>21</v>
      </c>
      <c r="Q127" s="65" t="s">
        <v>21</v>
      </c>
      <c r="R127" s="99" t="s">
        <v>21</v>
      </c>
      <c r="S127" s="79">
        <v>0</v>
      </c>
      <c r="T127" s="61">
        <f t="shared" si="15"/>
        <v>5.1041563103672777E-2</v>
      </c>
      <c r="V127" s="117">
        <v>1.11536469</v>
      </c>
      <c r="W127" s="60">
        <v>2.8717590300000002</v>
      </c>
      <c r="X127" s="60">
        <v>4.4214746499999995</v>
      </c>
      <c r="Y127" s="60">
        <v>5.7552893000000003</v>
      </c>
      <c r="Z127" s="118">
        <v>7.4245586700000006</v>
      </c>
      <c r="AB127" s="79">
        <v>4.0613688750322292E-2</v>
      </c>
      <c r="AC127" s="79">
        <v>4.63485728329458E-2</v>
      </c>
      <c r="AD127" s="79">
        <v>5.1041563103672777E-2</v>
      </c>
      <c r="AE127" s="79">
        <v>5.368556650155748E-2</v>
      </c>
      <c r="AF127" s="61">
        <v>5.6520959250727247E-2</v>
      </c>
      <c r="AG127" s="79" t="s">
        <v>21</v>
      </c>
      <c r="AH127" s="79">
        <v>4.7115286329458021E-3</v>
      </c>
      <c r="AI127" s="79">
        <v>9.3037939036727767E-3</v>
      </c>
      <c r="AJ127" s="79">
        <v>1.118760610155748E-2</v>
      </c>
      <c r="AK127" s="79">
        <v>1.2562134350727255E-2</v>
      </c>
    </row>
    <row r="128" spans="2:37" x14ac:dyDescent="0.35">
      <c r="B128" s="56" t="s">
        <v>104</v>
      </c>
      <c r="C128" s="66" t="s">
        <v>35</v>
      </c>
      <c r="D128" s="66" t="s">
        <v>43</v>
      </c>
      <c r="E128" s="53" t="s">
        <v>423</v>
      </c>
      <c r="F128" s="75">
        <f t="shared" si="13"/>
        <v>4.2129893971793661E-2</v>
      </c>
      <c r="G128" s="75">
        <f t="shared" si="13"/>
        <v>5.0225857040214934E-2</v>
      </c>
      <c r="H128" s="75">
        <f t="shared" si="13"/>
        <v>5.7106729080447907E-2</v>
      </c>
      <c r="I128" s="75">
        <f t="shared" si="13"/>
        <v>6.0978216194060249E-2</v>
      </c>
      <c r="J128" s="63">
        <f t="shared" si="13"/>
        <v>6.4383776946446911E-2</v>
      </c>
      <c r="K128" s="75">
        <f t="shared" si="14"/>
        <v>6.4310471793660277E-5</v>
      </c>
      <c r="L128" s="75">
        <f t="shared" si="14"/>
        <v>8.436213540214935E-3</v>
      </c>
      <c r="M128" s="75">
        <f t="shared" si="14"/>
        <v>1.5124079480447901E-2</v>
      </c>
      <c r="N128" s="75">
        <f t="shared" si="14"/>
        <v>1.8176828594060241E-2</v>
      </c>
      <c r="O128" s="63">
        <f t="shared" si="14"/>
        <v>2.0120556546446903E-2</v>
      </c>
      <c r="P128" s="66" t="s">
        <v>21</v>
      </c>
      <c r="Q128" s="66" t="s">
        <v>21</v>
      </c>
      <c r="R128" s="95" t="s">
        <v>21</v>
      </c>
      <c r="S128" s="75">
        <v>0</v>
      </c>
      <c r="T128" s="63">
        <f t="shared" si="15"/>
        <v>5.7106729080447907E-2</v>
      </c>
      <c r="V128" s="115">
        <v>1.11396994</v>
      </c>
      <c r="W128" s="107">
        <v>2.85533159</v>
      </c>
      <c r="X128" s="107">
        <v>4.3676756399999999</v>
      </c>
      <c r="Y128" s="107">
        <v>5.6409942300000004</v>
      </c>
      <c r="Z128" s="116">
        <v>7.1972098799999991</v>
      </c>
      <c r="AB128" s="75">
        <v>4.2129893971793661E-2</v>
      </c>
      <c r="AC128" s="75">
        <v>5.0225857040214934E-2</v>
      </c>
      <c r="AD128" s="75">
        <v>5.7106729080447907E-2</v>
      </c>
      <c r="AE128" s="75">
        <v>6.0978216194060249E-2</v>
      </c>
      <c r="AF128" s="63">
        <v>6.4383776946446911E-2</v>
      </c>
      <c r="AG128" s="75">
        <v>6.4310471793660277E-5</v>
      </c>
      <c r="AH128" s="75">
        <v>8.436213540214935E-3</v>
      </c>
      <c r="AI128" s="75">
        <v>1.5124079480447901E-2</v>
      </c>
      <c r="AJ128" s="75">
        <v>1.8176828594060241E-2</v>
      </c>
      <c r="AK128" s="75">
        <v>2.0120556546446903E-2</v>
      </c>
    </row>
    <row r="129" spans="2:37" x14ac:dyDescent="0.35">
      <c r="B129" s="54" t="s">
        <v>105</v>
      </c>
      <c r="C129" s="52" t="s">
        <v>85</v>
      </c>
      <c r="D129" s="52" t="s">
        <v>43</v>
      </c>
      <c r="E129" s="52" t="s">
        <v>423</v>
      </c>
      <c r="F129" s="72">
        <f t="shared" si="13"/>
        <v>4.0566978362246403E-2</v>
      </c>
      <c r="G129" s="59">
        <f t="shared" si="13"/>
        <v>4.6405998818901749E-2</v>
      </c>
      <c r="H129" s="59">
        <f t="shared" si="13"/>
        <v>5.0941058296692265E-2</v>
      </c>
      <c r="I129" s="59">
        <f t="shared" si="13"/>
        <v>5.3585807593628687E-2</v>
      </c>
      <c r="J129" s="62">
        <f t="shared" si="13"/>
        <v>5.6325051987857436E-2</v>
      </c>
      <c r="K129" s="72" t="str">
        <f t="shared" si="14"/>
        <v/>
      </c>
      <c r="L129" s="59">
        <f t="shared" si="14"/>
        <v>4.7670352189017537E-3</v>
      </c>
      <c r="M129" s="59">
        <f t="shared" si="14"/>
        <v>9.2092256966922678E-3</v>
      </c>
      <c r="N129" s="59">
        <f t="shared" si="14"/>
        <v>1.1093327793628687E-2</v>
      </c>
      <c r="O129" s="62">
        <f t="shared" si="14"/>
        <v>1.2375211887857425E-2</v>
      </c>
      <c r="P129" s="54" t="s">
        <v>21</v>
      </c>
      <c r="Q129" s="52" t="s">
        <v>21</v>
      </c>
      <c r="R129" s="93" t="s">
        <v>21</v>
      </c>
      <c r="S129" s="70">
        <v>0</v>
      </c>
      <c r="T129" s="62">
        <f t="shared" si="15"/>
        <v>5.0941058296692265E-2</v>
      </c>
      <c r="V129" s="113">
        <v>1.1154371600000001</v>
      </c>
      <c r="W129" s="71">
        <v>2.8710702700000001</v>
      </c>
      <c r="X129" s="71">
        <v>4.4218857500000004</v>
      </c>
      <c r="Y129" s="71">
        <v>5.75734777</v>
      </c>
      <c r="Z129" s="114">
        <v>7.4314683500000003</v>
      </c>
      <c r="AB129" s="72">
        <v>4.0566978362246403E-2</v>
      </c>
      <c r="AC129" s="70">
        <v>4.6405998818901749E-2</v>
      </c>
      <c r="AD129" s="70">
        <v>5.0941058296692265E-2</v>
      </c>
      <c r="AE129" s="70">
        <v>5.3585807593628687E-2</v>
      </c>
      <c r="AF129" s="62">
        <v>5.6325051987857436E-2</v>
      </c>
      <c r="AG129" s="70" t="s">
        <v>21</v>
      </c>
      <c r="AH129" s="70">
        <v>4.7670352189017537E-3</v>
      </c>
      <c r="AI129" s="70">
        <v>9.2092256966922678E-3</v>
      </c>
      <c r="AJ129" s="70">
        <v>1.1093327793628687E-2</v>
      </c>
      <c r="AK129" s="70">
        <v>1.2375211887857425E-2</v>
      </c>
    </row>
    <row r="130" spans="2:37" x14ac:dyDescent="0.35">
      <c r="B130" s="56" t="s">
        <v>105</v>
      </c>
      <c r="C130" s="66" t="s">
        <v>35</v>
      </c>
      <c r="D130" s="66" t="s">
        <v>43</v>
      </c>
      <c r="E130" s="66" t="s">
        <v>21</v>
      </c>
      <c r="F130" s="73">
        <f t="shared" si="13"/>
        <v>4.2067090336293363E-2</v>
      </c>
      <c r="G130" s="75">
        <f t="shared" si="13"/>
        <v>5.0097870237489926E-2</v>
      </c>
      <c r="H130" s="75">
        <f t="shared" si="13"/>
        <v>5.6907140041599788E-2</v>
      </c>
      <c r="I130" s="75">
        <f t="shared" si="13"/>
        <v>6.0687948424317614E-2</v>
      </c>
      <c r="J130" s="63">
        <f t="shared" si="13"/>
        <v>6.4177869805354462E-2</v>
      </c>
      <c r="K130" s="73">
        <f t="shared" si="14"/>
        <v>7.6278362933701258E-6</v>
      </c>
      <c r="L130" s="75">
        <f t="shared" si="14"/>
        <v>8.3158777374899261E-3</v>
      </c>
      <c r="M130" s="75">
        <f t="shared" si="14"/>
        <v>1.4936126541599783E-2</v>
      </c>
      <c r="N130" s="75">
        <f t="shared" si="14"/>
        <v>1.7903094624317616E-2</v>
      </c>
      <c r="O130" s="63">
        <f t="shared" si="14"/>
        <v>1.9925446505354459E-2</v>
      </c>
      <c r="P130" s="56" t="s">
        <v>21</v>
      </c>
      <c r="Q130" s="66" t="s">
        <v>21</v>
      </c>
      <c r="R130" s="95" t="s">
        <v>21</v>
      </c>
      <c r="S130" s="75">
        <v>0</v>
      </c>
      <c r="T130" s="63">
        <f t="shared" si="15"/>
        <v>5.6907140041599788E-2</v>
      </c>
      <c r="V130" s="113">
        <v>1.11403995</v>
      </c>
      <c r="W130" s="71">
        <v>2.8560432800000002</v>
      </c>
      <c r="X130" s="71">
        <v>4.3700763299999998</v>
      </c>
      <c r="Y130" s="71">
        <v>5.6465443400000002</v>
      </c>
      <c r="Z130" s="114">
        <v>7.2070103400000001</v>
      </c>
      <c r="AB130" s="73">
        <v>4.2067090336293363E-2</v>
      </c>
      <c r="AC130" s="75">
        <v>5.0097870237489926E-2</v>
      </c>
      <c r="AD130" s="75">
        <v>5.6907140041599788E-2</v>
      </c>
      <c r="AE130" s="75">
        <v>6.0687948424317614E-2</v>
      </c>
      <c r="AF130" s="63">
        <v>6.4177869805354462E-2</v>
      </c>
      <c r="AG130" s="75">
        <v>7.6278362933701258E-6</v>
      </c>
      <c r="AH130" s="75">
        <v>8.3158777374899261E-3</v>
      </c>
      <c r="AI130" s="75">
        <v>1.4936126541599783E-2</v>
      </c>
      <c r="AJ130" s="75">
        <v>1.7903094624317616E-2</v>
      </c>
      <c r="AK130" s="75">
        <v>1.9925446505354459E-2</v>
      </c>
    </row>
    <row r="131" spans="2:37" x14ac:dyDescent="0.35">
      <c r="B131" s="55" t="s">
        <v>106</v>
      </c>
      <c r="C131" s="65" t="s">
        <v>85</v>
      </c>
      <c r="D131" s="65" t="s">
        <v>62</v>
      </c>
      <c r="E131" s="65" t="s">
        <v>466</v>
      </c>
      <c r="F131" s="74">
        <f t="shared" ref="F131:J138" si="16">IF(ISNUMBER(AB131),AB131-((C$4-C$3)/V131),"")</f>
        <v>4.0945334418870265E-2</v>
      </c>
      <c r="G131" s="79">
        <f t="shared" si="16"/>
        <v>4.7198833349892257E-2</v>
      </c>
      <c r="H131" s="79">
        <f t="shared" si="16"/>
        <v>5.225609946394788E-2</v>
      </c>
      <c r="I131" s="79">
        <f t="shared" si="16"/>
        <v>5.526675495918084E-2</v>
      </c>
      <c r="J131" s="61">
        <f t="shared" si="16"/>
        <v>5.8332152887260305E-2</v>
      </c>
      <c r="K131" s="74" t="str">
        <f t="shared" ref="K131:O138" si="17">IF(ISNUMBER(AG131),IF(AG131-((C$4-C$3)/V131)&lt;0,"",AG131-((C$4-C$3)/V131)),"")</f>
        <v/>
      </c>
      <c r="L131" s="79">
        <f t="shared" si="17"/>
        <v>5.5184559498922493E-3</v>
      </c>
      <c r="M131" s="79">
        <f t="shared" si="17"/>
        <v>1.0453969063947875E-2</v>
      </c>
      <c r="N131" s="79">
        <f t="shared" si="17"/>
        <v>1.2685704959180845E-2</v>
      </c>
      <c r="O131" s="61">
        <f t="shared" si="17"/>
        <v>1.4289953287260319E-2</v>
      </c>
      <c r="P131" s="55" t="s">
        <v>467</v>
      </c>
      <c r="Q131" s="65" t="s">
        <v>468</v>
      </c>
      <c r="R131" s="99" t="s">
        <v>32</v>
      </c>
      <c r="S131" s="79">
        <v>5.4557539999999995E-2</v>
      </c>
      <c r="T131" s="61">
        <f t="shared" si="15"/>
        <v>-2.3014405360521142E-3</v>
      </c>
      <c r="V131" s="117">
        <v>1.1147325099999998</v>
      </c>
      <c r="W131" s="60">
        <v>2.8649698299999997</v>
      </c>
      <c r="X131" s="60">
        <v>4.4014406399999997</v>
      </c>
      <c r="Y131" s="60">
        <v>5.71251233</v>
      </c>
      <c r="Z131" s="118">
        <v>7.3365734200000006</v>
      </c>
      <c r="AB131" s="74">
        <v>4.0945334418870265E-2</v>
      </c>
      <c r="AC131" s="79">
        <v>4.7198833349892257E-2</v>
      </c>
      <c r="AD131" s="79">
        <v>5.225609946394788E-2</v>
      </c>
      <c r="AE131" s="79">
        <v>5.526675495918084E-2</v>
      </c>
      <c r="AF131" s="61">
        <v>5.8332152887260305E-2</v>
      </c>
      <c r="AG131" s="79" t="s">
        <v>21</v>
      </c>
      <c r="AH131" s="79">
        <v>5.5184559498922493E-3</v>
      </c>
      <c r="AI131" s="79">
        <v>1.0453969063947875E-2</v>
      </c>
      <c r="AJ131" s="79">
        <v>1.2685704959180845E-2</v>
      </c>
      <c r="AK131" s="79">
        <v>1.4289953287260319E-2</v>
      </c>
    </row>
    <row r="132" spans="2:37" x14ac:dyDescent="0.35">
      <c r="B132" s="56" t="s">
        <v>106</v>
      </c>
      <c r="C132" s="66" t="s">
        <v>35</v>
      </c>
      <c r="D132" s="66" t="s">
        <v>62</v>
      </c>
      <c r="E132" s="66" t="s">
        <v>469</v>
      </c>
      <c r="F132" s="73">
        <f t="shared" si="16"/>
        <v>4.2099994889027728E-2</v>
      </c>
      <c r="G132" s="75">
        <f t="shared" si="16"/>
        <v>5.0405940510405041E-2</v>
      </c>
      <c r="H132" s="75">
        <f t="shared" si="16"/>
        <v>5.7397903334875211E-2</v>
      </c>
      <c r="I132" s="75">
        <f t="shared" si="16"/>
        <v>6.1178897512022004E-2</v>
      </c>
      <c r="J132" s="63">
        <f t="shared" si="16"/>
        <v>6.4929699386967715E-2</v>
      </c>
      <c r="K132" s="75">
        <f t="shared" si="17"/>
        <v>4.0831789027733628E-5</v>
      </c>
      <c r="L132" s="75">
        <f t="shared" si="17"/>
        <v>8.6101727104050379E-3</v>
      </c>
      <c r="M132" s="75">
        <f t="shared" si="17"/>
        <v>1.5401546034875216E-2</v>
      </c>
      <c r="N132" s="75">
        <f t="shared" si="17"/>
        <v>1.8367978812022002E-2</v>
      </c>
      <c r="O132" s="75">
        <f t="shared" si="17"/>
        <v>2.063887138696769E-2</v>
      </c>
      <c r="P132" s="66" t="s">
        <v>21</v>
      </c>
      <c r="Q132" s="66" t="s">
        <v>21</v>
      </c>
      <c r="R132" s="95" t="s">
        <v>21</v>
      </c>
      <c r="S132" s="75">
        <v>0</v>
      </c>
      <c r="T132" s="75">
        <f t="shared" si="15"/>
        <v>5.7397903334875211E-2</v>
      </c>
      <c r="V132" s="115">
        <v>1.11398576</v>
      </c>
      <c r="W132" s="107">
        <v>2.85450794</v>
      </c>
      <c r="X132" s="107">
        <v>4.3643228399999998</v>
      </c>
      <c r="Y132" s="107">
        <v>5.6352275299999999</v>
      </c>
      <c r="Z132" s="116">
        <v>7.182137130000001</v>
      </c>
      <c r="AB132" s="73">
        <v>4.2099994889027728E-2</v>
      </c>
      <c r="AC132" s="75">
        <v>5.0405940510405041E-2</v>
      </c>
      <c r="AD132" s="75">
        <v>5.7397903334875211E-2</v>
      </c>
      <c r="AE132" s="75">
        <v>6.1178897512022004E-2</v>
      </c>
      <c r="AF132" s="63">
        <v>6.4929699386967715E-2</v>
      </c>
      <c r="AG132" s="75">
        <v>4.0831789027733628E-5</v>
      </c>
      <c r="AH132" s="75">
        <v>8.6101727104050379E-3</v>
      </c>
      <c r="AI132" s="75">
        <v>1.5401546034875216E-2</v>
      </c>
      <c r="AJ132" s="75">
        <v>1.8367978812022002E-2</v>
      </c>
      <c r="AK132" s="75">
        <v>2.063887138696769E-2</v>
      </c>
    </row>
    <row r="133" spans="2:37" x14ac:dyDescent="0.35">
      <c r="B133" s="54" t="s">
        <v>107</v>
      </c>
      <c r="C133" s="52" t="s">
        <v>85</v>
      </c>
      <c r="D133" s="52" t="s">
        <v>62</v>
      </c>
      <c r="E133" s="52" t="s">
        <v>264</v>
      </c>
      <c r="F133" s="72">
        <f t="shared" si="16"/>
        <v>4.115213972371299E-2</v>
      </c>
      <c r="G133" s="59">
        <f t="shared" si="16"/>
        <v>4.7200484454245739E-2</v>
      </c>
      <c r="H133" s="59">
        <f t="shared" si="16"/>
        <v>5.2257753373367515E-2</v>
      </c>
      <c r="I133" s="59">
        <f t="shared" si="16"/>
        <v>5.5411252807780455E-2</v>
      </c>
      <c r="J133" s="62">
        <f t="shared" si="16"/>
        <v>5.8436554429019877E-2</v>
      </c>
      <c r="K133" s="72" t="str">
        <f t="shared" si="17"/>
        <v/>
      </c>
      <c r="L133" s="59">
        <f t="shared" si="17"/>
        <v>5.5199683542457387E-3</v>
      </c>
      <c r="M133" s="59">
        <f t="shared" si="17"/>
        <v>1.0455510073367516E-2</v>
      </c>
      <c r="N133" s="59">
        <f t="shared" si="17"/>
        <v>1.2822289907780452E-2</v>
      </c>
      <c r="O133" s="62">
        <f t="shared" si="17"/>
        <v>1.4389900929019879E-2</v>
      </c>
      <c r="P133" s="54" t="s">
        <v>21</v>
      </c>
      <c r="Q133" s="52" t="s">
        <v>21</v>
      </c>
      <c r="R133" s="93" t="s">
        <v>21</v>
      </c>
      <c r="S133" s="70">
        <v>0</v>
      </c>
      <c r="T133" s="62">
        <f t="shared" si="15"/>
        <v>5.2257753373367515E-2</v>
      </c>
      <c r="V133" s="113">
        <v>1.1143488099999999</v>
      </c>
      <c r="W133" s="71">
        <v>2.86429819</v>
      </c>
      <c r="X133" s="71">
        <v>4.4008205299999998</v>
      </c>
      <c r="Y133" s="71">
        <v>5.7100236600000001</v>
      </c>
      <c r="Z133" s="114">
        <v>7.3309920099999992</v>
      </c>
      <c r="AB133" s="72">
        <v>4.115213972371299E-2</v>
      </c>
      <c r="AC133" s="70">
        <v>4.7200484454245739E-2</v>
      </c>
      <c r="AD133" s="70">
        <v>5.2257753373367515E-2</v>
      </c>
      <c r="AE133" s="70">
        <v>5.5411252807780455E-2</v>
      </c>
      <c r="AF133" s="62">
        <v>5.8436554429019877E-2</v>
      </c>
      <c r="AG133" s="70" t="s">
        <v>21</v>
      </c>
      <c r="AH133" s="70">
        <v>5.5199683542457387E-3</v>
      </c>
      <c r="AI133" s="70">
        <v>1.0455510073367516E-2</v>
      </c>
      <c r="AJ133" s="70">
        <v>1.2822289907780452E-2</v>
      </c>
      <c r="AK133" s="70">
        <v>1.4389900929019879E-2</v>
      </c>
    </row>
    <row r="134" spans="2:37" x14ac:dyDescent="0.35">
      <c r="B134" s="54" t="s">
        <v>107</v>
      </c>
      <c r="C134" s="52" t="s">
        <v>35</v>
      </c>
      <c r="D134" s="52" t="s">
        <v>62</v>
      </c>
      <c r="E134" s="52" t="s">
        <v>289</v>
      </c>
      <c r="F134" s="72">
        <f t="shared" si="16"/>
        <v>4.2029838962543496E-2</v>
      </c>
      <c r="G134" s="59">
        <f t="shared" si="16"/>
        <v>4.9786490328885519E-2</v>
      </c>
      <c r="H134" s="59">
        <f t="shared" si="16"/>
        <v>5.641392902897014E-2</v>
      </c>
      <c r="I134" s="59">
        <f t="shared" si="16"/>
        <v>5.9920335332893766E-2</v>
      </c>
      <c r="J134" s="62">
        <f t="shared" si="16"/>
        <v>6.3664116048112618E-2</v>
      </c>
      <c r="K134" s="72" t="str">
        <f t="shared" si="17"/>
        <v/>
      </c>
      <c r="L134" s="59">
        <f t="shared" si="17"/>
        <v>8.0197140288855162E-3</v>
      </c>
      <c r="M134" s="59">
        <f t="shared" si="17"/>
        <v>1.4469008928970142E-2</v>
      </c>
      <c r="N134" s="59">
        <f t="shared" si="17"/>
        <v>1.7176332232893769E-2</v>
      </c>
      <c r="O134" s="62">
        <f t="shared" si="17"/>
        <v>1.9436318448112635E-2</v>
      </c>
      <c r="P134" s="54" t="s">
        <v>21</v>
      </c>
      <c r="Q134" s="52" t="s">
        <v>21</v>
      </c>
      <c r="R134" s="93" t="s">
        <v>21</v>
      </c>
      <c r="S134" s="70">
        <v>0</v>
      </c>
      <c r="T134" s="62">
        <f t="shared" si="15"/>
        <v>5.641392902897014E-2</v>
      </c>
      <c r="V134" s="113">
        <v>1.11408497</v>
      </c>
      <c r="W134" s="71">
        <v>2.85757298</v>
      </c>
      <c r="X134" s="71">
        <v>4.3758415900000003</v>
      </c>
      <c r="Y134" s="71">
        <v>5.6606843800000002</v>
      </c>
      <c r="Z134" s="114">
        <v>7.2321050199999997</v>
      </c>
      <c r="AB134" s="72">
        <v>4.2029838962543496E-2</v>
      </c>
      <c r="AC134" s="70">
        <v>4.9786490328885519E-2</v>
      </c>
      <c r="AD134" s="70">
        <v>5.641392902897014E-2</v>
      </c>
      <c r="AE134" s="70">
        <v>5.9920335332893766E-2</v>
      </c>
      <c r="AF134" s="62">
        <v>6.3664116048112618E-2</v>
      </c>
      <c r="AG134" s="70" t="s">
        <v>21</v>
      </c>
      <c r="AH134" s="70">
        <v>8.0197140288855162E-3</v>
      </c>
      <c r="AI134" s="70">
        <v>1.4469008928970142E-2</v>
      </c>
      <c r="AJ134" s="70">
        <v>1.7176332232893769E-2</v>
      </c>
      <c r="AK134" s="70">
        <v>1.9436318448112635E-2</v>
      </c>
    </row>
    <row r="135" spans="2:37" x14ac:dyDescent="0.35">
      <c r="B135" s="96" t="s">
        <v>83</v>
      </c>
      <c r="C135" s="97"/>
      <c r="D135" s="97"/>
      <c r="E135" s="97"/>
      <c r="F135" s="97" t="str">
        <f t="shared" si="16"/>
        <v/>
      </c>
      <c r="G135" s="97" t="str">
        <f t="shared" si="16"/>
        <v/>
      </c>
      <c r="H135" s="97" t="str">
        <f t="shared" si="16"/>
        <v/>
      </c>
      <c r="I135" s="97" t="str">
        <f t="shared" si="16"/>
        <v/>
      </c>
      <c r="J135" s="97" t="str">
        <f t="shared" si="16"/>
        <v/>
      </c>
      <c r="K135" s="97" t="str">
        <f t="shared" si="17"/>
        <v/>
      </c>
      <c r="L135" s="97" t="str">
        <f t="shared" si="17"/>
        <v/>
      </c>
      <c r="M135" s="97" t="str">
        <f t="shared" si="17"/>
        <v/>
      </c>
      <c r="N135" s="97" t="str">
        <f t="shared" si="17"/>
        <v/>
      </c>
      <c r="O135" s="76" t="str">
        <f t="shared" si="17"/>
        <v/>
      </c>
      <c r="P135" s="96"/>
      <c r="Q135" s="97"/>
      <c r="R135" s="100"/>
      <c r="S135" s="97"/>
      <c r="T135" s="98" t="str">
        <f t="shared" si="15"/>
        <v/>
      </c>
      <c r="V135" s="119"/>
      <c r="W135" s="108"/>
      <c r="X135" s="108"/>
      <c r="Y135" s="108"/>
      <c r="Z135" s="120"/>
      <c r="AB135" s="77"/>
      <c r="AC135" s="77"/>
      <c r="AD135" s="77"/>
      <c r="AE135" s="77"/>
      <c r="AF135" s="77"/>
      <c r="AG135" s="97"/>
      <c r="AH135" s="97"/>
      <c r="AI135" s="97"/>
      <c r="AJ135" s="97"/>
      <c r="AK135" s="97"/>
    </row>
    <row r="136" spans="2:37" x14ac:dyDescent="0.35">
      <c r="B136" s="55" t="s">
        <v>108</v>
      </c>
      <c r="C136" s="65" t="s">
        <v>85</v>
      </c>
      <c r="D136" s="65" t="s">
        <v>20</v>
      </c>
      <c r="E136" s="64" t="s">
        <v>58</v>
      </c>
      <c r="F136" s="79">
        <f t="shared" si="16"/>
        <v>4.1232273040774384E-2</v>
      </c>
      <c r="G136" s="79">
        <f t="shared" si="16"/>
        <v>4.726804250336672E-2</v>
      </c>
      <c r="H136" s="79">
        <f t="shared" si="16"/>
        <v>5.201639411890481E-2</v>
      </c>
      <c r="I136" s="79">
        <f t="shared" si="16"/>
        <v>5.5925673287133541E-2</v>
      </c>
      <c r="J136" s="61">
        <f t="shared" si="16"/>
        <v>5.9306204277649634E-2</v>
      </c>
      <c r="K136" s="79" t="str">
        <f t="shared" si="17"/>
        <v/>
      </c>
      <c r="L136" s="79">
        <f t="shared" si="17"/>
        <v>5.5845884033667182E-3</v>
      </c>
      <c r="M136" s="79">
        <f t="shared" si="17"/>
        <v>1.0227571618904811E-2</v>
      </c>
      <c r="N136" s="79">
        <f t="shared" si="17"/>
        <v>1.3309496187133538E-2</v>
      </c>
      <c r="O136" s="61">
        <f t="shared" si="17"/>
        <v>1.5220610677649626E-2</v>
      </c>
      <c r="P136" s="55" t="s">
        <v>470</v>
      </c>
      <c r="Q136" s="65" t="s">
        <v>471</v>
      </c>
      <c r="R136" s="99">
        <v>47580</v>
      </c>
      <c r="S136" s="79">
        <v>5.0258839999999999E-2</v>
      </c>
      <c r="T136" s="61">
        <f t="shared" si="15"/>
        <v>1.7575541189048111E-3</v>
      </c>
      <c r="V136" s="117">
        <v>1.11417725</v>
      </c>
      <c r="W136" s="60">
        <v>2.86387656</v>
      </c>
      <c r="X136" s="60">
        <v>4.40360408</v>
      </c>
      <c r="Y136" s="60">
        <v>5.7051423200000002</v>
      </c>
      <c r="Z136" s="118">
        <v>7.3026156100000001</v>
      </c>
      <c r="AB136" s="79">
        <v>4.1232273040774384E-2</v>
      </c>
      <c r="AC136" s="79">
        <v>4.726804250336672E-2</v>
      </c>
      <c r="AD136" s="79">
        <v>5.201639411890481E-2</v>
      </c>
      <c r="AE136" s="79">
        <v>5.5925673287133541E-2</v>
      </c>
      <c r="AF136" s="61">
        <v>5.9306204277649634E-2</v>
      </c>
      <c r="AG136" s="79" t="s">
        <v>21</v>
      </c>
      <c r="AH136" s="79">
        <v>5.5845884033667182E-3</v>
      </c>
      <c r="AI136" s="79">
        <v>1.0227571618904811E-2</v>
      </c>
      <c r="AJ136" s="79">
        <v>1.3309496187133538E-2</v>
      </c>
      <c r="AK136" s="79">
        <v>1.5220610677649626E-2</v>
      </c>
    </row>
    <row r="137" spans="2:37" x14ac:dyDescent="0.35">
      <c r="B137" s="54" t="s">
        <v>109</v>
      </c>
      <c r="C137" s="52" t="s">
        <v>85</v>
      </c>
      <c r="D137" s="52" t="s">
        <v>20</v>
      </c>
      <c r="E137" s="58" t="s">
        <v>54</v>
      </c>
      <c r="F137" s="59">
        <f t="shared" si="16"/>
        <v>4.4105451525831257E-2</v>
      </c>
      <c r="G137" s="59">
        <f t="shared" si="16"/>
        <v>5.3445407719566435E-2</v>
      </c>
      <c r="H137" s="59">
        <f t="shared" si="16"/>
        <v>6.2308768336220482E-2</v>
      </c>
      <c r="I137" s="59">
        <f t="shared" si="16"/>
        <v>6.8408031024615998E-2</v>
      </c>
      <c r="J137" s="62">
        <f t="shared" si="16"/>
        <v>7.0565586662445168E-2</v>
      </c>
      <c r="K137" s="59">
        <f t="shared" si="17"/>
        <v>1.934756425831248E-3</v>
      </c>
      <c r="L137" s="59">
        <f t="shared" si="17"/>
        <v>1.1417851219566434E-2</v>
      </c>
      <c r="M137" s="59">
        <f t="shared" si="17"/>
        <v>1.9871626036220467E-2</v>
      </c>
      <c r="N137" s="59">
        <f t="shared" si="17"/>
        <v>2.4960772324615983E-2</v>
      </c>
      <c r="O137" s="62">
        <f t="shared" si="17"/>
        <v>2.5800376462445165E-2</v>
      </c>
      <c r="P137" s="54" t="s">
        <v>472</v>
      </c>
      <c r="Q137" s="52" t="s">
        <v>473</v>
      </c>
      <c r="R137" s="93" t="s">
        <v>32</v>
      </c>
      <c r="S137" s="70">
        <v>5.4434139999999999E-2</v>
      </c>
      <c r="T137" s="62">
        <f t="shared" si="15"/>
        <v>7.8746283362204836E-3</v>
      </c>
      <c r="V137" s="113">
        <v>1.1083799400000001</v>
      </c>
      <c r="W137" s="71">
        <v>2.81768295</v>
      </c>
      <c r="X137" s="71">
        <v>4.2460024599999997</v>
      </c>
      <c r="Y137" s="71">
        <v>5.3765827099999992</v>
      </c>
      <c r="Z137" s="114">
        <v>6.7277759800000005</v>
      </c>
      <c r="AB137" s="70">
        <v>4.4105451525831257E-2</v>
      </c>
      <c r="AC137" s="70">
        <v>5.3445407719566435E-2</v>
      </c>
      <c r="AD137" s="70">
        <v>6.2308768336220482E-2</v>
      </c>
      <c r="AE137" s="70">
        <v>6.8408031024615998E-2</v>
      </c>
      <c r="AF137" s="62">
        <v>7.0565586662445168E-2</v>
      </c>
      <c r="AG137" s="70">
        <v>1.934756425831248E-3</v>
      </c>
      <c r="AH137" s="70">
        <v>1.1417851219566434E-2</v>
      </c>
      <c r="AI137" s="70">
        <v>1.9871626036220467E-2</v>
      </c>
      <c r="AJ137" s="70">
        <v>2.4960772324615983E-2</v>
      </c>
      <c r="AK137" s="70">
        <v>2.5800376462445165E-2</v>
      </c>
    </row>
    <row r="138" spans="2:37" x14ac:dyDescent="0.35">
      <c r="B138" s="56" t="s">
        <v>111</v>
      </c>
      <c r="C138" s="66" t="s">
        <v>85</v>
      </c>
      <c r="D138" s="66" t="s">
        <v>20</v>
      </c>
      <c r="E138" s="53" t="s">
        <v>112</v>
      </c>
      <c r="F138" s="75">
        <f t="shared" si="16"/>
        <v>4.2227006217329111E-2</v>
      </c>
      <c r="G138" s="75">
        <f t="shared" si="16"/>
        <v>4.9365595113526166E-2</v>
      </c>
      <c r="H138" s="75">
        <f t="shared" si="16"/>
        <v>5.4897444243221037E-2</v>
      </c>
      <c r="I138" s="75">
        <f t="shared" si="16"/>
        <v>5.8274477645597587E-2</v>
      </c>
      <c r="J138" s="63">
        <f t="shared" si="16"/>
        <v>6.1682264251533926E-2</v>
      </c>
      <c r="K138" s="75">
        <f t="shared" si="17"/>
        <v>1.3862951732911567E-4</v>
      </c>
      <c r="L138" s="75">
        <f t="shared" si="17"/>
        <v>7.5652810135261664E-3</v>
      </c>
      <c r="M138" s="75">
        <f t="shared" si="17"/>
        <v>1.2944674143221037E-2</v>
      </c>
      <c r="N138" s="75">
        <f t="shared" si="17"/>
        <v>1.5520640345597596E-2</v>
      </c>
      <c r="O138" s="63">
        <f t="shared" si="17"/>
        <v>1.7468613651533925E-2</v>
      </c>
      <c r="P138" s="56" t="s">
        <v>21</v>
      </c>
      <c r="Q138" s="66" t="s">
        <v>21</v>
      </c>
      <c r="R138" s="95" t="s">
        <v>21</v>
      </c>
      <c r="S138" s="75">
        <v>0</v>
      </c>
      <c r="T138" s="63">
        <f t="shared" si="15"/>
        <v>5.4897444243221037E-2</v>
      </c>
      <c r="V138" s="115">
        <v>1.11239968</v>
      </c>
      <c r="W138" s="107">
        <v>2.84808445</v>
      </c>
      <c r="X138" s="107">
        <v>4.3564815499999998</v>
      </c>
      <c r="Y138" s="107">
        <v>5.6243506600000002</v>
      </c>
      <c r="Z138" s="116">
        <v>7.1638935500000001</v>
      </c>
      <c r="AB138" s="75">
        <v>4.2227006217329111E-2</v>
      </c>
      <c r="AC138" s="75">
        <v>4.9365595113526166E-2</v>
      </c>
      <c r="AD138" s="75">
        <v>5.4897444243221037E-2</v>
      </c>
      <c r="AE138" s="75">
        <v>5.8274477645597587E-2</v>
      </c>
      <c r="AF138" s="63">
        <v>6.1682264251533926E-2</v>
      </c>
      <c r="AG138" s="75">
        <v>1.3862951732911567E-4</v>
      </c>
      <c r="AH138" s="75">
        <v>7.5652810135261664E-3</v>
      </c>
      <c r="AI138" s="75">
        <v>1.2944674143221037E-2</v>
      </c>
      <c r="AJ138" s="75">
        <v>1.5520640345597596E-2</v>
      </c>
      <c r="AK138" s="75">
        <v>1.7468613651533925E-2</v>
      </c>
    </row>
    <row r="139" spans="2:37" x14ac:dyDescent="0.35">
      <c r="P139" s="127"/>
      <c r="Q139" s="127"/>
      <c r="R139" s="44"/>
      <c r="S139" s="127"/>
      <c r="T139" s="127"/>
      <c r="V139" s="71"/>
      <c r="W139" s="71"/>
      <c r="X139" s="71"/>
      <c r="Y139" s="71"/>
      <c r="Z139" s="71"/>
    </row>
    <row r="140" spans="2:37" ht="15.5" x14ac:dyDescent="0.35">
      <c r="B140" s="121" t="s">
        <v>113</v>
      </c>
      <c r="R140" s="93"/>
      <c r="S140" s="70"/>
      <c r="T140" s="70"/>
      <c r="V140" s="71"/>
      <c r="W140" s="71"/>
      <c r="X140" s="71"/>
      <c r="Y140" s="71"/>
      <c r="Z140" s="71"/>
    </row>
    <row r="141" spans="2:37" x14ac:dyDescent="0.35">
      <c r="B141" s="84" t="s">
        <v>5</v>
      </c>
      <c r="C141" s="83" t="s">
        <v>6</v>
      </c>
      <c r="D141" s="83" t="s">
        <v>7</v>
      </c>
      <c r="E141" s="83" t="s">
        <v>8</v>
      </c>
      <c r="F141" s="82" t="s">
        <v>9</v>
      </c>
      <c r="G141" s="81" t="s">
        <v>10</v>
      </c>
      <c r="H141" s="81" t="s">
        <v>11</v>
      </c>
      <c r="I141" s="81" t="s">
        <v>12</v>
      </c>
      <c r="J141" s="80" t="s">
        <v>13</v>
      </c>
      <c r="K141" s="82" t="s">
        <v>9</v>
      </c>
      <c r="L141" s="81" t="s">
        <v>10</v>
      </c>
      <c r="M141" s="81" t="s">
        <v>11</v>
      </c>
      <c r="N141" s="81" t="s">
        <v>12</v>
      </c>
      <c r="O141" s="80" t="s">
        <v>13</v>
      </c>
      <c r="P141" s="69" t="s">
        <v>14</v>
      </c>
      <c r="Q141" s="57" t="s">
        <v>15</v>
      </c>
      <c r="R141" s="57" t="s">
        <v>16</v>
      </c>
      <c r="S141" s="57" t="s">
        <v>413</v>
      </c>
      <c r="T141" s="57" t="s">
        <v>18</v>
      </c>
      <c r="V141" s="109" t="s">
        <v>9</v>
      </c>
      <c r="W141" s="105" t="s">
        <v>10</v>
      </c>
      <c r="X141" s="105" t="s">
        <v>11</v>
      </c>
      <c r="Y141" s="105" t="s">
        <v>12</v>
      </c>
      <c r="Z141" s="110" t="s">
        <v>13</v>
      </c>
      <c r="AB141" s="82" t="s">
        <v>9</v>
      </c>
      <c r="AC141" s="81" t="s">
        <v>10</v>
      </c>
      <c r="AD141" s="81" t="s">
        <v>11</v>
      </c>
      <c r="AE141" s="81" t="s">
        <v>12</v>
      </c>
      <c r="AF141" s="80" t="s">
        <v>13</v>
      </c>
      <c r="AG141" s="57" t="s">
        <v>9</v>
      </c>
      <c r="AH141" s="57" t="s">
        <v>10</v>
      </c>
      <c r="AI141" s="57" t="s">
        <v>11</v>
      </c>
      <c r="AJ141" s="57" t="s">
        <v>12</v>
      </c>
      <c r="AK141" s="57" t="s">
        <v>13</v>
      </c>
    </row>
    <row r="142" spans="2:37" x14ac:dyDescent="0.35">
      <c r="B142" s="78" t="s">
        <v>114</v>
      </c>
      <c r="C142" s="9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6"/>
      <c r="P142" s="78"/>
      <c r="Q142" s="77"/>
      <c r="R142" s="94"/>
      <c r="S142" s="77"/>
      <c r="T142" s="76"/>
      <c r="V142" s="111"/>
      <c r="W142" s="106"/>
      <c r="X142" s="106"/>
      <c r="Y142" s="106"/>
      <c r="Z142" s="112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</row>
    <row r="143" spans="2:37" x14ac:dyDescent="0.35">
      <c r="B143" s="55" t="s">
        <v>317</v>
      </c>
      <c r="C143" s="65" t="s">
        <v>232</v>
      </c>
      <c r="D143" s="65" t="s">
        <v>20</v>
      </c>
      <c r="E143" s="65" t="s">
        <v>21</v>
      </c>
      <c r="F143" s="74">
        <f t="shared" ref="F143:J173" si="18">IF(ISNUMBER(AB143),AB143-((C$4-C$3)/V143),"")</f>
        <v>4.3609631101045349E-2</v>
      </c>
      <c r="G143" s="79">
        <f t="shared" si="18"/>
        <v>5.5073032267525725E-2</v>
      </c>
      <c r="H143" s="79">
        <f t="shared" si="18"/>
        <v>6.8639470961853036E-2</v>
      </c>
      <c r="I143" s="79">
        <f t="shared" si="18"/>
        <v>7.5085518406299331E-2</v>
      </c>
      <c r="J143" s="61">
        <f t="shared" si="18"/>
        <v>8.0227761657387223E-2</v>
      </c>
      <c r="K143" s="79">
        <f t="shared" ref="K143:O173" si="19">IF(ISNUMBER(AG143),IF(AG143-((C$4-C$3)/V143)&lt;0,"",AG143-((C$4-C$3)/V143)),"")</f>
        <v>1.4433771010453527E-3</v>
      </c>
      <c r="L143" s="79">
        <f t="shared" si="19"/>
        <v>1.2928319467525724E-2</v>
      </c>
      <c r="M143" s="79">
        <f t="shared" si="19"/>
        <v>2.5705997561853041E-2</v>
      </c>
      <c r="N143" s="79">
        <f t="shared" si="19"/>
        <v>3.1099361706299337E-2</v>
      </c>
      <c r="O143" s="61">
        <f t="shared" si="19"/>
        <v>3.473623525738722E-2</v>
      </c>
      <c r="P143" s="55" t="s">
        <v>21</v>
      </c>
      <c r="Q143" s="65" t="s">
        <v>21</v>
      </c>
      <c r="R143" s="99" t="s">
        <v>21</v>
      </c>
      <c r="S143" s="79">
        <v>0</v>
      </c>
      <c r="T143" s="61">
        <f t="shared" ref="T143:T276" si="20">IF(S143="","",H143-S143)</f>
        <v>6.8639470961853036E-2</v>
      </c>
      <c r="V143" s="113">
        <v>1.1097773199999998</v>
      </c>
      <c r="W143" s="71">
        <v>2.80980345</v>
      </c>
      <c r="X143" s="71">
        <v>4.1766326999999999</v>
      </c>
      <c r="Y143" s="71">
        <v>5.2177216300000007</v>
      </c>
      <c r="Z143" s="114">
        <v>6.3644840999999994</v>
      </c>
      <c r="AB143" s="79">
        <v>4.3609631101045349E-2</v>
      </c>
      <c r="AC143" s="79">
        <v>5.5073032267525725E-2</v>
      </c>
      <c r="AD143" s="79">
        <v>6.8639470961853036E-2</v>
      </c>
      <c r="AE143" s="79">
        <v>7.5085518406299331E-2</v>
      </c>
      <c r="AF143" s="61">
        <v>8.0227761657387223E-2</v>
      </c>
      <c r="AG143" s="79">
        <v>1.4433771010453527E-3</v>
      </c>
      <c r="AH143" s="79">
        <v>1.2928319467525724E-2</v>
      </c>
      <c r="AI143" s="79">
        <v>2.5705997561853041E-2</v>
      </c>
      <c r="AJ143" s="79">
        <v>3.1099361706299337E-2</v>
      </c>
      <c r="AK143" s="61">
        <v>3.473623525738722E-2</v>
      </c>
    </row>
    <row r="144" spans="2:37" x14ac:dyDescent="0.35">
      <c r="B144" s="54" t="s">
        <v>175</v>
      </c>
      <c r="C144" s="52" t="s">
        <v>232</v>
      </c>
      <c r="D144" s="52" t="s">
        <v>43</v>
      </c>
      <c r="E144" s="52" t="s">
        <v>21</v>
      </c>
      <c r="F144" s="72">
        <f t="shared" si="18"/>
        <v>4.3276148895070816E-2</v>
      </c>
      <c r="G144" s="59">
        <f t="shared" si="18"/>
        <v>5.5518366782696615E-2</v>
      </c>
      <c r="H144" s="59">
        <f t="shared" si="18"/>
        <v>6.7217553781723907E-2</v>
      </c>
      <c r="I144" s="59">
        <f t="shared" si="18"/>
        <v>7.5544387605579993E-2</v>
      </c>
      <c r="J144" s="62">
        <f t="shared" si="18"/>
        <v>7.9940470745502576E-2</v>
      </c>
      <c r="K144" s="59">
        <f t="shared" si="19"/>
        <v>1.1370880950708154E-3</v>
      </c>
      <c r="L144" s="59">
        <f t="shared" si="19"/>
        <v>1.3347013582696621E-2</v>
      </c>
      <c r="M144" s="59">
        <f t="shared" si="19"/>
        <v>2.4399115881723901E-2</v>
      </c>
      <c r="N144" s="59">
        <f t="shared" si="19"/>
        <v>3.1517529005579983E-2</v>
      </c>
      <c r="O144" s="62">
        <f t="shared" si="19"/>
        <v>3.4477152945502576E-2</v>
      </c>
      <c r="P144" s="54" t="s">
        <v>21</v>
      </c>
      <c r="Q144" s="52" t="s">
        <v>21</v>
      </c>
      <c r="R144" s="93" t="s">
        <v>21</v>
      </c>
      <c r="S144" s="70">
        <v>0</v>
      </c>
      <c r="T144" s="62">
        <f t="shared" si="20"/>
        <v>6.7217553781723907E-2</v>
      </c>
      <c r="V144" s="113">
        <v>1.1104400699999999</v>
      </c>
      <c r="W144" s="71">
        <v>2.8059679099999997</v>
      </c>
      <c r="X144" s="71">
        <v>4.1847460600000002</v>
      </c>
      <c r="Y144" s="71">
        <v>5.2265258299999999</v>
      </c>
      <c r="Z144" s="114">
        <v>6.3761177299999998</v>
      </c>
      <c r="AB144" s="70">
        <v>4.3276148895070816E-2</v>
      </c>
      <c r="AC144" s="70">
        <v>5.5518366782696615E-2</v>
      </c>
      <c r="AD144" s="70">
        <v>6.7217553781723907E-2</v>
      </c>
      <c r="AE144" s="70">
        <v>7.5544387605579993E-2</v>
      </c>
      <c r="AF144" s="62">
        <v>7.9940470745502576E-2</v>
      </c>
      <c r="AG144" s="70">
        <v>1.1370880950708154E-3</v>
      </c>
      <c r="AH144" s="70">
        <v>1.3347013582696621E-2</v>
      </c>
      <c r="AI144" s="70">
        <v>2.4399115881723901E-2</v>
      </c>
      <c r="AJ144" s="70">
        <v>3.1517529005579983E-2</v>
      </c>
      <c r="AK144" s="62">
        <v>3.4477152945502576E-2</v>
      </c>
    </row>
    <row r="145" spans="2:37" x14ac:dyDescent="0.35">
      <c r="B145" s="54" t="s">
        <v>122</v>
      </c>
      <c r="C145" s="52" t="s">
        <v>232</v>
      </c>
      <c r="D145" s="52" t="s">
        <v>97</v>
      </c>
      <c r="E145" s="52" t="s">
        <v>267</v>
      </c>
      <c r="F145" s="72">
        <f t="shared" si="18"/>
        <v>4.2513448249568132E-2</v>
      </c>
      <c r="G145" s="59">
        <f t="shared" si="18"/>
        <v>5.4510880205073893E-2</v>
      </c>
      <c r="H145" s="59">
        <f t="shared" si="18"/>
        <v>6.5098922871672321E-2</v>
      </c>
      <c r="I145" s="59">
        <f t="shared" si="18"/>
        <v>7.3240945573653626E-2</v>
      </c>
      <c r="J145" s="62">
        <f t="shared" si="18"/>
        <v>7.9811032299238444E-2</v>
      </c>
      <c r="K145" s="59">
        <f t="shared" si="19"/>
        <v>4.1995904956813358E-4</v>
      </c>
      <c r="L145" s="59">
        <f t="shared" si="19"/>
        <v>1.2410788305073899E-2</v>
      </c>
      <c r="M145" s="59">
        <f t="shared" si="19"/>
        <v>2.2450268971672308E-2</v>
      </c>
      <c r="N145" s="59">
        <f t="shared" si="19"/>
        <v>2.9411911673653635E-2</v>
      </c>
      <c r="O145" s="62">
        <f t="shared" si="19"/>
        <v>3.4359061299238436E-2</v>
      </c>
      <c r="P145" s="54" t="s">
        <v>21</v>
      </c>
      <c r="Q145" s="52" t="s">
        <v>21</v>
      </c>
      <c r="R145" s="93" t="s">
        <v>21</v>
      </c>
      <c r="S145" s="70">
        <v>0</v>
      </c>
      <c r="T145" s="62">
        <f t="shared" si="20"/>
        <v>6.5098922871672321E-2</v>
      </c>
      <c r="V145" s="113">
        <v>1.1118050500000001</v>
      </c>
      <c r="W145" s="71">
        <v>2.8155870100000002</v>
      </c>
      <c r="X145" s="71">
        <v>4.2155355500000002</v>
      </c>
      <c r="Y145" s="71">
        <v>5.2859793499999999</v>
      </c>
      <c r="Z145" s="114">
        <v>6.4375163599999992</v>
      </c>
      <c r="AB145" s="70">
        <v>4.2513448249568132E-2</v>
      </c>
      <c r="AC145" s="70">
        <v>5.4510880205073893E-2</v>
      </c>
      <c r="AD145" s="70">
        <v>6.5098922871672321E-2</v>
      </c>
      <c r="AE145" s="70">
        <v>7.3240945573653626E-2</v>
      </c>
      <c r="AF145" s="62">
        <v>7.9811032299238444E-2</v>
      </c>
      <c r="AG145" s="70">
        <v>4.1995904956813358E-4</v>
      </c>
      <c r="AH145" s="70">
        <v>1.2410788305073899E-2</v>
      </c>
      <c r="AI145" s="70">
        <v>2.2450268971672308E-2</v>
      </c>
      <c r="AJ145" s="70">
        <v>2.9411911673653635E-2</v>
      </c>
      <c r="AK145" s="62">
        <v>3.4359061299238436E-2</v>
      </c>
    </row>
    <row r="146" spans="2:37" x14ac:dyDescent="0.35">
      <c r="B146" s="54" t="s">
        <v>168</v>
      </c>
      <c r="C146" s="52" t="s">
        <v>232</v>
      </c>
      <c r="D146" s="52" t="s">
        <v>20</v>
      </c>
      <c r="E146" s="52" t="s">
        <v>21</v>
      </c>
      <c r="F146" s="72">
        <f t="shared" si="18"/>
        <v>4.5925840556176739E-2</v>
      </c>
      <c r="G146" s="59">
        <f t="shared" si="18"/>
        <v>5.6009300660639805E-2</v>
      </c>
      <c r="H146" s="59">
        <f t="shared" si="18"/>
        <v>6.5614648850285603E-2</v>
      </c>
      <c r="I146" s="59">
        <f t="shared" si="18"/>
        <v>7.0634609959192393E-2</v>
      </c>
      <c r="J146" s="62">
        <f t="shared" si="18"/>
        <v>7.56072452411886E-2</v>
      </c>
      <c r="K146" s="59">
        <f t="shared" si="19"/>
        <v>3.6217886561767448E-3</v>
      </c>
      <c r="L146" s="59">
        <f t="shared" si="19"/>
        <v>1.3809386760639804E-2</v>
      </c>
      <c r="M146" s="59">
        <f t="shared" si="19"/>
        <v>2.2925629350285609E-2</v>
      </c>
      <c r="N146" s="59">
        <f t="shared" si="19"/>
        <v>2.7015499059192396E-2</v>
      </c>
      <c r="O146" s="62">
        <f t="shared" si="19"/>
        <v>3.0467805541188608E-2</v>
      </c>
      <c r="P146" s="54" t="s">
        <v>474</v>
      </c>
      <c r="Q146" s="52" t="s">
        <v>475</v>
      </c>
      <c r="R146" s="93">
        <v>47505</v>
      </c>
      <c r="S146" s="70">
        <v>6.150423E-2</v>
      </c>
      <c r="T146" s="62">
        <f t="shared" si="20"/>
        <v>4.1104188502856034E-3</v>
      </c>
      <c r="V146" s="113">
        <v>1.1040500799999999</v>
      </c>
      <c r="W146" s="71">
        <v>2.7930866499999998</v>
      </c>
      <c r="X146" s="71">
        <v>4.1915596500000003</v>
      </c>
      <c r="Y146" s="71">
        <v>5.2861023500000002</v>
      </c>
      <c r="Z146" s="114">
        <v>6.5327139899999995</v>
      </c>
      <c r="AB146" s="70">
        <v>4.5925840556176739E-2</v>
      </c>
      <c r="AC146" s="70">
        <v>5.6009300660639805E-2</v>
      </c>
      <c r="AD146" s="70">
        <v>6.5614648850285603E-2</v>
      </c>
      <c r="AE146" s="70">
        <v>7.0634609959192393E-2</v>
      </c>
      <c r="AF146" s="62">
        <v>7.56072452411886E-2</v>
      </c>
      <c r="AG146" s="70">
        <v>3.6217886561767448E-3</v>
      </c>
      <c r="AH146" s="70">
        <v>1.3809386760639804E-2</v>
      </c>
      <c r="AI146" s="70">
        <v>2.2925629350285609E-2</v>
      </c>
      <c r="AJ146" s="70">
        <v>2.7015499059192396E-2</v>
      </c>
      <c r="AK146" s="62">
        <v>3.0467805541188608E-2</v>
      </c>
    </row>
    <row r="147" spans="2:37" x14ac:dyDescent="0.35">
      <c r="B147" s="54" t="s">
        <v>152</v>
      </c>
      <c r="C147" s="52" t="s">
        <v>232</v>
      </c>
      <c r="D147" s="52" t="s">
        <v>20</v>
      </c>
      <c r="E147" s="52" t="s">
        <v>123</v>
      </c>
      <c r="F147" s="72">
        <f t="shared" si="18"/>
        <v>4.5045804582400067E-2</v>
      </c>
      <c r="G147" s="59">
        <f t="shared" si="18"/>
        <v>5.724619782775562E-2</v>
      </c>
      <c r="H147" s="59">
        <f t="shared" si="18"/>
        <v>6.4341845142265486E-2</v>
      </c>
      <c r="I147" s="59">
        <f t="shared" si="18"/>
        <v>6.9306010485466099E-2</v>
      </c>
      <c r="J147" s="62">
        <f t="shared" si="18"/>
        <v>7.2902336034433982E-2</v>
      </c>
      <c r="K147" s="59">
        <f t="shared" si="19"/>
        <v>2.7966110824000625E-3</v>
      </c>
      <c r="L147" s="59">
        <f t="shared" si="19"/>
        <v>1.4955965527755615E-2</v>
      </c>
      <c r="M147" s="59">
        <f t="shared" si="19"/>
        <v>2.1743215942265488E-2</v>
      </c>
      <c r="N147" s="59">
        <f t="shared" si="19"/>
        <v>2.5778348585466095E-2</v>
      </c>
      <c r="O147" s="62">
        <f t="shared" si="19"/>
        <v>2.7951194434433987E-2</v>
      </c>
      <c r="P147" s="54" t="s">
        <v>476</v>
      </c>
      <c r="Q147" s="52" t="s">
        <v>477</v>
      </c>
      <c r="R147" s="93">
        <v>47484</v>
      </c>
      <c r="S147" s="70">
        <v>5.7366819999999999E-2</v>
      </c>
      <c r="T147" s="62">
        <f t="shared" si="20"/>
        <v>6.9750251422654869E-3</v>
      </c>
      <c r="V147" s="113">
        <v>1.1061797099999999</v>
      </c>
      <c r="W147" s="71">
        <v>2.7894378099999999</v>
      </c>
      <c r="X147" s="71">
        <v>4.1949778200000001</v>
      </c>
      <c r="Y147" s="71">
        <v>5.3147091099999999</v>
      </c>
      <c r="Z147" s="114">
        <v>6.6182049100000002</v>
      </c>
      <c r="AB147" s="70">
        <v>4.5045804582400067E-2</v>
      </c>
      <c r="AC147" s="70">
        <v>5.724619782775562E-2</v>
      </c>
      <c r="AD147" s="70">
        <v>6.4341845142265486E-2</v>
      </c>
      <c r="AE147" s="70">
        <v>6.9306010485466099E-2</v>
      </c>
      <c r="AF147" s="62">
        <v>7.2902336034433982E-2</v>
      </c>
      <c r="AG147" s="70">
        <v>2.7966110824000625E-3</v>
      </c>
      <c r="AH147" s="70">
        <v>1.4955965527755615E-2</v>
      </c>
      <c r="AI147" s="70">
        <v>2.1743215942265488E-2</v>
      </c>
      <c r="AJ147" s="70">
        <v>2.5778348585466095E-2</v>
      </c>
      <c r="AK147" s="62">
        <v>2.7951194434433987E-2</v>
      </c>
    </row>
    <row r="148" spans="2:37" x14ac:dyDescent="0.35">
      <c r="B148" s="54" t="s">
        <v>174</v>
      </c>
      <c r="C148" s="52" t="s">
        <v>232</v>
      </c>
      <c r="D148" s="52" t="s">
        <v>47</v>
      </c>
      <c r="E148" s="52" t="s">
        <v>21</v>
      </c>
      <c r="F148" s="72">
        <f t="shared" si="18"/>
        <v>4.6008314646685616E-2</v>
      </c>
      <c r="G148" s="59">
        <f t="shared" si="18"/>
        <v>5.4742705263614702E-2</v>
      </c>
      <c r="H148" s="59">
        <f t="shared" si="18"/>
        <v>6.2898159608505463E-2</v>
      </c>
      <c r="I148" s="59">
        <f t="shared" si="18"/>
        <v>6.6245575846978794E-2</v>
      </c>
      <c r="J148" s="62">
        <f t="shared" si="18"/>
        <v>6.9680429204539943E-2</v>
      </c>
      <c r="K148" s="59">
        <f t="shared" si="19"/>
        <v>3.6829699466856165E-3</v>
      </c>
      <c r="L148" s="59">
        <f t="shared" si="19"/>
        <v>1.2619632463614706E-2</v>
      </c>
      <c r="M148" s="59">
        <f t="shared" si="19"/>
        <v>2.0406763408505453E-2</v>
      </c>
      <c r="N148" s="59">
        <f t="shared" si="19"/>
        <v>2.2950131146978799E-2</v>
      </c>
      <c r="O148" s="62">
        <f t="shared" si="19"/>
        <v>2.4953849404539926E-2</v>
      </c>
      <c r="P148" s="54" t="s">
        <v>21</v>
      </c>
      <c r="Q148" s="52" t="s">
        <v>21</v>
      </c>
      <c r="R148" s="93" t="s">
        <v>21</v>
      </c>
      <c r="S148" s="70">
        <v>0</v>
      </c>
      <c r="T148" s="62">
        <f t="shared" si="20"/>
        <v>6.2898159608505463E-2</v>
      </c>
      <c r="V148" s="113">
        <v>1.1039590800000001</v>
      </c>
      <c r="W148" s="71">
        <v>2.8024545500000002</v>
      </c>
      <c r="X148" s="71">
        <v>4.2240372600000002</v>
      </c>
      <c r="Y148" s="71">
        <v>5.3844741699999998</v>
      </c>
      <c r="Z148" s="114">
        <v>6.75670006</v>
      </c>
      <c r="AB148" s="70">
        <v>4.6008314646685616E-2</v>
      </c>
      <c r="AC148" s="70">
        <v>5.4742705263614702E-2</v>
      </c>
      <c r="AD148" s="70">
        <v>6.2898159608505463E-2</v>
      </c>
      <c r="AE148" s="70">
        <v>6.6245575846978794E-2</v>
      </c>
      <c r="AF148" s="62">
        <v>6.9680429204539943E-2</v>
      </c>
      <c r="AG148" s="70">
        <v>3.6829699466856165E-3</v>
      </c>
      <c r="AH148" s="70">
        <v>1.2619632463614706E-2</v>
      </c>
      <c r="AI148" s="70">
        <v>2.0406763408505453E-2</v>
      </c>
      <c r="AJ148" s="70">
        <v>2.2950131146978799E-2</v>
      </c>
      <c r="AK148" s="62">
        <v>2.4953849404539926E-2</v>
      </c>
    </row>
    <row r="149" spans="2:37" x14ac:dyDescent="0.35">
      <c r="B149" s="54" t="s">
        <v>323</v>
      </c>
      <c r="C149" s="52" t="s">
        <v>232</v>
      </c>
      <c r="D149" s="52" t="s">
        <v>69</v>
      </c>
      <c r="E149" s="52" t="s">
        <v>116</v>
      </c>
      <c r="F149" s="72">
        <f t="shared" si="18"/>
        <v>4.3324057069176566E-2</v>
      </c>
      <c r="G149" s="59">
        <f t="shared" si="18"/>
        <v>5.2401950457027148E-2</v>
      </c>
      <c r="H149" s="59">
        <f t="shared" si="18"/>
        <v>6.2225192660906245E-2</v>
      </c>
      <c r="I149" s="59">
        <f t="shared" si="18"/>
        <v>6.7843596516461713E-2</v>
      </c>
      <c r="J149" s="62">
        <f t="shared" si="18"/>
        <v>7.2682067519686797E-2</v>
      </c>
      <c r="K149" s="59">
        <f t="shared" si="19"/>
        <v>1.1864503691765647E-3</v>
      </c>
      <c r="L149" s="59">
        <f t="shared" si="19"/>
        <v>1.0428620457027138E-2</v>
      </c>
      <c r="M149" s="59">
        <f t="shared" si="19"/>
        <v>1.9788327260906253E-2</v>
      </c>
      <c r="N149" s="59">
        <f t="shared" si="19"/>
        <v>2.4435114716461728E-2</v>
      </c>
      <c r="O149" s="62">
        <f t="shared" si="19"/>
        <v>2.7763391119686804E-2</v>
      </c>
      <c r="P149" s="54" t="s">
        <v>377</v>
      </c>
      <c r="Q149" s="52" t="s">
        <v>378</v>
      </c>
      <c r="R149" s="93" t="s">
        <v>32</v>
      </c>
      <c r="S149" s="70">
        <v>5.4441940000000001E-2</v>
      </c>
      <c r="T149" s="62">
        <f t="shared" si="20"/>
        <v>7.7832526609062438E-3</v>
      </c>
      <c r="V149" s="113">
        <v>1.11033074</v>
      </c>
      <c r="W149" s="71">
        <v>2.8257504199999999</v>
      </c>
      <c r="X149" s="71">
        <v>4.2562463900000003</v>
      </c>
      <c r="Y149" s="71">
        <v>5.3933457599999999</v>
      </c>
      <c r="Z149" s="114">
        <v>6.6899704800000004</v>
      </c>
      <c r="AB149" s="70">
        <v>4.3324057069176566E-2</v>
      </c>
      <c r="AC149" s="70">
        <v>5.2401950457027148E-2</v>
      </c>
      <c r="AD149" s="70">
        <v>6.2225192660906245E-2</v>
      </c>
      <c r="AE149" s="70">
        <v>6.7843596516461713E-2</v>
      </c>
      <c r="AF149" s="62">
        <v>7.2682067519686797E-2</v>
      </c>
      <c r="AG149" s="70">
        <v>1.1864503691765647E-3</v>
      </c>
      <c r="AH149" s="70">
        <v>1.0428620457027138E-2</v>
      </c>
      <c r="AI149" s="70">
        <v>1.9788327260906253E-2</v>
      </c>
      <c r="AJ149" s="70">
        <v>2.4435114716461728E-2</v>
      </c>
      <c r="AK149" s="62">
        <v>2.7763391119686804E-2</v>
      </c>
    </row>
    <row r="150" spans="2:37" x14ac:dyDescent="0.35">
      <c r="B150" s="54" t="s">
        <v>130</v>
      </c>
      <c r="C150" s="52" t="s">
        <v>232</v>
      </c>
      <c r="D150" s="52" t="s">
        <v>131</v>
      </c>
      <c r="E150" s="52" t="s">
        <v>288</v>
      </c>
      <c r="F150" s="72">
        <f t="shared" si="18"/>
        <v>4.2854609877196748E-2</v>
      </c>
      <c r="G150" s="59">
        <f t="shared" si="18"/>
        <v>5.1911673349697353E-2</v>
      </c>
      <c r="H150" s="59">
        <f t="shared" si="18"/>
        <v>6.0794745796022766E-2</v>
      </c>
      <c r="I150" s="59">
        <f t="shared" si="18"/>
        <v>6.6843105241724904E-2</v>
      </c>
      <c r="J150" s="62">
        <f t="shared" si="18"/>
        <v>7.1413292179880128E-2</v>
      </c>
      <c r="K150" s="59">
        <f t="shared" si="19"/>
        <v>7.3883197719674682E-4</v>
      </c>
      <c r="L150" s="59">
        <f t="shared" si="19"/>
        <v>9.9668026496973518E-3</v>
      </c>
      <c r="M150" s="59">
        <f t="shared" si="19"/>
        <v>1.8460665496022759E-2</v>
      </c>
      <c r="N150" s="59">
        <f t="shared" si="19"/>
        <v>2.3509962741724896E-2</v>
      </c>
      <c r="O150" s="62">
        <f t="shared" si="19"/>
        <v>2.6588588679880142E-2</v>
      </c>
      <c r="P150" s="54" t="s">
        <v>478</v>
      </c>
      <c r="Q150" s="52" t="s">
        <v>479</v>
      </c>
      <c r="R150" s="93">
        <v>47532</v>
      </c>
      <c r="S150" s="70">
        <v>5.4102339999999999E-2</v>
      </c>
      <c r="T150" s="62">
        <f t="shared" si="20"/>
        <v>6.692405796022767E-3</v>
      </c>
      <c r="V150" s="113">
        <v>1.1112052299999999</v>
      </c>
      <c r="W150" s="71">
        <v>2.8302008299999999</v>
      </c>
      <c r="X150" s="71">
        <v>4.2752725700000003</v>
      </c>
      <c r="Y150" s="71">
        <v>5.4264407100000005</v>
      </c>
      <c r="Z150" s="114">
        <v>6.7472941800000008</v>
      </c>
      <c r="AB150" s="70">
        <v>4.2854609877196748E-2</v>
      </c>
      <c r="AC150" s="70">
        <v>5.1911673349697353E-2</v>
      </c>
      <c r="AD150" s="70">
        <v>6.0794745796022766E-2</v>
      </c>
      <c r="AE150" s="70">
        <v>6.6843105241724904E-2</v>
      </c>
      <c r="AF150" s="62">
        <v>7.1413292179880128E-2</v>
      </c>
      <c r="AG150" s="70">
        <v>7.3883197719674682E-4</v>
      </c>
      <c r="AH150" s="70">
        <v>9.9668026496973518E-3</v>
      </c>
      <c r="AI150" s="70">
        <v>1.8460665496022759E-2</v>
      </c>
      <c r="AJ150" s="70">
        <v>2.3509962741724896E-2</v>
      </c>
      <c r="AK150" s="62">
        <v>2.6588588679880142E-2</v>
      </c>
    </row>
    <row r="151" spans="2:37" x14ac:dyDescent="0.35">
      <c r="B151" s="54" t="s">
        <v>171</v>
      </c>
      <c r="C151" s="52" t="s">
        <v>232</v>
      </c>
      <c r="D151" s="52" t="s">
        <v>20</v>
      </c>
      <c r="E151" s="52" t="s">
        <v>21</v>
      </c>
      <c r="F151" s="72">
        <f t="shared" si="18"/>
        <v>4.4123786191418962E-2</v>
      </c>
      <c r="G151" s="59">
        <f t="shared" si="18"/>
        <v>5.2422777780839168E-2</v>
      </c>
      <c r="H151" s="59">
        <f t="shared" si="18"/>
        <v>6.0047655068588605E-2</v>
      </c>
      <c r="I151" s="59">
        <f t="shared" si="18"/>
        <v>6.4551257773685228E-2</v>
      </c>
      <c r="J151" s="62">
        <f t="shared" si="18"/>
        <v>6.9102761433584514E-2</v>
      </c>
      <c r="K151" s="59">
        <f t="shared" si="19"/>
        <v>1.9313287914189672E-3</v>
      </c>
      <c r="L151" s="59">
        <f t="shared" si="19"/>
        <v>1.0447353280839167E-2</v>
      </c>
      <c r="M151" s="59">
        <f t="shared" si="19"/>
        <v>1.7767794168588615E-2</v>
      </c>
      <c r="N151" s="59">
        <f t="shared" si="19"/>
        <v>2.1390140573685219E-2</v>
      </c>
      <c r="O151" s="62">
        <f t="shared" si="19"/>
        <v>2.443453333358454E-2</v>
      </c>
      <c r="P151" s="54" t="s">
        <v>480</v>
      </c>
      <c r="Q151" s="52" t="s">
        <v>481</v>
      </c>
      <c r="R151" s="93">
        <v>47644</v>
      </c>
      <c r="S151" s="70">
        <v>5.435421E-2</v>
      </c>
      <c r="T151" s="62">
        <f t="shared" si="20"/>
        <v>5.6934450685886054E-3</v>
      </c>
      <c r="V151" s="113">
        <v>1.1084091900000002</v>
      </c>
      <c r="W151" s="71">
        <v>2.8244697900000002</v>
      </c>
      <c r="X151" s="71">
        <v>4.2768750899999999</v>
      </c>
      <c r="Y151" s="71">
        <v>5.4565958700000001</v>
      </c>
      <c r="Z151" s="114">
        <v>6.8335127399999998</v>
      </c>
      <c r="AB151" s="70">
        <v>4.4123786191418962E-2</v>
      </c>
      <c r="AC151" s="70">
        <v>5.2422777780839168E-2</v>
      </c>
      <c r="AD151" s="70">
        <v>6.0047655068588605E-2</v>
      </c>
      <c r="AE151" s="70">
        <v>6.4551257773685228E-2</v>
      </c>
      <c r="AF151" s="62">
        <v>6.9102761433584514E-2</v>
      </c>
      <c r="AG151" s="70">
        <v>1.9313287914189672E-3</v>
      </c>
      <c r="AH151" s="70">
        <v>1.0447353280839167E-2</v>
      </c>
      <c r="AI151" s="70">
        <v>1.7767794168588615E-2</v>
      </c>
      <c r="AJ151" s="70">
        <v>2.1390140573685219E-2</v>
      </c>
      <c r="AK151" s="62">
        <v>2.443453333358454E-2</v>
      </c>
    </row>
    <row r="152" spans="2:37" x14ac:dyDescent="0.35">
      <c r="B152" s="54" t="s">
        <v>332</v>
      </c>
      <c r="C152" s="52" t="s">
        <v>232</v>
      </c>
      <c r="D152" s="52" t="s">
        <v>20</v>
      </c>
      <c r="E152" s="52" t="s">
        <v>21</v>
      </c>
      <c r="F152" s="72">
        <f t="shared" si="18"/>
        <v>4.2339154274204656E-2</v>
      </c>
      <c r="G152" s="59">
        <f t="shared" si="18"/>
        <v>5.0202534741084243E-2</v>
      </c>
      <c r="H152" s="59">
        <f t="shared" si="18"/>
        <v>5.8530314186138584E-2</v>
      </c>
      <c r="I152" s="59">
        <f t="shared" si="18"/>
        <v>6.2737736652322393E-2</v>
      </c>
      <c r="J152" s="62">
        <f t="shared" si="18"/>
        <v>6.707021949090311E-2</v>
      </c>
      <c r="K152" s="59">
        <f t="shared" si="19"/>
        <v>2.4215807420466511E-4</v>
      </c>
      <c r="L152" s="59">
        <f t="shared" si="19"/>
        <v>8.3536062410842441E-3</v>
      </c>
      <c r="M152" s="59">
        <f t="shared" si="19"/>
        <v>1.635064258613857E-2</v>
      </c>
      <c r="N152" s="59">
        <f t="shared" si="19"/>
        <v>1.9701877552322392E-2</v>
      </c>
      <c r="O152" s="62">
        <f t="shared" si="19"/>
        <v>2.2536499790903129E-2</v>
      </c>
      <c r="P152" s="54" t="s">
        <v>21</v>
      </c>
      <c r="Q152" s="52" t="s">
        <v>21</v>
      </c>
      <c r="R152" s="93" t="s">
        <v>21</v>
      </c>
      <c r="S152" s="70">
        <v>0</v>
      </c>
      <c r="T152" s="62">
        <f t="shared" si="20"/>
        <v>5.8530314186138584E-2</v>
      </c>
      <c r="V152" s="113">
        <v>1.1122470600000001</v>
      </c>
      <c r="W152" s="71">
        <v>2.84121559</v>
      </c>
      <c r="X152" s="71">
        <v>4.3119754500000003</v>
      </c>
      <c r="Y152" s="71">
        <v>5.5124013200000004</v>
      </c>
      <c r="Z152" s="114">
        <v>6.9312488300000004</v>
      </c>
      <c r="AB152" s="70">
        <v>4.2339154274204656E-2</v>
      </c>
      <c r="AC152" s="70">
        <v>5.0202534741084243E-2</v>
      </c>
      <c r="AD152" s="70">
        <v>5.8530314186138584E-2</v>
      </c>
      <c r="AE152" s="70">
        <v>6.2737736652322393E-2</v>
      </c>
      <c r="AF152" s="62">
        <v>6.707021949090311E-2</v>
      </c>
      <c r="AG152" s="70">
        <v>2.4215807420466511E-4</v>
      </c>
      <c r="AH152" s="70">
        <v>8.3536062410842441E-3</v>
      </c>
      <c r="AI152" s="70">
        <v>1.635064258613857E-2</v>
      </c>
      <c r="AJ152" s="70">
        <v>1.9701877552322392E-2</v>
      </c>
      <c r="AK152" s="62">
        <v>2.2536499790903129E-2</v>
      </c>
    </row>
    <row r="153" spans="2:37" x14ac:dyDescent="0.35">
      <c r="B153" s="54" t="s">
        <v>118</v>
      </c>
      <c r="C153" s="52" t="s">
        <v>232</v>
      </c>
      <c r="D153" s="52" t="s">
        <v>20</v>
      </c>
      <c r="E153" s="52" t="s">
        <v>123</v>
      </c>
      <c r="F153" s="72">
        <f t="shared" si="18"/>
        <v>4.2711237284846326E-2</v>
      </c>
      <c r="G153" s="59">
        <f t="shared" si="18"/>
        <v>5.0887188492964024E-2</v>
      </c>
      <c r="H153" s="59">
        <f t="shared" si="18"/>
        <v>5.8467224819642949E-2</v>
      </c>
      <c r="I153" s="59">
        <f t="shared" si="18"/>
        <v>6.3686875964878542E-2</v>
      </c>
      <c r="J153" s="62">
        <f t="shared" si="18"/>
        <v>6.7556894146108118E-2</v>
      </c>
      <c r="K153" s="59">
        <f t="shared" si="19"/>
        <v>6.0166408484632096E-4</v>
      </c>
      <c r="L153" s="59">
        <f t="shared" si="19"/>
        <v>9.0019804929640252E-3</v>
      </c>
      <c r="M153" s="59">
        <f t="shared" si="19"/>
        <v>1.6295279519642953E-2</v>
      </c>
      <c r="N153" s="59">
        <f t="shared" si="19"/>
        <v>2.0587730664878536E-2</v>
      </c>
      <c r="O153" s="62">
        <f t="shared" si="19"/>
        <v>2.2998898646108105E-2</v>
      </c>
      <c r="P153" s="54" t="s">
        <v>482</v>
      </c>
      <c r="Q153" s="52" t="s">
        <v>483</v>
      </c>
      <c r="R153" s="93">
        <v>47557</v>
      </c>
      <c r="S153" s="70">
        <v>5.3241170000000004E-2</v>
      </c>
      <c r="T153" s="62">
        <f t="shared" si="20"/>
        <v>5.2260548196429446E-3</v>
      </c>
      <c r="V153" s="113">
        <v>1.11147207</v>
      </c>
      <c r="W153" s="71">
        <v>2.8369228900000003</v>
      </c>
      <c r="X153" s="71">
        <v>4.3064105699999997</v>
      </c>
      <c r="Y153" s="71">
        <v>5.5037607800000004</v>
      </c>
      <c r="Z153" s="114">
        <v>6.9107479900000008</v>
      </c>
      <c r="AB153" s="70">
        <v>4.2711237284846326E-2</v>
      </c>
      <c r="AC153" s="70">
        <v>5.0887188492964024E-2</v>
      </c>
      <c r="AD153" s="70">
        <v>5.8467224819642949E-2</v>
      </c>
      <c r="AE153" s="70">
        <v>6.3686875964878542E-2</v>
      </c>
      <c r="AF153" s="62">
        <v>6.7556894146108118E-2</v>
      </c>
      <c r="AG153" s="70">
        <v>6.0166408484632096E-4</v>
      </c>
      <c r="AH153" s="70">
        <v>9.0019804929640252E-3</v>
      </c>
      <c r="AI153" s="70">
        <v>1.6295279519642953E-2</v>
      </c>
      <c r="AJ153" s="70">
        <v>2.0587730664878536E-2</v>
      </c>
      <c r="AK153" s="62">
        <v>2.2998898646108105E-2</v>
      </c>
    </row>
    <row r="154" spans="2:37" x14ac:dyDescent="0.35">
      <c r="B154" s="54" t="s">
        <v>318</v>
      </c>
      <c r="C154" s="52" t="s">
        <v>232</v>
      </c>
      <c r="D154" s="52" t="s">
        <v>20</v>
      </c>
      <c r="E154" s="52" t="s">
        <v>316</v>
      </c>
      <c r="F154" s="72">
        <f t="shared" si="18"/>
        <v>4.2845494956760474E-2</v>
      </c>
      <c r="G154" s="59">
        <f t="shared" si="18"/>
        <v>5.1450428449758882E-2</v>
      </c>
      <c r="H154" s="59">
        <f t="shared" si="18"/>
        <v>5.8295092147516665E-2</v>
      </c>
      <c r="I154" s="59">
        <f t="shared" si="18"/>
        <v>6.2345072803696167E-2</v>
      </c>
      <c r="J154" s="62">
        <f t="shared" si="18"/>
        <v>6.5980658239565851E-2</v>
      </c>
      <c r="K154" s="59">
        <f t="shared" si="19"/>
        <v>7.3082635676047659E-4</v>
      </c>
      <c r="L154" s="59">
        <f t="shared" si="19"/>
        <v>9.5328350497588896E-3</v>
      </c>
      <c r="M154" s="59">
        <f t="shared" si="19"/>
        <v>1.6132043147516664E-2</v>
      </c>
      <c r="N154" s="59">
        <f t="shared" si="19"/>
        <v>1.9333478903696175E-2</v>
      </c>
      <c r="O154" s="62">
        <f t="shared" si="19"/>
        <v>2.1513245139565873E-2</v>
      </c>
      <c r="P154" s="54" t="s">
        <v>21</v>
      </c>
      <c r="Q154" s="52" t="s">
        <v>21</v>
      </c>
      <c r="R154" s="93" t="s">
        <v>21</v>
      </c>
      <c r="S154" s="70">
        <v>0</v>
      </c>
      <c r="T154" s="62">
        <f t="shared" si="20"/>
        <v>5.8295092147516665E-2</v>
      </c>
      <c r="V154" s="113">
        <v>1.1112163499999999</v>
      </c>
      <c r="W154" s="71">
        <v>2.8318901300000001</v>
      </c>
      <c r="X154" s="71">
        <v>4.3027710900000002</v>
      </c>
      <c r="Y154" s="71">
        <v>5.5135874500000002</v>
      </c>
      <c r="Z154" s="114">
        <v>6.9577878499999999</v>
      </c>
      <c r="AB154" s="70">
        <v>4.2845494956760474E-2</v>
      </c>
      <c r="AC154" s="70">
        <v>5.1450428449758882E-2</v>
      </c>
      <c r="AD154" s="70">
        <v>5.8295092147516665E-2</v>
      </c>
      <c r="AE154" s="70">
        <v>6.2345072803696167E-2</v>
      </c>
      <c r="AF154" s="62">
        <v>6.5980658239565851E-2</v>
      </c>
      <c r="AG154" s="70">
        <v>7.3082635676047659E-4</v>
      </c>
      <c r="AH154" s="70">
        <v>9.5328350497588896E-3</v>
      </c>
      <c r="AI154" s="70">
        <v>1.6132043147516664E-2</v>
      </c>
      <c r="AJ154" s="70">
        <v>1.9333478903696175E-2</v>
      </c>
      <c r="AK154" s="62">
        <v>2.1513245139565873E-2</v>
      </c>
    </row>
    <row r="155" spans="2:37" x14ac:dyDescent="0.35">
      <c r="B155" s="54" t="s">
        <v>119</v>
      </c>
      <c r="C155" s="52" t="s">
        <v>232</v>
      </c>
      <c r="D155" s="52" t="s">
        <v>120</v>
      </c>
      <c r="E155" s="52" t="s">
        <v>21</v>
      </c>
      <c r="F155" s="72">
        <f t="shared" si="18"/>
        <v>4.1463342113597514E-2</v>
      </c>
      <c r="G155" s="59">
        <f t="shared" si="18"/>
        <v>5.0090807146220176E-2</v>
      </c>
      <c r="H155" s="59">
        <f t="shared" si="18"/>
        <v>5.7545054549514439E-2</v>
      </c>
      <c r="I155" s="59">
        <f t="shared" si="18"/>
        <v>6.3105663779959353E-2</v>
      </c>
      <c r="J155" s="62">
        <f t="shared" si="18"/>
        <v>6.9114241371521751E-2</v>
      </c>
      <c r="K155" s="59" t="str">
        <f t="shared" si="19"/>
        <v/>
      </c>
      <c r="L155" s="59">
        <f t="shared" si="19"/>
        <v>8.2524537462201758E-3</v>
      </c>
      <c r="M155" s="59">
        <f t="shared" si="19"/>
        <v>1.543425804951444E-2</v>
      </c>
      <c r="N155" s="59">
        <f t="shared" si="19"/>
        <v>2.0049279579959348E-2</v>
      </c>
      <c r="O155" s="62">
        <f t="shared" si="19"/>
        <v>2.4454512571521741E-2</v>
      </c>
      <c r="P155" s="54" t="s">
        <v>21</v>
      </c>
      <c r="Q155" s="52" t="s">
        <v>21</v>
      </c>
      <c r="R155" s="93" t="s">
        <v>21</v>
      </c>
      <c r="S155" s="70">
        <v>0</v>
      </c>
      <c r="T155" s="62">
        <f t="shared" si="20"/>
        <v>5.7545054549514439E-2</v>
      </c>
      <c r="V155" s="113">
        <v>1.1137729000000001</v>
      </c>
      <c r="W155" s="71">
        <v>2.8468513300000002</v>
      </c>
      <c r="X155" s="71">
        <v>4.32670449</v>
      </c>
      <c r="Y155" s="71">
        <v>5.5291507700000002</v>
      </c>
      <c r="Z155" s="114">
        <v>6.9028663399999992</v>
      </c>
      <c r="AB155" s="70">
        <v>4.1463342113597514E-2</v>
      </c>
      <c r="AC155" s="70">
        <v>5.0090807146220176E-2</v>
      </c>
      <c r="AD155" s="70">
        <v>5.7545054549514439E-2</v>
      </c>
      <c r="AE155" s="70">
        <v>6.3105663779959353E-2</v>
      </c>
      <c r="AF155" s="62">
        <v>6.9114241371521751E-2</v>
      </c>
      <c r="AG155" s="70" t="s">
        <v>21</v>
      </c>
      <c r="AH155" s="70">
        <v>8.2524537462201758E-3</v>
      </c>
      <c r="AI155" s="70">
        <v>1.543425804951444E-2</v>
      </c>
      <c r="AJ155" s="70">
        <v>2.0049279579959348E-2</v>
      </c>
      <c r="AK155" s="62">
        <v>2.4454512571521741E-2</v>
      </c>
    </row>
    <row r="156" spans="2:37" x14ac:dyDescent="0.35">
      <c r="B156" s="54" t="s">
        <v>115</v>
      </c>
      <c r="C156" s="52" t="s">
        <v>232</v>
      </c>
      <c r="D156" s="52" t="s">
        <v>31</v>
      </c>
      <c r="E156" s="52" t="s">
        <v>21</v>
      </c>
      <c r="F156" s="72">
        <f t="shared" si="18"/>
        <v>4.1994566471633764E-2</v>
      </c>
      <c r="G156" s="59">
        <f t="shared" si="18"/>
        <v>4.9372844203864542E-2</v>
      </c>
      <c r="H156" s="59">
        <f t="shared" si="18"/>
        <v>5.7194348429098679E-2</v>
      </c>
      <c r="I156" s="59">
        <f t="shared" si="18"/>
        <v>6.2311441004429508E-2</v>
      </c>
      <c r="J156" s="62">
        <f t="shared" si="18"/>
        <v>6.7518407893540786E-2</v>
      </c>
      <c r="K156" s="59" t="str">
        <f t="shared" si="19"/>
        <v/>
      </c>
      <c r="L156" s="59">
        <f t="shared" si="19"/>
        <v>7.5758264038645459E-3</v>
      </c>
      <c r="M156" s="59">
        <f t="shared" si="19"/>
        <v>1.5105237829098674E-2</v>
      </c>
      <c r="N156" s="59">
        <f t="shared" si="19"/>
        <v>1.9305821104429504E-2</v>
      </c>
      <c r="O156" s="62">
        <f t="shared" si="19"/>
        <v>2.2960077093540785E-2</v>
      </c>
      <c r="P156" s="54" t="s">
        <v>484</v>
      </c>
      <c r="Q156" s="52" t="s">
        <v>485</v>
      </c>
      <c r="R156" s="93">
        <v>47492</v>
      </c>
      <c r="S156" s="70">
        <v>5.1100770000000004E-2</v>
      </c>
      <c r="T156" s="62">
        <f t="shared" si="20"/>
        <v>6.0935784290986755E-3</v>
      </c>
      <c r="V156" s="113">
        <v>1.11276811</v>
      </c>
      <c r="W156" s="71">
        <v>2.8484238299999998</v>
      </c>
      <c r="X156" s="71">
        <v>4.3328008799999997</v>
      </c>
      <c r="Y156" s="71">
        <v>5.5444193200000003</v>
      </c>
      <c r="Z156" s="114">
        <v>6.9505471799999992</v>
      </c>
      <c r="AB156" s="70">
        <v>4.1994566471633764E-2</v>
      </c>
      <c r="AC156" s="70">
        <v>4.9372844203864542E-2</v>
      </c>
      <c r="AD156" s="70">
        <v>5.7194348429098679E-2</v>
      </c>
      <c r="AE156" s="70">
        <v>6.2311441004429508E-2</v>
      </c>
      <c r="AF156" s="62">
        <v>6.7518407893540786E-2</v>
      </c>
      <c r="AG156" s="70" t="s">
        <v>21</v>
      </c>
      <c r="AH156" s="70">
        <v>7.5758264038645459E-3</v>
      </c>
      <c r="AI156" s="70">
        <v>1.5105237829098674E-2</v>
      </c>
      <c r="AJ156" s="70">
        <v>1.9305821104429504E-2</v>
      </c>
      <c r="AK156" s="62">
        <v>2.2960077093540785E-2</v>
      </c>
    </row>
    <row r="157" spans="2:37" x14ac:dyDescent="0.35">
      <c r="B157" s="54" t="s">
        <v>319</v>
      </c>
      <c r="C157" s="52" t="s">
        <v>232</v>
      </c>
      <c r="D157" s="52" t="s">
        <v>97</v>
      </c>
      <c r="E157" s="52" t="s">
        <v>36</v>
      </c>
      <c r="F157" s="72">
        <f t="shared" si="18"/>
        <v>4.1906225507875407E-2</v>
      </c>
      <c r="G157" s="59">
        <f t="shared" si="18"/>
        <v>4.9739331451843484E-2</v>
      </c>
      <c r="H157" s="59">
        <f t="shared" si="18"/>
        <v>5.7108029713601023E-2</v>
      </c>
      <c r="I157" s="59">
        <f t="shared" si="18"/>
        <v>6.2243074180039097E-2</v>
      </c>
      <c r="J157" s="62">
        <f t="shared" si="18"/>
        <v>6.8155318682509708E-2</v>
      </c>
      <c r="K157" s="59" t="str">
        <f t="shared" si="19"/>
        <v/>
      </c>
      <c r="L157" s="59">
        <f t="shared" si="19"/>
        <v>7.9212327518434801E-3</v>
      </c>
      <c r="M157" s="59">
        <f t="shared" si="19"/>
        <v>1.5025662813601022E-2</v>
      </c>
      <c r="N157" s="59">
        <f t="shared" si="19"/>
        <v>1.9244903980039099E-2</v>
      </c>
      <c r="O157" s="62">
        <f t="shared" si="19"/>
        <v>2.3557682582509711E-2</v>
      </c>
      <c r="P157" s="54" t="s">
        <v>21</v>
      </c>
      <c r="Q157" s="52" t="s">
        <v>21</v>
      </c>
      <c r="R157" s="93" t="s">
        <v>21</v>
      </c>
      <c r="S157" s="70">
        <v>0</v>
      </c>
      <c r="T157" s="62">
        <f t="shared" si="20"/>
        <v>5.7108029713601023E-2</v>
      </c>
      <c r="V157" s="113">
        <v>1.11294296</v>
      </c>
      <c r="W157" s="71">
        <v>2.84642514</v>
      </c>
      <c r="X157" s="71">
        <v>4.3315090299999994</v>
      </c>
      <c r="Y157" s="71">
        <v>5.5456744799999997</v>
      </c>
      <c r="Z157" s="114">
        <v>6.9418514799999995</v>
      </c>
      <c r="AB157" s="70">
        <v>4.1906225507875407E-2</v>
      </c>
      <c r="AC157" s="70">
        <v>4.9739331451843484E-2</v>
      </c>
      <c r="AD157" s="70">
        <v>5.7108029713601023E-2</v>
      </c>
      <c r="AE157" s="70">
        <v>6.2243074180039097E-2</v>
      </c>
      <c r="AF157" s="62">
        <v>6.8155318682509708E-2</v>
      </c>
      <c r="AG157" s="70" t="s">
        <v>21</v>
      </c>
      <c r="AH157" s="70">
        <v>7.9212327518434801E-3</v>
      </c>
      <c r="AI157" s="70">
        <v>1.5025662813601022E-2</v>
      </c>
      <c r="AJ157" s="70">
        <v>1.9244903980039099E-2</v>
      </c>
      <c r="AK157" s="62">
        <v>2.3557682582509711E-2</v>
      </c>
    </row>
    <row r="158" spans="2:37" x14ac:dyDescent="0.35">
      <c r="B158" s="54" t="s">
        <v>134</v>
      </c>
      <c r="C158" s="52" t="s">
        <v>232</v>
      </c>
      <c r="D158" s="52" t="s">
        <v>43</v>
      </c>
      <c r="E158" s="52" t="s">
        <v>486</v>
      </c>
      <c r="F158" s="72">
        <f t="shared" si="18"/>
        <v>4.1843038657189767E-2</v>
      </c>
      <c r="G158" s="59">
        <f t="shared" si="18"/>
        <v>4.9351706320735933E-2</v>
      </c>
      <c r="H158" s="59">
        <f t="shared" si="18"/>
        <v>5.6647601934535323E-2</v>
      </c>
      <c r="I158" s="59">
        <f t="shared" si="18"/>
        <v>6.1575687419822972E-2</v>
      </c>
      <c r="J158" s="62">
        <f t="shared" si="18"/>
        <v>6.7105520413798969E-2</v>
      </c>
      <c r="K158" s="59" t="str">
        <f t="shared" si="19"/>
        <v/>
      </c>
      <c r="L158" s="59">
        <f t="shared" si="19"/>
        <v>7.5594231207359325E-3</v>
      </c>
      <c r="M158" s="59">
        <f t="shared" si="19"/>
        <v>1.4595434834535318E-2</v>
      </c>
      <c r="N158" s="59">
        <f t="shared" si="19"/>
        <v>1.8620688319822973E-2</v>
      </c>
      <c r="O158" s="62">
        <f t="shared" si="19"/>
        <v>2.257370251379897E-2</v>
      </c>
      <c r="P158" s="54" t="s">
        <v>487</v>
      </c>
      <c r="Q158" s="52" t="s">
        <v>488</v>
      </c>
      <c r="R158" s="93" t="s">
        <v>32</v>
      </c>
      <c r="S158" s="70">
        <v>5.3088660000000003E-2</v>
      </c>
      <c r="T158" s="62">
        <f t="shared" si="20"/>
        <v>3.5589419345353202E-3</v>
      </c>
      <c r="V158" s="113">
        <v>1.11300489</v>
      </c>
      <c r="W158" s="71">
        <v>2.84943583</v>
      </c>
      <c r="X158" s="71">
        <v>4.3391377200000001</v>
      </c>
      <c r="Y158" s="71">
        <v>5.5611431500000004</v>
      </c>
      <c r="Z158" s="114">
        <v>6.9776540600000008</v>
      </c>
      <c r="AB158" s="70">
        <v>4.1843038657189767E-2</v>
      </c>
      <c r="AC158" s="70">
        <v>4.9351706320735933E-2</v>
      </c>
      <c r="AD158" s="70">
        <v>5.6647601934535323E-2</v>
      </c>
      <c r="AE158" s="70">
        <v>6.1575687419822972E-2</v>
      </c>
      <c r="AF158" s="62">
        <v>6.7105520413798969E-2</v>
      </c>
      <c r="AG158" s="70" t="s">
        <v>21</v>
      </c>
      <c r="AH158" s="70">
        <v>7.5594231207359325E-3</v>
      </c>
      <c r="AI158" s="70">
        <v>1.4595434834535318E-2</v>
      </c>
      <c r="AJ158" s="70">
        <v>1.8620688319822973E-2</v>
      </c>
      <c r="AK158" s="62">
        <v>2.257370251379897E-2</v>
      </c>
    </row>
    <row r="159" spans="2:37" x14ac:dyDescent="0.35">
      <c r="B159" s="54" t="s">
        <v>326</v>
      </c>
      <c r="C159" s="52" t="s">
        <v>232</v>
      </c>
      <c r="D159" s="52" t="s">
        <v>255</v>
      </c>
      <c r="E159" s="52" t="s">
        <v>21</v>
      </c>
      <c r="F159" s="72">
        <f t="shared" si="18"/>
        <v>4.283578234971934E-2</v>
      </c>
      <c r="G159" s="59">
        <f t="shared" si="18"/>
        <v>4.99499442309254E-2</v>
      </c>
      <c r="H159" s="59">
        <f t="shared" si="18"/>
        <v>5.6650658882076932E-2</v>
      </c>
      <c r="I159" s="59">
        <f t="shared" si="18"/>
        <v>6.0277579616882036E-2</v>
      </c>
      <c r="J159" s="62">
        <f t="shared" si="18"/>
        <v>6.4196581306639328E-2</v>
      </c>
      <c r="K159" s="59">
        <f t="shared" si="19"/>
        <v>7.2235164971933691E-4</v>
      </c>
      <c r="L159" s="59">
        <f t="shared" si="19"/>
        <v>8.1188336309254011E-3</v>
      </c>
      <c r="M159" s="59">
        <f t="shared" si="19"/>
        <v>1.4594039482076914E-2</v>
      </c>
      <c r="N159" s="59">
        <f t="shared" si="19"/>
        <v>1.7401439316882046E-2</v>
      </c>
      <c r="O159" s="62">
        <f t="shared" si="19"/>
        <v>1.9836590706639314E-2</v>
      </c>
      <c r="P159" s="54" t="s">
        <v>21</v>
      </c>
      <c r="Q159" s="52" t="s">
        <v>21</v>
      </c>
      <c r="R159" s="93" t="s">
        <v>21</v>
      </c>
      <c r="S159" s="70">
        <v>0</v>
      </c>
      <c r="T159" s="62">
        <f t="shared" si="20"/>
        <v>5.6650658882076932E-2</v>
      </c>
      <c r="V159" s="113">
        <v>1.1112322000000001</v>
      </c>
      <c r="W159" s="71">
        <v>2.8421352300000002</v>
      </c>
      <c r="X159" s="71">
        <v>4.33135504</v>
      </c>
      <c r="Y159" s="71">
        <v>5.5715173899999995</v>
      </c>
      <c r="Z159" s="114">
        <v>7.0580314299999998</v>
      </c>
      <c r="AB159" s="70">
        <v>4.283578234971934E-2</v>
      </c>
      <c r="AC159" s="70">
        <v>4.99499442309254E-2</v>
      </c>
      <c r="AD159" s="70">
        <v>5.6650658882076932E-2</v>
      </c>
      <c r="AE159" s="70">
        <v>6.0277579616882036E-2</v>
      </c>
      <c r="AF159" s="62">
        <v>6.4196581306639328E-2</v>
      </c>
      <c r="AG159" s="70">
        <v>7.2235164971933691E-4</v>
      </c>
      <c r="AH159" s="70">
        <v>8.1188336309254011E-3</v>
      </c>
      <c r="AI159" s="70">
        <v>1.4594039482076914E-2</v>
      </c>
      <c r="AJ159" s="70">
        <v>1.7401439316882046E-2</v>
      </c>
      <c r="AK159" s="62">
        <v>1.9836590706639314E-2</v>
      </c>
    </row>
    <row r="160" spans="2:37" x14ac:dyDescent="0.35">
      <c r="B160" s="54" t="s">
        <v>333</v>
      </c>
      <c r="C160" s="52" t="s">
        <v>232</v>
      </c>
      <c r="D160" s="52" t="s">
        <v>20</v>
      </c>
      <c r="E160" s="52" t="s">
        <v>21</v>
      </c>
      <c r="F160" s="72">
        <f t="shared" si="18"/>
        <v>4.2295273475783962E-2</v>
      </c>
      <c r="G160" s="59">
        <f t="shared" si="18"/>
        <v>4.9975990191250104E-2</v>
      </c>
      <c r="H160" s="59">
        <f t="shared" si="18"/>
        <v>5.7132468698247188E-2</v>
      </c>
      <c r="I160" s="59">
        <f t="shared" si="18"/>
        <v>6.0648264882523305E-2</v>
      </c>
      <c r="J160" s="62">
        <f t="shared" si="18"/>
        <v>6.4279537939173681E-2</v>
      </c>
      <c r="K160" s="59">
        <f t="shared" si="19"/>
        <v>2.1547147578396351E-4</v>
      </c>
      <c r="L160" s="59">
        <f t="shared" si="19"/>
        <v>8.1468497912501048E-3</v>
      </c>
      <c r="M160" s="59">
        <f t="shared" si="19"/>
        <v>1.5048252098247172E-2</v>
      </c>
      <c r="N160" s="59">
        <f t="shared" si="19"/>
        <v>1.7752617882523313E-2</v>
      </c>
      <c r="O160" s="62">
        <f t="shared" si="19"/>
        <v>1.9920614739173691E-2</v>
      </c>
      <c r="P160" s="54" t="s">
        <v>21</v>
      </c>
      <c r="Q160" s="52" t="s">
        <v>21</v>
      </c>
      <c r="R160" s="93" t="s">
        <v>21</v>
      </c>
      <c r="S160" s="70">
        <v>0</v>
      </c>
      <c r="T160" s="62">
        <f t="shared" si="20"/>
        <v>5.7132468698247188E-2</v>
      </c>
      <c r="V160" s="113">
        <v>1.1122038000000001</v>
      </c>
      <c r="W160" s="71">
        <v>2.8447449199999997</v>
      </c>
      <c r="X160" s="71">
        <v>4.3296567100000001</v>
      </c>
      <c r="Y160" s="71">
        <v>5.5619018899999997</v>
      </c>
      <c r="Z160" s="114">
        <v>7.0437815200000005</v>
      </c>
      <c r="AB160" s="70">
        <v>4.2295273475783962E-2</v>
      </c>
      <c r="AC160" s="70">
        <v>4.9975990191250104E-2</v>
      </c>
      <c r="AD160" s="70">
        <v>5.7132468698247188E-2</v>
      </c>
      <c r="AE160" s="70">
        <v>6.0648264882523305E-2</v>
      </c>
      <c r="AF160" s="62">
        <v>6.4279537939173681E-2</v>
      </c>
      <c r="AG160" s="70">
        <v>2.1547147578396351E-4</v>
      </c>
      <c r="AH160" s="70">
        <v>8.1468497912501048E-3</v>
      </c>
      <c r="AI160" s="70">
        <v>1.5048252098247172E-2</v>
      </c>
      <c r="AJ160" s="70">
        <v>1.7752617882523313E-2</v>
      </c>
      <c r="AK160" s="62">
        <v>1.9920614739173691E-2</v>
      </c>
    </row>
    <row r="161" spans="2:37" x14ac:dyDescent="0.35">
      <c r="B161" s="54" t="s">
        <v>126</v>
      </c>
      <c r="C161" s="52" t="s">
        <v>232</v>
      </c>
      <c r="D161" s="52" t="s">
        <v>69</v>
      </c>
      <c r="E161" s="52" t="s">
        <v>133</v>
      </c>
      <c r="F161" s="72">
        <f t="shared" si="18"/>
        <v>4.1039266190121083E-2</v>
      </c>
      <c r="G161" s="59">
        <f t="shared" si="18"/>
        <v>4.922923088174979E-2</v>
      </c>
      <c r="H161" s="59">
        <f t="shared" si="18"/>
        <v>5.620134509967508E-2</v>
      </c>
      <c r="I161" s="59">
        <f t="shared" si="18"/>
        <v>6.1123939834094421E-2</v>
      </c>
      <c r="J161" s="62">
        <f t="shared" si="18"/>
        <v>6.6813984540051136E-2</v>
      </c>
      <c r="K161" s="59" t="str">
        <f t="shared" si="19"/>
        <v/>
      </c>
      <c r="L161" s="59">
        <f t="shared" si="19"/>
        <v>7.440821981749798E-3</v>
      </c>
      <c r="M161" s="59">
        <f t="shared" si="19"/>
        <v>1.4175891199675075E-2</v>
      </c>
      <c r="N161" s="59">
        <f t="shared" si="19"/>
        <v>1.8200597634094415E-2</v>
      </c>
      <c r="O161" s="62">
        <f t="shared" si="19"/>
        <v>2.2305585140051133E-2</v>
      </c>
      <c r="P161" s="54" t="s">
        <v>489</v>
      </c>
      <c r="Q161" s="52" t="s">
        <v>490</v>
      </c>
      <c r="R161" s="93">
        <v>47484</v>
      </c>
      <c r="S161" s="70">
        <v>5.2041760000000006E-2</v>
      </c>
      <c r="T161" s="62">
        <f t="shared" si="20"/>
        <v>4.1595850996750741E-3</v>
      </c>
      <c r="V161" s="113">
        <v>1.11454092</v>
      </c>
      <c r="W161" s="71">
        <v>2.8546827000000001</v>
      </c>
      <c r="X161" s="71">
        <v>4.34887099</v>
      </c>
      <c r="Y161" s="71">
        <v>5.5778738500000005</v>
      </c>
      <c r="Z161" s="114">
        <v>7.0030687399999998</v>
      </c>
      <c r="AB161" s="70">
        <v>4.1039266190121083E-2</v>
      </c>
      <c r="AC161" s="70">
        <v>4.922923088174979E-2</v>
      </c>
      <c r="AD161" s="70">
        <v>5.620134509967508E-2</v>
      </c>
      <c r="AE161" s="70">
        <v>6.1123939834094421E-2</v>
      </c>
      <c r="AF161" s="62">
        <v>6.6813984540051136E-2</v>
      </c>
      <c r="AG161" s="70" t="s">
        <v>21</v>
      </c>
      <c r="AH161" s="70">
        <v>7.440821981749798E-3</v>
      </c>
      <c r="AI161" s="70">
        <v>1.4175891199675075E-2</v>
      </c>
      <c r="AJ161" s="70">
        <v>1.8200597634094415E-2</v>
      </c>
      <c r="AK161" s="62">
        <v>2.2305585140051133E-2</v>
      </c>
    </row>
    <row r="162" spans="2:37" x14ac:dyDescent="0.35">
      <c r="B162" s="54" t="s">
        <v>132</v>
      </c>
      <c r="C162" s="52" t="s">
        <v>232</v>
      </c>
      <c r="D162" s="52" t="s">
        <v>20</v>
      </c>
      <c r="E162" s="52" t="s">
        <v>135</v>
      </c>
      <c r="F162" s="72">
        <f t="shared" si="18"/>
        <v>4.1841947093122514E-2</v>
      </c>
      <c r="G162" s="59">
        <f t="shared" si="18"/>
        <v>4.9965077869996551E-2</v>
      </c>
      <c r="H162" s="59">
        <f t="shared" si="18"/>
        <v>5.6635112154776859E-2</v>
      </c>
      <c r="I162" s="59">
        <f t="shared" si="18"/>
        <v>5.9812294969319335E-2</v>
      </c>
      <c r="J162" s="62">
        <f t="shared" si="18"/>
        <v>6.3801290195908147E-2</v>
      </c>
      <c r="K162" s="59" t="str">
        <f t="shared" si="19"/>
        <v/>
      </c>
      <c r="L162" s="59">
        <f t="shared" si="19"/>
        <v>8.1312298699965507E-3</v>
      </c>
      <c r="M162" s="59">
        <f t="shared" si="19"/>
        <v>1.4578259754776866E-2</v>
      </c>
      <c r="N162" s="59">
        <f t="shared" si="19"/>
        <v>1.6966987369319335E-2</v>
      </c>
      <c r="O162" s="62">
        <f t="shared" si="19"/>
        <v>1.9464667095908151E-2</v>
      </c>
      <c r="P162" s="54" t="s">
        <v>491</v>
      </c>
      <c r="Q162" s="52" t="s">
        <v>492</v>
      </c>
      <c r="R162" s="93">
        <v>47567</v>
      </c>
      <c r="S162" s="70">
        <v>5.284005E-2</v>
      </c>
      <c r="T162" s="62">
        <f t="shared" si="20"/>
        <v>3.7950621547768598E-3</v>
      </c>
      <c r="V162" s="113">
        <v>1.1131318800000001</v>
      </c>
      <c r="W162" s="71">
        <v>2.8458634599999999</v>
      </c>
      <c r="X162" s="71">
        <v>4.33464749</v>
      </c>
      <c r="Y162" s="71">
        <v>5.5752766099999995</v>
      </c>
      <c r="Z162" s="114">
        <v>7.0708366199999997</v>
      </c>
      <c r="AB162" s="70">
        <v>4.1841947093122514E-2</v>
      </c>
      <c r="AC162" s="70">
        <v>4.9965077869996551E-2</v>
      </c>
      <c r="AD162" s="70">
        <v>5.6635112154776859E-2</v>
      </c>
      <c r="AE162" s="70">
        <v>5.9812294969319335E-2</v>
      </c>
      <c r="AF162" s="62">
        <v>6.3801290195908147E-2</v>
      </c>
      <c r="AG162" s="70" t="s">
        <v>21</v>
      </c>
      <c r="AH162" s="70">
        <v>8.1312298699965507E-3</v>
      </c>
      <c r="AI162" s="70">
        <v>1.4578259754776866E-2</v>
      </c>
      <c r="AJ162" s="70">
        <v>1.6966987369319335E-2</v>
      </c>
      <c r="AK162" s="62">
        <v>1.9464667095908151E-2</v>
      </c>
    </row>
    <row r="163" spans="2:37" x14ac:dyDescent="0.35">
      <c r="B163" s="54" t="s">
        <v>127</v>
      </c>
      <c r="C163" s="52" t="s">
        <v>232</v>
      </c>
      <c r="D163" s="52" t="s">
        <v>62</v>
      </c>
      <c r="E163" s="52" t="s">
        <v>493</v>
      </c>
      <c r="F163" s="72">
        <f t="shared" si="18"/>
        <v>4.1774349769491334E-2</v>
      </c>
      <c r="G163" s="59">
        <f t="shared" si="18"/>
        <v>4.9081387045945446E-2</v>
      </c>
      <c r="H163" s="59">
        <f t="shared" si="18"/>
        <v>5.5964116829670382E-2</v>
      </c>
      <c r="I163" s="59">
        <f t="shared" si="18"/>
        <v>6.0575126400984274E-2</v>
      </c>
      <c r="J163" s="62">
        <f t="shared" si="18"/>
        <v>6.5629479665741036E-2</v>
      </c>
      <c r="K163" s="59" t="str">
        <f t="shared" si="19"/>
        <v/>
      </c>
      <c r="L163" s="59">
        <f t="shared" si="19"/>
        <v>7.3027833459454444E-3</v>
      </c>
      <c r="M163" s="59">
        <f t="shared" si="19"/>
        <v>1.3954157429670374E-2</v>
      </c>
      <c r="N163" s="59">
        <f t="shared" si="19"/>
        <v>1.768741270098427E-2</v>
      </c>
      <c r="O163" s="62">
        <f t="shared" si="19"/>
        <v>2.1194795365741034E-2</v>
      </c>
      <c r="P163" s="54" t="s">
        <v>494</v>
      </c>
      <c r="Q163" s="52" t="s">
        <v>495</v>
      </c>
      <c r="R163" s="93">
        <v>47635</v>
      </c>
      <c r="S163" s="70">
        <v>5.2411139999999995E-2</v>
      </c>
      <c r="T163" s="62">
        <f t="shared" si="20"/>
        <v>3.5529768296703873E-3</v>
      </c>
      <c r="V163" s="113">
        <v>1.11315309</v>
      </c>
      <c r="W163" s="71">
        <v>2.8524130099999998</v>
      </c>
      <c r="X163" s="71">
        <v>4.3494961600000002</v>
      </c>
      <c r="Y163" s="71">
        <v>5.5861937900000003</v>
      </c>
      <c r="Z163" s="114">
        <v>7.0384873099999998</v>
      </c>
      <c r="AB163" s="70">
        <v>4.1774349769491334E-2</v>
      </c>
      <c r="AC163" s="70">
        <v>4.9081387045945446E-2</v>
      </c>
      <c r="AD163" s="70">
        <v>5.5964116829670382E-2</v>
      </c>
      <c r="AE163" s="70">
        <v>6.0575126400984274E-2</v>
      </c>
      <c r="AF163" s="62">
        <v>6.5629479665741036E-2</v>
      </c>
      <c r="AG163" s="70" t="s">
        <v>21</v>
      </c>
      <c r="AH163" s="70">
        <v>7.3027833459454444E-3</v>
      </c>
      <c r="AI163" s="70">
        <v>1.3954157429670374E-2</v>
      </c>
      <c r="AJ163" s="70">
        <v>1.768741270098427E-2</v>
      </c>
      <c r="AK163" s="62">
        <v>2.1194795365741034E-2</v>
      </c>
    </row>
    <row r="164" spans="2:37" x14ac:dyDescent="0.35">
      <c r="B164" s="54" t="s">
        <v>330</v>
      </c>
      <c r="C164" s="52" t="s">
        <v>232</v>
      </c>
      <c r="D164" s="52" t="s">
        <v>97</v>
      </c>
      <c r="E164" s="52" t="s">
        <v>21</v>
      </c>
      <c r="F164" s="72">
        <f t="shared" si="18"/>
        <v>4.2532473739360484E-2</v>
      </c>
      <c r="G164" s="59">
        <f t="shared" si="18"/>
        <v>4.9234276498981204E-2</v>
      </c>
      <c r="H164" s="59">
        <f t="shared" si="18"/>
        <v>5.5915757488729199E-2</v>
      </c>
      <c r="I164" s="59">
        <f t="shared" si="18"/>
        <v>5.9630984042424492E-2</v>
      </c>
      <c r="J164" s="62">
        <f t="shared" si="18"/>
        <v>6.2918460311144328E-2</v>
      </c>
      <c r="K164" s="59">
        <f t="shared" si="19"/>
        <v>4.3416393936048826E-4</v>
      </c>
      <c r="L164" s="59">
        <f t="shared" si="19"/>
        <v>7.4434467989812052E-3</v>
      </c>
      <c r="M164" s="59">
        <f t="shared" si="19"/>
        <v>1.3905047488729207E-2</v>
      </c>
      <c r="N164" s="59">
        <f t="shared" si="19"/>
        <v>1.67963869424245E-2</v>
      </c>
      <c r="O164" s="62">
        <f t="shared" si="19"/>
        <v>1.8636800711144347E-2</v>
      </c>
      <c r="P164" s="54" t="s">
        <v>381</v>
      </c>
      <c r="Q164" s="52" t="s">
        <v>382</v>
      </c>
      <c r="R164" s="93">
        <v>47497</v>
      </c>
      <c r="S164" s="70">
        <v>5.2007490000000003E-2</v>
      </c>
      <c r="T164" s="62">
        <f t="shared" si="20"/>
        <v>3.908267488729196E-3</v>
      </c>
      <c r="V164" s="113">
        <v>1.1117914600000001</v>
      </c>
      <c r="W164" s="71">
        <v>2.84846457</v>
      </c>
      <c r="X164" s="71">
        <v>4.3459210499999994</v>
      </c>
      <c r="Y164" s="71">
        <v>5.5947736199999998</v>
      </c>
      <c r="Z164" s="114">
        <v>7.1082617099999998</v>
      </c>
      <c r="AB164" s="70">
        <v>4.2532473739360484E-2</v>
      </c>
      <c r="AC164" s="70">
        <v>4.9234276498981204E-2</v>
      </c>
      <c r="AD164" s="70">
        <v>5.5915757488729199E-2</v>
      </c>
      <c r="AE164" s="70">
        <v>5.9630984042424492E-2</v>
      </c>
      <c r="AF164" s="62">
        <v>6.2918460311144328E-2</v>
      </c>
      <c r="AG164" s="70">
        <v>4.3416393936048826E-4</v>
      </c>
      <c r="AH164" s="70">
        <v>7.4434467989812052E-3</v>
      </c>
      <c r="AI164" s="70">
        <v>1.3905047488729207E-2</v>
      </c>
      <c r="AJ164" s="70">
        <v>1.67963869424245E-2</v>
      </c>
      <c r="AK164" s="62">
        <v>1.8636800711144347E-2</v>
      </c>
    </row>
    <row r="165" spans="2:37" x14ac:dyDescent="0.35">
      <c r="B165" s="54" t="s">
        <v>121</v>
      </c>
      <c r="C165" s="52" t="s">
        <v>232</v>
      </c>
      <c r="D165" s="52" t="s">
        <v>69</v>
      </c>
      <c r="E165" s="52" t="s">
        <v>21</v>
      </c>
      <c r="F165" s="72">
        <f t="shared" si="18"/>
        <v>4.1312793495542857E-2</v>
      </c>
      <c r="G165" s="59">
        <f t="shared" si="18"/>
        <v>4.8610146101449633E-2</v>
      </c>
      <c r="H165" s="59">
        <f t="shared" si="18"/>
        <v>5.5708228757705126E-2</v>
      </c>
      <c r="I165" s="59">
        <f t="shared" si="18"/>
        <v>6.140984762933295E-2</v>
      </c>
      <c r="J165" s="62">
        <f t="shared" si="18"/>
        <v>6.6000416181992524E-2</v>
      </c>
      <c r="K165" s="59" t="str">
        <f t="shared" si="19"/>
        <v/>
      </c>
      <c r="L165" s="59">
        <f t="shared" si="19"/>
        <v>6.8529759014496344E-3</v>
      </c>
      <c r="M165" s="59">
        <f t="shared" si="19"/>
        <v>1.3710684157705122E-2</v>
      </c>
      <c r="N165" s="59">
        <f t="shared" si="19"/>
        <v>1.8467184429332956E-2</v>
      </c>
      <c r="O165" s="62">
        <f t="shared" si="19"/>
        <v>2.154815688199253E-2</v>
      </c>
      <c r="P165" s="54" t="s">
        <v>21</v>
      </c>
      <c r="Q165" s="52" t="s">
        <v>21</v>
      </c>
      <c r="R165" s="93" t="s">
        <v>21</v>
      </c>
      <c r="S165" s="70">
        <v>0</v>
      </c>
      <c r="T165" s="62">
        <f t="shared" si="20"/>
        <v>5.5708228757705126E-2</v>
      </c>
      <c r="V165" s="113">
        <v>1.1140644900000001</v>
      </c>
      <c r="W165" s="71">
        <v>2.8552433700000002</v>
      </c>
      <c r="X165" s="71">
        <v>4.3557492800000004</v>
      </c>
      <c r="Y165" s="71">
        <v>5.5816835899999999</v>
      </c>
      <c r="Z165" s="114">
        <v>7.0204519500000009</v>
      </c>
      <c r="AB165" s="70">
        <v>4.1312793495542857E-2</v>
      </c>
      <c r="AC165" s="70">
        <v>4.8610146101449633E-2</v>
      </c>
      <c r="AD165" s="70">
        <v>5.5708228757705126E-2</v>
      </c>
      <c r="AE165" s="70">
        <v>6.140984762933295E-2</v>
      </c>
      <c r="AF165" s="62">
        <v>6.6000416181992524E-2</v>
      </c>
      <c r="AG165" s="70" t="s">
        <v>21</v>
      </c>
      <c r="AH165" s="70">
        <v>6.8529759014496344E-3</v>
      </c>
      <c r="AI165" s="70">
        <v>1.3710684157705122E-2</v>
      </c>
      <c r="AJ165" s="70">
        <v>1.8467184429332956E-2</v>
      </c>
      <c r="AK165" s="62">
        <v>2.154815688199253E-2</v>
      </c>
    </row>
    <row r="166" spans="2:37" x14ac:dyDescent="0.35">
      <c r="B166" s="54" t="s">
        <v>328</v>
      </c>
      <c r="C166" s="52" t="s">
        <v>232</v>
      </c>
      <c r="D166" s="52" t="s">
        <v>31</v>
      </c>
      <c r="E166" s="52" t="s">
        <v>133</v>
      </c>
      <c r="F166" s="72">
        <f t="shared" si="18"/>
        <v>4.172729872524919E-2</v>
      </c>
      <c r="G166" s="59">
        <f t="shared" si="18"/>
        <v>4.9335410526560861E-2</v>
      </c>
      <c r="H166" s="59">
        <f t="shared" si="18"/>
        <v>5.5616841677837821E-2</v>
      </c>
      <c r="I166" s="59">
        <f t="shared" si="18"/>
        <v>5.9706968289704176E-2</v>
      </c>
      <c r="J166" s="62">
        <f t="shared" si="18"/>
        <v>6.4060181956492435E-2</v>
      </c>
      <c r="K166" s="59" t="str">
        <f t="shared" si="19"/>
        <v/>
      </c>
      <c r="L166" s="59">
        <f t="shared" si="19"/>
        <v>7.5381080265608594E-3</v>
      </c>
      <c r="M166" s="59">
        <f t="shared" si="19"/>
        <v>1.3623072477837832E-2</v>
      </c>
      <c r="N166" s="59">
        <f t="shared" si="19"/>
        <v>1.6866840789704185E-2</v>
      </c>
      <c r="O166" s="62">
        <f t="shared" si="19"/>
        <v>1.971081905649244E-2</v>
      </c>
      <c r="P166" s="54" t="s">
        <v>21</v>
      </c>
      <c r="Q166" s="52" t="s">
        <v>21</v>
      </c>
      <c r="R166" s="93" t="s">
        <v>21</v>
      </c>
      <c r="S166" s="70">
        <v>0</v>
      </c>
      <c r="T166" s="62">
        <f t="shared" si="20"/>
        <v>5.5616841677837821E-2</v>
      </c>
      <c r="V166" s="113">
        <v>1.1132933899999999</v>
      </c>
      <c r="W166" s="71">
        <v>2.8494131</v>
      </c>
      <c r="X166" s="71">
        <v>4.3494807500000006</v>
      </c>
      <c r="Y166" s="71">
        <v>5.5979218700000004</v>
      </c>
      <c r="Z166" s="114">
        <v>7.0856809600000004</v>
      </c>
      <c r="AB166" s="70">
        <v>4.172729872524919E-2</v>
      </c>
      <c r="AC166" s="70">
        <v>4.9335410526560861E-2</v>
      </c>
      <c r="AD166" s="70">
        <v>5.5616841677837821E-2</v>
      </c>
      <c r="AE166" s="70">
        <v>5.9706968289704176E-2</v>
      </c>
      <c r="AF166" s="62">
        <v>6.4060181956492435E-2</v>
      </c>
      <c r="AG166" s="70" t="s">
        <v>21</v>
      </c>
      <c r="AH166" s="70">
        <v>7.5381080265608594E-3</v>
      </c>
      <c r="AI166" s="70">
        <v>1.3623072477837832E-2</v>
      </c>
      <c r="AJ166" s="70">
        <v>1.6866840789704185E-2</v>
      </c>
      <c r="AK166" s="62">
        <v>1.971081905649244E-2</v>
      </c>
    </row>
    <row r="167" spans="2:37" x14ac:dyDescent="0.35">
      <c r="B167" s="54" t="s">
        <v>331</v>
      </c>
      <c r="C167" s="52" t="s">
        <v>232</v>
      </c>
      <c r="D167" s="52" t="s">
        <v>20</v>
      </c>
      <c r="E167" s="52" t="s">
        <v>236</v>
      </c>
      <c r="F167" s="72">
        <f t="shared" si="18"/>
        <v>4.1607035136262835E-2</v>
      </c>
      <c r="G167" s="59">
        <f t="shared" si="18"/>
        <v>4.9132279718695548E-2</v>
      </c>
      <c r="H167" s="59">
        <f t="shared" si="18"/>
        <v>5.5944469962741619E-2</v>
      </c>
      <c r="I167" s="59">
        <f t="shared" si="18"/>
        <v>6.001044403033759E-2</v>
      </c>
      <c r="J167" s="62">
        <f t="shared" si="18"/>
        <v>6.3602497128861582E-2</v>
      </c>
      <c r="K167" s="59" t="str">
        <f t="shared" si="19"/>
        <v/>
      </c>
      <c r="L167" s="59">
        <f t="shared" si="19"/>
        <v>7.3457250186955486E-3</v>
      </c>
      <c r="M167" s="59">
        <f t="shared" si="19"/>
        <v>1.393123866274161E-2</v>
      </c>
      <c r="N167" s="59">
        <f t="shared" si="19"/>
        <v>1.715300043033758E-2</v>
      </c>
      <c r="O167" s="62">
        <f t="shared" si="19"/>
        <v>1.9285204428861561E-2</v>
      </c>
      <c r="P167" s="54" t="s">
        <v>21</v>
      </c>
      <c r="Q167" s="52" t="s">
        <v>21</v>
      </c>
      <c r="R167" s="93" t="s">
        <v>21</v>
      </c>
      <c r="S167" s="70">
        <v>0</v>
      </c>
      <c r="T167" s="62">
        <f t="shared" si="20"/>
        <v>5.5944469962741619E-2</v>
      </c>
      <c r="V167" s="113">
        <v>1.1135256200000001</v>
      </c>
      <c r="W167" s="71">
        <v>2.8516423400000002</v>
      </c>
      <c r="X167" s="71">
        <v>4.3487617399999996</v>
      </c>
      <c r="Y167" s="71">
        <v>5.5905637600000002</v>
      </c>
      <c r="Z167" s="114">
        <v>7.0852045000000006</v>
      </c>
      <c r="AB167" s="70">
        <v>4.1607035136262835E-2</v>
      </c>
      <c r="AC167" s="70">
        <v>4.9132279718695548E-2</v>
      </c>
      <c r="AD167" s="70">
        <v>5.5944469962741619E-2</v>
      </c>
      <c r="AE167" s="70">
        <v>6.001044403033759E-2</v>
      </c>
      <c r="AF167" s="62">
        <v>6.3602497128861582E-2</v>
      </c>
      <c r="AG167" s="70" t="s">
        <v>21</v>
      </c>
      <c r="AH167" s="70">
        <v>7.3457250186955486E-3</v>
      </c>
      <c r="AI167" s="70">
        <v>1.393123866274161E-2</v>
      </c>
      <c r="AJ167" s="70">
        <v>1.715300043033758E-2</v>
      </c>
      <c r="AK167" s="62">
        <v>1.9285204428861561E-2</v>
      </c>
    </row>
    <row r="168" spans="2:37" x14ac:dyDescent="0.35">
      <c r="B168" s="54" t="s">
        <v>331</v>
      </c>
      <c r="C168" s="52" t="s">
        <v>232</v>
      </c>
      <c r="D168" s="52" t="s">
        <v>20</v>
      </c>
      <c r="E168" s="52" t="s">
        <v>21</v>
      </c>
      <c r="F168" s="72">
        <f t="shared" si="18"/>
        <v>4.1607035136262835E-2</v>
      </c>
      <c r="G168" s="59">
        <f t="shared" si="18"/>
        <v>4.9132279718695548E-2</v>
      </c>
      <c r="H168" s="59">
        <f t="shared" si="18"/>
        <v>5.5944469962741619E-2</v>
      </c>
      <c r="I168" s="59">
        <f t="shared" si="18"/>
        <v>6.001044403033759E-2</v>
      </c>
      <c r="J168" s="62">
        <f t="shared" si="18"/>
        <v>6.3602497128861582E-2</v>
      </c>
      <c r="K168" s="59" t="str">
        <f t="shared" si="19"/>
        <v/>
      </c>
      <c r="L168" s="59">
        <f t="shared" si="19"/>
        <v>7.3457250186955486E-3</v>
      </c>
      <c r="M168" s="59">
        <f t="shared" si="19"/>
        <v>1.393123866274161E-2</v>
      </c>
      <c r="N168" s="59">
        <f t="shared" si="19"/>
        <v>1.715300043033758E-2</v>
      </c>
      <c r="O168" s="62">
        <f t="shared" si="19"/>
        <v>1.9285204428861561E-2</v>
      </c>
      <c r="P168" s="54" t="s">
        <v>21</v>
      </c>
      <c r="Q168" s="52" t="s">
        <v>21</v>
      </c>
      <c r="R168" s="93" t="s">
        <v>21</v>
      </c>
      <c r="S168" s="70">
        <v>0</v>
      </c>
      <c r="T168" s="62">
        <f t="shared" si="20"/>
        <v>5.5944469962741619E-2</v>
      </c>
      <c r="V168" s="113">
        <v>1.1135256200000001</v>
      </c>
      <c r="W168" s="71">
        <v>2.8516423400000002</v>
      </c>
      <c r="X168" s="71">
        <v>4.3487617399999996</v>
      </c>
      <c r="Y168" s="71">
        <v>5.5905637600000002</v>
      </c>
      <c r="Z168" s="114">
        <v>7.0852045000000006</v>
      </c>
      <c r="AB168" s="70">
        <v>4.1607035136262835E-2</v>
      </c>
      <c r="AC168" s="70">
        <v>4.9132279718695548E-2</v>
      </c>
      <c r="AD168" s="70">
        <v>5.5944469962741619E-2</v>
      </c>
      <c r="AE168" s="70">
        <v>6.001044403033759E-2</v>
      </c>
      <c r="AF168" s="62">
        <v>6.3602497128861582E-2</v>
      </c>
      <c r="AG168" s="70" t="s">
        <v>21</v>
      </c>
      <c r="AH168" s="70">
        <v>7.3457250186955486E-3</v>
      </c>
      <c r="AI168" s="70">
        <v>1.393123866274161E-2</v>
      </c>
      <c r="AJ168" s="70">
        <v>1.715300043033758E-2</v>
      </c>
      <c r="AK168" s="62">
        <v>1.9285204428861561E-2</v>
      </c>
    </row>
    <row r="169" spans="2:37" x14ac:dyDescent="0.35">
      <c r="B169" s="54" t="s">
        <v>327</v>
      </c>
      <c r="C169" s="52" t="s">
        <v>232</v>
      </c>
      <c r="D169" s="52" t="s">
        <v>43</v>
      </c>
      <c r="E169" s="52" t="s">
        <v>21</v>
      </c>
      <c r="F169" s="72">
        <f t="shared" si="18"/>
        <v>4.1577739964788266E-2</v>
      </c>
      <c r="G169" s="59">
        <f t="shared" si="18"/>
        <v>4.8858290691664551E-2</v>
      </c>
      <c r="H169" s="59">
        <f t="shared" si="18"/>
        <v>5.5024161397617684E-2</v>
      </c>
      <c r="I169" s="59">
        <f t="shared" si="18"/>
        <v>5.9453184013771809E-2</v>
      </c>
      <c r="J169" s="62">
        <f t="shared" si="18"/>
        <v>6.3961655492619979E-2</v>
      </c>
      <c r="K169" s="59" t="str">
        <f t="shared" si="19"/>
        <v/>
      </c>
      <c r="L169" s="59">
        <f t="shared" si="19"/>
        <v>7.0875625916645528E-3</v>
      </c>
      <c r="M169" s="59">
        <f t="shared" si="19"/>
        <v>1.3066143697617681E-2</v>
      </c>
      <c r="N169" s="59">
        <f t="shared" si="19"/>
        <v>1.663217431377181E-2</v>
      </c>
      <c r="O169" s="62">
        <f t="shared" si="19"/>
        <v>1.9623851492619967E-2</v>
      </c>
      <c r="P169" s="54" t="s">
        <v>21</v>
      </c>
      <c r="Q169" s="52" t="s">
        <v>21</v>
      </c>
      <c r="R169" s="93" t="s">
        <v>21</v>
      </c>
      <c r="S169" s="70">
        <v>0</v>
      </c>
      <c r="T169" s="62">
        <f t="shared" si="20"/>
        <v>5.5024161397617684E-2</v>
      </c>
      <c r="V169" s="113">
        <v>1.1135718100000001</v>
      </c>
      <c r="W169" s="71">
        <v>2.8528795599999999</v>
      </c>
      <c r="X169" s="71">
        <v>4.3596958199999998</v>
      </c>
      <c r="Y169" s="71">
        <v>5.6127021399999997</v>
      </c>
      <c r="Z169" s="114">
        <v>7.1032458000000007</v>
      </c>
      <c r="AB169" s="70">
        <v>4.1577739964788266E-2</v>
      </c>
      <c r="AC169" s="70">
        <v>4.8858290691664551E-2</v>
      </c>
      <c r="AD169" s="70">
        <v>5.5024161397617684E-2</v>
      </c>
      <c r="AE169" s="70">
        <v>5.9453184013771809E-2</v>
      </c>
      <c r="AF169" s="62">
        <v>6.3961655492619979E-2</v>
      </c>
      <c r="AG169" s="70" t="s">
        <v>21</v>
      </c>
      <c r="AH169" s="70">
        <v>7.0875625916645528E-3</v>
      </c>
      <c r="AI169" s="70">
        <v>1.3066143697617681E-2</v>
      </c>
      <c r="AJ169" s="70">
        <v>1.663217431377181E-2</v>
      </c>
      <c r="AK169" s="62">
        <v>1.9623851492619967E-2</v>
      </c>
    </row>
    <row r="170" spans="2:37" x14ac:dyDescent="0.35">
      <c r="B170" s="54" t="s">
        <v>235</v>
      </c>
      <c r="C170" s="52" t="s">
        <v>232</v>
      </c>
      <c r="D170" s="52" t="s">
        <v>31</v>
      </c>
      <c r="E170" s="52" t="s">
        <v>142</v>
      </c>
      <c r="F170" s="72">
        <f t="shared" si="18"/>
        <v>4.1273958961555064E-2</v>
      </c>
      <c r="G170" s="59">
        <f t="shared" si="18"/>
        <v>4.8807554881995771E-2</v>
      </c>
      <c r="H170" s="59">
        <f t="shared" si="18"/>
        <v>5.4879313436875368E-2</v>
      </c>
      <c r="I170" s="59">
        <f t="shared" si="18"/>
        <v>5.9540179362878212E-2</v>
      </c>
      <c r="J170" s="62">
        <f t="shared" si="18"/>
        <v>6.4595860296260771E-2</v>
      </c>
      <c r="K170" s="59" t="str">
        <f t="shared" si="19"/>
        <v/>
      </c>
      <c r="L170" s="59">
        <f t="shared" si="19"/>
        <v>7.036595181995774E-3</v>
      </c>
      <c r="M170" s="59">
        <f t="shared" si="19"/>
        <v>1.2926825236875371E-2</v>
      </c>
      <c r="N170" s="59">
        <f t="shared" si="19"/>
        <v>1.6709254262878219E-2</v>
      </c>
      <c r="O170" s="62">
        <f t="shared" si="19"/>
        <v>2.0215579696260755E-2</v>
      </c>
      <c r="P170" s="54" t="s">
        <v>21</v>
      </c>
      <c r="Q170" s="52" t="s">
        <v>21</v>
      </c>
      <c r="R170" s="93" t="s">
        <v>21</v>
      </c>
      <c r="S170" s="70">
        <v>0</v>
      </c>
      <c r="T170" s="62">
        <f t="shared" si="20"/>
        <v>5.4879313436875368E-2</v>
      </c>
      <c r="V170" s="113">
        <v>1.1141715999999999</v>
      </c>
      <c r="W170" s="71">
        <v>2.8545409500000001</v>
      </c>
      <c r="X170" s="71">
        <v>4.3625151100000004</v>
      </c>
      <c r="Y170" s="71">
        <v>5.6136981800000001</v>
      </c>
      <c r="Z170" s="114">
        <v>7.0874922199999997</v>
      </c>
      <c r="AB170" s="70">
        <v>4.1273958961555064E-2</v>
      </c>
      <c r="AC170" s="70">
        <v>4.8807554881995771E-2</v>
      </c>
      <c r="AD170" s="70">
        <v>5.4879313436875368E-2</v>
      </c>
      <c r="AE170" s="70">
        <v>5.9540179362878212E-2</v>
      </c>
      <c r="AF170" s="62">
        <v>6.4595860296260771E-2</v>
      </c>
      <c r="AG170" s="70" t="s">
        <v>21</v>
      </c>
      <c r="AH170" s="70">
        <v>7.036595181995774E-3</v>
      </c>
      <c r="AI170" s="70">
        <v>1.2926825236875371E-2</v>
      </c>
      <c r="AJ170" s="70">
        <v>1.6709254262878219E-2</v>
      </c>
      <c r="AK170" s="62">
        <v>2.0215579696260755E-2</v>
      </c>
    </row>
    <row r="171" spans="2:37" x14ac:dyDescent="0.35">
      <c r="B171" s="54" t="s">
        <v>240</v>
      </c>
      <c r="C171" s="52" t="s">
        <v>232</v>
      </c>
      <c r="D171" s="52" t="s">
        <v>20</v>
      </c>
      <c r="E171" s="52" t="s">
        <v>21</v>
      </c>
      <c r="F171" s="72">
        <f t="shared" si="18"/>
        <v>4.0980377104792055E-2</v>
      </c>
      <c r="G171" s="59">
        <f t="shared" si="18"/>
        <v>4.8144310272261591E-2</v>
      </c>
      <c r="H171" s="59">
        <f t="shared" si="18"/>
        <v>5.5178784298978545E-2</v>
      </c>
      <c r="I171" s="59">
        <f t="shared" si="18"/>
        <v>5.873766754748895E-2</v>
      </c>
      <c r="J171" s="62">
        <f t="shared" si="18"/>
        <v>6.2694606493246124E-2</v>
      </c>
      <c r="K171" s="59" t="str">
        <f t="shared" si="19"/>
        <v/>
      </c>
      <c r="L171" s="59">
        <f t="shared" si="19"/>
        <v>6.4131202722615931E-3</v>
      </c>
      <c r="M171" s="59">
        <f t="shared" si="19"/>
        <v>1.3212342098978546E-2</v>
      </c>
      <c r="N171" s="59">
        <f t="shared" si="19"/>
        <v>1.5960768947488952E-2</v>
      </c>
      <c r="O171" s="62">
        <f t="shared" si="19"/>
        <v>1.8430261093246147E-2</v>
      </c>
      <c r="P171" s="54" t="s">
        <v>21</v>
      </c>
      <c r="Q171" s="52" t="s">
        <v>21</v>
      </c>
      <c r="R171" s="93" t="s">
        <v>21</v>
      </c>
      <c r="S171" s="70">
        <v>0</v>
      </c>
      <c r="T171" s="62">
        <f t="shared" si="20"/>
        <v>5.5178784298978545E-2</v>
      </c>
      <c r="V171" s="113">
        <v>1.1146700599999999</v>
      </c>
      <c r="W171" s="71">
        <v>2.8596022900000002</v>
      </c>
      <c r="X171" s="71">
        <v>4.36667556</v>
      </c>
      <c r="Y171" s="71">
        <v>5.6253061600000001</v>
      </c>
      <c r="Z171" s="114">
        <v>7.1412556599999997</v>
      </c>
      <c r="AB171" s="70">
        <v>4.0980377104792055E-2</v>
      </c>
      <c r="AC171" s="70">
        <v>4.8144310272261591E-2</v>
      </c>
      <c r="AD171" s="70">
        <v>5.5178784298978545E-2</v>
      </c>
      <c r="AE171" s="70">
        <v>5.873766754748895E-2</v>
      </c>
      <c r="AF171" s="62">
        <v>6.2694606493246124E-2</v>
      </c>
      <c r="AG171" s="70" t="s">
        <v>21</v>
      </c>
      <c r="AH171" s="70">
        <v>6.4131202722615931E-3</v>
      </c>
      <c r="AI171" s="70">
        <v>1.3212342098978546E-2</v>
      </c>
      <c r="AJ171" s="70">
        <v>1.5960768947488952E-2</v>
      </c>
      <c r="AK171" s="62">
        <v>1.8430261093246147E-2</v>
      </c>
    </row>
    <row r="172" spans="2:37" x14ac:dyDescent="0.35">
      <c r="B172" s="54" t="s">
        <v>237</v>
      </c>
      <c r="C172" s="52" t="s">
        <v>232</v>
      </c>
      <c r="D172" s="52" t="s">
        <v>43</v>
      </c>
      <c r="E172" s="52" t="s">
        <v>110</v>
      </c>
      <c r="F172" s="72">
        <f t="shared" si="18"/>
        <v>4.1162607187993631E-2</v>
      </c>
      <c r="G172" s="59">
        <f t="shared" si="18"/>
        <v>4.8469503062338E-2</v>
      </c>
      <c r="H172" s="59">
        <f t="shared" si="18"/>
        <v>5.4658227590800766E-2</v>
      </c>
      <c r="I172" s="59">
        <f t="shared" si="18"/>
        <v>5.8952175935389477E-2</v>
      </c>
      <c r="J172" s="62">
        <f t="shared" si="18"/>
        <v>6.3117686533248007E-2</v>
      </c>
      <c r="K172" s="59" t="str">
        <f t="shared" si="19"/>
        <v/>
      </c>
      <c r="L172" s="59">
        <f t="shared" si="19"/>
        <v>6.7194131623380029E-3</v>
      </c>
      <c r="M172" s="59">
        <f t="shared" si="19"/>
        <v>1.2720423290800763E-2</v>
      </c>
      <c r="N172" s="59">
        <f t="shared" si="19"/>
        <v>1.6159131935389467E-2</v>
      </c>
      <c r="O172" s="62">
        <f t="shared" si="19"/>
        <v>1.8826341033247998E-2</v>
      </c>
      <c r="P172" s="54" t="s">
        <v>21</v>
      </c>
      <c r="Q172" s="52" t="s">
        <v>21</v>
      </c>
      <c r="R172" s="93" t="s">
        <v>21</v>
      </c>
      <c r="S172" s="70">
        <v>0</v>
      </c>
      <c r="T172" s="62">
        <f t="shared" si="20"/>
        <v>5.4658227590800766E-2</v>
      </c>
      <c r="V172" s="113">
        <v>1.1143481</v>
      </c>
      <c r="W172" s="71">
        <v>2.85651996</v>
      </c>
      <c r="X172" s="71">
        <v>4.3672269100000003</v>
      </c>
      <c r="Y172" s="71">
        <v>5.6261282100000001</v>
      </c>
      <c r="Z172" s="114">
        <v>7.1335941400000005</v>
      </c>
      <c r="AB172" s="70">
        <v>4.1162607187993631E-2</v>
      </c>
      <c r="AC172" s="70">
        <v>4.8469503062338E-2</v>
      </c>
      <c r="AD172" s="70">
        <v>5.4658227590800766E-2</v>
      </c>
      <c r="AE172" s="70">
        <v>5.8952175935389477E-2</v>
      </c>
      <c r="AF172" s="62">
        <v>6.3117686533248007E-2</v>
      </c>
      <c r="AG172" s="70" t="s">
        <v>21</v>
      </c>
      <c r="AH172" s="70">
        <v>6.7194131623380029E-3</v>
      </c>
      <c r="AI172" s="70">
        <v>1.2720423290800763E-2</v>
      </c>
      <c r="AJ172" s="70">
        <v>1.6159131935389467E-2</v>
      </c>
      <c r="AK172" s="62">
        <v>1.8826341033247998E-2</v>
      </c>
    </row>
    <row r="173" spans="2:37" x14ac:dyDescent="0.35">
      <c r="B173" s="54" t="s">
        <v>329</v>
      </c>
      <c r="C173" s="52" t="s">
        <v>232</v>
      </c>
      <c r="D173" s="52" t="s">
        <v>62</v>
      </c>
      <c r="E173" s="52" t="s">
        <v>21</v>
      </c>
      <c r="F173" s="72">
        <f t="shared" si="18"/>
        <v>4.1474915952313701E-2</v>
      </c>
      <c r="G173" s="59">
        <f t="shared" si="18"/>
        <v>4.8389467232010763E-2</v>
      </c>
      <c r="H173" s="59">
        <f t="shared" si="18"/>
        <v>5.4505335089719852E-2</v>
      </c>
      <c r="I173" s="59">
        <f t="shared" si="18"/>
        <v>5.8427999673958446E-2</v>
      </c>
      <c r="J173" s="62">
        <f t="shared" si="18"/>
        <v>6.311293954573205E-2</v>
      </c>
      <c r="K173" s="59" t="str">
        <f t="shared" si="19"/>
        <v/>
      </c>
      <c r="L173" s="59">
        <f t="shared" si="19"/>
        <v>6.6435042320107671E-3</v>
      </c>
      <c r="M173" s="59">
        <f t="shared" si="19"/>
        <v>1.2576188189719853E-2</v>
      </c>
      <c r="N173" s="59">
        <f t="shared" si="19"/>
        <v>1.5666256773958446E-2</v>
      </c>
      <c r="O173" s="62">
        <f t="shared" si="19"/>
        <v>1.8832445845732057E-2</v>
      </c>
      <c r="P173" s="54" t="s">
        <v>21</v>
      </c>
      <c r="Q173" s="52" t="s">
        <v>21</v>
      </c>
      <c r="R173" s="93" t="s">
        <v>21</v>
      </c>
      <c r="S173" s="70">
        <v>0</v>
      </c>
      <c r="T173" s="62">
        <f t="shared" si="20"/>
        <v>5.4505335089719852E-2</v>
      </c>
      <c r="V173" s="113">
        <v>1.11377093</v>
      </c>
      <c r="W173" s="71">
        <v>2.8560195500000001</v>
      </c>
      <c r="X173" s="71">
        <v>4.3684750299999999</v>
      </c>
      <c r="Y173" s="71">
        <v>5.6345908500000004</v>
      </c>
      <c r="Z173" s="114">
        <v>7.1240908100000002</v>
      </c>
      <c r="AB173" s="70">
        <v>4.1474915952313701E-2</v>
      </c>
      <c r="AC173" s="70">
        <v>4.8389467232010763E-2</v>
      </c>
      <c r="AD173" s="70">
        <v>5.4505335089719852E-2</v>
      </c>
      <c r="AE173" s="70">
        <v>5.8427999673958446E-2</v>
      </c>
      <c r="AF173" s="62">
        <v>6.311293954573205E-2</v>
      </c>
      <c r="AG173" s="70" t="s">
        <v>21</v>
      </c>
      <c r="AH173" s="70">
        <v>6.6435042320107671E-3</v>
      </c>
      <c r="AI173" s="70">
        <v>1.2576188189719853E-2</v>
      </c>
      <c r="AJ173" s="70">
        <v>1.5666256773958446E-2</v>
      </c>
      <c r="AK173" s="62">
        <v>1.8832445845732057E-2</v>
      </c>
    </row>
    <row r="174" spans="2:37" x14ac:dyDescent="0.35">
      <c r="B174" s="54" t="s">
        <v>374</v>
      </c>
      <c r="C174" s="52" t="s">
        <v>232</v>
      </c>
      <c r="D174" s="52" t="s">
        <v>20</v>
      </c>
      <c r="E174" s="52" t="s">
        <v>21</v>
      </c>
      <c r="F174" s="72">
        <f t="shared" ref="F174:J224" si="21">IF(ISNUMBER(AB174),AB174-((C$4-C$3)/V174),"")</f>
        <v>3.9952360643442479E-2</v>
      </c>
      <c r="G174" s="59">
        <f t="shared" si="21"/>
        <v>4.4745718554488174E-2</v>
      </c>
      <c r="H174" s="59">
        <f t="shared" si="21"/>
        <v>4.7956510160657044E-2</v>
      </c>
      <c r="I174" s="59">
        <f t="shared" si="21"/>
        <v>5.013315320447298E-2</v>
      </c>
      <c r="J174" s="62">
        <f t="shared" si="21"/>
        <v>5.2583450029144302E-2</v>
      </c>
      <c r="K174" s="59" t="str">
        <f t="shared" ref="K174:O224" si="22">IF(ISNUMBER(AG174),IF(AG174-((C$4-C$3)/V174)&lt;0,"",AG174-((C$4-C$3)/V174)),"")</f>
        <v/>
      </c>
      <c r="L174" s="59">
        <f t="shared" si="22"/>
        <v>3.1900264544881731E-3</v>
      </c>
      <c r="M174" s="59">
        <f t="shared" si="22"/>
        <v>6.374317160657051E-3</v>
      </c>
      <c r="N174" s="59">
        <f t="shared" si="22"/>
        <v>7.8078100044729776E-3</v>
      </c>
      <c r="O174" s="62">
        <f t="shared" si="22"/>
        <v>8.7871951291443005E-3</v>
      </c>
      <c r="P174" s="54" t="s">
        <v>21</v>
      </c>
      <c r="Q174" s="52" t="s">
        <v>21</v>
      </c>
      <c r="R174" s="93" t="s">
        <v>21</v>
      </c>
      <c r="S174" s="70">
        <v>0</v>
      </c>
      <c r="T174" s="62">
        <f t="shared" si="20"/>
        <v>4.7956510160657044E-2</v>
      </c>
      <c r="V174" s="113">
        <v>1.11659277</v>
      </c>
      <c r="W174" s="71">
        <v>2.8832853900000002</v>
      </c>
      <c r="X174" s="71">
        <v>4.4669062000000004</v>
      </c>
      <c r="Y174" s="71">
        <v>5.8543816899999994</v>
      </c>
      <c r="Z174" s="114">
        <v>7.6241325799999995</v>
      </c>
      <c r="AB174" s="70">
        <v>3.9952360643442479E-2</v>
      </c>
      <c r="AC174" s="70">
        <v>4.4745718554488174E-2</v>
      </c>
      <c r="AD174" s="70">
        <v>4.7956510160657044E-2</v>
      </c>
      <c r="AE174" s="70">
        <v>5.013315320447298E-2</v>
      </c>
      <c r="AF174" s="62">
        <v>5.2583450029144302E-2</v>
      </c>
      <c r="AG174" s="70" t="s">
        <v>21</v>
      </c>
      <c r="AH174" s="70">
        <v>3.1900264544881731E-3</v>
      </c>
      <c r="AI174" s="70">
        <v>6.374317160657051E-3</v>
      </c>
      <c r="AJ174" s="70">
        <v>7.8078100044729776E-3</v>
      </c>
      <c r="AK174" s="62">
        <v>8.7871951291443005E-3</v>
      </c>
    </row>
    <row r="175" spans="2:37" x14ac:dyDescent="0.35">
      <c r="B175" s="54" t="s">
        <v>337</v>
      </c>
      <c r="C175" s="52" t="s">
        <v>232</v>
      </c>
      <c r="D175" s="52" t="s">
        <v>31</v>
      </c>
      <c r="E175" s="52" t="s">
        <v>81</v>
      </c>
      <c r="F175" s="72">
        <f t="shared" si="21"/>
        <v>4.1237190818174785E-2</v>
      </c>
      <c r="G175" s="59">
        <f t="shared" si="21"/>
        <v>4.7863480684000398E-2</v>
      </c>
      <c r="H175" s="59">
        <f t="shared" si="21"/>
        <v>5.3408718352977613E-2</v>
      </c>
      <c r="I175" s="59">
        <f t="shared" si="21"/>
        <v>5.753749865001679E-2</v>
      </c>
      <c r="J175" s="62">
        <f t="shared" si="21"/>
        <v>6.2022694765740925E-2</v>
      </c>
      <c r="K175" s="59" t="str">
        <f t="shared" si="22"/>
        <v/>
      </c>
      <c r="L175" s="59">
        <f t="shared" si="22"/>
        <v>6.1483484840004071E-3</v>
      </c>
      <c r="M175" s="59">
        <f t="shared" si="22"/>
        <v>1.1543421852977616E-2</v>
      </c>
      <c r="N175" s="59">
        <f t="shared" si="22"/>
        <v>1.4829564250016799E-2</v>
      </c>
      <c r="O175" s="62">
        <f t="shared" si="22"/>
        <v>1.779207086574093E-2</v>
      </c>
      <c r="P175" s="54" t="s">
        <v>385</v>
      </c>
      <c r="Q175" s="52" t="s">
        <v>386</v>
      </c>
      <c r="R175" s="93">
        <v>47519</v>
      </c>
      <c r="S175" s="70">
        <v>4.9194060000000005E-2</v>
      </c>
      <c r="T175" s="62">
        <f t="shared" si="20"/>
        <v>4.2146583529776085E-3</v>
      </c>
      <c r="V175" s="113">
        <v>1.1141816199999999</v>
      </c>
      <c r="W175" s="71">
        <v>2.8599337899999999</v>
      </c>
      <c r="X175" s="71">
        <v>4.3839540500000007</v>
      </c>
      <c r="Y175" s="71">
        <v>5.6632785700000001</v>
      </c>
      <c r="Z175" s="114">
        <v>7.1975743100000003</v>
      </c>
      <c r="AB175" s="70">
        <v>4.1237190818174785E-2</v>
      </c>
      <c r="AC175" s="70">
        <v>4.7863480684000398E-2</v>
      </c>
      <c r="AD175" s="70">
        <v>5.3408718352977613E-2</v>
      </c>
      <c r="AE175" s="70">
        <v>5.753749865001679E-2</v>
      </c>
      <c r="AF175" s="62">
        <v>6.2022694765740925E-2</v>
      </c>
      <c r="AG175" s="70" t="s">
        <v>21</v>
      </c>
      <c r="AH175" s="70">
        <v>6.1483484840004071E-3</v>
      </c>
      <c r="AI175" s="70">
        <v>1.1543421852977616E-2</v>
      </c>
      <c r="AJ175" s="70">
        <v>1.4829564250016799E-2</v>
      </c>
      <c r="AK175" s="62">
        <v>1.779207086574093E-2</v>
      </c>
    </row>
    <row r="176" spans="2:37" x14ac:dyDescent="0.35">
      <c r="B176" s="54" t="s">
        <v>327</v>
      </c>
      <c r="C176" s="52" t="s">
        <v>232</v>
      </c>
      <c r="D176" s="52" t="s">
        <v>43</v>
      </c>
      <c r="E176" s="52" t="s">
        <v>21</v>
      </c>
      <c r="F176" s="72">
        <f t="shared" si="21"/>
        <v>4.1577739964788266E-2</v>
      </c>
      <c r="G176" s="59">
        <f t="shared" si="21"/>
        <v>4.8858290691664551E-2</v>
      </c>
      <c r="H176" s="59">
        <f t="shared" si="21"/>
        <v>5.5024161397617684E-2</v>
      </c>
      <c r="I176" s="59">
        <f t="shared" si="21"/>
        <v>5.9453184013771809E-2</v>
      </c>
      <c r="J176" s="62">
        <f t="shared" si="21"/>
        <v>6.3961655492619979E-2</v>
      </c>
      <c r="K176" s="59" t="str">
        <f t="shared" si="22"/>
        <v/>
      </c>
      <c r="L176" s="59">
        <f t="shared" si="22"/>
        <v>7.0875625916645528E-3</v>
      </c>
      <c r="M176" s="59">
        <f t="shared" si="22"/>
        <v>1.3066143697617681E-2</v>
      </c>
      <c r="N176" s="59">
        <f t="shared" si="22"/>
        <v>1.663217431377181E-2</v>
      </c>
      <c r="O176" s="62">
        <f t="shared" si="22"/>
        <v>1.9623851492619967E-2</v>
      </c>
      <c r="P176" s="54" t="s">
        <v>21</v>
      </c>
      <c r="Q176" s="52" t="s">
        <v>21</v>
      </c>
      <c r="R176" s="93" t="s">
        <v>21</v>
      </c>
      <c r="S176" s="70">
        <v>0</v>
      </c>
      <c r="T176" s="62">
        <f t="shared" si="20"/>
        <v>5.5024161397617684E-2</v>
      </c>
      <c r="V176" s="113">
        <v>1.1135718100000001</v>
      </c>
      <c r="W176" s="71">
        <v>2.8528795599999999</v>
      </c>
      <c r="X176" s="71">
        <v>4.3596958199999998</v>
      </c>
      <c r="Y176" s="71">
        <v>5.6127021399999997</v>
      </c>
      <c r="Z176" s="114">
        <v>7.1032458000000007</v>
      </c>
      <c r="AB176" s="70">
        <v>4.1577739964788266E-2</v>
      </c>
      <c r="AC176" s="70">
        <v>4.8858290691664551E-2</v>
      </c>
      <c r="AD176" s="70">
        <v>5.5024161397617684E-2</v>
      </c>
      <c r="AE176" s="70">
        <v>5.9453184013771809E-2</v>
      </c>
      <c r="AF176" s="62">
        <v>6.3961655492619979E-2</v>
      </c>
      <c r="AG176" s="70" t="s">
        <v>21</v>
      </c>
      <c r="AH176" s="70">
        <v>7.0875625916645528E-3</v>
      </c>
      <c r="AI176" s="70">
        <v>1.3066143697617681E-2</v>
      </c>
      <c r="AJ176" s="70">
        <v>1.663217431377181E-2</v>
      </c>
      <c r="AK176" s="62">
        <v>1.9623851492619967E-2</v>
      </c>
    </row>
    <row r="177" spans="2:37" x14ac:dyDescent="0.35">
      <c r="B177" s="54" t="s">
        <v>341</v>
      </c>
      <c r="C177" s="52" t="s">
        <v>232</v>
      </c>
      <c r="D177" s="52" t="s">
        <v>69</v>
      </c>
      <c r="E177" s="52" t="s">
        <v>21</v>
      </c>
      <c r="F177" s="72">
        <f t="shared" si="21"/>
        <v>4.094735023880669E-2</v>
      </c>
      <c r="G177" s="59">
        <f t="shared" si="21"/>
        <v>4.7670978725050953E-2</v>
      </c>
      <c r="H177" s="59">
        <f t="shared" si="21"/>
        <v>5.3047378731885877E-2</v>
      </c>
      <c r="I177" s="59">
        <f t="shared" si="21"/>
        <v>5.6331133320103977E-2</v>
      </c>
      <c r="J177" s="62">
        <f t="shared" si="21"/>
        <v>6.0602307066235504E-2</v>
      </c>
      <c r="K177" s="59" t="str">
        <f t="shared" si="22"/>
        <v/>
      </c>
      <c r="L177" s="59">
        <f t="shared" si="22"/>
        <v>5.9614868250509549E-3</v>
      </c>
      <c r="M177" s="59">
        <f t="shared" si="22"/>
        <v>1.1198903531885882E-2</v>
      </c>
      <c r="N177" s="59">
        <f t="shared" si="22"/>
        <v>1.3689301120103969E-2</v>
      </c>
      <c r="O177" s="62">
        <f t="shared" si="22"/>
        <v>1.6442405366235514E-2</v>
      </c>
      <c r="P177" s="54" t="s">
        <v>496</v>
      </c>
      <c r="Q177" s="52" t="s">
        <v>497</v>
      </c>
      <c r="R177" s="93" t="s">
        <v>32</v>
      </c>
      <c r="S177" s="70">
        <v>5.2344869999999995E-2</v>
      </c>
      <c r="T177" s="62">
        <f t="shared" si="20"/>
        <v>7.0250873188588275E-4</v>
      </c>
      <c r="V177" s="113">
        <v>1.11478108</v>
      </c>
      <c r="W177" s="71">
        <v>2.8621787700000003</v>
      </c>
      <c r="X177" s="71">
        <v>4.3900515799999997</v>
      </c>
      <c r="Y177" s="71">
        <v>5.6858631299999995</v>
      </c>
      <c r="Z177" s="114">
        <v>7.2566356400000007</v>
      </c>
      <c r="AB177" s="70">
        <v>4.094735023880669E-2</v>
      </c>
      <c r="AC177" s="70">
        <v>4.7670978725050953E-2</v>
      </c>
      <c r="AD177" s="70">
        <v>5.3047378731885877E-2</v>
      </c>
      <c r="AE177" s="70">
        <v>5.6331133320103977E-2</v>
      </c>
      <c r="AF177" s="62">
        <v>6.0602307066235504E-2</v>
      </c>
      <c r="AG177" s="70" t="s">
        <v>21</v>
      </c>
      <c r="AH177" s="70">
        <v>5.9614868250509549E-3</v>
      </c>
      <c r="AI177" s="70">
        <v>1.1198903531885882E-2</v>
      </c>
      <c r="AJ177" s="70">
        <v>1.3689301120103969E-2</v>
      </c>
      <c r="AK177" s="62">
        <v>1.6442405366235514E-2</v>
      </c>
    </row>
    <row r="178" spans="2:37" x14ac:dyDescent="0.35">
      <c r="B178" s="54" t="s">
        <v>141</v>
      </c>
      <c r="C178" s="52" t="s">
        <v>232</v>
      </c>
      <c r="D178" s="52" t="s">
        <v>53</v>
      </c>
      <c r="E178" s="52" t="s">
        <v>123</v>
      </c>
      <c r="F178" s="72">
        <f t="shared" si="21"/>
        <v>4.0948100834962635E-2</v>
      </c>
      <c r="G178" s="59">
        <f t="shared" si="21"/>
        <v>4.7717349832174287E-2</v>
      </c>
      <c r="H178" s="59">
        <f t="shared" si="21"/>
        <v>5.3045964462019833E-2</v>
      </c>
      <c r="I178" s="59">
        <f t="shared" si="21"/>
        <v>5.6897881078410928E-2</v>
      </c>
      <c r="J178" s="62">
        <f t="shared" si="21"/>
        <v>6.1632821921531196E-2</v>
      </c>
      <c r="K178" s="59" t="str">
        <f t="shared" si="22"/>
        <v/>
      </c>
      <c r="L178" s="59">
        <f t="shared" si="22"/>
        <v>6.0099246321742893E-3</v>
      </c>
      <c r="M178" s="59">
        <f t="shared" si="22"/>
        <v>1.1200750362019831E-2</v>
      </c>
      <c r="N178" s="59">
        <f t="shared" si="22"/>
        <v>1.4226567678410918E-2</v>
      </c>
      <c r="O178" s="62">
        <f t="shared" si="22"/>
        <v>1.7421495521531209E-2</v>
      </c>
      <c r="P178" s="54" t="s">
        <v>498</v>
      </c>
      <c r="Q178" s="52" t="s">
        <v>499</v>
      </c>
      <c r="R178" s="93" t="s">
        <v>32</v>
      </c>
      <c r="S178" s="70">
        <v>5.4370410000000001E-2</v>
      </c>
      <c r="T178" s="62">
        <f t="shared" si="20"/>
        <v>-1.3244455379801678E-3</v>
      </c>
      <c r="V178" s="113">
        <v>1.1147201400000002</v>
      </c>
      <c r="W178" s="71">
        <v>2.8612852099999997</v>
      </c>
      <c r="X178" s="71">
        <v>4.3891041499999996</v>
      </c>
      <c r="Y178" s="71">
        <v>5.6774532899999999</v>
      </c>
      <c r="Z178" s="114">
        <v>7.2225011500000003</v>
      </c>
      <c r="AB178" s="70">
        <v>4.0948100834962635E-2</v>
      </c>
      <c r="AC178" s="70">
        <v>4.7717349832174287E-2</v>
      </c>
      <c r="AD178" s="70">
        <v>5.3045964462019833E-2</v>
      </c>
      <c r="AE178" s="70">
        <v>5.6897881078410928E-2</v>
      </c>
      <c r="AF178" s="62">
        <v>6.1632821921531196E-2</v>
      </c>
      <c r="AG178" s="70" t="s">
        <v>21</v>
      </c>
      <c r="AH178" s="70">
        <v>6.0099246321742893E-3</v>
      </c>
      <c r="AI178" s="70">
        <v>1.1200750362019831E-2</v>
      </c>
      <c r="AJ178" s="70">
        <v>1.4226567678410918E-2</v>
      </c>
      <c r="AK178" s="62">
        <v>1.7421495521531209E-2</v>
      </c>
    </row>
    <row r="179" spans="2:37" x14ac:dyDescent="0.35">
      <c r="B179" s="54" t="s">
        <v>137</v>
      </c>
      <c r="C179" s="52" t="s">
        <v>232</v>
      </c>
      <c r="D179" s="52" t="s">
        <v>20</v>
      </c>
      <c r="E179" s="52" t="s">
        <v>21</v>
      </c>
      <c r="F179" s="72">
        <f t="shared" si="21"/>
        <v>4.233543562165068E-2</v>
      </c>
      <c r="G179" s="59">
        <f t="shared" si="21"/>
        <v>4.8696243844043752E-2</v>
      </c>
      <c r="H179" s="59">
        <f t="shared" si="21"/>
        <v>5.3447972483094477E-2</v>
      </c>
      <c r="I179" s="59">
        <f t="shared" si="21"/>
        <v>5.6236718275287985E-2</v>
      </c>
      <c r="J179" s="62">
        <f t="shared" si="21"/>
        <v>5.9495762098088004E-2</v>
      </c>
      <c r="K179" s="59">
        <f t="shared" si="22"/>
        <v>2.4506222165068207E-4</v>
      </c>
      <c r="L179" s="59">
        <f t="shared" si="22"/>
        <v>6.9343346440437492E-3</v>
      </c>
      <c r="M179" s="59">
        <f t="shared" si="22"/>
        <v>1.157881168309448E-2</v>
      </c>
      <c r="N179" s="59">
        <f t="shared" si="22"/>
        <v>1.3601393775287993E-2</v>
      </c>
      <c r="O179" s="62">
        <f t="shared" si="22"/>
        <v>1.5400741598088005E-2</v>
      </c>
      <c r="P179" s="54" t="s">
        <v>500</v>
      </c>
      <c r="Q179" s="52" t="s">
        <v>501</v>
      </c>
      <c r="R179" s="93">
        <v>47423</v>
      </c>
      <c r="S179" s="70">
        <v>5.0477480000000005E-2</v>
      </c>
      <c r="T179" s="62">
        <f t="shared" si="20"/>
        <v>2.9704924830944723E-3</v>
      </c>
      <c r="V179" s="113">
        <v>1.1121814299999999</v>
      </c>
      <c r="W179" s="71">
        <v>2.85151873</v>
      </c>
      <c r="X179" s="71">
        <v>4.3755826500000001</v>
      </c>
      <c r="Y179" s="71">
        <v>5.6703550700000003</v>
      </c>
      <c r="Z179" s="114">
        <v>7.2546473799999998</v>
      </c>
      <c r="AB179" s="70">
        <v>4.233543562165068E-2</v>
      </c>
      <c r="AC179" s="70">
        <v>4.8696243844043752E-2</v>
      </c>
      <c r="AD179" s="70">
        <v>5.3447972483094477E-2</v>
      </c>
      <c r="AE179" s="70">
        <v>5.6236718275287985E-2</v>
      </c>
      <c r="AF179" s="62">
        <v>5.9495762098088004E-2</v>
      </c>
      <c r="AG179" s="70">
        <v>2.4506222165068207E-4</v>
      </c>
      <c r="AH179" s="70">
        <v>6.9343346440437492E-3</v>
      </c>
      <c r="AI179" s="70">
        <v>1.157881168309448E-2</v>
      </c>
      <c r="AJ179" s="70">
        <v>1.3601393775287993E-2</v>
      </c>
      <c r="AK179" s="62">
        <v>1.5400741598088005E-2</v>
      </c>
    </row>
    <row r="180" spans="2:37" x14ac:dyDescent="0.35">
      <c r="B180" s="54" t="s">
        <v>158</v>
      </c>
      <c r="C180" s="52" t="s">
        <v>232</v>
      </c>
      <c r="D180" s="52" t="s">
        <v>20</v>
      </c>
      <c r="E180" s="52" t="s">
        <v>338</v>
      </c>
      <c r="F180" s="72">
        <f t="shared" si="21"/>
        <v>4.1647642600571036E-2</v>
      </c>
      <c r="G180" s="59">
        <f t="shared" si="21"/>
        <v>4.8207718930637466E-2</v>
      </c>
      <c r="H180" s="59">
        <f t="shared" si="21"/>
        <v>5.3321761247248467E-2</v>
      </c>
      <c r="I180" s="59">
        <f t="shared" si="21"/>
        <v>5.6143043041527278E-2</v>
      </c>
      <c r="J180" s="62">
        <f t="shared" si="21"/>
        <v>5.9431088759572648E-2</v>
      </c>
      <c r="K180" s="59" t="str">
        <f t="shared" si="22"/>
        <v/>
      </c>
      <c r="L180" s="59">
        <f t="shared" si="22"/>
        <v>6.4719131306374723E-3</v>
      </c>
      <c r="M180" s="59">
        <f t="shared" si="22"/>
        <v>1.1459591547248469E-2</v>
      </c>
      <c r="N180" s="59">
        <f t="shared" si="22"/>
        <v>1.3514290441527278E-2</v>
      </c>
      <c r="O180" s="62">
        <f t="shared" si="22"/>
        <v>1.5332666159572645E-2</v>
      </c>
      <c r="P180" s="54" t="s">
        <v>502</v>
      </c>
      <c r="Q180" s="52" t="s">
        <v>503</v>
      </c>
      <c r="R180" s="93">
        <v>47543</v>
      </c>
      <c r="S180" s="70">
        <v>5.1447070000000004E-2</v>
      </c>
      <c r="T180" s="62">
        <f t="shared" si="20"/>
        <v>1.8746912472484625E-3</v>
      </c>
      <c r="V180" s="113">
        <v>1.1134571799999999</v>
      </c>
      <c r="W180" s="71">
        <v>2.8572070200000002</v>
      </c>
      <c r="X180" s="71">
        <v>4.3826127999999995</v>
      </c>
      <c r="Y180" s="71">
        <v>5.6764208500000004</v>
      </c>
      <c r="Z180" s="114">
        <v>7.27469374</v>
      </c>
      <c r="AB180" s="70">
        <v>4.1647642600571036E-2</v>
      </c>
      <c r="AC180" s="70">
        <v>4.8207718930637466E-2</v>
      </c>
      <c r="AD180" s="70">
        <v>5.3321761247248467E-2</v>
      </c>
      <c r="AE180" s="70">
        <v>5.6143043041527278E-2</v>
      </c>
      <c r="AF180" s="62">
        <v>5.9431088759572648E-2</v>
      </c>
      <c r="AG180" s="70" t="s">
        <v>21</v>
      </c>
      <c r="AH180" s="70">
        <v>6.4719131306374723E-3</v>
      </c>
      <c r="AI180" s="70">
        <v>1.1459591547248469E-2</v>
      </c>
      <c r="AJ180" s="70">
        <v>1.3514290441527278E-2</v>
      </c>
      <c r="AK180" s="62">
        <v>1.5332666159572645E-2</v>
      </c>
    </row>
    <row r="181" spans="2:37" x14ac:dyDescent="0.35">
      <c r="B181" s="54" t="s">
        <v>149</v>
      </c>
      <c r="C181" s="52" t="s">
        <v>232</v>
      </c>
      <c r="D181" s="52" t="s">
        <v>53</v>
      </c>
      <c r="E181" s="52" t="s">
        <v>21</v>
      </c>
      <c r="F181" s="72">
        <f t="shared" si="21"/>
        <v>4.1320349659201921E-2</v>
      </c>
      <c r="G181" s="59">
        <f t="shared" si="21"/>
        <v>4.7614480845074345E-2</v>
      </c>
      <c r="H181" s="59">
        <f t="shared" si="21"/>
        <v>5.2788357897085872E-2</v>
      </c>
      <c r="I181" s="59">
        <f t="shared" si="21"/>
        <v>5.6360650308148734E-2</v>
      </c>
      <c r="J181" s="62">
        <f t="shared" si="21"/>
        <v>6.06359883579837E-2</v>
      </c>
      <c r="K181" s="59" t="str">
        <f t="shared" si="22"/>
        <v/>
      </c>
      <c r="L181" s="59">
        <f t="shared" si="22"/>
        <v>5.9114699450743408E-3</v>
      </c>
      <c r="M181" s="59">
        <f t="shared" si="22"/>
        <v>1.0956605497085877E-2</v>
      </c>
      <c r="N181" s="59">
        <f t="shared" si="22"/>
        <v>1.3718829408148722E-2</v>
      </c>
      <c r="O181" s="62">
        <f t="shared" si="22"/>
        <v>1.647670045798369E-2</v>
      </c>
      <c r="P181" s="54" t="s">
        <v>504</v>
      </c>
      <c r="Q181" s="52" t="s">
        <v>505</v>
      </c>
      <c r="R181" s="93">
        <v>47498</v>
      </c>
      <c r="S181" s="70">
        <v>4.8389090000000003E-2</v>
      </c>
      <c r="T181" s="62">
        <f t="shared" si="20"/>
        <v>4.3992678970858692E-3</v>
      </c>
      <c r="V181" s="113">
        <v>1.11404288</v>
      </c>
      <c r="W181" s="71">
        <v>2.8612309200000001</v>
      </c>
      <c r="X181" s="71">
        <v>4.3918421800000003</v>
      </c>
      <c r="Y181" s="71">
        <v>5.6878195200000006</v>
      </c>
      <c r="Z181" s="114">
        <v>7.2569542299999998</v>
      </c>
      <c r="AB181" s="70">
        <v>4.1320349659201921E-2</v>
      </c>
      <c r="AC181" s="70">
        <v>4.7614480845074345E-2</v>
      </c>
      <c r="AD181" s="70">
        <v>5.2788357897085872E-2</v>
      </c>
      <c r="AE181" s="70">
        <v>5.6360650308148734E-2</v>
      </c>
      <c r="AF181" s="62">
        <v>6.06359883579837E-2</v>
      </c>
      <c r="AG181" s="70" t="s">
        <v>21</v>
      </c>
      <c r="AH181" s="70">
        <v>5.9114699450743408E-3</v>
      </c>
      <c r="AI181" s="70">
        <v>1.0956605497085877E-2</v>
      </c>
      <c r="AJ181" s="70">
        <v>1.3718829408148722E-2</v>
      </c>
      <c r="AK181" s="62">
        <v>1.647670045798369E-2</v>
      </c>
    </row>
    <row r="182" spans="2:37" x14ac:dyDescent="0.35">
      <c r="B182" s="54" t="s">
        <v>150</v>
      </c>
      <c r="C182" s="52" t="s">
        <v>232</v>
      </c>
      <c r="D182" s="52" t="s">
        <v>43</v>
      </c>
      <c r="E182" s="52" t="s">
        <v>21</v>
      </c>
      <c r="F182" s="72">
        <f t="shared" si="21"/>
        <v>4.1386691780317723E-2</v>
      </c>
      <c r="G182" s="59">
        <f t="shared" si="21"/>
        <v>4.7462695771397272E-2</v>
      </c>
      <c r="H182" s="59">
        <f t="shared" si="21"/>
        <v>5.2735055756710295E-2</v>
      </c>
      <c r="I182" s="59">
        <f t="shared" si="21"/>
        <v>5.6497086222736324E-2</v>
      </c>
      <c r="J182" s="62">
        <f t="shared" si="21"/>
        <v>6.1401034671515309E-2</v>
      </c>
      <c r="K182" s="59" t="str">
        <f t="shared" si="22"/>
        <v/>
      </c>
      <c r="L182" s="59">
        <f t="shared" si="22"/>
        <v>5.7647338713972809E-3</v>
      </c>
      <c r="M182" s="59">
        <f t="shared" si="22"/>
        <v>1.0904211056710305E-2</v>
      </c>
      <c r="N182" s="59">
        <f t="shared" si="22"/>
        <v>1.3846090922736334E-2</v>
      </c>
      <c r="O182" s="62">
        <f t="shared" si="22"/>
        <v>1.7199455471515308E-2</v>
      </c>
      <c r="P182" s="54" t="s">
        <v>21</v>
      </c>
      <c r="Q182" s="52" t="s">
        <v>21</v>
      </c>
      <c r="R182" s="93" t="s">
        <v>21</v>
      </c>
      <c r="S182" s="70">
        <v>0</v>
      </c>
      <c r="T182" s="62">
        <f t="shared" si="20"/>
        <v>5.2735055756710295E-2</v>
      </c>
      <c r="V182" s="113">
        <v>1.1139593600000002</v>
      </c>
      <c r="W182" s="71">
        <v>2.8620392800000003</v>
      </c>
      <c r="X182" s="71">
        <v>4.3935057000000004</v>
      </c>
      <c r="Y182" s="71">
        <v>5.6876377099999997</v>
      </c>
      <c r="Z182" s="114">
        <v>7.2388518499999996</v>
      </c>
      <c r="AB182" s="70">
        <v>4.1386691780317723E-2</v>
      </c>
      <c r="AC182" s="70">
        <v>4.7462695771397272E-2</v>
      </c>
      <c r="AD182" s="70">
        <v>5.2735055756710295E-2</v>
      </c>
      <c r="AE182" s="70">
        <v>5.6497086222736324E-2</v>
      </c>
      <c r="AF182" s="62">
        <v>6.1401034671515309E-2</v>
      </c>
      <c r="AG182" s="70" t="s">
        <v>21</v>
      </c>
      <c r="AH182" s="70">
        <v>5.7647338713972809E-3</v>
      </c>
      <c r="AI182" s="70">
        <v>1.0904211056710305E-2</v>
      </c>
      <c r="AJ182" s="70">
        <v>1.3846090922736334E-2</v>
      </c>
      <c r="AK182" s="62">
        <v>1.7199455471515308E-2</v>
      </c>
    </row>
    <row r="183" spans="2:37" x14ac:dyDescent="0.35">
      <c r="B183" s="54" t="s">
        <v>339</v>
      </c>
      <c r="C183" s="52" t="s">
        <v>232</v>
      </c>
      <c r="D183" s="52" t="s">
        <v>69</v>
      </c>
      <c r="E183" s="52" t="s">
        <v>288</v>
      </c>
      <c r="F183" s="72">
        <f t="shared" si="21"/>
        <v>4.1092218077660399E-2</v>
      </c>
      <c r="G183" s="59">
        <f t="shared" si="21"/>
        <v>4.7190219976410243E-2</v>
      </c>
      <c r="H183" s="59">
        <f t="shared" si="21"/>
        <v>5.2513196754531387E-2</v>
      </c>
      <c r="I183" s="59">
        <f t="shared" si="21"/>
        <v>5.5996094077453727E-2</v>
      </c>
      <c r="J183" s="62">
        <f t="shared" si="21"/>
        <v>6.0264475996268468E-2</v>
      </c>
      <c r="K183" s="59" t="str">
        <f t="shared" si="22"/>
        <v/>
      </c>
      <c r="L183" s="59">
        <f t="shared" si="22"/>
        <v>5.5093411764102589E-3</v>
      </c>
      <c r="M183" s="59">
        <f t="shared" si="22"/>
        <v>1.0696499954531383E-2</v>
      </c>
      <c r="N183" s="59">
        <f t="shared" si="22"/>
        <v>1.3374929777453727E-2</v>
      </c>
      <c r="O183" s="62">
        <f t="shared" si="22"/>
        <v>1.6125180596268468E-2</v>
      </c>
      <c r="P183" s="54" t="s">
        <v>21</v>
      </c>
      <c r="Q183" s="52" t="s">
        <v>21</v>
      </c>
      <c r="R183" s="93" t="s">
        <v>21</v>
      </c>
      <c r="S183" s="70">
        <v>0</v>
      </c>
      <c r="T183" s="62">
        <f t="shared" si="20"/>
        <v>5.2513196754531387E-2</v>
      </c>
      <c r="V183" s="113">
        <v>1.1144720400000001</v>
      </c>
      <c r="W183" s="71">
        <v>2.8645799599999999</v>
      </c>
      <c r="X183" s="71">
        <v>4.3985877999999996</v>
      </c>
      <c r="Y183" s="71">
        <v>5.69940625</v>
      </c>
      <c r="Z183" s="114">
        <v>7.2772256800000008</v>
      </c>
      <c r="AB183" s="70">
        <v>4.1092218077660399E-2</v>
      </c>
      <c r="AC183" s="70">
        <v>4.7190219976410243E-2</v>
      </c>
      <c r="AD183" s="70">
        <v>5.2513196754531387E-2</v>
      </c>
      <c r="AE183" s="70">
        <v>5.5996094077453727E-2</v>
      </c>
      <c r="AF183" s="62">
        <v>6.0264475996268468E-2</v>
      </c>
      <c r="AG183" s="70" t="s">
        <v>21</v>
      </c>
      <c r="AH183" s="70">
        <v>5.5093411764102589E-3</v>
      </c>
      <c r="AI183" s="70">
        <v>1.0696499954531383E-2</v>
      </c>
      <c r="AJ183" s="70">
        <v>1.3374929777453727E-2</v>
      </c>
      <c r="AK183" s="62">
        <v>1.6125180596268468E-2</v>
      </c>
    </row>
    <row r="184" spans="2:37" x14ac:dyDescent="0.35">
      <c r="B184" s="54" t="s">
        <v>367</v>
      </c>
      <c r="C184" s="52" t="s">
        <v>232</v>
      </c>
      <c r="D184" s="52" t="s">
        <v>20</v>
      </c>
      <c r="E184" s="52" t="s">
        <v>21</v>
      </c>
      <c r="F184" s="72">
        <f t="shared" si="21"/>
        <v>4.0787186119698698E-2</v>
      </c>
      <c r="G184" s="59">
        <f t="shared" si="21"/>
        <v>4.5969329344706961E-2</v>
      </c>
      <c r="H184" s="59">
        <f t="shared" si="21"/>
        <v>4.9601779367730511E-2</v>
      </c>
      <c r="I184" s="59">
        <f t="shared" si="21"/>
        <v>5.1947552757029225E-2</v>
      </c>
      <c r="J184" s="62">
        <f t="shared" si="21"/>
        <v>5.4462596918128631E-2</v>
      </c>
      <c r="K184" s="59" t="str">
        <f t="shared" si="22"/>
        <v/>
      </c>
      <c r="L184" s="59">
        <f t="shared" si="22"/>
        <v>4.3519230447069662E-3</v>
      </c>
      <c r="M184" s="59">
        <f t="shared" si="22"/>
        <v>7.9381552677305102E-3</v>
      </c>
      <c r="N184" s="59">
        <f t="shared" si="22"/>
        <v>9.5361814570292212E-3</v>
      </c>
      <c r="O184" s="62">
        <f t="shared" si="22"/>
        <v>1.0590972918128633E-2</v>
      </c>
      <c r="P184" s="54" t="s">
        <v>399</v>
      </c>
      <c r="Q184" s="52" t="s">
        <v>400</v>
      </c>
      <c r="R184" s="93">
        <v>47270</v>
      </c>
      <c r="S184" s="70">
        <v>4.6629469999999999E-2</v>
      </c>
      <c r="T184" s="62">
        <f t="shared" si="20"/>
        <v>2.9723093677305121E-3</v>
      </c>
      <c r="V184" s="113">
        <v>1.1150367800000001</v>
      </c>
      <c r="W184" s="71">
        <v>2.87341969</v>
      </c>
      <c r="X184" s="71">
        <v>4.4387590000000001</v>
      </c>
      <c r="Y184" s="71">
        <v>5.7982737000000002</v>
      </c>
      <c r="Z184" s="114">
        <v>7.5195311599999997</v>
      </c>
      <c r="AB184" s="70">
        <v>4.0787186119698698E-2</v>
      </c>
      <c r="AC184" s="70">
        <v>4.5969329344706961E-2</v>
      </c>
      <c r="AD184" s="70">
        <v>4.9601779367730511E-2</v>
      </c>
      <c r="AE184" s="70">
        <v>5.1947552757029225E-2</v>
      </c>
      <c r="AF184" s="62">
        <v>5.4462596918128631E-2</v>
      </c>
      <c r="AG184" s="70" t="s">
        <v>21</v>
      </c>
      <c r="AH184" s="70">
        <v>4.3519230447069662E-3</v>
      </c>
      <c r="AI184" s="70">
        <v>7.9381552677305102E-3</v>
      </c>
      <c r="AJ184" s="70">
        <v>9.5361814570292212E-3</v>
      </c>
      <c r="AK184" s="62">
        <v>1.0590972918128633E-2</v>
      </c>
    </row>
    <row r="185" spans="2:37" x14ac:dyDescent="0.35">
      <c r="B185" s="54" t="s">
        <v>359</v>
      </c>
      <c r="C185" s="52" t="s">
        <v>232</v>
      </c>
      <c r="D185" s="52" t="s">
        <v>20</v>
      </c>
      <c r="E185" s="52" t="s">
        <v>128</v>
      </c>
      <c r="F185" s="72">
        <f t="shared" si="21"/>
        <v>4.1250153188062362E-2</v>
      </c>
      <c r="G185" s="59">
        <f t="shared" si="21"/>
        <v>4.7535745287398651E-2</v>
      </c>
      <c r="H185" s="59">
        <f t="shared" si="21"/>
        <v>5.2831267641710658E-2</v>
      </c>
      <c r="I185" s="59">
        <f t="shared" si="21"/>
        <v>5.5528146755102058E-2</v>
      </c>
      <c r="J185" s="62">
        <f t="shared" si="21"/>
        <v>5.8794997467841031E-2</v>
      </c>
      <c r="K185" s="59" t="str">
        <f t="shared" si="22"/>
        <v/>
      </c>
      <c r="L185" s="59">
        <f t="shared" si="22"/>
        <v>5.83645658739865E-3</v>
      </c>
      <c r="M185" s="59">
        <f t="shared" si="22"/>
        <v>1.0996942441710659E-2</v>
      </c>
      <c r="N185" s="59">
        <f t="shared" si="22"/>
        <v>1.2933213355102068E-2</v>
      </c>
      <c r="O185" s="62">
        <f t="shared" si="22"/>
        <v>1.4730227267841033E-2</v>
      </c>
      <c r="P185" s="54" t="s">
        <v>21</v>
      </c>
      <c r="Q185" s="52" t="s">
        <v>21</v>
      </c>
      <c r="R185" s="93" t="s">
        <v>21</v>
      </c>
      <c r="S185" s="70">
        <v>0</v>
      </c>
      <c r="T185" s="62">
        <f t="shared" si="20"/>
        <v>5.2831267641710658E-2</v>
      </c>
      <c r="V185" s="113">
        <v>1.1141821300000001</v>
      </c>
      <c r="W185" s="71">
        <v>2.8630886800000002</v>
      </c>
      <c r="X185" s="71">
        <v>4.3949734999999999</v>
      </c>
      <c r="Y185" s="71">
        <v>5.7006168800000001</v>
      </c>
      <c r="Z185" s="114">
        <v>7.3127543899999994</v>
      </c>
      <c r="AB185" s="70">
        <v>4.1250153188062362E-2</v>
      </c>
      <c r="AC185" s="70">
        <v>4.7535745287398651E-2</v>
      </c>
      <c r="AD185" s="70">
        <v>5.2831267641710658E-2</v>
      </c>
      <c r="AE185" s="70">
        <v>5.5528146755102058E-2</v>
      </c>
      <c r="AF185" s="62">
        <v>5.8794997467841031E-2</v>
      </c>
      <c r="AG185" s="70" t="s">
        <v>21</v>
      </c>
      <c r="AH185" s="70">
        <v>5.83645658739865E-3</v>
      </c>
      <c r="AI185" s="70">
        <v>1.0996942441710659E-2</v>
      </c>
      <c r="AJ185" s="70">
        <v>1.2933213355102068E-2</v>
      </c>
      <c r="AK185" s="62">
        <v>1.4730227267841033E-2</v>
      </c>
    </row>
    <row r="186" spans="2:37" x14ac:dyDescent="0.35">
      <c r="B186" s="54" t="s">
        <v>136</v>
      </c>
      <c r="C186" s="52" t="s">
        <v>232</v>
      </c>
      <c r="D186" s="52" t="s">
        <v>47</v>
      </c>
      <c r="E186" s="52" t="s">
        <v>21</v>
      </c>
      <c r="F186" s="72">
        <f t="shared" si="21"/>
        <v>4.1145716926091556E-2</v>
      </c>
      <c r="G186" s="59">
        <f t="shared" si="21"/>
        <v>4.6991775378924384E-2</v>
      </c>
      <c r="H186" s="59">
        <f t="shared" si="21"/>
        <v>5.2140866753638104E-2</v>
      </c>
      <c r="I186" s="59">
        <f t="shared" si="21"/>
        <v>5.5440511281807853E-2</v>
      </c>
      <c r="J186" s="62">
        <f t="shared" si="21"/>
        <v>5.9335458349918858E-2</v>
      </c>
      <c r="K186" s="59" t="str">
        <f t="shared" si="22"/>
        <v/>
      </c>
      <c r="L186" s="59">
        <f t="shared" si="22"/>
        <v>5.3245513789243904E-3</v>
      </c>
      <c r="M186" s="59">
        <f t="shared" si="22"/>
        <v>1.0346683953638107E-2</v>
      </c>
      <c r="N186" s="59">
        <f t="shared" si="22"/>
        <v>1.2851595981807856E-2</v>
      </c>
      <c r="O186" s="62">
        <f t="shared" si="22"/>
        <v>1.5244990449918866E-2</v>
      </c>
      <c r="P186" s="54" t="s">
        <v>506</v>
      </c>
      <c r="Q186" s="52" t="s">
        <v>507</v>
      </c>
      <c r="R186" s="93">
        <v>47559</v>
      </c>
      <c r="S186" s="70">
        <v>4.728972E-2</v>
      </c>
      <c r="T186" s="62">
        <f t="shared" si="20"/>
        <v>4.8511467536381039E-3</v>
      </c>
      <c r="V186" s="113">
        <v>1.11433099</v>
      </c>
      <c r="W186" s="71">
        <v>2.8660424199999999</v>
      </c>
      <c r="X186" s="71">
        <v>4.4039903300000001</v>
      </c>
      <c r="Y186" s="71">
        <v>5.7127000199999998</v>
      </c>
      <c r="Z186" s="114">
        <v>7.3127926199999997</v>
      </c>
      <c r="AB186" s="70">
        <v>4.1145716926091556E-2</v>
      </c>
      <c r="AC186" s="70">
        <v>4.6991775378924384E-2</v>
      </c>
      <c r="AD186" s="70">
        <v>5.2140866753638104E-2</v>
      </c>
      <c r="AE186" s="70">
        <v>5.5440511281807853E-2</v>
      </c>
      <c r="AF186" s="62">
        <v>5.9335458349918858E-2</v>
      </c>
      <c r="AG186" s="70" t="s">
        <v>21</v>
      </c>
      <c r="AH186" s="70">
        <v>5.3245513789243904E-3</v>
      </c>
      <c r="AI186" s="70">
        <v>1.0346683953638107E-2</v>
      </c>
      <c r="AJ186" s="70">
        <v>1.2851595981807856E-2</v>
      </c>
      <c r="AK186" s="62">
        <v>1.5244990449918866E-2</v>
      </c>
    </row>
    <row r="187" spans="2:37" x14ac:dyDescent="0.35">
      <c r="B187" s="54" t="s">
        <v>238</v>
      </c>
      <c r="C187" s="52" t="s">
        <v>232</v>
      </c>
      <c r="D187" s="52" t="s">
        <v>20</v>
      </c>
      <c r="E187" s="52" t="s">
        <v>21</v>
      </c>
      <c r="F187" s="72">
        <f t="shared" si="21"/>
        <v>4.1083573737406752E-2</v>
      </c>
      <c r="G187" s="59">
        <f t="shared" si="21"/>
        <v>4.7681233578728693E-2</v>
      </c>
      <c r="H187" s="59">
        <f t="shared" si="21"/>
        <v>5.2583358866359897E-2</v>
      </c>
      <c r="I187" s="59">
        <f t="shared" si="21"/>
        <v>5.6340072102719511E-2</v>
      </c>
      <c r="J187" s="62">
        <f t="shared" si="21"/>
        <v>6.0068990673551231E-2</v>
      </c>
      <c r="K187" s="59" t="str">
        <f t="shared" si="22"/>
        <v/>
      </c>
      <c r="L187" s="59">
        <f t="shared" si="22"/>
        <v>5.9707155787286897E-3</v>
      </c>
      <c r="M187" s="59">
        <f t="shared" si="22"/>
        <v>1.0760433066359897E-2</v>
      </c>
      <c r="N187" s="59">
        <f t="shared" si="22"/>
        <v>1.3699527502719504E-2</v>
      </c>
      <c r="O187" s="62">
        <f t="shared" si="22"/>
        <v>1.5944191673551236E-2</v>
      </c>
      <c r="P187" s="54" t="s">
        <v>508</v>
      </c>
      <c r="Q187" s="52" t="s">
        <v>509</v>
      </c>
      <c r="R187" s="93">
        <v>47515</v>
      </c>
      <c r="S187" s="70">
        <v>5.1714759999999999E-2</v>
      </c>
      <c r="T187" s="62">
        <f t="shared" si="20"/>
        <v>8.6859886635989869E-4</v>
      </c>
      <c r="V187" s="113">
        <v>1.1145241700000001</v>
      </c>
      <c r="W187" s="71">
        <v>2.8613719199999998</v>
      </c>
      <c r="X187" s="71">
        <v>4.39407514</v>
      </c>
      <c r="Y187" s="71">
        <v>5.6896982500000002</v>
      </c>
      <c r="Z187" s="114">
        <v>7.2683</v>
      </c>
      <c r="AB187" s="70">
        <v>4.1083573737406752E-2</v>
      </c>
      <c r="AC187" s="70">
        <v>4.7681233578728693E-2</v>
      </c>
      <c r="AD187" s="70">
        <v>5.2583358866359897E-2</v>
      </c>
      <c r="AE187" s="70">
        <v>5.6340072102719511E-2</v>
      </c>
      <c r="AF187" s="62">
        <v>6.0068990673551231E-2</v>
      </c>
      <c r="AG187" s="70" t="s">
        <v>21</v>
      </c>
      <c r="AH187" s="70">
        <v>5.9707155787286897E-3</v>
      </c>
      <c r="AI187" s="70">
        <v>1.0760433066359897E-2</v>
      </c>
      <c r="AJ187" s="70">
        <v>1.3699527502719504E-2</v>
      </c>
      <c r="AK187" s="62">
        <v>1.5944191673551236E-2</v>
      </c>
    </row>
    <row r="188" spans="2:37" x14ac:dyDescent="0.35">
      <c r="B188" s="54" t="s">
        <v>324</v>
      </c>
      <c r="C188" s="52" t="s">
        <v>232</v>
      </c>
      <c r="D188" s="52" t="s">
        <v>20</v>
      </c>
      <c r="E188" s="52" t="s">
        <v>429</v>
      </c>
      <c r="F188" s="72">
        <f t="shared" si="21"/>
        <v>4.0560605682489786E-2</v>
      </c>
      <c r="G188" s="59">
        <f t="shared" si="21"/>
        <v>4.7033814975892166E-2</v>
      </c>
      <c r="H188" s="59">
        <f t="shared" si="21"/>
        <v>5.2511558059523053E-2</v>
      </c>
      <c r="I188" s="59">
        <f t="shared" si="21"/>
        <v>5.6076981303118063E-2</v>
      </c>
      <c r="J188" s="62">
        <f t="shared" si="21"/>
        <v>5.958952769757251E-2</v>
      </c>
      <c r="K188" s="59" t="str">
        <f t="shared" si="22"/>
        <v/>
      </c>
      <c r="L188" s="59">
        <f t="shared" si="22"/>
        <v>5.3616487758921683E-3</v>
      </c>
      <c r="M188" s="59">
        <f t="shared" si="22"/>
        <v>1.069543585952305E-2</v>
      </c>
      <c r="N188" s="59">
        <f t="shared" si="22"/>
        <v>1.3453006603118076E-2</v>
      </c>
      <c r="O188" s="62">
        <f t="shared" si="22"/>
        <v>1.5490553797572512E-2</v>
      </c>
      <c r="P188" s="54" t="s">
        <v>21</v>
      </c>
      <c r="Q188" s="52" t="s">
        <v>21</v>
      </c>
      <c r="R188" s="93" t="s">
        <v>21</v>
      </c>
      <c r="S188" s="70">
        <v>0</v>
      </c>
      <c r="T188" s="62">
        <f t="shared" si="20"/>
        <v>5.2511558059523053E-2</v>
      </c>
      <c r="V188" s="113">
        <v>1.11548264</v>
      </c>
      <c r="W188" s="71">
        <v>2.86787298</v>
      </c>
      <c r="X188" s="71">
        <v>4.4019366999999994</v>
      </c>
      <c r="Y188" s="71">
        <v>5.6998695000000001</v>
      </c>
      <c r="Z188" s="114">
        <v>7.2894711000000001</v>
      </c>
      <c r="AB188" s="70">
        <v>4.0560605682489786E-2</v>
      </c>
      <c r="AC188" s="70">
        <v>4.7033814975892166E-2</v>
      </c>
      <c r="AD188" s="70">
        <v>5.2511558059523053E-2</v>
      </c>
      <c r="AE188" s="70">
        <v>5.6076981303118063E-2</v>
      </c>
      <c r="AF188" s="62">
        <v>5.958952769757251E-2</v>
      </c>
      <c r="AG188" s="70" t="s">
        <v>21</v>
      </c>
      <c r="AH188" s="70">
        <v>5.3616487758921683E-3</v>
      </c>
      <c r="AI188" s="70">
        <v>1.069543585952305E-2</v>
      </c>
      <c r="AJ188" s="70">
        <v>1.3453006603118076E-2</v>
      </c>
      <c r="AK188" s="62">
        <v>1.5490553797572512E-2</v>
      </c>
    </row>
    <row r="189" spans="2:37" x14ac:dyDescent="0.35">
      <c r="B189" s="54" t="s">
        <v>155</v>
      </c>
      <c r="C189" s="52" t="s">
        <v>232</v>
      </c>
      <c r="D189" s="52" t="s">
        <v>131</v>
      </c>
      <c r="E189" s="52" t="s">
        <v>75</v>
      </c>
      <c r="F189" s="72">
        <f t="shared" si="21"/>
        <v>4.0978994813004536E-2</v>
      </c>
      <c r="G189" s="59">
        <f t="shared" si="21"/>
        <v>4.6858256804315178E-2</v>
      </c>
      <c r="H189" s="59">
        <f t="shared" si="21"/>
        <v>5.1987571014580888E-2</v>
      </c>
      <c r="I189" s="59">
        <f t="shared" si="21"/>
        <v>5.557356300266058E-2</v>
      </c>
      <c r="J189" s="62">
        <f t="shared" si="21"/>
        <v>5.9654632828285495E-2</v>
      </c>
      <c r="K189" s="59" t="str">
        <f t="shared" si="22"/>
        <v/>
      </c>
      <c r="L189" s="59">
        <f t="shared" si="22"/>
        <v>5.1947186043151752E-3</v>
      </c>
      <c r="M189" s="59">
        <f t="shared" si="22"/>
        <v>1.0199404814580893E-2</v>
      </c>
      <c r="N189" s="59">
        <f t="shared" si="22"/>
        <v>1.2975627702660593E-2</v>
      </c>
      <c r="O189" s="62">
        <f t="shared" si="22"/>
        <v>1.5547746628285484E-2</v>
      </c>
      <c r="P189" s="54" t="s">
        <v>510</v>
      </c>
      <c r="Q189" s="52" t="s">
        <v>511</v>
      </c>
      <c r="R189" s="93">
        <v>47534</v>
      </c>
      <c r="S189" s="70">
        <v>5.0263309999999999E-2</v>
      </c>
      <c r="T189" s="62">
        <f t="shared" si="20"/>
        <v>1.7242610145808898E-3</v>
      </c>
      <c r="V189" s="113">
        <v>1.11468422</v>
      </c>
      <c r="W189" s="71">
        <v>2.8669894</v>
      </c>
      <c r="X189" s="71">
        <v>4.4067525500000002</v>
      </c>
      <c r="Y189" s="71">
        <v>5.7138887</v>
      </c>
      <c r="Z189" s="114">
        <v>7.3055191699999993</v>
      </c>
      <c r="AB189" s="70">
        <v>4.0978994813004536E-2</v>
      </c>
      <c r="AC189" s="70">
        <v>4.6858256804315178E-2</v>
      </c>
      <c r="AD189" s="70">
        <v>5.1987571014580888E-2</v>
      </c>
      <c r="AE189" s="70">
        <v>5.557356300266058E-2</v>
      </c>
      <c r="AF189" s="62">
        <v>5.9654632828285495E-2</v>
      </c>
      <c r="AG189" s="70" t="s">
        <v>21</v>
      </c>
      <c r="AH189" s="70">
        <v>5.1947186043151752E-3</v>
      </c>
      <c r="AI189" s="70">
        <v>1.0199404814580893E-2</v>
      </c>
      <c r="AJ189" s="70">
        <v>1.2975627702660593E-2</v>
      </c>
      <c r="AK189" s="62">
        <v>1.5547746628285484E-2</v>
      </c>
    </row>
    <row r="190" spans="2:37" x14ac:dyDescent="0.35">
      <c r="B190" s="54" t="s">
        <v>265</v>
      </c>
      <c r="C190" s="52" t="s">
        <v>232</v>
      </c>
      <c r="D190" s="52" t="s">
        <v>31</v>
      </c>
      <c r="E190" s="52" t="s">
        <v>21</v>
      </c>
      <c r="F190" s="72">
        <f t="shared" si="21"/>
        <v>4.082238693491673E-2</v>
      </c>
      <c r="G190" s="59">
        <f t="shared" si="21"/>
        <v>4.7127781820015847E-2</v>
      </c>
      <c r="H190" s="59">
        <f t="shared" si="21"/>
        <v>5.1948376276456196E-2</v>
      </c>
      <c r="I190" s="59">
        <f t="shared" si="21"/>
        <v>5.4961939978684746E-2</v>
      </c>
      <c r="J190" s="62">
        <f t="shared" si="21"/>
        <v>5.7557736651067934E-2</v>
      </c>
      <c r="K190" s="59" t="str">
        <f t="shared" si="22"/>
        <v/>
      </c>
      <c r="L190" s="59">
        <f t="shared" si="22"/>
        <v>5.4490963200158511E-3</v>
      </c>
      <c r="M190" s="59">
        <f t="shared" si="22"/>
        <v>1.0161391376456186E-2</v>
      </c>
      <c r="N190" s="59">
        <f t="shared" si="22"/>
        <v>1.2395922778684749E-2</v>
      </c>
      <c r="O190" s="62">
        <f t="shared" si="22"/>
        <v>1.3552284151067939E-2</v>
      </c>
      <c r="P190" s="54" t="s">
        <v>512</v>
      </c>
      <c r="Q190" s="52" t="s">
        <v>513</v>
      </c>
      <c r="R190" s="93">
        <v>47679</v>
      </c>
      <c r="S190" s="70">
        <v>5.2897179999999995E-2</v>
      </c>
      <c r="T190" s="62">
        <f t="shared" si="20"/>
        <v>-9.4880372354379933E-4</v>
      </c>
      <c r="V190" s="113">
        <v>1.11498823</v>
      </c>
      <c r="W190" s="71">
        <v>2.8658619000000001</v>
      </c>
      <c r="X190" s="71">
        <v>4.4054875100000004</v>
      </c>
      <c r="Y190" s="71">
        <v>5.7211995</v>
      </c>
      <c r="Z190" s="114">
        <v>7.3632994099999998</v>
      </c>
      <c r="AB190" s="70">
        <v>4.082238693491673E-2</v>
      </c>
      <c r="AC190" s="70">
        <v>4.7127781820015847E-2</v>
      </c>
      <c r="AD190" s="70">
        <v>5.1948376276456196E-2</v>
      </c>
      <c r="AE190" s="70">
        <v>5.4961939978684746E-2</v>
      </c>
      <c r="AF190" s="62">
        <v>5.7557736651067934E-2</v>
      </c>
      <c r="AG190" s="70" t="s">
        <v>21</v>
      </c>
      <c r="AH190" s="70">
        <v>5.4490963200158511E-3</v>
      </c>
      <c r="AI190" s="70">
        <v>1.0161391376456186E-2</v>
      </c>
      <c r="AJ190" s="70">
        <v>1.2395922778684749E-2</v>
      </c>
      <c r="AK190" s="62">
        <v>1.3552284151067939E-2</v>
      </c>
    </row>
    <row r="191" spans="2:37" x14ac:dyDescent="0.35">
      <c r="B191" s="54" t="s">
        <v>320</v>
      </c>
      <c r="C191" s="52" t="s">
        <v>232</v>
      </c>
      <c r="D191" s="52" t="s">
        <v>69</v>
      </c>
      <c r="E191" s="52" t="s">
        <v>21</v>
      </c>
      <c r="F191" s="72">
        <f t="shared" si="21"/>
        <v>4.0815985665816672E-2</v>
      </c>
      <c r="G191" s="59">
        <f t="shared" si="21"/>
        <v>4.6990181534961289E-2</v>
      </c>
      <c r="H191" s="59">
        <f t="shared" si="21"/>
        <v>5.1941224014725708E-2</v>
      </c>
      <c r="I191" s="59">
        <f t="shared" si="21"/>
        <v>5.5811810277476753E-2</v>
      </c>
      <c r="J191" s="62">
        <f t="shared" si="21"/>
        <v>5.9449256001038307E-2</v>
      </c>
      <c r="K191" s="59" t="str">
        <f t="shared" si="22"/>
        <v/>
      </c>
      <c r="L191" s="59">
        <f t="shared" si="22"/>
        <v>5.3195942349612921E-3</v>
      </c>
      <c r="M191" s="59">
        <f t="shared" si="22"/>
        <v>1.0155329914725704E-2</v>
      </c>
      <c r="N191" s="59">
        <f t="shared" si="22"/>
        <v>1.3200524177476747E-2</v>
      </c>
      <c r="O191" s="62">
        <f t="shared" si="22"/>
        <v>1.5354778901038302E-2</v>
      </c>
      <c r="P191" s="54" t="s">
        <v>21</v>
      </c>
      <c r="Q191" s="52" t="s">
        <v>21</v>
      </c>
      <c r="R191" s="93" t="s">
        <v>21</v>
      </c>
      <c r="S191" s="70">
        <v>0</v>
      </c>
      <c r="T191" s="62">
        <f t="shared" si="20"/>
        <v>5.1941224014725708E-2</v>
      </c>
      <c r="V191" s="113">
        <v>1.1149889499999999</v>
      </c>
      <c r="W191" s="71">
        <v>2.8667041800000002</v>
      </c>
      <c r="X191" s="71">
        <v>4.40663538</v>
      </c>
      <c r="Y191" s="71">
        <v>5.7107898600000002</v>
      </c>
      <c r="Z191" s="114">
        <v>7.3055584300000005</v>
      </c>
      <c r="AB191" s="70">
        <v>4.0815985665816672E-2</v>
      </c>
      <c r="AC191" s="70">
        <v>4.6990181534961289E-2</v>
      </c>
      <c r="AD191" s="70">
        <v>5.1941224014725708E-2</v>
      </c>
      <c r="AE191" s="70">
        <v>5.5811810277476753E-2</v>
      </c>
      <c r="AF191" s="62">
        <v>5.9449256001038307E-2</v>
      </c>
      <c r="AG191" s="70" t="s">
        <v>21</v>
      </c>
      <c r="AH191" s="70">
        <v>5.3195942349612921E-3</v>
      </c>
      <c r="AI191" s="70">
        <v>1.0155329914725704E-2</v>
      </c>
      <c r="AJ191" s="70">
        <v>1.3200524177476747E-2</v>
      </c>
      <c r="AK191" s="62">
        <v>1.5354778901038302E-2</v>
      </c>
    </row>
    <row r="192" spans="2:37" x14ac:dyDescent="0.35">
      <c r="B192" s="54" t="s">
        <v>124</v>
      </c>
      <c r="C192" s="52" t="s">
        <v>232</v>
      </c>
      <c r="D192" s="52" t="s">
        <v>69</v>
      </c>
      <c r="E192" s="52" t="s">
        <v>112</v>
      </c>
      <c r="F192" s="72">
        <f t="shared" si="21"/>
        <v>4.0702638221575708E-2</v>
      </c>
      <c r="G192" s="59">
        <f t="shared" si="21"/>
        <v>4.6784576381611813E-2</v>
      </c>
      <c r="H192" s="59">
        <f t="shared" si="21"/>
        <v>5.1930983193165768E-2</v>
      </c>
      <c r="I192" s="59">
        <f t="shared" si="21"/>
        <v>5.5612990673842753E-2</v>
      </c>
      <c r="J192" s="62">
        <f t="shared" si="21"/>
        <v>5.9786480445633297E-2</v>
      </c>
      <c r="K192" s="59" t="str">
        <f t="shared" si="22"/>
        <v/>
      </c>
      <c r="L192" s="59">
        <f t="shared" si="22"/>
        <v>5.1251498816118181E-3</v>
      </c>
      <c r="M192" s="59">
        <f t="shared" si="22"/>
        <v>1.0146068493165772E-2</v>
      </c>
      <c r="N192" s="59">
        <f t="shared" si="22"/>
        <v>1.301323747384275E-2</v>
      </c>
      <c r="O192" s="62">
        <f t="shared" si="22"/>
        <v>1.5673737945633287E-2</v>
      </c>
      <c r="P192" s="54" t="s">
        <v>21</v>
      </c>
      <c r="Q192" s="52" t="s">
        <v>21</v>
      </c>
      <c r="R192" s="93" t="s">
        <v>21</v>
      </c>
      <c r="S192" s="70">
        <v>0</v>
      </c>
      <c r="T192" s="62">
        <f t="shared" si="20"/>
        <v>5.1930983193165768E-2</v>
      </c>
      <c r="V192" s="113">
        <v>1.1151948199999999</v>
      </c>
      <c r="W192" s="71">
        <v>2.8683230600000003</v>
      </c>
      <c r="X192" s="71">
        <v>4.4086827900000003</v>
      </c>
      <c r="Y192" s="71">
        <v>5.7152271599999995</v>
      </c>
      <c r="Z192" s="114">
        <v>7.3032962399999999</v>
      </c>
      <c r="AB192" s="70">
        <v>4.0702638221575708E-2</v>
      </c>
      <c r="AC192" s="70">
        <v>4.6784576381611813E-2</v>
      </c>
      <c r="AD192" s="70">
        <v>5.1930983193165768E-2</v>
      </c>
      <c r="AE192" s="70">
        <v>5.5612990673842753E-2</v>
      </c>
      <c r="AF192" s="62">
        <v>5.9786480445633297E-2</v>
      </c>
      <c r="AG192" s="70" t="s">
        <v>21</v>
      </c>
      <c r="AH192" s="70">
        <v>5.1251498816118181E-3</v>
      </c>
      <c r="AI192" s="70">
        <v>1.0146068493165772E-2</v>
      </c>
      <c r="AJ192" s="70">
        <v>1.301323747384275E-2</v>
      </c>
      <c r="AK192" s="62">
        <v>1.5673737945633287E-2</v>
      </c>
    </row>
    <row r="193" spans="2:37" x14ac:dyDescent="0.35">
      <c r="B193" s="54" t="s">
        <v>241</v>
      </c>
      <c r="C193" s="52" t="s">
        <v>232</v>
      </c>
      <c r="D193" s="52" t="s">
        <v>43</v>
      </c>
      <c r="E193" s="52" t="s">
        <v>243</v>
      </c>
      <c r="F193" s="72">
        <f t="shared" si="21"/>
        <v>4.0954731498775578E-2</v>
      </c>
      <c r="G193" s="59">
        <f t="shared" si="21"/>
        <v>4.6914689625511097E-2</v>
      </c>
      <c r="H193" s="59">
        <f t="shared" si="21"/>
        <v>5.1885892274611906E-2</v>
      </c>
      <c r="I193" s="59">
        <f t="shared" si="21"/>
        <v>5.5568236075343412E-2</v>
      </c>
      <c r="J193" s="62">
        <f t="shared" si="21"/>
        <v>5.9649956469187061E-2</v>
      </c>
      <c r="K193" s="59" t="str">
        <f t="shared" si="22"/>
        <v/>
      </c>
      <c r="L193" s="59">
        <f t="shared" si="22"/>
        <v>5.2487404255111055E-3</v>
      </c>
      <c r="M193" s="59">
        <f t="shared" si="22"/>
        <v>1.0103491574611906E-2</v>
      </c>
      <c r="N193" s="59">
        <f t="shared" si="22"/>
        <v>1.2970716975343403E-2</v>
      </c>
      <c r="O193" s="62">
        <f t="shared" si="22"/>
        <v>1.5543729169187066E-2</v>
      </c>
      <c r="P193" s="54" t="s">
        <v>514</v>
      </c>
      <c r="Q193" s="52" t="s">
        <v>515</v>
      </c>
      <c r="R193" s="93" t="s">
        <v>32</v>
      </c>
      <c r="S193" s="70">
        <v>5.1585409999999998E-2</v>
      </c>
      <c r="T193" s="62">
        <f t="shared" si="20"/>
        <v>3.0048227461190735E-4</v>
      </c>
      <c r="V193" s="113">
        <v>1.11472226</v>
      </c>
      <c r="W193" s="71">
        <v>2.86691889</v>
      </c>
      <c r="X193" s="71">
        <v>4.4075411999999998</v>
      </c>
      <c r="Y193" s="71">
        <v>5.7149927199999997</v>
      </c>
      <c r="Z193" s="114">
        <v>7.3064987499999994</v>
      </c>
      <c r="AB193" s="70">
        <v>4.0954731498775578E-2</v>
      </c>
      <c r="AC193" s="70">
        <v>4.6914689625511097E-2</v>
      </c>
      <c r="AD193" s="70">
        <v>5.1885892274611906E-2</v>
      </c>
      <c r="AE193" s="70">
        <v>5.5568236075343412E-2</v>
      </c>
      <c r="AF193" s="62">
        <v>5.9649956469187061E-2</v>
      </c>
      <c r="AG193" s="70" t="s">
        <v>21</v>
      </c>
      <c r="AH193" s="70">
        <v>5.2487404255111055E-3</v>
      </c>
      <c r="AI193" s="70">
        <v>1.0103491574611906E-2</v>
      </c>
      <c r="AJ193" s="70">
        <v>1.2970716975343403E-2</v>
      </c>
      <c r="AK193" s="62">
        <v>1.5543729169187066E-2</v>
      </c>
    </row>
    <row r="194" spans="2:37" x14ac:dyDescent="0.35">
      <c r="B194" s="54" t="s">
        <v>154</v>
      </c>
      <c r="C194" s="52" t="s">
        <v>232</v>
      </c>
      <c r="D194" s="52" t="s">
        <v>43</v>
      </c>
      <c r="E194" s="52" t="s">
        <v>81</v>
      </c>
      <c r="F194" s="72">
        <f t="shared" si="21"/>
        <v>4.0952114402402359E-2</v>
      </c>
      <c r="G194" s="59">
        <f t="shared" si="21"/>
        <v>4.667619620220096E-2</v>
      </c>
      <c r="H194" s="59">
        <f t="shared" si="21"/>
        <v>5.1875435516497051E-2</v>
      </c>
      <c r="I194" s="59">
        <f t="shared" si="21"/>
        <v>5.5369129594329269E-2</v>
      </c>
      <c r="J194" s="62">
        <f t="shared" si="21"/>
        <v>5.9083831720957269E-2</v>
      </c>
      <c r="K194" s="59" t="str">
        <f t="shared" si="22"/>
        <v/>
      </c>
      <c r="L194" s="59">
        <f t="shared" si="22"/>
        <v>5.0235862022009626E-3</v>
      </c>
      <c r="M194" s="59">
        <f t="shared" si="22"/>
        <v>1.009440871649705E-2</v>
      </c>
      <c r="N194" s="59">
        <f t="shared" si="22"/>
        <v>1.2783325594329275E-2</v>
      </c>
      <c r="O194" s="62">
        <f t="shared" si="22"/>
        <v>1.5007066720957283E-2</v>
      </c>
      <c r="P194" s="54" t="s">
        <v>516</v>
      </c>
      <c r="Q194" s="52" t="s">
        <v>517</v>
      </c>
      <c r="R194" s="93">
        <v>47536</v>
      </c>
      <c r="S194" s="70">
        <v>4.6862109999999998E-2</v>
      </c>
      <c r="T194" s="62">
        <f t="shared" si="20"/>
        <v>5.0133255164970525E-3</v>
      </c>
      <c r="V194" s="113">
        <v>1.1147155200000001</v>
      </c>
      <c r="W194" s="71">
        <v>2.86815497</v>
      </c>
      <c r="X194" s="71">
        <v>4.4093296200000003</v>
      </c>
      <c r="Y194" s="71">
        <v>5.7191970799999998</v>
      </c>
      <c r="Z194" s="114">
        <v>7.3240287799999999</v>
      </c>
      <c r="AB194" s="70">
        <v>4.0952114402402359E-2</v>
      </c>
      <c r="AC194" s="70">
        <v>4.667619620220096E-2</v>
      </c>
      <c r="AD194" s="70">
        <v>5.1875435516497051E-2</v>
      </c>
      <c r="AE194" s="70">
        <v>5.5369129594329269E-2</v>
      </c>
      <c r="AF194" s="62">
        <v>5.9083831720957269E-2</v>
      </c>
      <c r="AG194" s="70" t="s">
        <v>21</v>
      </c>
      <c r="AH194" s="70">
        <v>5.0235862022009626E-3</v>
      </c>
      <c r="AI194" s="70">
        <v>1.009440871649705E-2</v>
      </c>
      <c r="AJ194" s="70">
        <v>1.2783325594329275E-2</v>
      </c>
      <c r="AK194" s="62">
        <v>1.5007066720957283E-2</v>
      </c>
    </row>
    <row r="195" spans="2:37" x14ac:dyDescent="0.35">
      <c r="B195" s="54" t="s">
        <v>334</v>
      </c>
      <c r="C195" s="52" t="s">
        <v>232</v>
      </c>
      <c r="D195" s="52" t="s">
        <v>20</v>
      </c>
      <c r="E195" s="52" t="s">
        <v>253</v>
      </c>
      <c r="F195" s="72">
        <f t="shared" si="21"/>
        <v>4.2389698599379813E-2</v>
      </c>
      <c r="G195" s="59">
        <f t="shared" si="21"/>
        <v>4.7829669793892589E-2</v>
      </c>
      <c r="H195" s="59">
        <f t="shared" si="21"/>
        <v>5.2403511186623536E-2</v>
      </c>
      <c r="I195" s="59">
        <f t="shared" si="21"/>
        <v>5.5483403822640512E-2</v>
      </c>
      <c r="J195" s="62">
        <f t="shared" si="21"/>
        <v>5.8967052136628034E-2</v>
      </c>
      <c r="K195" s="59">
        <f t="shared" si="22"/>
        <v>2.8729249937981417E-4</v>
      </c>
      <c r="L195" s="59">
        <f t="shared" si="22"/>
        <v>6.1107481938925921E-3</v>
      </c>
      <c r="M195" s="59">
        <f t="shared" si="22"/>
        <v>1.0589593486623545E-2</v>
      </c>
      <c r="N195" s="59">
        <f t="shared" si="22"/>
        <v>1.2886866122640523E-2</v>
      </c>
      <c r="O195" s="62">
        <f t="shared" si="22"/>
        <v>1.4887381636628051E-2</v>
      </c>
      <c r="P195" s="54" t="s">
        <v>21</v>
      </c>
      <c r="Q195" s="52" t="s">
        <v>21</v>
      </c>
      <c r="R195" s="93" t="s">
        <v>21</v>
      </c>
      <c r="S195" s="70">
        <v>0</v>
      </c>
      <c r="T195" s="62">
        <f t="shared" si="20"/>
        <v>5.2403511186623536E-2</v>
      </c>
      <c r="V195" s="113">
        <v>1.11214503</v>
      </c>
      <c r="W195" s="71">
        <v>2.8570401099999998</v>
      </c>
      <c r="X195" s="71">
        <v>4.3916323799999999</v>
      </c>
      <c r="Y195" s="71">
        <v>5.6999576799999998</v>
      </c>
      <c r="Z195" s="114">
        <v>7.3120671299999991</v>
      </c>
      <c r="AB195" s="70">
        <v>4.2389698599379813E-2</v>
      </c>
      <c r="AC195" s="70">
        <v>4.7829669793892589E-2</v>
      </c>
      <c r="AD195" s="70">
        <v>5.2403511186623536E-2</v>
      </c>
      <c r="AE195" s="70">
        <v>5.5483403822640512E-2</v>
      </c>
      <c r="AF195" s="62">
        <v>5.8967052136628034E-2</v>
      </c>
      <c r="AG195" s="70">
        <v>2.8729249937981417E-4</v>
      </c>
      <c r="AH195" s="70">
        <v>6.1107481938925921E-3</v>
      </c>
      <c r="AI195" s="70">
        <v>1.0589593486623545E-2</v>
      </c>
      <c r="AJ195" s="70">
        <v>1.2886866122640523E-2</v>
      </c>
      <c r="AK195" s="62">
        <v>1.4887381636628051E-2</v>
      </c>
    </row>
    <row r="196" spans="2:37" x14ac:dyDescent="0.35">
      <c r="B196" s="54" t="s">
        <v>335</v>
      </c>
      <c r="C196" s="52" t="s">
        <v>232</v>
      </c>
      <c r="D196" s="52" t="s">
        <v>20</v>
      </c>
      <c r="E196" s="52" t="s">
        <v>123</v>
      </c>
      <c r="F196" s="72">
        <f t="shared" si="21"/>
        <v>4.0905682481997524E-2</v>
      </c>
      <c r="G196" s="59">
        <f t="shared" si="21"/>
        <v>4.7322616568887151E-2</v>
      </c>
      <c r="H196" s="59">
        <f t="shared" si="21"/>
        <v>5.2350818749993998E-2</v>
      </c>
      <c r="I196" s="59">
        <f t="shared" si="21"/>
        <v>5.5911247769098518E-2</v>
      </c>
      <c r="J196" s="62">
        <f t="shared" si="21"/>
        <v>5.9275010606057124E-2</v>
      </c>
      <c r="K196" s="59" t="str">
        <f t="shared" si="22"/>
        <v/>
      </c>
      <c r="L196" s="59">
        <f t="shared" si="22"/>
        <v>5.6351986688871446E-3</v>
      </c>
      <c r="M196" s="59">
        <f t="shared" si="22"/>
        <v>1.0543170849994003E-2</v>
      </c>
      <c r="N196" s="59">
        <f t="shared" si="22"/>
        <v>1.3295455669098521E-2</v>
      </c>
      <c r="O196" s="62">
        <f t="shared" si="22"/>
        <v>1.5191969706057133E-2</v>
      </c>
      <c r="P196" s="54" t="s">
        <v>383</v>
      </c>
      <c r="Q196" s="52" t="s">
        <v>384</v>
      </c>
      <c r="R196" s="93">
        <v>47624</v>
      </c>
      <c r="S196" s="70">
        <v>5.1214779999999994E-2</v>
      </c>
      <c r="T196" s="62">
        <f t="shared" si="20"/>
        <v>1.1360387499940033E-3</v>
      </c>
      <c r="V196" s="113">
        <v>1.1148024400000001</v>
      </c>
      <c r="W196" s="71">
        <v>2.8649625699999999</v>
      </c>
      <c r="X196" s="71">
        <v>4.4009197100000002</v>
      </c>
      <c r="Y196" s="71">
        <v>5.7023584600000001</v>
      </c>
      <c r="Z196" s="114">
        <v>7.2978910099999998</v>
      </c>
      <c r="AB196" s="70">
        <v>4.0905682481997524E-2</v>
      </c>
      <c r="AC196" s="70">
        <v>4.7322616568887151E-2</v>
      </c>
      <c r="AD196" s="70">
        <v>5.2350818749993998E-2</v>
      </c>
      <c r="AE196" s="70">
        <v>5.5911247769098518E-2</v>
      </c>
      <c r="AF196" s="62">
        <v>5.9275010606057124E-2</v>
      </c>
      <c r="AG196" s="70" t="s">
        <v>21</v>
      </c>
      <c r="AH196" s="70">
        <v>5.6351986688871446E-3</v>
      </c>
      <c r="AI196" s="70">
        <v>1.0543170849994003E-2</v>
      </c>
      <c r="AJ196" s="70">
        <v>1.3295455669098521E-2</v>
      </c>
      <c r="AK196" s="62">
        <v>1.5191969706057133E-2</v>
      </c>
    </row>
    <row r="197" spans="2:37" x14ac:dyDescent="0.35">
      <c r="B197" s="54" t="s">
        <v>144</v>
      </c>
      <c r="C197" s="52" t="s">
        <v>232</v>
      </c>
      <c r="D197" s="52" t="s">
        <v>20</v>
      </c>
      <c r="E197" s="52" t="s">
        <v>249</v>
      </c>
      <c r="F197" s="72">
        <f t="shared" si="21"/>
        <v>4.2409758208172152E-2</v>
      </c>
      <c r="G197" s="59">
        <f t="shared" si="21"/>
        <v>4.8027616280620938E-2</v>
      </c>
      <c r="H197" s="59">
        <f t="shared" si="21"/>
        <v>5.2341727870240627E-2</v>
      </c>
      <c r="I197" s="59">
        <f t="shared" si="21"/>
        <v>5.5432360740961341E-2</v>
      </c>
      <c r="J197" s="62">
        <f t="shared" si="21"/>
        <v>5.8782797753334275E-2</v>
      </c>
      <c r="K197" s="59">
        <f t="shared" si="22"/>
        <v>3.1329870817215118E-4</v>
      </c>
      <c r="L197" s="59">
        <f t="shared" si="22"/>
        <v>6.300978080620934E-3</v>
      </c>
      <c r="M197" s="59">
        <f t="shared" si="22"/>
        <v>1.0533051270240627E-2</v>
      </c>
      <c r="N197" s="59">
        <f t="shared" si="22"/>
        <v>1.2839598640961347E-2</v>
      </c>
      <c r="O197" s="62">
        <f t="shared" si="22"/>
        <v>1.4715559453334266E-2</v>
      </c>
      <c r="P197" s="54" t="s">
        <v>518</v>
      </c>
      <c r="Q197" s="52" t="s">
        <v>519</v>
      </c>
      <c r="R197" s="93" t="s">
        <v>32</v>
      </c>
      <c r="S197" s="70">
        <v>4.8768440000000003E-2</v>
      </c>
      <c r="T197" s="62">
        <f t="shared" si="20"/>
        <v>3.573287870240624E-3</v>
      </c>
      <c r="V197" s="113">
        <v>1.1120613800000001</v>
      </c>
      <c r="W197" s="71">
        <v>2.8551375399999999</v>
      </c>
      <c r="X197" s="71">
        <v>4.3903797600000001</v>
      </c>
      <c r="Y197" s="71">
        <v>5.7002732700000003</v>
      </c>
      <c r="Z197" s="114">
        <v>7.3127715100000001</v>
      </c>
      <c r="AB197" s="70">
        <v>4.2409758208172152E-2</v>
      </c>
      <c r="AC197" s="70">
        <v>4.8027616280620938E-2</v>
      </c>
      <c r="AD197" s="70">
        <v>5.2341727870240627E-2</v>
      </c>
      <c r="AE197" s="70">
        <v>5.5432360740961341E-2</v>
      </c>
      <c r="AF197" s="62">
        <v>5.8782797753334275E-2</v>
      </c>
      <c r="AG197" s="70">
        <v>3.1329870817215118E-4</v>
      </c>
      <c r="AH197" s="70">
        <v>6.300978080620934E-3</v>
      </c>
      <c r="AI197" s="70">
        <v>1.0533051270240627E-2</v>
      </c>
      <c r="AJ197" s="70">
        <v>1.2839598640961347E-2</v>
      </c>
      <c r="AK197" s="62">
        <v>1.4715559453334266E-2</v>
      </c>
    </row>
    <row r="198" spans="2:37" x14ac:dyDescent="0.35">
      <c r="B198" s="54" t="s">
        <v>242</v>
      </c>
      <c r="C198" s="52" t="s">
        <v>232</v>
      </c>
      <c r="D198" s="52" t="s">
        <v>43</v>
      </c>
      <c r="E198" s="52" t="s">
        <v>347</v>
      </c>
      <c r="F198" s="72">
        <f t="shared" si="21"/>
        <v>4.0879280322182077E-2</v>
      </c>
      <c r="G198" s="59">
        <f t="shared" si="21"/>
        <v>4.6852943816345825E-2</v>
      </c>
      <c r="H198" s="59">
        <f t="shared" si="21"/>
        <v>5.1782026568022978E-2</v>
      </c>
      <c r="I198" s="59">
        <f t="shared" si="21"/>
        <v>5.5659132507314933E-2</v>
      </c>
      <c r="J198" s="62">
        <f t="shared" si="21"/>
        <v>5.9654351596082698E-2</v>
      </c>
      <c r="K198" s="59" t="str">
        <f t="shared" si="22"/>
        <v/>
      </c>
      <c r="L198" s="59">
        <f t="shared" si="22"/>
        <v>5.1908784163458219E-3</v>
      </c>
      <c r="M198" s="59">
        <f t="shared" si="22"/>
        <v>1.0005663968022969E-2</v>
      </c>
      <c r="N198" s="59">
        <f t="shared" si="22"/>
        <v>1.3057225807314929E-2</v>
      </c>
      <c r="O198" s="62">
        <f t="shared" si="22"/>
        <v>1.5549265396082701E-2</v>
      </c>
      <c r="P198" s="54" t="s">
        <v>520</v>
      </c>
      <c r="Q198" s="52" t="s">
        <v>521</v>
      </c>
      <c r="R198" s="93">
        <v>47492</v>
      </c>
      <c r="S198" s="70">
        <v>5.2065630000000002E-2</v>
      </c>
      <c r="T198" s="62">
        <f t="shared" si="20"/>
        <v>-2.8360343197702392E-4</v>
      </c>
      <c r="V198" s="113">
        <v>1.11485408</v>
      </c>
      <c r="W198" s="71">
        <v>2.8676057699999999</v>
      </c>
      <c r="X198" s="71">
        <v>4.4087728500000001</v>
      </c>
      <c r="Y198" s="71">
        <v>5.7144628700000002</v>
      </c>
      <c r="Z198" s="114">
        <v>7.3051640999999998</v>
      </c>
      <c r="AB198" s="70">
        <v>4.0879280322182077E-2</v>
      </c>
      <c r="AC198" s="70">
        <v>4.6852943816345825E-2</v>
      </c>
      <c r="AD198" s="70">
        <v>5.1782026568022978E-2</v>
      </c>
      <c r="AE198" s="70">
        <v>5.5659132507314933E-2</v>
      </c>
      <c r="AF198" s="62">
        <v>5.9654351596082698E-2</v>
      </c>
      <c r="AG198" s="70" t="s">
        <v>21</v>
      </c>
      <c r="AH198" s="70">
        <v>5.1908784163458219E-3</v>
      </c>
      <c r="AI198" s="70">
        <v>1.0005663968022969E-2</v>
      </c>
      <c r="AJ198" s="70">
        <v>1.3057225807314929E-2</v>
      </c>
      <c r="AK198" s="62">
        <v>1.5549265396082701E-2</v>
      </c>
    </row>
    <row r="199" spans="2:37" x14ac:dyDescent="0.35">
      <c r="B199" s="54" t="s">
        <v>244</v>
      </c>
      <c r="C199" s="52" t="s">
        <v>232</v>
      </c>
      <c r="D199" s="52" t="s">
        <v>31</v>
      </c>
      <c r="E199" s="52" t="s">
        <v>21</v>
      </c>
      <c r="F199" s="72">
        <f t="shared" si="21"/>
        <v>4.0918477784068645E-2</v>
      </c>
      <c r="G199" s="59">
        <f t="shared" si="21"/>
        <v>4.7060881235272502E-2</v>
      </c>
      <c r="H199" s="59">
        <f t="shared" si="21"/>
        <v>5.1740720275855405E-2</v>
      </c>
      <c r="I199" s="59">
        <f t="shared" si="21"/>
        <v>5.4804794555347973E-2</v>
      </c>
      <c r="J199" s="62">
        <f t="shared" si="21"/>
        <v>5.8407088595110235E-2</v>
      </c>
      <c r="K199" s="59" t="str">
        <f t="shared" si="22"/>
        <v/>
      </c>
      <c r="L199" s="59">
        <f t="shared" si="22"/>
        <v>5.3864259352725116E-3</v>
      </c>
      <c r="M199" s="59">
        <f t="shared" si="22"/>
        <v>9.965372075855395E-3</v>
      </c>
      <c r="N199" s="59">
        <f t="shared" si="22"/>
        <v>1.2247407455347971E-2</v>
      </c>
      <c r="O199" s="62">
        <f t="shared" si="22"/>
        <v>1.4359076795110236E-2</v>
      </c>
      <c r="P199" s="54" t="s">
        <v>522</v>
      </c>
      <c r="Q199" s="52" t="s">
        <v>523</v>
      </c>
      <c r="R199" s="93">
        <v>47491</v>
      </c>
      <c r="S199" s="70">
        <v>5.0554230000000006E-2</v>
      </c>
      <c r="T199" s="62">
        <f t="shared" si="20"/>
        <v>1.1864902758553994E-3</v>
      </c>
      <c r="V199" s="113">
        <v>1.1148002799999999</v>
      </c>
      <c r="W199" s="71">
        <v>2.8659444999999999</v>
      </c>
      <c r="X199" s="71">
        <v>4.4077696399999997</v>
      </c>
      <c r="Y199" s="71">
        <v>5.7259805099999994</v>
      </c>
      <c r="Z199" s="114">
        <v>7.3494789699999989</v>
      </c>
      <c r="AB199" s="70">
        <v>4.0918477784068645E-2</v>
      </c>
      <c r="AC199" s="70">
        <v>4.7060881235272502E-2</v>
      </c>
      <c r="AD199" s="70">
        <v>5.1740720275855405E-2</v>
      </c>
      <c r="AE199" s="70">
        <v>5.4804794555347973E-2</v>
      </c>
      <c r="AF199" s="62">
        <v>5.8407088595110235E-2</v>
      </c>
      <c r="AG199" s="70" t="s">
        <v>21</v>
      </c>
      <c r="AH199" s="70">
        <v>5.3864259352725116E-3</v>
      </c>
      <c r="AI199" s="70">
        <v>9.965372075855395E-3</v>
      </c>
      <c r="AJ199" s="70">
        <v>1.2247407455347971E-2</v>
      </c>
      <c r="AK199" s="62">
        <v>1.4359076795110236E-2</v>
      </c>
    </row>
    <row r="200" spans="2:37" x14ac:dyDescent="0.35">
      <c r="B200" s="54" t="s">
        <v>151</v>
      </c>
      <c r="C200" s="52" t="s">
        <v>232</v>
      </c>
      <c r="D200" s="52" t="s">
        <v>47</v>
      </c>
      <c r="E200" s="52" t="s">
        <v>140</v>
      </c>
      <c r="F200" s="72">
        <f t="shared" si="21"/>
        <v>4.1166544322711281E-2</v>
      </c>
      <c r="G200" s="59">
        <f t="shared" si="21"/>
        <v>4.708059142657485E-2</v>
      </c>
      <c r="H200" s="59">
        <f t="shared" si="21"/>
        <v>5.1691115439968502E-2</v>
      </c>
      <c r="I200" s="59">
        <f t="shared" si="21"/>
        <v>5.4994538189333114E-2</v>
      </c>
      <c r="J200" s="62">
        <f t="shared" si="21"/>
        <v>5.9148886500495906E-2</v>
      </c>
      <c r="K200" s="59" t="str">
        <f t="shared" si="22"/>
        <v/>
      </c>
      <c r="L200" s="59">
        <f t="shared" si="22"/>
        <v>5.4058618265748534E-3</v>
      </c>
      <c r="M200" s="59">
        <f t="shared" si="22"/>
        <v>9.9189378399685089E-3</v>
      </c>
      <c r="N200" s="59">
        <f t="shared" si="22"/>
        <v>1.2427271889333118E-2</v>
      </c>
      <c r="O200" s="62">
        <f t="shared" si="22"/>
        <v>1.5064364500495898E-2</v>
      </c>
      <c r="P200" s="54" t="s">
        <v>524</v>
      </c>
      <c r="Q200" s="52" t="s">
        <v>525</v>
      </c>
      <c r="R200" s="93" t="s">
        <v>32</v>
      </c>
      <c r="S200" s="70">
        <v>4.8022330000000002E-2</v>
      </c>
      <c r="T200" s="62">
        <f t="shared" si="20"/>
        <v>3.6687854399684999E-3</v>
      </c>
      <c r="V200" s="113">
        <v>1.1143291499999999</v>
      </c>
      <c r="W200" s="71">
        <v>2.86500515</v>
      </c>
      <c r="X200" s="71">
        <v>4.4073595299999999</v>
      </c>
      <c r="Y200" s="71">
        <v>5.7232255900000002</v>
      </c>
      <c r="Z200" s="114">
        <v>7.3290826500000001</v>
      </c>
      <c r="AB200" s="70">
        <v>4.1166544322711281E-2</v>
      </c>
      <c r="AC200" s="70">
        <v>4.708059142657485E-2</v>
      </c>
      <c r="AD200" s="70">
        <v>5.1691115439968502E-2</v>
      </c>
      <c r="AE200" s="70">
        <v>5.4994538189333114E-2</v>
      </c>
      <c r="AF200" s="62">
        <v>5.9148886500495906E-2</v>
      </c>
      <c r="AG200" s="70" t="s">
        <v>21</v>
      </c>
      <c r="AH200" s="70">
        <v>5.4058618265748534E-3</v>
      </c>
      <c r="AI200" s="70">
        <v>9.9189378399685089E-3</v>
      </c>
      <c r="AJ200" s="70">
        <v>1.2427271889333118E-2</v>
      </c>
      <c r="AK200" s="62">
        <v>1.5064364500495898E-2</v>
      </c>
    </row>
    <row r="201" spans="2:37" x14ac:dyDescent="0.35">
      <c r="B201" s="54" t="s">
        <v>145</v>
      </c>
      <c r="C201" s="52" t="s">
        <v>232</v>
      </c>
      <c r="D201" s="52" t="s">
        <v>69</v>
      </c>
      <c r="E201" s="52" t="s">
        <v>342</v>
      </c>
      <c r="F201" s="72">
        <f t="shared" si="21"/>
        <v>4.1003195615491303E-2</v>
      </c>
      <c r="G201" s="59">
        <f t="shared" si="21"/>
        <v>4.6886657392283933E-2</v>
      </c>
      <c r="H201" s="59">
        <f t="shared" si="21"/>
        <v>5.1683556281459167E-2</v>
      </c>
      <c r="I201" s="59">
        <f t="shared" si="21"/>
        <v>5.4987699033932004E-2</v>
      </c>
      <c r="J201" s="62">
        <f t="shared" si="21"/>
        <v>5.9503837971669346E-2</v>
      </c>
      <c r="K201" s="59" t="str">
        <f t="shared" si="22"/>
        <v/>
      </c>
      <c r="L201" s="59">
        <f t="shared" si="22"/>
        <v>5.2216866922839356E-3</v>
      </c>
      <c r="M201" s="59">
        <f t="shared" si="22"/>
        <v>9.9116364814591639E-3</v>
      </c>
      <c r="N201" s="59">
        <f t="shared" si="22"/>
        <v>1.2420950633932001E-2</v>
      </c>
      <c r="O201" s="62">
        <f t="shared" si="22"/>
        <v>1.5401314471669349E-2</v>
      </c>
      <c r="P201" s="54" t="s">
        <v>526</v>
      </c>
      <c r="Q201" s="52" t="s">
        <v>527</v>
      </c>
      <c r="R201" s="93" t="s">
        <v>32</v>
      </c>
      <c r="S201" s="70">
        <v>5.2874359999999995E-2</v>
      </c>
      <c r="T201" s="62">
        <f t="shared" si="20"/>
        <v>-1.1908037185408282E-3</v>
      </c>
      <c r="V201" s="113">
        <v>1.11463826</v>
      </c>
      <c r="W201" s="71">
        <v>2.8664631799999998</v>
      </c>
      <c r="X201" s="71">
        <v>4.40923234</v>
      </c>
      <c r="Y201" s="71">
        <v>5.7249565099999993</v>
      </c>
      <c r="Z201" s="114">
        <v>7.32261411</v>
      </c>
      <c r="AB201" s="70">
        <v>4.1003195615491303E-2</v>
      </c>
      <c r="AC201" s="70">
        <v>4.6886657392283933E-2</v>
      </c>
      <c r="AD201" s="70">
        <v>5.1683556281459167E-2</v>
      </c>
      <c r="AE201" s="70">
        <v>5.4987699033932004E-2</v>
      </c>
      <c r="AF201" s="62">
        <v>5.9503837971669346E-2</v>
      </c>
      <c r="AG201" s="70" t="s">
        <v>21</v>
      </c>
      <c r="AH201" s="70">
        <v>5.2216866922839356E-3</v>
      </c>
      <c r="AI201" s="70">
        <v>9.9116364814591639E-3</v>
      </c>
      <c r="AJ201" s="70">
        <v>1.2420950633932001E-2</v>
      </c>
      <c r="AK201" s="62">
        <v>1.5401314471669349E-2</v>
      </c>
    </row>
    <row r="202" spans="2:37" x14ac:dyDescent="0.35">
      <c r="B202" s="54" t="s">
        <v>239</v>
      </c>
      <c r="C202" s="52" t="s">
        <v>232</v>
      </c>
      <c r="D202" s="52" t="s">
        <v>69</v>
      </c>
      <c r="E202" s="52" t="s">
        <v>123</v>
      </c>
      <c r="F202" s="72">
        <f t="shared" si="21"/>
        <v>4.0665106914359497E-2</v>
      </c>
      <c r="G202" s="59">
        <f t="shared" si="21"/>
        <v>4.6602602083735525E-2</v>
      </c>
      <c r="H202" s="59">
        <f t="shared" si="21"/>
        <v>5.166507944506947E-2</v>
      </c>
      <c r="I202" s="59">
        <f t="shared" si="21"/>
        <v>5.5209504305028405E-2</v>
      </c>
      <c r="J202" s="62">
        <f t="shared" si="21"/>
        <v>5.887575997997474E-2</v>
      </c>
      <c r="K202" s="59" t="str">
        <f t="shared" si="22"/>
        <v/>
      </c>
      <c r="L202" s="59">
        <f t="shared" si="22"/>
        <v>4.9544217837355249E-3</v>
      </c>
      <c r="M202" s="59">
        <f t="shared" si="22"/>
        <v>9.8957119450694721E-3</v>
      </c>
      <c r="N202" s="59">
        <f t="shared" si="22"/>
        <v>1.2632661405028401E-2</v>
      </c>
      <c r="O202" s="62">
        <f t="shared" si="22"/>
        <v>1.4810052179974735E-2</v>
      </c>
      <c r="P202" s="54" t="s">
        <v>528</v>
      </c>
      <c r="Q202" s="52" t="s">
        <v>529</v>
      </c>
      <c r="R202" s="93" t="s">
        <v>32</v>
      </c>
      <c r="S202" s="70">
        <v>5.4495050000000003E-2</v>
      </c>
      <c r="T202" s="62">
        <f t="shared" si="20"/>
        <v>-2.8299705549305332E-3</v>
      </c>
      <c r="V202" s="113">
        <v>1.1152413700000001</v>
      </c>
      <c r="W202" s="71">
        <v>2.8695128400000001</v>
      </c>
      <c r="X202" s="71">
        <v>4.41280158</v>
      </c>
      <c r="Y202" s="71">
        <v>5.7250721799999997</v>
      </c>
      <c r="Z202" s="114">
        <v>7.3346128200000003</v>
      </c>
      <c r="AB202" s="70">
        <v>4.0665106914359497E-2</v>
      </c>
      <c r="AC202" s="70">
        <v>4.6602602083735525E-2</v>
      </c>
      <c r="AD202" s="70">
        <v>5.166507944506947E-2</v>
      </c>
      <c r="AE202" s="70">
        <v>5.5209504305028405E-2</v>
      </c>
      <c r="AF202" s="62">
        <v>5.887575997997474E-2</v>
      </c>
      <c r="AG202" s="70" t="s">
        <v>21</v>
      </c>
      <c r="AH202" s="70">
        <v>4.9544217837355249E-3</v>
      </c>
      <c r="AI202" s="70">
        <v>9.8957119450694721E-3</v>
      </c>
      <c r="AJ202" s="70">
        <v>1.2632661405028401E-2</v>
      </c>
      <c r="AK202" s="62">
        <v>1.4810052179974735E-2</v>
      </c>
    </row>
    <row r="203" spans="2:37" x14ac:dyDescent="0.35">
      <c r="B203" s="54" t="s">
        <v>340</v>
      </c>
      <c r="C203" s="52" t="s">
        <v>232</v>
      </c>
      <c r="D203" s="52" t="s">
        <v>20</v>
      </c>
      <c r="E203" s="52" t="s">
        <v>243</v>
      </c>
      <c r="F203" s="72">
        <f t="shared" si="21"/>
        <v>4.1344095403769855E-2</v>
      </c>
      <c r="G203" s="59">
        <f t="shared" si="21"/>
        <v>4.7390282588744795E-2</v>
      </c>
      <c r="H203" s="59">
        <f t="shared" si="21"/>
        <v>5.2166143673789793E-2</v>
      </c>
      <c r="I203" s="59">
        <f t="shared" si="21"/>
        <v>5.5032358745500741E-2</v>
      </c>
      <c r="J203" s="62">
        <f t="shared" si="21"/>
        <v>5.8316461940551741E-2</v>
      </c>
      <c r="K203" s="59" t="str">
        <f t="shared" si="22"/>
        <v/>
      </c>
      <c r="L203" s="59">
        <f t="shared" si="22"/>
        <v>5.6936548887447959E-3</v>
      </c>
      <c r="M203" s="59">
        <f t="shared" si="22"/>
        <v>1.0364496873789791E-2</v>
      </c>
      <c r="N203" s="59">
        <f t="shared" si="22"/>
        <v>1.2461007645500739E-2</v>
      </c>
      <c r="O203" s="62">
        <f t="shared" si="22"/>
        <v>1.427184714055175E-2</v>
      </c>
      <c r="P203" s="54" t="s">
        <v>21</v>
      </c>
      <c r="Q203" s="52" t="s">
        <v>21</v>
      </c>
      <c r="R203" s="93" t="s">
        <v>21</v>
      </c>
      <c r="S203" s="70">
        <v>0</v>
      </c>
      <c r="T203" s="62">
        <f t="shared" si="20"/>
        <v>5.2166143673789793E-2</v>
      </c>
      <c r="V203" s="113">
        <v>1.11409004</v>
      </c>
      <c r="W203" s="71">
        <v>2.86357632</v>
      </c>
      <c r="X203" s="71">
        <v>4.4010976099999999</v>
      </c>
      <c r="Y203" s="71">
        <v>5.7135831999999995</v>
      </c>
      <c r="Z203" s="114">
        <v>7.3378516600000001</v>
      </c>
      <c r="AB203" s="70">
        <v>4.1344095403769855E-2</v>
      </c>
      <c r="AC203" s="70">
        <v>4.7390282588744795E-2</v>
      </c>
      <c r="AD203" s="70">
        <v>5.2166143673789793E-2</v>
      </c>
      <c r="AE203" s="70">
        <v>5.5032358745500741E-2</v>
      </c>
      <c r="AF203" s="62">
        <v>5.8316461940551741E-2</v>
      </c>
      <c r="AG203" s="70" t="s">
        <v>21</v>
      </c>
      <c r="AH203" s="70">
        <v>5.6936548887447959E-3</v>
      </c>
      <c r="AI203" s="70">
        <v>1.0364496873789791E-2</v>
      </c>
      <c r="AJ203" s="70">
        <v>1.2461007645500739E-2</v>
      </c>
      <c r="AK203" s="62">
        <v>1.427184714055175E-2</v>
      </c>
    </row>
    <row r="204" spans="2:37" x14ac:dyDescent="0.35">
      <c r="B204" s="54" t="s">
        <v>176</v>
      </c>
      <c r="C204" s="52" t="s">
        <v>232</v>
      </c>
      <c r="D204" s="52" t="s">
        <v>47</v>
      </c>
      <c r="E204" s="52" t="s">
        <v>21</v>
      </c>
      <c r="F204" s="72">
        <f t="shared" si="21"/>
        <v>4.0771327990325741E-2</v>
      </c>
      <c r="G204" s="59">
        <f t="shared" si="21"/>
        <v>4.6454181678946355E-2</v>
      </c>
      <c r="H204" s="59">
        <f t="shared" si="21"/>
        <v>5.1613635386183299E-2</v>
      </c>
      <c r="I204" s="59">
        <f t="shared" si="21"/>
        <v>5.5254066581269815E-2</v>
      </c>
      <c r="J204" s="62">
        <f t="shared" si="21"/>
        <v>5.9632173384240574E-2</v>
      </c>
      <c r="K204" s="59" t="str">
        <f t="shared" si="22"/>
        <v/>
      </c>
      <c r="L204" s="59">
        <f t="shared" si="22"/>
        <v>4.8121636789463552E-3</v>
      </c>
      <c r="M204" s="59">
        <f t="shared" si="22"/>
        <v>9.8464782861832981E-3</v>
      </c>
      <c r="N204" s="59">
        <f t="shared" si="22"/>
        <v>1.2675893581269821E-2</v>
      </c>
      <c r="O204" s="62">
        <f t="shared" si="22"/>
        <v>1.5529714084240569E-2</v>
      </c>
      <c r="P204" s="54" t="s">
        <v>21</v>
      </c>
      <c r="Q204" s="52" t="s">
        <v>21</v>
      </c>
      <c r="R204" s="93" t="s">
        <v>21</v>
      </c>
      <c r="S204" s="70">
        <v>0</v>
      </c>
      <c r="T204" s="62">
        <f t="shared" si="20"/>
        <v>5.1613635386183299E-2</v>
      </c>
      <c r="V204" s="113">
        <v>1.1150661100000001</v>
      </c>
      <c r="W204" s="71">
        <v>2.87034594</v>
      </c>
      <c r="X204" s="71">
        <v>4.4145813</v>
      </c>
      <c r="Y204" s="71">
        <v>5.7267518500000003</v>
      </c>
      <c r="Z204" s="114">
        <v>7.3204946600000005</v>
      </c>
      <c r="AB204" s="70">
        <v>4.0771327990325741E-2</v>
      </c>
      <c r="AC204" s="70">
        <v>4.6454181678946355E-2</v>
      </c>
      <c r="AD204" s="70">
        <v>5.1613635386183299E-2</v>
      </c>
      <c r="AE204" s="70">
        <v>5.5254066581269815E-2</v>
      </c>
      <c r="AF204" s="62">
        <v>5.9632173384240574E-2</v>
      </c>
      <c r="AG204" s="70" t="s">
        <v>21</v>
      </c>
      <c r="AH204" s="70">
        <v>4.8121636789463552E-3</v>
      </c>
      <c r="AI204" s="70">
        <v>9.8464782861832981E-3</v>
      </c>
      <c r="AJ204" s="70">
        <v>1.2675893581269821E-2</v>
      </c>
      <c r="AK204" s="62">
        <v>1.5529714084240569E-2</v>
      </c>
    </row>
    <row r="205" spans="2:37" x14ac:dyDescent="0.35">
      <c r="B205" s="54" t="s">
        <v>146</v>
      </c>
      <c r="C205" s="52" t="s">
        <v>232</v>
      </c>
      <c r="D205" s="52" t="s">
        <v>69</v>
      </c>
      <c r="E205" s="52" t="s">
        <v>128</v>
      </c>
      <c r="F205" s="72">
        <f t="shared" si="21"/>
        <v>4.063358457366515E-2</v>
      </c>
      <c r="G205" s="59">
        <f t="shared" si="21"/>
        <v>4.6636705449385335E-2</v>
      </c>
      <c r="H205" s="59">
        <f t="shared" si="21"/>
        <v>5.1566031491806746E-2</v>
      </c>
      <c r="I205" s="59">
        <f t="shared" si="21"/>
        <v>5.4920713660448747E-2</v>
      </c>
      <c r="J205" s="62">
        <f t="shared" si="21"/>
        <v>5.8849716342243424E-2</v>
      </c>
      <c r="K205" s="59" t="str">
        <f t="shared" si="22"/>
        <v/>
      </c>
      <c r="L205" s="59">
        <f t="shared" si="22"/>
        <v>4.9853049493853406E-3</v>
      </c>
      <c r="M205" s="59">
        <f t="shared" si="22"/>
        <v>9.8008739918067425E-3</v>
      </c>
      <c r="N205" s="59">
        <f t="shared" si="22"/>
        <v>1.2358349660448738E-2</v>
      </c>
      <c r="O205" s="62">
        <f t="shared" si="22"/>
        <v>1.4782725942243426E-2</v>
      </c>
      <c r="P205" s="54" t="s">
        <v>530</v>
      </c>
      <c r="Q205" s="52" t="s">
        <v>531</v>
      </c>
      <c r="R205" s="93" t="s">
        <v>32</v>
      </c>
      <c r="S205" s="70">
        <v>5.0610999999999996E-2</v>
      </c>
      <c r="T205" s="62">
        <f t="shared" si="20"/>
        <v>9.5503149180675012E-4</v>
      </c>
      <c r="V205" s="113">
        <v>1.11531924</v>
      </c>
      <c r="W205" s="71">
        <v>2.8694470299999999</v>
      </c>
      <c r="X205" s="71">
        <v>4.4136642099999994</v>
      </c>
      <c r="Y205" s="71">
        <v>5.7300750200000001</v>
      </c>
      <c r="Z205" s="114">
        <v>7.3417018199999999</v>
      </c>
      <c r="AB205" s="70">
        <v>4.063358457366515E-2</v>
      </c>
      <c r="AC205" s="70">
        <v>4.6636705449385335E-2</v>
      </c>
      <c r="AD205" s="70">
        <v>5.1566031491806746E-2</v>
      </c>
      <c r="AE205" s="70">
        <v>5.4920713660448747E-2</v>
      </c>
      <c r="AF205" s="62">
        <v>5.8849716342243424E-2</v>
      </c>
      <c r="AG205" s="70" t="s">
        <v>21</v>
      </c>
      <c r="AH205" s="70">
        <v>4.9853049493853406E-3</v>
      </c>
      <c r="AI205" s="70">
        <v>9.8008739918067425E-3</v>
      </c>
      <c r="AJ205" s="70">
        <v>1.2358349660448738E-2</v>
      </c>
      <c r="AK205" s="62">
        <v>1.4782725942243426E-2</v>
      </c>
    </row>
    <row r="206" spans="2:37" x14ac:dyDescent="0.35">
      <c r="B206" s="54" t="s">
        <v>325</v>
      </c>
      <c r="C206" s="52" t="s">
        <v>232</v>
      </c>
      <c r="D206" s="52" t="s">
        <v>167</v>
      </c>
      <c r="E206" s="52" t="s">
        <v>81</v>
      </c>
      <c r="F206" s="72">
        <f t="shared" si="21"/>
        <v>4.0755739767867984E-2</v>
      </c>
      <c r="G206" s="59">
        <f t="shared" si="21"/>
        <v>4.6791886922175611E-2</v>
      </c>
      <c r="H206" s="59">
        <f t="shared" si="21"/>
        <v>5.1998336742148106E-2</v>
      </c>
      <c r="I206" s="59">
        <f t="shared" si="21"/>
        <v>5.6378358006138267E-2</v>
      </c>
      <c r="J206" s="62">
        <f t="shared" si="21"/>
        <v>5.9994929654502309E-2</v>
      </c>
      <c r="K206" s="59" t="str">
        <f t="shared" si="22"/>
        <v/>
      </c>
      <c r="L206" s="59">
        <f t="shared" si="22"/>
        <v>5.1330448221756191E-3</v>
      </c>
      <c r="M206" s="59">
        <f t="shared" si="22"/>
        <v>1.0210988842148104E-2</v>
      </c>
      <c r="N206" s="59">
        <f t="shared" si="22"/>
        <v>1.3740142006138285E-2</v>
      </c>
      <c r="O206" s="62">
        <f t="shared" si="22"/>
        <v>1.5881344554502311E-2</v>
      </c>
      <c r="P206" s="54" t="s">
        <v>379</v>
      </c>
      <c r="Q206" s="52" t="s">
        <v>380</v>
      </c>
      <c r="R206" s="93">
        <v>47588</v>
      </c>
      <c r="S206" s="70">
        <v>5.1090009999999998E-2</v>
      </c>
      <c r="T206" s="62">
        <f t="shared" si="20"/>
        <v>9.0832674214810782E-4</v>
      </c>
      <c r="V206" s="113">
        <v>1.1151043899999999</v>
      </c>
      <c r="W206" s="71">
        <v>2.8684510699999999</v>
      </c>
      <c r="X206" s="71">
        <v>4.40811054</v>
      </c>
      <c r="Y206" s="71">
        <v>5.7029530099999999</v>
      </c>
      <c r="Z206" s="114">
        <v>7.2812555000000003</v>
      </c>
      <c r="AB206" s="70">
        <v>4.0755739767867984E-2</v>
      </c>
      <c r="AC206" s="70">
        <v>4.6791886922175611E-2</v>
      </c>
      <c r="AD206" s="70">
        <v>5.1998336742148106E-2</v>
      </c>
      <c r="AE206" s="70">
        <v>5.6378358006138267E-2</v>
      </c>
      <c r="AF206" s="62">
        <v>5.9994929654502309E-2</v>
      </c>
      <c r="AG206" s="70" t="s">
        <v>21</v>
      </c>
      <c r="AH206" s="70">
        <v>5.1330448221756191E-3</v>
      </c>
      <c r="AI206" s="70">
        <v>1.0210988842148104E-2</v>
      </c>
      <c r="AJ206" s="70">
        <v>1.3740142006138285E-2</v>
      </c>
      <c r="AK206" s="62">
        <v>1.5881344554502311E-2</v>
      </c>
    </row>
    <row r="207" spans="2:37" x14ac:dyDescent="0.35">
      <c r="B207" s="54" t="s">
        <v>354</v>
      </c>
      <c r="C207" s="52" t="s">
        <v>232</v>
      </c>
      <c r="D207" s="52" t="s">
        <v>20</v>
      </c>
      <c r="E207" s="52" t="s">
        <v>21</v>
      </c>
      <c r="F207" s="72">
        <f t="shared" si="21"/>
        <v>4.1489016885958095E-2</v>
      </c>
      <c r="G207" s="59">
        <f t="shared" si="21"/>
        <v>4.7413875629856495E-2</v>
      </c>
      <c r="H207" s="59">
        <f t="shared" si="21"/>
        <v>5.1662679524891841E-2</v>
      </c>
      <c r="I207" s="59">
        <f t="shared" si="21"/>
        <v>5.4503121890058584E-2</v>
      </c>
      <c r="J207" s="62">
        <f t="shared" si="21"/>
        <v>5.7677060123551178E-2</v>
      </c>
      <c r="K207" s="59" t="str">
        <f t="shared" si="22"/>
        <v/>
      </c>
      <c r="L207" s="59">
        <f t="shared" si="22"/>
        <v>5.7146121298564979E-3</v>
      </c>
      <c r="M207" s="59">
        <f t="shared" si="22"/>
        <v>9.8870188248918398E-3</v>
      </c>
      <c r="N207" s="59">
        <f t="shared" si="22"/>
        <v>1.1958162890058577E-2</v>
      </c>
      <c r="O207" s="62">
        <f t="shared" si="22"/>
        <v>1.365956392355118E-2</v>
      </c>
      <c r="P207" s="54" t="s">
        <v>393</v>
      </c>
      <c r="Q207" s="52" t="s">
        <v>394</v>
      </c>
      <c r="R207" s="93" t="s">
        <v>32</v>
      </c>
      <c r="S207" s="70">
        <v>4.9359089999999994E-2</v>
      </c>
      <c r="T207" s="62">
        <f t="shared" si="20"/>
        <v>2.303589524891847E-3</v>
      </c>
      <c r="V207" s="113">
        <v>1.1137988999999999</v>
      </c>
      <c r="W207" s="71">
        <v>2.8629977499999999</v>
      </c>
      <c r="X207" s="71">
        <v>4.4053835899999996</v>
      </c>
      <c r="Y207" s="71">
        <v>5.7269863499999998</v>
      </c>
      <c r="Z207" s="114">
        <v>7.3695568800000002</v>
      </c>
      <c r="AB207" s="70">
        <v>4.1489016885958095E-2</v>
      </c>
      <c r="AC207" s="70">
        <v>4.7413875629856495E-2</v>
      </c>
      <c r="AD207" s="70">
        <v>5.1662679524891841E-2</v>
      </c>
      <c r="AE207" s="70">
        <v>5.4503121890058584E-2</v>
      </c>
      <c r="AF207" s="62">
        <v>5.7677060123551178E-2</v>
      </c>
      <c r="AG207" s="70" t="s">
        <v>21</v>
      </c>
      <c r="AH207" s="70">
        <v>5.7146121298564979E-3</v>
      </c>
      <c r="AI207" s="70">
        <v>9.8870188248918398E-3</v>
      </c>
      <c r="AJ207" s="70">
        <v>1.1958162890058577E-2</v>
      </c>
      <c r="AK207" s="62">
        <v>1.365956392355118E-2</v>
      </c>
    </row>
    <row r="208" spans="2:37" x14ac:dyDescent="0.35">
      <c r="B208" s="54" t="s">
        <v>336</v>
      </c>
      <c r="C208" s="52" t="s">
        <v>232</v>
      </c>
      <c r="D208" s="52" t="s">
        <v>69</v>
      </c>
      <c r="E208" s="52" t="s">
        <v>128</v>
      </c>
      <c r="F208" s="72">
        <f t="shared" si="21"/>
        <v>4.0706617306343305E-2</v>
      </c>
      <c r="G208" s="59">
        <f t="shared" si="21"/>
        <v>4.6702857138263151E-2</v>
      </c>
      <c r="H208" s="59">
        <f t="shared" si="21"/>
        <v>5.1007569878293912E-2</v>
      </c>
      <c r="I208" s="59">
        <f t="shared" si="21"/>
        <v>5.4129493417502096E-2</v>
      </c>
      <c r="J208" s="62">
        <f t="shared" si="21"/>
        <v>5.8082626776280163E-2</v>
      </c>
      <c r="K208" s="59" t="str">
        <f t="shared" si="22"/>
        <v/>
      </c>
      <c r="L208" s="59">
        <f t="shared" si="22"/>
        <v>5.0469660382631547E-3</v>
      </c>
      <c r="M208" s="59">
        <f t="shared" si="22"/>
        <v>9.2710046782939065E-3</v>
      </c>
      <c r="N208" s="59">
        <f t="shared" si="22"/>
        <v>1.1607503517502098E-2</v>
      </c>
      <c r="O208" s="62">
        <f t="shared" si="22"/>
        <v>1.4049544376280174E-2</v>
      </c>
      <c r="P208" s="54" t="s">
        <v>21</v>
      </c>
      <c r="Q208" s="52" t="s">
        <v>21</v>
      </c>
      <c r="R208" s="93" t="s">
        <v>21</v>
      </c>
      <c r="S208" s="70">
        <v>0</v>
      </c>
      <c r="T208" s="62">
        <f t="shared" si="20"/>
        <v>5.1007569878293912E-2</v>
      </c>
      <c r="V208" s="113">
        <v>1.1151971599999999</v>
      </c>
      <c r="W208" s="71">
        <v>2.8688355900000002</v>
      </c>
      <c r="X208" s="71">
        <v>4.4185129199999995</v>
      </c>
      <c r="Y208" s="71">
        <v>5.7469078900000001</v>
      </c>
      <c r="Z208" s="114">
        <v>7.3789744600000002</v>
      </c>
      <c r="AB208" s="70">
        <v>4.0706617306343305E-2</v>
      </c>
      <c r="AC208" s="70">
        <v>4.6702857138263151E-2</v>
      </c>
      <c r="AD208" s="70">
        <v>5.1007569878293912E-2</v>
      </c>
      <c r="AE208" s="70">
        <v>5.4129493417502096E-2</v>
      </c>
      <c r="AF208" s="62">
        <v>5.8082626776280163E-2</v>
      </c>
      <c r="AG208" s="70" t="s">
        <v>21</v>
      </c>
      <c r="AH208" s="70">
        <v>5.0469660382631547E-3</v>
      </c>
      <c r="AI208" s="70">
        <v>9.2710046782939065E-3</v>
      </c>
      <c r="AJ208" s="70">
        <v>1.1607503517502098E-2</v>
      </c>
      <c r="AK208" s="62">
        <v>1.4049544376280174E-2</v>
      </c>
    </row>
    <row r="209" spans="2:37" x14ac:dyDescent="0.35">
      <c r="B209" s="54" t="s">
        <v>348</v>
      </c>
      <c r="C209" s="52" t="s">
        <v>232</v>
      </c>
      <c r="D209" s="52" t="s">
        <v>20</v>
      </c>
      <c r="E209" s="52" t="s">
        <v>532</v>
      </c>
      <c r="F209" s="72">
        <f t="shared" si="21"/>
        <v>4.0878198413696547E-2</v>
      </c>
      <c r="G209" s="59">
        <f t="shared" si="21"/>
        <v>4.6511662105011412E-2</v>
      </c>
      <c r="H209" s="59">
        <f t="shared" si="21"/>
        <v>5.1194426483769616E-2</v>
      </c>
      <c r="I209" s="59">
        <f t="shared" si="21"/>
        <v>5.4506876990126601E-2</v>
      </c>
      <c r="J209" s="62">
        <f t="shared" si="21"/>
        <v>5.76382393967887E-2</v>
      </c>
      <c r="K209" s="59" t="str">
        <f t="shared" si="22"/>
        <v/>
      </c>
      <c r="L209" s="59">
        <f t="shared" si="22"/>
        <v>4.8660831050114104E-3</v>
      </c>
      <c r="M209" s="59">
        <f t="shared" si="22"/>
        <v>9.448540783769617E-3</v>
      </c>
      <c r="N209" s="59">
        <f t="shared" si="22"/>
        <v>1.1965900990126597E-2</v>
      </c>
      <c r="O209" s="62">
        <f t="shared" si="22"/>
        <v>1.3632299496788691E-2</v>
      </c>
      <c r="P209" s="54" t="s">
        <v>387</v>
      </c>
      <c r="Q209" s="52" t="s">
        <v>388</v>
      </c>
      <c r="R209" s="93">
        <v>47529</v>
      </c>
      <c r="S209" s="70">
        <v>5.0115380000000001E-2</v>
      </c>
      <c r="T209" s="62">
        <f t="shared" si="20"/>
        <v>1.0790464837696148E-3</v>
      </c>
      <c r="V209" s="113">
        <v>1.11487684</v>
      </c>
      <c r="W209" s="71">
        <v>2.86987894</v>
      </c>
      <c r="X209" s="71">
        <v>4.4185975400000004</v>
      </c>
      <c r="Y209" s="71">
        <v>5.74217069</v>
      </c>
      <c r="Z209" s="114">
        <v>7.37978544</v>
      </c>
      <c r="AB209" s="70">
        <v>4.0878198413696547E-2</v>
      </c>
      <c r="AC209" s="70">
        <v>4.6511662105011412E-2</v>
      </c>
      <c r="AD209" s="70">
        <v>5.1194426483769616E-2</v>
      </c>
      <c r="AE209" s="70">
        <v>5.4506876990126601E-2</v>
      </c>
      <c r="AF209" s="62">
        <v>5.76382393967887E-2</v>
      </c>
      <c r="AG209" s="70" t="s">
        <v>21</v>
      </c>
      <c r="AH209" s="70">
        <v>4.8660831050114104E-3</v>
      </c>
      <c r="AI209" s="70">
        <v>9.448540783769617E-3</v>
      </c>
      <c r="AJ209" s="70">
        <v>1.1965900990126597E-2</v>
      </c>
      <c r="AK209" s="62">
        <v>1.3632299496788691E-2</v>
      </c>
    </row>
    <row r="210" spans="2:37" x14ac:dyDescent="0.35">
      <c r="B210" s="54" t="s">
        <v>251</v>
      </c>
      <c r="C210" s="52" t="s">
        <v>232</v>
      </c>
      <c r="D210" s="52" t="s">
        <v>53</v>
      </c>
      <c r="E210" s="52" t="s">
        <v>125</v>
      </c>
      <c r="F210" s="72">
        <f t="shared" si="21"/>
        <v>4.044600733141436E-2</v>
      </c>
      <c r="G210" s="59">
        <f t="shared" si="21"/>
        <v>4.6156976622833641E-2</v>
      </c>
      <c r="H210" s="59">
        <f t="shared" si="21"/>
        <v>5.0519443580741313E-2</v>
      </c>
      <c r="I210" s="59">
        <f t="shared" si="21"/>
        <v>5.3554127176957234E-2</v>
      </c>
      <c r="J210" s="62">
        <f t="shared" si="21"/>
        <v>5.7129605827880514E-2</v>
      </c>
      <c r="K210" s="59" t="str">
        <f t="shared" si="22"/>
        <v/>
      </c>
      <c r="L210" s="59">
        <f t="shared" si="22"/>
        <v>4.5300639228336419E-3</v>
      </c>
      <c r="M210" s="59">
        <f t="shared" si="22"/>
        <v>8.8090676807413143E-3</v>
      </c>
      <c r="N210" s="59">
        <f t="shared" si="22"/>
        <v>1.106289607695723E-2</v>
      </c>
      <c r="O210" s="62">
        <f t="shared" si="22"/>
        <v>1.3143230627880528E-2</v>
      </c>
      <c r="P210" s="54" t="s">
        <v>533</v>
      </c>
      <c r="Q210" s="52" t="s">
        <v>534</v>
      </c>
      <c r="R210" s="93" t="s">
        <v>32</v>
      </c>
      <c r="S210" s="70">
        <v>5.1930280000000002E-2</v>
      </c>
      <c r="T210" s="62">
        <f t="shared" si="20"/>
        <v>-1.4108364192586889E-3</v>
      </c>
      <c r="V210" s="113">
        <v>1.11567343</v>
      </c>
      <c r="W210" s="71">
        <v>2.8733613500000001</v>
      </c>
      <c r="X210" s="71">
        <v>4.4287522500000005</v>
      </c>
      <c r="Y210" s="71">
        <v>5.7652067100000002</v>
      </c>
      <c r="Z210" s="114">
        <v>7.4197421099999996</v>
      </c>
      <c r="AB210" s="70">
        <v>4.044600733141436E-2</v>
      </c>
      <c r="AC210" s="70">
        <v>4.6156976622833641E-2</v>
      </c>
      <c r="AD210" s="70">
        <v>5.0519443580741313E-2</v>
      </c>
      <c r="AE210" s="70">
        <v>5.3554127176957234E-2</v>
      </c>
      <c r="AF210" s="62">
        <v>5.7129605827880514E-2</v>
      </c>
      <c r="AG210" s="70" t="s">
        <v>21</v>
      </c>
      <c r="AH210" s="70">
        <v>4.5300639228336419E-3</v>
      </c>
      <c r="AI210" s="70">
        <v>8.8090676807413143E-3</v>
      </c>
      <c r="AJ210" s="70">
        <v>1.106289607695723E-2</v>
      </c>
      <c r="AK210" s="62">
        <v>1.3143230627880528E-2</v>
      </c>
    </row>
    <row r="211" spans="2:37" x14ac:dyDescent="0.35">
      <c r="B211" s="54" t="s">
        <v>143</v>
      </c>
      <c r="C211" s="52" t="s">
        <v>232</v>
      </c>
      <c r="D211" s="52" t="s">
        <v>20</v>
      </c>
      <c r="E211" s="52" t="s">
        <v>57</v>
      </c>
      <c r="F211" s="72">
        <f t="shared" si="21"/>
        <v>4.1013730080088698E-2</v>
      </c>
      <c r="G211" s="59">
        <f t="shared" si="21"/>
        <v>4.6495405580900609E-2</v>
      </c>
      <c r="H211" s="59">
        <f t="shared" si="21"/>
        <v>5.1017373477794926E-2</v>
      </c>
      <c r="I211" s="59">
        <f t="shared" si="21"/>
        <v>5.4029171722923118E-2</v>
      </c>
      <c r="J211" s="62">
        <f t="shared" si="21"/>
        <v>5.7622239749566137E-2</v>
      </c>
      <c r="K211" s="59" t="str">
        <f t="shared" si="22"/>
        <v/>
      </c>
      <c r="L211" s="59">
        <f t="shared" si="22"/>
        <v>4.8533557809006082E-3</v>
      </c>
      <c r="M211" s="59">
        <f t="shared" si="22"/>
        <v>9.2829582777949303E-3</v>
      </c>
      <c r="N211" s="59">
        <f t="shared" si="22"/>
        <v>1.1516470322923114E-2</v>
      </c>
      <c r="O211" s="62">
        <f t="shared" si="22"/>
        <v>1.3616982749566129E-2</v>
      </c>
      <c r="P211" s="54" t="s">
        <v>535</v>
      </c>
      <c r="Q211" s="52" t="s">
        <v>536</v>
      </c>
      <c r="R211" s="93">
        <v>47498</v>
      </c>
      <c r="S211" s="70">
        <v>5.0412770000000003E-2</v>
      </c>
      <c r="T211" s="62">
        <f t="shared" si="20"/>
        <v>6.0460347779492385E-4</v>
      </c>
      <c r="V211" s="113">
        <v>1.1145810299999999</v>
      </c>
      <c r="W211" s="71">
        <v>2.8693518399999998</v>
      </c>
      <c r="X211" s="71">
        <v>4.4197839700000001</v>
      </c>
      <c r="Y211" s="71">
        <v>5.7478134499999998</v>
      </c>
      <c r="Z211" s="114">
        <v>7.3890567599999999</v>
      </c>
      <c r="AB211" s="70">
        <v>4.1013730080088698E-2</v>
      </c>
      <c r="AC211" s="70">
        <v>4.6495405580900609E-2</v>
      </c>
      <c r="AD211" s="70">
        <v>5.1017373477794926E-2</v>
      </c>
      <c r="AE211" s="70">
        <v>5.4029171722923118E-2</v>
      </c>
      <c r="AF211" s="62">
        <v>5.7622239749566137E-2</v>
      </c>
      <c r="AG211" s="70" t="s">
        <v>21</v>
      </c>
      <c r="AH211" s="70">
        <v>4.8533557809006082E-3</v>
      </c>
      <c r="AI211" s="70">
        <v>9.2829582777949303E-3</v>
      </c>
      <c r="AJ211" s="70">
        <v>1.1516470322923114E-2</v>
      </c>
      <c r="AK211" s="62">
        <v>1.3616982749566129E-2</v>
      </c>
    </row>
    <row r="212" spans="2:37" x14ac:dyDescent="0.35">
      <c r="B212" s="54" t="s">
        <v>257</v>
      </c>
      <c r="C212" s="52" t="s">
        <v>232</v>
      </c>
      <c r="D212" s="52" t="s">
        <v>69</v>
      </c>
      <c r="E212" s="52" t="s">
        <v>21</v>
      </c>
      <c r="F212" s="72">
        <f t="shared" si="21"/>
        <v>4.083241159228948E-2</v>
      </c>
      <c r="G212" s="59">
        <f t="shared" si="21"/>
        <v>4.6201893776641759E-2</v>
      </c>
      <c r="H212" s="59">
        <f t="shared" si="21"/>
        <v>5.0464191968038308E-2</v>
      </c>
      <c r="I212" s="59">
        <f t="shared" si="21"/>
        <v>5.3271674167636431E-2</v>
      </c>
      <c r="J212" s="62">
        <f t="shared" si="21"/>
        <v>5.6522189026638039E-2</v>
      </c>
      <c r="K212" s="59" t="str">
        <f t="shared" si="22"/>
        <v/>
      </c>
      <c r="L212" s="59">
        <f t="shared" si="22"/>
        <v>4.570589976641763E-3</v>
      </c>
      <c r="M212" s="59">
        <f t="shared" si="22"/>
        <v>8.7552110680383134E-3</v>
      </c>
      <c r="N212" s="59">
        <f t="shared" si="22"/>
        <v>1.0793364767636437E-2</v>
      </c>
      <c r="O212" s="62">
        <f t="shared" si="22"/>
        <v>1.2561195226638042E-2</v>
      </c>
      <c r="P212" s="54" t="s">
        <v>537</v>
      </c>
      <c r="Q212" s="52" t="s">
        <v>538</v>
      </c>
      <c r="R212" s="93" t="s">
        <v>32</v>
      </c>
      <c r="S212" s="70">
        <v>4.412688E-2</v>
      </c>
      <c r="T212" s="62">
        <f t="shared" si="20"/>
        <v>6.3373119680383075E-3</v>
      </c>
      <c r="V212" s="113">
        <v>1.1149841700000001</v>
      </c>
      <c r="W212" s="71">
        <v>2.8720585600000001</v>
      </c>
      <c r="X212" s="71">
        <v>4.42795089</v>
      </c>
      <c r="Y212" s="71">
        <v>5.7687115499999999</v>
      </c>
      <c r="Z212" s="114">
        <v>7.4391596500000006</v>
      </c>
      <c r="AB212" s="70">
        <v>4.083241159228948E-2</v>
      </c>
      <c r="AC212" s="70">
        <v>4.6201893776641759E-2</v>
      </c>
      <c r="AD212" s="70">
        <v>5.0464191968038308E-2</v>
      </c>
      <c r="AE212" s="70">
        <v>5.3271674167636431E-2</v>
      </c>
      <c r="AF212" s="62">
        <v>5.6522189026638039E-2</v>
      </c>
      <c r="AG212" s="70" t="s">
        <v>21</v>
      </c>
      <c r="AH212" s="70">
        <v>4.570589976641763E-3</v>
      </c>
      <c r="AI212" s="70">
        <v>8.7552110680383134E-3</v>
      </c>
      <c r="AJ212" s="70">
        <v>1.0793364767636437E-2</v>
      </c>
      <c r="AK212" s="62">
        <v>1.2561195226638042E-2</v>
      </c>
    </row>
    <row r="213" spans="2:37" x14ac:dyDescent="0.35">
      <c r="B213" s="54" t="s">
        <v>252</v>
      </c>
      <c r="C213" s="52" t="s">
        <v>232</v>
      </c>
      <c r="D213" s="52" t="s">
        <v>20</v>
      </c>
      <c r="E213" s="52" t="s">
        <v>21</v>
      </c>
      <c r="F213" s="72">
        <f t="shared" si="21"/>
        <v>4.1253667642100034E-2</v>
      </c>
      <c r="G213" s="59">
        <f t="shared" si="21"/>
        <v>4.7380697598019862E-2</v>
      </c>
      <c r="H213" s="59">
        <f t="shared" si="21"/>
        <v>5.094330087390276E-2</v>
      </c>
      <c r="I213" s="59">
        <f t="shared" si="21"/>
        <v>5.3206448429313019E-2</v>
      </c>
      <c r="J213" s="62">
        <f t="shared" si="21"/>
        <v>5.6813669661557278E-2</v>
      </c>
      <c r="K213" s="59" t="str">
        <f t="shared" si="22"/>
        <v/>
      </c>
      <c r="L213" s="59">
        <f t="shared" si="22"/>
        <v>5.6833676980198606E-3</v>
      </c>
      <c r="M213" s="59">
        <f t="shared" si="22"/>
        <v>9.2057052739027631E-3</v>
      </c>
      <c r="N213" s="59">
        <f t="shared" si="22"/>
        <v>1.0727353429313014E-2</v>
      </c>
      <c r="O213" s="62">
        <f t="shared" si="22"/>
        <v>1.282771536155727E-2</v>
      </c>
      <c r="P213" s="54" t="s">
        <v>539</v>
      </c>
      <c r="Q213" s="52" t="s">
        <v>540</v>
      </c>
      <c r="R213" s="93">
        <v>47545</v>
      </c>
      <c r="S213" s="70">
        <v>4.7452180000000004E-2</v>
      </c>
      <c r="T213" s="62">
        <f t="shared" si="20"/>
        <v>3.491120873902756E-3</v>
      </c>
      <c r="V213" s="113">
        <v>1.1142554199999999</v>
      </c>
      <c r="W213" s="71">
        <v>2.8630821699999998</v>
      </c>
      <c r="X213" s="71">
        <v>4.4127032699999997</v>
      </c>
      <c r="Y213" s="71">
        <v>5.7551225600000002</v>
      </c>
      <c r="Z213" s="114">
        <v>7.4273772300000003</v>
      </c>
      <c r="AB213" s="70">
        <v>4.1253667642100034E-2</v>
      </c>
      <c r="AC213" s="70">
        <v>4.7380697598019862E-2</v>
      </c>
      <c r="AD213" s="70">
        <v>5.094330087390276E-2</v>
      </c>
      <c r="AE213" s="70">
        <v>5.3206448429313019E-2</v>
      </c>
      <c r="AF213" s="62">
        <v>5.6813669661557278E-2</v>
      </c>
      <c r="AG213" s="70" t="s">
        <v>21</v>
      </c>
      <c r="AH213" s="70">
        <v>5.6833676980198606E-3</v>
      </c>
      <c r="AI213" s="70">
        <v>9.2057052739027631E-3</v>
      </c>
      <c r="AJ213" s="70">
        <v>1.0727353429313014E-2</v>
      </c>
      <c r="AK213" s="62">
        <v>1.282771536155727E-2</v>
      </c>
    </row>
    <row r="214" spans="2:37" x14ac:dyDescent="0.35">
      <c r="B214" s="54" t="s">
        <v>153</v>
      </c>
      <c r="C214" s="52" t="s">
        <v>232</v>
      </c>
      <c r="D214" s="52" t="s">
        <v>20</v>
      </c>
      <c r="E214" s="52" t="s">
        <v>133</v>
      </c>
      <c r="F214" s="72">
        <f t="shared" si="21"/>
        <v>4.0425716387707859E-2</v>
      </c>
      <c r="G214" s="59">
        <f t="shared" si="21"/>
        <v>4.605476254997596E-2</v>
      </c>
      <c r="H214" s="59">
        <f t="shared" si="21"/>
        <v>5.0866740951945162E-2</v>
      </c>
      <c r="I214" s="59">
        <f t="shared" si="21"/>
        <v>5.4172247333707207E-2</v>
      </c>
      <c r="J214" s="62">
        <f t="shared" si="21"/>
        <v>5.7375868381029094E-2</v>
      </c>
      <c r="K214" s="59" t="str">
        <f t="shared" si="22"/>
        <v/>
      </c>
      <c r="L214" s="59">
        <f t="shared" si="22"/>
        <v>4.4350896499759668E-3</v>
      </c>
      <c r="M214" s="59">
        <f t="shared" si="22"/>
        <v>9.1399158519451587E-3</v>
      </c>
      <c r="N214" s="59">
        <f t="shared" si="22"/>
        <v>1.1651435533707215E-2</v>
      </c>
      <c r="O214" s="62">
        <f t="shared" si="22"/>
        <v>1.3384125181029081E-2</v>
      </c>
      <c r="P214" s="54" t="s">
        <v>541</v>
      </c>
      <c r="Q214" s="52" t="s">
        <v>542</v>
      </c>
      <c r="R214" s="93">
        <v>47529</v>
      </c>
      <c r="S214" s="70">
        <v>5.0480850000000001E-2</v>
      </c>
      <c r="T214" s="62">
        <f t="shared" si="20"/>
        <v>3.8589095194516143E-4</v>
      </c>
      <c r="V214" s="113">
        <v>1.11569494</v>
      </c>
      <c r="W214" s="71">
        <v>2.87442193</v>
      </c>
      <c r="X214" s="71">
        <v>4.4260545100000002</v>
      </c>
      <c r="Y214" s="71">
        <v>5.7520210399999998</v>
      </c>
      <c r="Z214" s="114">
        <v>7.3962179599999995</v>
      </c>
      <c r="AB214" s="70">
        <v>4.0425716387707859E-2</v>
      </c>
      <c r="AC214" s="70">
        <v>4.605476254997596E-2</v>
      </c>
      <c r="AD214" s="70">
        <v>5.0866740951945162E-2</v>
      </c>
      <c r="AE214" s="70">
        <v>5.4172247333707207E-2</v>
      </c>
      <c r="AF214" s="62">
        <v>5.7375868381029094E-2</v>
      </c>
      <c r="AG214" s="70" t="s">
        <v>21</v>
      </c>
      <c r="AH214" s="70">
        <v>4.4350896499759668E-3</v>
      </c>
      <c r="AI214" s="70">
        <v>9.1399158519451587E-3</v>
      </c>
      <c r="AJ214" s="70">
        <v>1.1651435533707215E-2</v>
      </c>
      <c r="AK214" s="62">
        <v>1.3384125181029081E-2</v>
      </c>
    </row>
    <row r="215" spans="2:37" x14ac:dyDescent="0.35">
      <c r="B215" s="54" t="s">
        <v>343</v>
      </c>
      <c r="C215" s="52" t="s">
        <v>232</v>
      </c>
      <c r="D215" s="52" t="s">
        <v>31</v>
      </c>
      <c r="E215" s="52" t="s">
        <v>21</v>
      </c>
      <c r="F215" s="72">
        <f t="shared" si="21"/>
        <v>4.0855087020640009E-2</v>
      </c>
      <c r="G215" s="59">
        <f t="shared" si="21"/>
        <v>4.5997649886965253E-2</v>
      </c>
      <c r="H215" s="59">
        <f t="shared" si="21"/>
        <v>5.0308302960907991E-2</v>
      </c>
      <c r="I215" s="59">
        <f t="shared" si="21"/>
        <v>5.3250725276512999E-2</v>
      </c>
      <c r="J215" s="62">
        <f t="shared" si="21"/>
        <v>5.6634566285739749E-2</v>
      </c>
      <c r="K215" s="59" t="str">
        <f t="shared" si="22"/>
        <v/>
      </c>
      <c r="L215" s="59">
        <f t="shared" si="22"/>
        <v>4.381467686965252E-3</v>
      </c>
      <c r="M215" s="59">
        <f t="shared" si="22"/>
        <v>8.6106895609079949E-3</v>
      </c>
      <c r="N215" s="59">
        <f t="shared" si="22"/>
        <v>1.0776253676512994E-2</v>
      </c>
      <c r="O215" s="62">
        <f t="shared" si="22"/>
        <v>1.2671445985739747E-2</v>
      </c>
      <c r="P215" s="54" t="s">
        <v>21</v>
      </c>
      <c r="Q215" s="52" t="s">
        <v>21</v>
      </c>
      <c r="R215" s="93" t="s">
        <v>21</v>
      </c>
      <c r="S215" s="70">
        <v>0</v>
      </c>
      <c r="T215" s="62">
        <f t="shared" si="20"/>
        <v>5.0308302960907991E-2</v>
      </c>
      <c r="V215" s="113">
        <v>1.11487778</v>
      </c>
      <c r="W215" s="71">
        <v>2.8726104800000001</v>
      </c>
      <c r="X215" s="71">
        <v>4.4305471299999999</v>
      </c>
      <c r="Y215" s="71">
        <v>5.7715342099999996</v>
      </c>
      <c r="Z215" s="114">
        <v>7.4384601199999993</v>
      </c>
      <c r="AB215" s="70">
        <v>4.0855087020640009E-2</v>
      </c>
      <c r="AC215" s="70">
        <v>4.5997649886965253E-2</v>
      </c>
      <c r="AD215" s="70">
        <v>5.0308302960907991E-2</v>
      </c>
      <c r="AE215" s="70">
        <v>5.3250725276512999E-2</v>
      </c>
      <c r="AF215" s="62">
        <v>5.6634566285739749E-2</v>
      </c>
      <c r="AG215" s="70" t="s">
        <v>21</v>
      </c>
      <c r="AH215" s="70">
        <v>4.381467686965252E-3</v>
      </c>
      <c r="AI215" s="70">
        <v>8.6106895609079949E-3</v>
      </c>
      <c r="AJ215" s="70">
        <v>1.0776253676512994E-2</v>
      </c>
      <c r="AK215" s="62">
        <v>1.2671445985739747E-2</v>
      </c>
    </row>
    <row r="216" spans="2:37" x14ac:dyDescent="0.35">
      <c r="B216" s="54" t="s">
        <v>357</v>
      </c>
      <c r="C216" s="52" t="s">
        <v>232</v>
      </c>
      <c r="D216" s="52" t="s">
        <v>20</v>
      </c>
      <c r="E216" s="52" t="s">
        <v>21</v>
      </c>
      <c r="F216" s="72">
        <f t="shared" si="21"/>
        <v>4.0878086474821898E-2</v>
      </c>
      <c r="G216" s="59">
        <f t="shared" si="21"/>
        <v>4.6443470177540309E-2</v>
      </c>
      <c r="H216" s="59">
        <f t="shared" si="21"/>
        <v>5.0727327377852433E-2</v>
      </c>
      <c r="I216" s="59">
        <f t="shared" si="21"/>
        <v>5.3561412494646833E-2</v>
      </c>
      <c r="J216" s="62">
        <f t="shared" si="21"/>
        <v>5.6769961990140685E-2</v>
      </c>
      <c r="K216" s="59" t="str">
        <f t="shared" si="22"/>
        <v/>
      </c>
      <c r="L216" s="59">
        <f t="shared" si="22"/>
        <v>4.8003609775403083E-3</v>
      </c>
      <c r="M216" s="59">
        <f t="shared" si="22"/>
        <v>9.0051282778524349E-3</v>
      </c>
      <c r="N216" s="59">
        <f t="shared" si="22"/>
        <v>1.1069076194646839E-2</v>
      </c>
      <c r="O216" s="62">
        <f t="shared" si="22"/>
        <v>1.2799844390140685E-2</v>
      </c>
      <c r="P216" s="54" t="s">
        <v>21</v>
      </c>
      <c r="Q216" s="52" t="s">
        <v>21</v>
      </c>
      <c r="R216" s="93" t="s">
        <v>21</v>
      </c>
      <c r="S216" s="70">
        <v>0</v>
      </c>
      <c r="T216" s="62">
        <f t="shared" si="20"/>
        <v>5.0727327377852433E-2</v>
      </c>
      <c r="V216" s="113">
        <v>1.1148834999999999</v>
      </c>
      <c r="W216" s="71">
        <v>2.8693267599999999</v>
      </c>
      <c r="X216" s="71">
        <v>4.4229312499999995</v>
      </c>
      <c r="Y216" s="71">
        <v>5.7584231399999997</v>
      </c>
      <c r="Z216" s="114">
        <v>7.4203432500000002</v>
      </c>
      <c r="AB216" s="70">
        <v>4.0878086474821898E-2</v>
      </c>
      <c r="AC216" s="70">
        <v>4.6443470177540309E-2</v>
      </c>
      <c r="AD216" s="70">
        <v>5.0727327377852433E-2</v>
      </c>
      <c r="AE216" s="70">
        <v>5.3561412494646833E-2</v>
      </c>
      <c r="AF216" s="62">
        <v>5.6769961990140685E-2</v>
      </c>
      <c r="AG216" s="70" t="s">
        <v>21</v>
      </c>
      <c r="AH216" s="70">
        <v>4.8003609775403083E-3</v>
      </c>
      <c r="AI216" s="70">
        <v>9.0051282778524349E-3</v>
      </c>
      <c r="AJ216" s="70">
        <v>1.1069076194646839E-2</v>
      </c>
      <c r="AK216" s="62">
        <v>1.2799844390140685E-2</v>
      </c>
    </row>
    <row r="217" spans="2:37" x14ac:dyDescent="0.35">
      <c r="B217" s="54" t="s">
        <v>360</v>
      </c>
      <c r="C217" s="52" t="s">
        <v>232</v>
      </c>
      <c r="D217" s="52" t="s">
        <v>20</v>
      </c>
      <c r="E217" s="52" t="s">
        <v>543</v>
      </c>
      <c r="F217" s="72">
        <f t="shared" si="21"/>
        <v>4.0974453098098787E-2</v>
      </c>
      <c r="G217" s="59">
        <f t="shared" si="21"/>
        <v>4.6428485260351239E-2</v>
      </c>
      <c r="H217" s="59">
        <f t="shared" si="21"/>
        <v>5.0724777801513403E-2</v>
      </c>
      <c r="I217" s="59">
        <f t="shared" si="21"/>
        <v>5.3542176348132298E-2</v>
      </c>
      <c r="J217" s="62">
        <f t="shared" si="21"/>
        <v>5.686699465157849E-2</v>
      </c>
      <c r="K217" s="59" t="str">
        <f t="shared" si="22"/>
        <v/>
      </c>
      <c r="L217" s="59">
        <f t="shared" si="22"/>
        <v>4.7864797603512357E-3</v>
      </c>
      <c r="M217" s="59">
        <f t="shared" si="22"/>
        <v>9.002937001513403E-3</v>
      </c>
      <c r="N217" s="59">
        <f t="shared" si="22"/>
        <v>1.10511716481323E-2</v>
      </c>
      <c r="O217" s="62">
        <f t="shared" si="22"/>
        <v>1.2892535451578485E-2</v>
      </c>
      <c r="P217" s="54" t="s">
        <v>21</v>
      </c>
      <c r="Q217" s="52" t="s">
        <v>21</v>
      </c>
      <c r="R217" s="93" t="s">
        <v>21</v>
      </c>
      <c r="S217" s="70">
        <v>0</v>
      </c>
      <c r="T217" s="62">
        <f t="shared" si="20"/>
        <v>5.0724777801513403E-2</v>
      </c>
      <c r="V217" s="113">
        <v>1.1147041799999999</v>
      </c>
      <c r="W217" s="71">
        <v>2.8696295599999999</v>
      </c>
      <c r="X217" s="71">
        <v>4.4233802899999999</v>
      </c>
      <c r="Y217" s="71">
        <v>5.7587728900000004</v>
      </c>
      <c r="Z217" s="114">
        <v>7.41841858</v>
      </c>
      <c r="AB217" s="70">
        <v>4.0974453098098787E-2</v>
      </c>
      <c r="AC217" s="70">
        <v>4.6428485260351239E-2</v>
      </c>
      <c r="AD217" s="70">
        <v>5.0724777801513403E-2</v>
      </c>
      <c r="AE217" s="70">
        <v>5.3542176348132298E-2</v>
      </c>
      <c r="AF217" s="62">
        <v>5.686699465157849E-2</v>
      </c>
      <c r="AG217" s="70" t="s">
        <v>21</v>
      </c>
      <c r="AH217" s="70">
        <v>4.7864797603512357E-3</v>
      </c>
      <c r="AI217" s="70">
        <v>9.002937001513403E-3</v>
      </c>
      <c r="AJ217" s="70">
        <v>1.10511716481323E-2</v>
      </c>
      <c r="AK217" s="62">
        <v>1.2892535451578485E-2</v>
      </c>
    </row>
    <row r="218" spans="2:37" x14ac:dyDescent="0.35">
      <c r="B218" s="54" t="s">
        <v>258</v>
      </c>
      <c r="C218" s="52" t="s">
        <v>232</v>
      </c>
      <c r="D218" s="52" t="s">
        <v>31</v>
      </c>
      <c r="E218" s="52" t="s">
        <v>21</v>
      </c>
      <c r="F218" s="72">
        <f t="shared" si="21"/>
        <v>4.0524308849838993E-2</v>
      </c>
      <c r="G218" s="59">
        <f t="shared" si="21"/>
        <v>4.592012403868042E-2</v>
      </c>
      <c r="H218" s="59">
        <f t="shared" si="21"/>
        <v>5.0202782561593377E-2</v>
      </c>
      <c r="I218" s="59">
        <f t="shared" si="21"/>
        <v>5.2857189853687148E-2</v>
      </c>
      <c r="J218" s="62">
        <f t="shared" si="21"/>
        <v>5.5624346073328099E-2</v>
      </c>
      <c r="K218" s="59" t="str">
        <f t="shared" si="22"/>
        <v/>
      </c>
      <c r="L218" s="59">
        <f t="shared" si="22"/>
        <v>4.3062404386804247E-3</v>
      </c>
      <c r="M218" s="59">
        <f t="shared" si="22"/>
        <v>8.5094488615933706E-3</v>
      </c>
      <c r="N218" s="59">
        <f t="shared" si="22"/>
        <v>1.0401816853687141E-2</v>
      </c>
      <c r="O218" s="62">
        <f t="shared" si="22"/>
        <v>1.1705455173328102E-2</v>
      </c>
      <c r="P218" s="54" t="s">
        <v>544</v>
      </c>
      <c r="Q218" s="52" t="s">
        <v>545</v>
      </c>
      <c r="R218" s="93">
        <v>47517</v>
      </c>
      <c r="S218" s="70">
        <v>4.9370480000000001E-2</v>
      </c>
      <c r="T218" s="62">
        <f t="shared" si="20"/>
        <v>8.3230256159337601E-4</v>
      </c>
      <c r="V218" s="113">
        <v>1.1155155800000001</v>
      </c>
      <c r="W218" s="71">
        <v>2.8742049000000001</v>
      </c>
      <c r="X218" s="71">
        <v>4.4332512299999998</v>
      </c>
      <c r="Y218" s="71">
        <v>5.77963643</v>
      </c>
      <c r="Z218" s="114">
        <v>7.4713409300000002</v>
      </c>
      <c r="AB218" s="70">
        <v>4.0524308849838993E-2</v>
      </c>
      <c r="AC218" s="70">
        <v>4.592012403868042E-2</v>
      </c>
      <c r="AD218" s="70">
        <v>5.0202782561593377E-2</v>
      </c>
      <c r="AE218" s="70">
        <v>5.2857189853687148E-2</v>
      </c>
      <c r="AF218" s="62">
        <v>5.5624346073328099E-2</v>
      </c>
      <c r="AG218" s="70" t="s">
        <v>21</v>
      </c>
      <c r="AH218" s="70">
        <v>4.3062404386804247E-3</v>
      </c>
      <c r="AI218" s="70">
        <v>8.5094488615933706E-3</v>
      </c>
      <c r="AJ218" s="70">
        <v>1.0401816853687141E-2</v>
      </c>
      <c r="AK218" s="62">
        <v>1.1705455173328102E-2</v>
      </c>
    </row>
    <row r="219" spans="2:37" x14ac:dyDescent="0.35">
      <c r="B219" s="54" t="s">
        <v>344</v>
      </c>
      <c r="C219" s="52" t="s">
        <v>232</v>
      </c>
      <c r="D219" s="52" t="s">
        <v>97</v>
      </c>
      <c r="E219" s="52" t="s">
        <v>225</v>
      </c>
      <c r="F219" s="72">
        <f t="shared" si="21"/>
        <v>4.0275774696192791E-2</v>
      </c>
      <c r="G219" s="59">
        <f t="shared" si="21"/>
        <v>4.6100082469477756E-2</v>
      </c>
      <c r="H219" s="59">
        <f t="shared" si="21"/>
        <v>5.0158228737570761E-2</v>
      </c>
      <c r="I219" s="59">
        <f t="shared" si="21"/>
        <v>5.3197249603586863E-2</v>
      </c>
      <c r="J219" s="62">
        <f t="shared" si="21"/>
        <v>5.6487066481736445E-2</v>
      </c>
      <c r="K219" s="59" t="str">
        <f t="shared" si="22"/>
        <v/>
      </c>
      <c r="L219" s="59">
        <f t="shared" si="22"/>
        <v>4.4761834694777552E-3</v>
      </c>
      <c r="M219" s="59">
        <f t="shared" si="22"/>
        <v>8.4664608375707648E-3</v>
      </c>
      <c r="N219" s="59">
        <f t="shared" si="22"/>
        <v>1.0723987203586865E-2</v>
      </c>
      <c r="O219" s="62">
        <f t="shared" si="22"/>
        <v>1.2530071581736451E-2</v>
      </c>
      <c r="P219" s="54" t="s">
        <v>21</v>
      </c>
      <c r="Q219" s="52" t="s">
        <v>21</v>
      </c>
      <c r="R219" s="93" t="s">
        <v>21</v>
      </c>
      <c r="S219" s="70">
        <v>0</v>
      </c>
      <c r="T219" s="62">
        <f t="shared" si="20"/>
        <v>5.0158228737570761E-2</v>
      </c>
      <c r="V219" s="113">
        <v>1.11598898</v>
      </c>
      <c r="W219" s="71">
        <v>2.8739179699999999</v>
      </c>
      <c r="X219" s="71">
        <v>4.4330051600000004</v>
      </c>
      <c r="Y219" s="71">
        <v>5.7750238600000001</v>
      </c>
      <c r="Z219" s="114">
        <v>7.4451389600000004</v>
      </c>
      <c r="AB219" s="70">
        <v>4.0275774696192791E-2</v>
      </c>
      <c r="AC219" s="70">
        <v>4.6100082469477756E-2</v>
      </c>
      <c r="AD219" s="70">
        <v>5.0158228737570761E-2</v>
      </c>
      <c r="AE219" s="70">
        <v>5.3197249603586863E-2</v>
      </c>
      <c r="AF219" s="62">
        <v>5.6487066481736445E-2</v>
      </c>
      <c r="AG219" s="70" t="s">
        <v>21</v>
      </c>
      <c r="AH219" s="70">
        <v>4.4761834694777552E-3</v>
      </c>
      <c r="AI219" s="70">
        <v>8.4664608375707648E-3</v>
      </c>
      <c r="AJ219" s="70">
        <v>1.0723987203586865E-2</v>
      </c>
      <c r="AK219" s="62">
        <v>1.2530071581736451E-2</v>
      </c>
    </row>
    <row r="220" spans="2:37" x14ac:dyDescent="0.35">
      <c r="B220" s="54" t="s">
        <v>353</v>
      </c>
      <c r="C220" s="52" t="s">
        <v>232</v>
      </c>
      <c r="D220" s="52" t="s">
        <v>31</v>
      </c>
      <c r="E220" s="52" t="s">
        <v>546</v>
      </c>
      <c r="F220" s="72">
        <f t="shared" si="21"/>
        <v>4.0220065353490729E-2</v>
      </c>
      <c r="G220" s="59">
        <f t="shared" si="21"/>
        <v>4.587406223008416E-2</v>
      </c>
      <c r="H220" s="59">
        <f t="shared" si="21"/>
        <v>5.0148269133339848E-2</v>
      </c>
      <c r="I220" s="59">
        <f t="shared" si="21"/>
        <v>5.3044241904893402E-2</v>
      </c>
      <c r="J220" s="62">
        <f t="shared" si="21"/>
        <v>5.6468899987919541E-2</v>
      </c>
      <c r="K220" s="59" t="str">
        <f t="shared" si="22"/>
        <v/>
      </c>
      <c r="L220" s="59">
        <f t="shared" si="22"/>
        <v>4.2621662300841596E-3</v>
      </c>
      <c r="M220" s="59">
        <f t="shared" si="22"/>
        <v>8.4574785333398541E-3</v>
      </c>
      <c r="N220" s="59">
        <f t="shared" si="22"/>
        <v>1.057939400489339E-2</v>
      </c>
      <c r="O220" s="62">
        <f t="shared" si="22"/>
        <v>1.2512706387919535E-2</v>
      </c>
      <c r="P220" s="54" t="s">
        <v>21</v>
      </c>
      <c r="Q220" s="52" t="s">
        <v>21</v>
      </c>
      <c r="R220" s="93" t="s">
        <v>21</v>
      </c>
      <c r="S220" s="70">
        <v>0</v>
      </c>
      <c r="T220" s="62">
        <f t="shared" si="20"/>
        <v>5.0148269133339848E-2</v>
      </c>
      <c r="V220" s="113">
        <v>1.11608705</v>
      </c>
      <c r="W220" s="71">
        <v>2.8754814999999998</v>
      </c>
      <c r="X220" s="71">
        <v>4.4350629699999997</v>
      </c>
      <c r="Y220" s="71">
        <v>5.7788875500000003</v>
      </c>
      <c r="Z220" s="114">
        <v>7.4499595099999993</v>
      </c>
      <c r="AB220" s="70">
        <v>4.0220065353490729E-2</v>
      </c>
      <c r="AC220" s="70">
        <v>4.587406223008416E-2</v>
      </c>
      <c r="AD220" s="70">
        <v>5.0148269133339848E-2</v>
      </c>
      <c r="AE220" s="70">
        <v>5.3044241904893402E-2</v>
      </c>
      <c r="AF220" s="62">
        <v>5.6468899987919541E-2</v>
      </c>
      <c r="AG220" s="70" t="s">
        <v>21</v>
      </c>
      <c r="AH220" s="70">
        <v>4.2621662300841596E-3</v>
      </c>
      <c r="AI220" s="70">
        <v>8.4574785333398541E-3</v>
      </c>
      <c r="AJ220" s="70">
        <v>1.057939400489339E-2</v>
      </c>
      <c r="AK220" s="62">
        <v>1.2512706387919535E-2</v>
      </c>
    </row>
    <row r="221" spans="2:37" x14ac:dyDescent="0.35">
      <c r="B221" s="54" t="s">
        <v>361</v>
      </c>
      <c r="C221" s="52" t="s">
        <v>232</v>
      </c>
      <c r="D221" s="52" t="s">
        <v>304</v>
      </c>
      <c r="E221" s="52" t="s">
        <v>21</v>
      </c>
      <c r="F221" s="72">
        <f t="shared" si="21"/>
        <v>4.0386576723754161E-2</v>
      </c>
      <c r="G221" s="59">
        <f t="shared" si="21"/>
        <v>4.5911818195670841E-2</v>
      </c>
      <c r="H221" s="59">
        <f t="shared" si="21"/>
        <v>5.0100561931419547E-2</v>
      </c>
      <c r="I221" s="59">
        <f t="shared" si="21"/>
        <v>5.2852102454181774E-2</v>
      </c>
      <c r="J221" s="62">
        <f t="shared" si="21"/>
        <v>5.585270202515779E-2</v>
      </c>
      <c r="K221" s="59" t="str">
        <f t="shared" si="22"/>
        <v/>
      </c>
      <c r="L221" s="59">
        <f t="shared" si="22"/>
        <v>4.2971623956708496E-3</v>
      </c>
      <c r="M221" s="59">
        <f t="shared" si="22"/>
        <v>8.4116085314195552E-3</v>
      </c>
      <c r="N221" s="59">
        <f t="shared" si="22"/>
        <v>1.0396275154181777E-2</v>
      </c>
      <c r="O221" s="62">
        <f t="shared" si="22"/>
        <v>1.192322662515778E-2</v>
      </c>
      <c r="P221" s="54" t="s">
        <v>21</v>
      </c>
      <c r="Q221" s="52" t="s">
        <v>21</v>
      </c>
      <c r="R221" s="93" t="s">
        <v>21</v>
      </c>
      <c r="S221" s="70">
        <v>0</v>
      </c>
      <c r="T221" s="62">
        <f t="shared" si="20"/>
        <v>5.0100561931419547E-2</v>
      </c>
      <c r="V221" s="113">
        <v>1.11578814</v>
      </c>
      <c r="W221" s="71">
        <v>2.8747363899999998</v>
      </c>
      <c r="X221" s="71">
        <v>4.4347888699999993</v>
      </c>
      <c r="Y221" s="71">
        <v>5.7814347799999997</v>
      </c>
      <c r="Z221" s="114">
        <v>7.4676628599999999</v>
      </c>
      <c r="AB221" s="70">
        <v>4.0386576723754161E-2</v>
      </c>
      <c r="AC221" s="70">
        <v>4.5911818195670841E-2</v>
      </c>
      <c r="AD221" s="70">
        <v>5.0100561931419547E-2</v>
      </c>
      <c r="AE221" s="70">
        <v>5.2852102454181774E-2</v>
      </c>
      <c r="AF221" s="62">
        <v>5.585270202515779E-2</v>
      </c>
      <c r="AG221" s="70" t="s">
        <v>21</v>
      </c>
      <c r="AH221" s="70">
        <v>4.2971623956708496E-3</v>
      </c>
      <c r="AI221" s="70">
        <v>8.4116085314195552E-3</v>
      </c>
      <c r="AJ221" s="70">
        <v>1.0396275154181777E-2</v>
      </c>
      <c r="AK221" s="62">
        <v>1.192322662515778E-2</v>
      </c>
    </row>
    <row r="222" spans="2:37" x14ac:dyDescent="0.35">
      <c r="B222" s="54" t="s">
        <v>346</v>
      </c>
      <c r="C222" s="52" t="s">
        <v>232</v>
      </c>
      <c r="D222" s="52" t="s">
        <v>97</v>
      </c>
      <c r="E222" s="52" t="s">
        <v>21</v>
      </c>
      <c r="F222" s="72">
        <f t="shared" si="21"/>
        <v>4.0392744168855743E-2</v>
      </c>
      <c r="G222" s="59">
        <f t="shared" si="21"/>
        <v>4.5921879825898959E-2</v>
      </c>
      <c r="H222" s="59">
        <f t="shared" si="21"/>
        <v>5.0100465323155284E-2</v>
      </c>
      <c r="I222" s="59">
        <f t="shared" si="21"/>
        <v>5.2707363486517396E-2</v>
      </c>
      <c r="J222" s="62">
        <f t="shared" si="21"/>
        <v>5.6213455346885953E-2</v>
      </c>
      <c r="K222" s="59" t="str">
        <f t="shared" si="22"/>
        <v/>
      </c>
      <c r="L222" s="59">
        <f t="shared" si="22"/>
        <v>4.3070993258989641E-3</v>
      </c>
      <c r="M222" s="59">
        <f t="shared" si="22"/>
        <v>8.4117775231552887E-3</v>
      </c>
      <c r="N222" s="59">
        <f t="shared" si="22"/>
        <v>1.0258976686517398E-2</v>
      </c>
      <c r="O222" s="62">
        <f t="shared" si="22"/>
        <v>1.2266293946885956E-2</v>
      </c>
      <c r="P222" s="54" t="s">
        <v>21</v>
      </c>
      <c r="Q222" s="52" t="s">
        <v>21</v>
      </c>
      <c r="R222" s="93" t="s">
        <v>21</v>
      </c>
      <c r="S222" s="70">
        <v>0</v>
      </c>
      <c r="T222" s="62">
        <f t="shared" si="20"/>
        <v>5.0100465323155284E-2</v>
      </c>
      <c r="V222" s="113">
        <v>1.1157713899999999</v>
      </c>
      <c r="W222" s="71">
        <v>2.8746425100000002</v>
      </c>
      <c r="X222" s="71">
        <v>4.4346742100000007</v>
      </c>
      <c r="Y222" s="71">
        <v>5.7832955999999998</v>
      </c>
      <c r="Z222" s="114">
        <v>7.4622894899999999</v>
      </c>
      <c r="AB222" s="70">
        <v>4.0392744168855743E-2</v>
      </c>
      <c r="AC222" s="70">
        <v>4.5921879825898959E-2</v>
      </c>
      <c r="AD222" s="70">
        <v>5.0100465323155284E-2</v>
      </c>
      <c r="AE222" s="70">
        <v>5.2707363486517396E-2</v>
      </c>
      <c r="AF222" s="62">
        <v>5.6213455346885953E-2</v>
      </c>
      <c r="AG222" s="70" t="s">
        <v>21</v>
      </c>
      <c r="AH222" s="70">
        <v>4.3070993258989641E-3</v>
      </c>
      <c r="AI222" s="70">
        <v>8.4117775231552887E-3</v>
      </c>
      <c r="AJ222" s="70">
        <v>1.0258976686517398E-2</v>
      </c>
      <c r="AK222" s="62">
        <v>1.2266293946885956E-2</v>
      </c>
    </row>
    <row r="223" spans="2:37" x14ac:dyDescent="0.35">
      <c r="B223" s="54" t="s">
        <v>250</v>
      </c>
      <c r="C223" s="52" t="s">
        <v>232</v>
      </c>
      <c r="D223" s="52" t="s">
        <v>43</v>
      </c>
      <c r="E223" s="52" t="s">
        <v>123</v>
      </c>
      <c r="F223" s="72">
        <f t="shared" si="21"/>
        <v>4.0495694633474168E-2</v>
      </c>
      <c r="G223" s="59">
        <f t="shared" si="21"/>
        <v>4.587110372282905E-2</v>
      </c>
      <c r="H223" s="59">
        <f t="shared" si="21"/>
        <v>5.0045716123889382E-2</v>
      </c>
      <c r="I223" s="59">
        <f t="shared" si="21"/>
        <v>5.2991360639825139E-2</v>
      </c>
      <c r="J223" s="62">
        <f t="shared" si="21"/>
        <v>5.6461450286590983E-2</v>
      </c>
      <c r="K223" s="59" t="str">
        <f t="shared" si="22"/>
        <v/>
      </c>
      <c r="L223" s="59">
        <f t="shared" si="22"/>
        <v>4.2603530228290483E-3</v>
      </c>
      <c r="M223" s="59">
        <f t="shared" si="22"/>
        <v>8.3608459238893856E-3</v>
      </c>
      <c r="N223" s="59">
        <f t="shared" si="22"/>
        <v>1.0529508139825141E-2</v>
      </c>
      <c r="O223" s="62">
        <f t="shared" si="22"/>
        <v>1.2505684186590982E-2</v>
      </c>
      <c r="P223" s="54" t="s">
        <v>21</v>
      </c>
      <c r="Q223" s="52" t="s">
        <v>21</v>
      </c>
      <c r="R223" s="93" t="s">
        <v>21</v>
      </c>
      <c r="S223" s="70">
        <v>0</v>
      </c>
      <c r="T223" s="62">
        <f t="shared" si="20"/>
        <v>5.0045716123889382E-2</v>
      </c>
      <c r="V223" s="113">
        <v>1.1155603599999999</v>
      </c>
      <c r="W223" s="71">
        <v>2.8745809499999999</v>
      </c>
      <c r="X223" s="71">
        <v>4.4352677600000003</v>
      </c>
      <c r="Y223" s="71">
        <v>5.78011155</v>
      </c>
      <c r="Z223" s="114">
        <v>7.4514941800000001</v>
      </c>
      <c r="AB223" s="70">
        <v>4.0495694633474168E-2</v>
      </c>
      <c r="AC223" s="70">
        <v>4.587110372282905E-2</v>
      </c>
      <c r="AD223" s="70">
        <v>5.0045716123889382E-2</v>
      </c>
      <c r="AE223" s="70">
        <v>5.2991360639825139E-2</v>
      </c>
      <c r="AF223" s="62">
        <v>5.6461450286590983E-2</v>
      </c>
      <c r="AG223" s="70" t="s">
        <v>21</v>
      </c>
      <c r="AH223" s="70">
        <v>4.2603530228290483E-3</v>
      </c>
      <c r="AI223" s="70">
        <v>8.3608459238893856E-3</v>
      </c>
      <c r="AJ223" s="70">
        <v>1.0529508139825141E-2</v>
      </c>
      <c r="AK223" s="62">
        <v>1.2505684186590982E-2</v>
      </c>
    </row>
    <row r="224" spans="2:37" x14ac:dyDescent="0.35">
      <c r="B224" s="54" t="s">
        <v>259</v>
      </c>
      <c r="C224" s="52" t="s">
        <v>232</v>
      </c>
      <c r="D224" s="52" t="s">
        <v>31</v>
      </c>
      <c r="E224" s="52" t="s">
        <v>36</v>
      </c>
      <c r="F224" s="72">
        <f t="shared" si="21"/>
        <v>4.0502473173527946E-2</v>
      </c>
      <c r="G224" s="59">
        <f t="shared" si="21"/>
        <v>4.5866777692602952E-2</v>
      </c>
      <c r="H224" s="59">
        <f t="shared" si="21"/>
        <v>4.9997674589582229E-2</v>
      </c>
      <c r="I224" s="59">
        <f t="shared" si="21"/>
        <v>5.2702060932535419E-2</v>
      </c>
      <c r="J224" s="62">
        <f t="shared" si="21"/>
        <v>5.6069762749977818E-2</v>
      </c>
      <c r="K224" s="59" t="str">
        <f t="shared" si="22"/>
        <v/>
      </c>
      <c r="L224" s="59">
        <f t="shared" si="22"/>
        <v>4.2537234926029619E-3</v>
      </c>
      <c r="M224" s="59">
        <f t="shared" si="22"/>
        <v>8.3135106895822382E-3</v>
      </c>
      <c r="N224" s="59">
        <f t="shared" si="22"/>
        <v>1.0253282432535421E-2</v>
      </c>
      <c r="O224" s="62">
        <f t="shared" si="22"/>
        <v>1.2129153549977829E-2</v>
      </c>
      <c r="P224" s="54" t="s">
        <v>547</v>
      </c>
      <c r="Q224" s="52" t="s">
        <v>548</v>
      </c>
      <c r="R224" s="93">
        <v>47660</v>
      </c>
      <c r="S224" s="70">
        <v>4.9130459999999994E-2</v>
      </c>
      <c r="T224" s="62">
        <f t="shared" si="20"/>
        <v>8.672145895822353E-4</v>
      </c>
      <c r="V224" s="113">
        <v>1.1155818499999999</v>
      </c>
      <c r="W224" s="71">
        <v>2.8746624399999998</v>
      </c>
      <c r="X224" s="71">
        <v>4.4358720099999998</v>
      </c>
      <c r="Y224" s="71">
        <v>5.7847780799999997</v>
      </c>
      <c r="Z224" s="114">
        <v>7.4667432900000001</v>
      </c>
      <c r="AB224" s="70">
        <v>4.0502473173527946E-2</v>
      </c>
      <c r="AC224" s="70">
        <v>4.5866777692602952E-2</v>
      </c>
      <c r="AD224" s="70">
        <v>4.9997674589582229E-2</v>
      </c>
      <c r="AE224" s="70">
        <v>5.2702060932535419E-2</v>
      </c>
      <c r="AF224" s="62">
        <v>5.6069762749977818E-2</v>
      </c>
      <c r="AG224" s="70" t="s">
        <v>21</v>
      </c>
      <c r="AH224" s="70">
        <v>4.2537234926029619E-3</v>
      </c>
      <c r="AI224" s="70">
        <v>8.3135106895822382E-3</v>
      </c>
      <c r="AJ224" s="70">
        <v>1.0253282432535421E-2</v>
      </c>
      <c r="AK224" s="62">
        <v>1.2129153549977829E-2</v>
      </c>
    </row>
    <row r="225" spans="2:37" x14ac:dyDescent="0.35">
      <c r="B225" s="54" t="s">
        <v>248</v>
      </c>
      <c r="C225" s="52" t="s">
        <v>232</v>
      </c>
      <c r="D225" s="52" t="s">
        <v>97</v>
      </c>
      <c r="E225" s="52" t="s">
        <v>159</v>
      </c>
      <c r="F225" s="72">
        <f t="shared" ref="F225:J275" si="23">IF(ISNUMBER(AB225),AB225-((C$4-C$3)/V225),"")</f>
        <v>4.0552371953967679E-2</v>
      </c>
      <c r="G225" s="59">
        <f t="shared" si="23"/>
        <v>4.5886419236084004E-2</v>
      </c>
      <c r="H225" s="59">
        <f t="shared" si="23"/>
        <v>4.9997857393191326E-2</v>
      </c>
      <c r="I225" s="59">
        <f t="shared" si="23"/>
        <v>5.2654085241970322E-2</v>
      </c>
      <c r="J225" s="62">
        <f t="shared" si="23"/>
        <v>5.602025632705266E-2</v>
      </c>
      <c r="K225" s="59" t="str">
        <f t="shared" ref="K225:O275" si="24">IF(ISNUMBER(AG225),IF(AG225-((C$4-C$3)/V225)&lt;0,"",AG225-((C$4-C$3)/V225)),"")</f>
        <v/>
      </c>
      <c r="L225" s="59">
        <f t="shared" si="24"/>
        <v>4.2730099360840032E-3</v>
      </c>
      <c r="M225" s="59">
        <f t="shared" si="24"/>
        <v>8.3141175931913339E-3</v>
      </c>
      <c r="N225" s="59">
        <f t="shared" si="24"/>
        <v>1.0208000941970325E-2</v>
      </c>
      <c r="O225" s="62">
        <f t="shared" si="24"/>
        <v>1.208174682705266E-2</v>
      </c>
      <c r="P225" s="54" t="s">
        <v>549</v>
      </c>
      <c r="Q225" s="52" t="s">
        <v>550</v>
      </c>
      <c r="R225" s="93">
        <v>47551</v>
      </c>
      <c r="S225" s="70">
        <v>4.7342129999999996E-2</v>
      </c>
      <c r="T225" s="62">
        <f t="shared" si="20"/>
        <v>2.6557273931913303E-3</v>
      </c>
      <c r="V225" s="113">
        <v>1.1154802099999999</v>
      </c>
      <c r="W225" s="71">
        <v>2.8743605900000002</v>
      </c>
      <c r="X225" s="71">
        <v>4.4355395300000007</v>
      </c>
      <c r="Y225" s="71">
        <v>5.7851286399999999</v>
      </c>
      <c r="Z225" s="114">
        <v>7.4685637200000006</v>
      </c>
      <c r="AB225" s="70">
        <v>4.0552371953967679E-2</v>
      </c>
      <c r="AC225" s="70">
        <v>4.5886419236084004E-2</v>
      </c>
      <c r="AD225" s="70">
        <v>4.9997857393191326E-2</v>
      </c>
      <c r="AE225" s="70">
        <v>5.2654085241970322E-2</v>
      </c>
      <c r="AF225" s="62">
        <v>5.602025632705266E-2</v>
      </c>
      <c r="AG225" s="70" t="s">
        <v>21</v>
      </c>
      <c r="AH225" s="70">
        <v>4.2730099360840032E-3</v>
      </c>
      <c r="AI225" s="70">
        <v>8.3141175931913339E-3</v>
      </c>
      <c r="AJ225" s="70">
        <v>1.0208000941970325E-2</v>
      </c>
      <c r="AK225" s="62">
        <v>1.208174682705266E-2</v>
      </c>
    </row>
    <row r="226" spans="2:37" x14ac:dyDescent="0.35">
      <c r="B226" s="54" t="s">
        <v>245</v>
      </c>
      <c r="C226" s="52" t="s">
        <v>232</v>
      </c>
      <c r="D226" s="52" t="s">
        <v>20</v>
      </c>
      <c r="E226" s="52" t="s">
        <v>21</v>
      </c>
      <c r="F226" s="72">
        <f t="shared" si="23"/>
        <v>4.0906456991944937E-2</v>
      </c>
      <c r="G226" s="59">
        <f t="shared" si="23"/>
        <v>4.6398788588617061E-2</v>
      </c>
      <c r="H226" s="59">
        <f t="shared" si="23"/>
        <v>5.0393266805340613E-2</v>
      </c>
      <c r="I226" s="59">
        <f t="shared" si="23"/>
        <v>5.3150132144159846E-2</v>
      </c>
      <c r="J226" s="62">
        <f t="shared" si="23"/>
        <v>5.6348467862028358E-2</v>
      </c>
      <c r="K226" s="59" t="str">
        <f t="shared" si="24"/>
        <v/>
      </c>
      <c r="L226" s="59">
        <f t="shared" si="24"/>
        <v>4.758822188617064E-3</v>
      </c>
      <c r="M226" s="59">
        <f t="shared" si="24"/>
        <v>8.6890928053406161E-3</v>
      </c>
      <c r="N226" s="59">
        <f t="shared" si="24"/>
        <v>1.0679819644159851E-2</v>
      </c>
      <c r="O226" s="62">
        <f t="shared" si="24"/>
        <v>1.2397978062028369E-2</v>
      </c>
      <c r="P226" s="54" t="s">
        <v>246</v>
      </c>
      <c r="Q226" s="52" t="s">
        <v>247</v>
      </c>
      <c r="R226" s="93">
        <v>47543</v>
      </c>
      <c r="S226" s="70">
        <v>4.8450509999999995E-2</v>
      </c>
      <c r="T226" s="62">
        <f t="shared" si="20"/>
        <v>1.9427568053406175E-3</v>
      </c>
      <c r="V226" s="113">
        <v>1.1148339199999999</v>
      </c>
      <c r="W226" s="71">
        <v>2.8704525699999999</v>
      </c>
      <c r="X226" s="71">
        <v>4.4269990999999997</v>
      </c>
      <c r="Y226" s="71">
        <v>5.7690183300000006</v>
      </c>
      <c r="Z226" s="114">
        <v>7.4426139999999998</v>
      </c>
      <c r="AB226" s="70">
        <v>4.0906456991944937E-2</v>
      </c>
      <c r="AC226" s="70">
        <v>4.6398788588617061E-2</v>
      </c>
      <c r="AD226" s="70">
        <v>5.0393266805340613E-2</v>
      </c>
      <c r="AE226" s="70">
        <v>5.3150132144159846E-2</v>
      </c>
      <c r="AF226" s="62">
        <v>5.6348467862028358E-2</v>
      </c>
      <c r="AG226" s="70" t="s">
        <v>21</v>
      </c>
      <c r="AH226" s="70">
        <v>4.758822188617064E-3</v>
      </c>
      <c r="AI226" s="70">
        <v>8.6890928053406161E-3</v>
      </c>
      <c r="AJ226" s="70">
        <v>1.0679819644159851E-2</v>
      </c>
      <c r="AK226" s="62">
        <v>1.2397978062028369E-2</v>
      </c>
    </row>
    <row r="227" spans="2:37" x14ac:dyDescent="0.35">
      <c r="B227" s="54" t="s">
        <v>350</v>
      </c>
      <c r="C227" s="52" t="s">
        <v>232</v>
      </c>
      <c r="D227" s="52" t="s">
        <v>20</v>
      </c>
      <c r="E227" s="52" t="s">
        <v>21</v>
      </c>
      <c r="F227" s="72">
        <f t="shared" si="23"/>
        <v>4.0534807837018245E-2</v>
      </c>
      <c r="G227" s="59">
        <f t="shared" si="23"/>
        <v>4.5978771859784884E-2</v>
      </c>
      <c r="H227" s="59">
        <f t="shared" si="23"/>
        <v>5.0288688417963121E-2</v>
      </c>
      <c r="I227" s="59">
        <f t="shared" si="23"/>
        <v>5.3053159028575464E-2</v>
      </c>
      <c r="J227" s="62">
        <f t="shared" si="23"/>
        <v>5.589870901160978E-2</v>
      </c>
      <c r="K227" s="59" t="str">
        <f t="shared" si="24"/>
        <v/>
      </c>
      <c r="L227" s="59">
        <f t="shared" si="24"/>
        <v>4.363537459784887E-3</v>
      </c>
      <c r="M227" s="59">
        <f t="shared" si="24"/>
        <v>8.5921038179631246E-3</v>
      </c>
      <c r="N227" s="59">
        <f t="shared" si="24"/>
        <v>1.0589312528575461E-2</v>
      </c>
      <c r="O227" s="62">
        <f t="shared" si="24"/>
        <v>1.197026141160978E-2</v>
      </c>
      <c r="P227" s="54" t="s">
        <v>391</v>
      </c>
      <c r="Q227" s="52" t="s">
        <v>392</v>
      </c>
      <c r="R227" s="93">
        <v>47802</v>
      </c>
      <c r="S227" s="70">
        <v>4.945302E-2</v>
      </c>
      <c r="T227" s="62">
        <f t="shared" si="20"/>
        <v>8.3566841796312019E-4</v>
      </c>
      <c r="V227" s="113">
        <v>1.11549086</v>
      </c>
      <c r="W227" s="71">
        <v>2.8738289899999998</v>
      </c>
      <c r="X227" s="71">
        <v>4.4318529699999996</v>
      </c>
      <c r="Y227" s="71">
        <v>5.7745768499999999</v>
      </c>
      <c r="Z227" s="114">
        <v>7.4577056700000002</v>
      </c>
      <c r="AB227" s="70">
        <v>4.0534807837018245E-2</v>
      </c>
      <c r="AC227" s="70">
        <v>4.5978771859784884E-2</v>
      </c>
      <c r="AD227" s="70">
        <v>5.0288688417963121E-2</v>
      </c>
      <c r="AE227" s="70">
        <v>5.3053159028575464E-2</v>
      </c>
      <c r="AF227" s="62">
        <v>5.589870901160978E-2</v>
      </c>
      <c r="AG227" s="70" t="s">
        <v>21</v>
      </c>
      <c r="AH227" s="70">
        <v>4.363537459784887E-3</v>
      </c>
      <c r="AI227" s="70">
        <v>8.5921038179631246E-3</v>
      </c>
      <c r="AJ227" s="70">
        <v>1.0589312528575461E-2</v>
      </c>
      <c r="AK227" s="62">
        <v>1.197026141160978E-2</v>
      </c>
    </row>
    <row r="228" spans="2:37" x14ac:dyDescent="0.35">
      <c r="B228" s="54" t="s">
        <v>254</v>
      </c>
      <c r="C228" s="52" t="s">
        <v>232</v>
      </c>
      <c r="D228" s="52" t="s">
        <v>255</v>
      </c>
      <c r="E228" s="52" t="s">
        <v>103</v>
      </c>
      <c r="F228" s="72">
        <f t="shared" si="23"/>
        <v>4.0473445205666266E-2</v>
      </c>
      <c r="G228" s="59">
        <f t="shared" si="23"/>
        <v>4.5520418081138443E-2</v>
      </c>
      <c r="H228" s="59">
        <f t="shared" si="23"/>
        <v>4.9570554040510882E-2</v>
      </c>
      <c r="I228" s="59">
        <f t="shared" si="23"/>
        <v>5.2426528182893194E-2</v>
      </c>
      <c r="J228" s="62">
        <f t="shared" si="23"/>
        <v>5.5790583197054773E-2</v>
      </c>
      <c r="K228" s="59" t="str">
        <f t="shared" si="24"/>
        <v/>
      </c>
      <c r="L228" s="59">
        <f t="shared" si="24"/>
        <v>3.9264736811384458E-3</v>
      </c>
      <c r="M228" s="59">
        <f t="shared" si="24"/>
        <v>7.9092264405108918E-3</v>
      </c>
      <c r="N228" s="59">
        <f t="shared" si="24"/>
        <v>9.992442382893197E-3</v>
      </c>
      <c r="O228" s="62">
        <f t="shared" si="24"/>
        <v>1.1863997197054763E-2</v>
      </c>
      <c r="P228" s="54" t="s">
        <v>551</v>
      </c>
      <c r="Q228" s="52" t="s">
        <v>552</v>
      </c>
      <c r="R228" s="93" t="s">
        <v>32</v>
      </c>
      <c r="S228" s="70">
        <v>4.7720830000000006E-2</v>
      </c>
      <c r="T228" s="62">
        <f t="shared" si="20"/>
        <v>1.8497240405108764E-3</v>
      </c>
      <c r="V228" s="113">
        <v>1.1156156400000001</v>
      </c>
      <c r="W228" s="71">
        <v>2.8768520799999999</v>
      </c>
      <c r="X228" s="71">
        <v>4.4429456499999995</v>
      </c>
      <c r="Y228" s="71">
        <v>5.7961337500000001</v>
      </c>
      <c r="Z228" s="114">
        <v>7.4844060299999997</v>
      </c>
      <c r="AB228" s="70">
        <v>4.0473445205666266E-2</v>
      </c>
      <c r="AC228" s="70">
        <v>4.5520418081138443E-2</v>
      </c>
      <c r="AD228" s="70">
        <v>4.9570554040510882E-2</v>
      </c>
      <c r="AE228" s="70">
        <v>5.2426528182893194E-2</v>
      </c>
      <c r="AF228" s="62">
        <v>5.5790583197054773E-2</v>
      </c>
      <c r="AG228" s="70" t="s">
        <v>21</v>
      </c>
      <c r="AH228" s="70">
        <v>3.9264736811384458E-3</v>
      </c>
      <c r="AI228" s="70">
        <v>7.9092264405108918E-3</v>
      </c>
      <c r="AJ228" s="70">
        <v>9.992442382893197E-3</v>
      </c>
      <c r="AK228" s="62">
        <v>1.1863997197054763E-2</v>
      </c>
    </row>
    <row r="229" spans="2:37" x14ac:dyDescent="0.35">
      <c r="B229" s="54" t="s">
        <v>156</v>
      </c>
      <c r="C229" s="52" t="s">
        <v>232</v>
      </c>
      <c r="D229" s="52" t="s">
        <v>31</v>
      </c>
      <c r="E229" s="52" t="s">
        <v>553</v>
      </c>
      <c r="F229" s="72">
        <f t="shared" si="23"/>
        <v>4.0136518866835322E-2</v>
      </c>
      <c r="G229" s="59">
        <f t="shared" si="23"/>
        <v>4.5393801329322497E-2</v>
      </c>
      <c r="H229" s="59">
        <f t="shared" si="23"/>
        <v>4.9514699461520331E-2</v>
      </c>
      <c r="I229" s="59">
        <f t="shared" si="23"/>
        <v>5.2274685484986629E-2</v>
      </c>
      <c r="J229" s="62">
        <f t="shared" si="23"/>
        <v>5.5634444158814557E-2</v>
      </c>
      <c r="K229" s="59" t="str">
        <f t="shared" si="24"/>
        <v/>
      </c>
      <c r="L229" s="59">
        <f t="shared" si="24"/>
        <v>3.8045348293224957E-3</v>
      </c>
      <c r="M229" s="59">
        <f t="shared" si="24"/>
        <v>7.8550657615203377E-3</v>
      </c>
      <c r="N229" s="59">
        <f t="shared" si="24"/>
        <v>9.8474597849866272E-3</v>
      </c>
      <c r="O229" s="62">
        <f t="shared" si="24"/>
        <v>1.1714079058814553E-2</v>
      </c>
      <c r="P229" s="54" t="s">
        <v>21</v>
      </c>
      <c r="Q229" s="52" t="s">
        <v>21</v>
      </c>
      <c r="R229" s="93" t="s">
        <v>21</v>
      </c>
      <c r="S229" s="70">
        <v>0</v>
      </c>
      <c r="T229" s="62">
        <f t="shared" si="20"/>
        <v>4.9514699461520331E-2</v>
      </c>
      <c r="V229" s="113">
        <v>1.11626658</v>
      </c>
      <c r="W229" s="71">
        <v>2.8787762200000002</v>
      </c>
      <c r="X229" s="71">
        <v>4.4455804500000005</v>
      </c>
      <c r="Y229" s="71">
        <v>5.8007317699999996</v>
      </c>
      <c r="Z229" s="114">
        <v>7.4930482500000011</v>
      </c>
      <c r="AB229" s="70">
        <v>4.0136518866835322E-2</v>
      </c>
      <c r="AC229" s="70">
        <v>4.5393801329322497E-2</v>
      </c>
      <c r="AD229" s="70">
        <v>4.9514699461520331E-2</v>
      </c>
      <c r="AE229" s="70">
        <v>5.2274685484986629E-2</v>
      </c>
      <c r="AF229" s="62">
        <v>5.5634444158814557E-2</v>
      </c>
      <c r="AG229" s="70" t="s">
        <v>21</v>
      </c>
      <c r="AH229" s="70">
        <v>3.8045348293224957E-3</v>
      </c>
      <c r="AI229" s="70">
        <v>7.8550657615203377E-3</v>
      </c>
      <c r="AJ229" s="70">
        <v>9.8474597849866272E-3</v>
      </c>
      <c r="AK229" s="62">
        <v>1.1714079058814553E-2</v>
      </c>
    </row>
    <row r="230" spans="2:37" x14ac:dyDescent="0.35">
      <c r="B230" s="54" t="s">
        <v>148</v>
      </c>
      <c r="C230" s="52" t="s">
        <v>232</v>
      </c>
      <c r="D230" s="52" t="s">
        <v>97</v>
      </c>
      <c r="E230" s="52" t="s">
        <v>345</v>
      </c>
      <c r="F230" s="72">
        <f t="shared" si="23"/>
        <v>4.0027277106368213E-2</v>
      </c>
      <c r="G230" s="59">
        <f t="shared" si="23"/>
        <v>4.5551628183563883E-2</v>
      </c>
      <c r="H230" s="59">
        <f t="shared" si="23"/>
        <v>4.9467397538780426E-2</v>
      </c>
      <c r="I230" s="59">
        <f t="shared" si="23"/>
        <v>5.2324093984184646E-2</v>
      </c>
      <c r="J230" s="62">
        <f t="shared" si="23"/>
        <v>5.5778115864410137E-2</v>
      </c>
      <c r="K230" s="59" t="str">
        <f t="shared" si="24"/>
        <v/>
      </c>
      <c r="L230" s="59">
        <f t="shared" si="24"/>
        <v>3.9553744835638931E-3</v>
      </c>
      <c r="M230" s="59">
        <f t="shared" si="24"/>
        <v>7.8106751387804312E-3</v>
      </c>
      <c r="N230" s="59">
        <f t="shared" si="24"/>
        <v>9.8946625841846488E-3</v>
      </c>
      <c r="O230" s="62">
        <f t="shared" si="24"/>
        <v>1.1851653064410134E-2</v>
      </c>
      <c r="P230" s="54" t="s">
        <v>554</v>
      </c>
      <c r="Q230" s="52" t="s">
        <v>555</v>
      </c>
      <c r="R230" s="93" t="s">
        <v>32</v>
      </c>
      <c r="S230" s="70">
        <v>5.1485160000000002E-2</v>
      </c>
      <c r="T230" s="62">
        <f t="shared" si="20"/>
        <v>-2.0177624612195758E-3</v>
      </c>
      <c r="V230" s="113">
        <v>1.1164566199999999</v>
      </c>
      <c r="W230" s="71">
        <v>2.87812154</v>
      </c>
      <c r="X230" s="71">
        <v>4.4450557000000002</v>
      </c>
      <c r="Y230" s="71">
        <v>5.7997845000000003</v>
      </c>
      <c r="Z230" s="114">
        <v>7.488577170000001</v>
      </c>
      <c r="AB230" s="70">
        <v>4.0027277106368213E-2</v>
      </c>
      <c r="AC230" s="70">
        <v>4.5551628183563883E-2</v>
      </c>
      <c r="AD230" s="70">
        <v>4.9467397538780426E-2</v>
      </c>
      <c r="AE230" s="70">
        <v>5.2324093984184646E-2</v>
      </c>
      <c r="AF230" s="62">
        <v>5.5778115864410137E-2</v>
      </c>
      <c r="AG230" s="70" t="s">
        <v>21</v>
      </c>
      <c r="AH230" s="70">
        <v>3.9553744835638931E-3</v>
      </c>
      <c r="AI230" s="70">
        <v>7.8106751387804312E-3</v>
      </c>
      <c r="AJ230" s="70">
        <v>9.8946625841846488E-3</v>
      </c>
      <c r="AK230" s="62">
        <v>1.1851653064410134E-2</v>
      </c>
    </row>
    <row r="231" spans="2:37" x14ac:dyDescent="0.35">
      <c r="B231" s="54" t="s">
        <v>352</v>
      </c>
      <c r="C231" s="52" t="s">
        <v>232</v>
      </c>
      <c r="D231" s="52" t="s">
        <v>20</v>
      </c>
      <c r="E231" s="52" t="s">
        <v>21</v>
      </c>
      <c r="F231" s="72">
        <f t="shared" si="23"/>
        <v>4.0388006457086116E-2</v>
      </c>
      <c r="G231" s="59">
        <f t="shared" si="23"/>
        <v>4.5863485470741816E-2</v>
      </c>
      <c r="H231" s="59">
        <f t="shared" si="23"/>
        <v>4.997451910185239E-2</v>
      </c>
      <c r="I231" s="59">
        <f t="shared" si="23"/>
        <v>5.3034181898648107E-2</v>
      </c>
      <c r="J231" s="62">
        <f t="shared" si="23"/>
        <v>5.6214496237526883E-2</v>
      </c>
      <c r="K231" s="59" t="str">
        <f t="shared" si="24"/>
        <v/>
      </c>
      <c r="L231" s="59">
        <f t="shared" si="24"/>
        <v>4.2481092707418221E-3</v>
      </c>
      <c r="M231" s="59">
        <f t="shared" si="24"/>
        <v>8.2898318018523875E-3</v>
      </c>
      <c r="N231" s="59">
        <f t="shared" si="24"/>
        <v>1.05681228986481E-2</v>
      </c>
      <c r="O231" s="62">
        <f t="shared" si="24"/>
        <v>1.2270842537526871E-2</v>
      </c>
      <c r="P231" s="54" t="s">
        <v>21</v>
      </c>
      <c r="Q231" s="52" t="s">
        <v>21</v>
      </c>
      <c r="R231" s="93" t="s">
        <v>21</v>
      </c>
      <c r="S231" s="70">
        <v>0</v>
      </c>
      <c r="T231" s="62">
        <f t="shared" si="20"/>
        <v>4.997451910185239E-2</v>
      </c>
      <c r="V231" s="113">
        <v>1.1158321800000002</v>
      </c>
      <c r="W231" s="71">
        <v>2.8757782999999999</v>
      </c>
      <c r="X231" s="71">
        <v>4.4376264999999995</v>
      </c>
      <c r="Y231" s="71">
        <v>5.7808104399999998</v>
      </c>
      <c r="Z231" s="114">
        <v>7.4552133000000005</v>
      </c>
      <c r="AB231" s="70">
        <v>4.0388006457086116E-2</v>
      </c>
      <c r="AC231" s="70">
        <v>4.5863485470741816E-2</v>
      </c>
      <c r="AD231" s="70">
        <v>4.997451910185239E-2</v>
      </c>
      <c r="AE231" s="70">
        <v>5.3034181898648107E-2</v>
      </c>
      <c r="AF231" s="62">
        <v>5.6214496237526883E-2</v>
      </c>
      <c r="AG231" s="70" t="s">
        <v>21</v>
      </c>
      <c r="AH231" s="70">
        <v>4.2481092707418221E-3</v>
      </c>
      <c r="AI231" s="70">
        <v>8.2898318018523875E-3</v>
      </c>
      <c r="AJ231" s="70">
        <v>1.05681228986481E-2</v>
      </c>
      <c r="AK231" s="62">
        <v>1.2270842537526871E-2</v>
      </c>
    </row>
    <row r="232" spans="2:37" x14ac:dyDescent="0.35">
      <c r="B232" s="54" t="s">
        <v>373</v>
      </c>
      <c r="C232" s="52" t="s">
        <v>232</v>
      </c>
      <c r="D232" s="52" t="s">
        <v>69</v>
      </c>
      <c r="E232" s="52" t="s">
        <v>21</v>
      </c>
      <c r="F232" s="72">
        <f t="shared" si="23"/>
        <v>4.0168315952279696E-2</v>
      </c>
      <c r="G232" s="59">
        <f t="shared" si="23"/>
        <v>4.5465792600661699E-2</v>
      </c>
      <c r="H232" s="59">
        <f t="shared" si="23"/>
        <v>4.9412292886653456E-2</v>
      </c>
      <c r="I232" s="59">
        <f t="shared" si="23"/>
        <v>5.1834778843887028E-2</v>
      </c>
      <c r="J232" s="62">
        <f t="shared" si="23"/>
        <v>5.45730133966605E-2</v>
      </c>
      <c r="K232" s="59" t="str">
        <f t="shared" si="24"/>
        <v/>
      </c>
      <c r="L232" s="59">
        <f t="shared" si="24"/>
        <v>3.8746874006617073E-3</v>
      </c>
      <c r="M232" s="59">
        <f t="shared" si="24"/>
        <v>7.7589497866534622E-3</v>
      </c>
      <c r="N232" s="59">
        <f t="shared" si="24"/>
        <v>9.4297820438870323E-3</v>
      </c>
      <c r="O232" s="62">
        <f t="shared" si="24"/>
        <v>1.0697741896660493E-2</v>
      </c>
      <c r="P232" s="54" t="s">
        <v>21</v>
      </c>
      <c r="Q232" s="52" t="s">
        <v>21</v>
      </c>
      <c r="R232" s="93" t="s">
        <v>21</v>
      </c>
      <c r="S232" s="70">
        <v>0</v>
      </c>
      <c r="T232" s="62">
        <f t="shared" si="20"/>
        <v>4.9412292886653456E-2</v>
      </c>
      <c r="V232" s="113">
        <v>1.11618281</v>
      </c>
      <c r="W232" s="71">
        <v>2.8781726600000002</v>
      </c>
      <c r="X232" s="71">
        <v>4.44585352</v>
      </c>
      <c r="Y232" s="71">
        <v>5.8073151300000001</v>
      </c>
      <c r="Z232" s="114">
        <v>7.5264751099999998</v>
      </c>
      <c r="AB232" s="70">
        <v>4.0168315952279696E-2</v>
      </c>
      <c r="AC232" s="70">
        <v>4.5465792600661699E-2</v>
      </c>
      <c r="AD232" s="70">
        <v>4.9412292886653456E-2</v>
      </c>
      <c r="AE232" s="70">
        <v>5.1834778843887028E-2</v>
      </c>
      <c r="AF232" s="62">
        <v>5.45730133966605E-2</v>
      </c>
      <c r="AG232" s="70" t="s">
        <v>21</v>
      </c>
      <c r="AH232" s="70">
        <v>3.8746874006617073E-3</v>
      </c>
      <c r="AI232" s="70">
        <v>7.7589497866534622E-3</v>
      </c>
      <c r="AJ232" s="70">
        <v>9.4297820438870323E-3</v>
      </c>
      <c r="AK232" s="62">
        <v>1.0697741896660493E-2</v>
      </c>
    </row>
    <row r="233" spans="2:37" x14ac:dyDescent="0.35">
      <c r="B233" s="54" t="s">
        <v>374</v>
      </c>
      <c r="C233" s="52" t="s">
        <v>232</v>
      </c>
      <c r="D233" s="52" t="s">
        <v>20</v>
      </c>
      <c r="E233" s="52" t="s">
        <v>556</v>
      </c>
      <c r="F233" s="72">
        <f t="shared" si="23"/>
        <v>3.9952360643442479E-2</v>
      </c>
      <c r="G233" s="59">
        <f t="shared" si="23"/>
        <v>4.4745718554488174E-2</v>
      </c>
      <c r="H233" s="59">
        <f t="shared" si="23"/>
        <v>4.7956510160657044E-2</v>
      </c>
      <c r="I233" s="59">
        <f t="shared" si="23"/>
        <v>5.013315320447298E-2</v>
      </c>
      <c r="J233" s="62">
        <f t="shared" si="23"/>
        <v>5.2583450029144302E-2</v>
      </c>
      <c r="K233" s="59" t="str">
        <f t="shared" si="24"/>
        <v/>
      </c>
      <c r="L233" s="59">
        <f t="shared" si="24"/>
        <v>3.1900264544881731E-3</v>
      </c>
      <c r="M233" s="59">
        <f t="shared" si="24"/>
        <v>6.374317160657051E-3</v>
      </c>
      <c r="N233" s="59">
        <f t="shared" si="24"/>
        <v>7.8078100044729776E-3</v>
      </c>
      <c r="O233" s="62">
        <f t="shared" si="24"/>
        <v>8.7871951291443005E-3</v>
      </c>
      <c r="P233" s="54" t="s">
        <v>21</v>
      </c>
      <c r="Q233" s="52" t="s">
        <v>21</v>
      </c>
      <c r="R233" s="93" t="s">
        <v>21</v>
      </c>
      <c r="S233" s="70">
        <v>0</v>
      </c>
      <c r="T233" s="62">
        <f t="shared" si="20"/>
        <v>4.7956510160657044E-2</v>
      </c>
      <c r="V233" s="113">
        <v>1.11659277</v>
      </c>
      <c r="W233" s="71">
        <v>2.8832853900000002</v>
      </c>
      <c r="X233" s="71">
        <v>4.4669062000000004</v>
      </c>
      <c r="Y233" s="71">
        <v>5.8543816899999994</v>
      </c>
      <c r="Z233" s="114">
        <v>7.6241325799999995</v>
      </c>
      <c r="AB233" s="70">
        <v>3.9952360643442479E-2</v>
      </c>
      <c r="AC233" s="70">
        <v>4.4745718554488174E-2</v>
      </c>
      <c r="AD233" s="70">
        <v>4.7956510160657044E-2</v>
      </c>
      <c r="AE233" s="70">
        <v>5.013315320447298E-2</v>
      </c>
      <c r="AF233" s="62">
        <v>5.2583450029144302E-2</v>
      </c>
      <c r="AG233" s="70" t="s">
        <v>21</v>
      </c>
      <c r="AH233" s="70">
        <v>3.1900264544881731E-3</v>
      </c>
      <c r="AI233" s="70">
        <v>6.374317160657051E-3</v>
      </c>
      <c r="AJ233" s="70">
        <v>7.8078100044729776E-3</v>
      </c>
      <c r="AK233" s="62">
        <v>8.7871951291443005E-3</v>
      </c>
    </row>
    <row r="234" spans="2:37" x14ac:dyDescent="0.35">
      <c r="B234" s="54" t="s">
        <v>157</v>
      </c>
      <c r="C234" s="52" t="s">
        <v>232</v>
      </c>
      <c r="D234" s="52" t="s">
        <v>31</v>
      </c>
      <c r="E234" s="52" t="s">
        <v>21</v>
      </c>
      <c r="F234" s="72">
        <f t="shared" si="23"/>
        <v>4.063613950312004E-2</v>
      </c>
      <c r="G234" s="59">
        <f t="shared" si="23"/>
        <v>4.5572254224935139E-2</v>
      </c>
      <c r="H234" s="59">
        <f t="shared" si="23"/>
        <v>4.9370600557314202E-2</v>
      </c>
      <c r="I234" s="59">
        <f t="shared" si="23"/>
        <v>5.1986080495648006E-2</v>
      </c>
      <c r="J234" s="62">
        <f t="shared" si="23"/>
        <v>5.5056588369376817E-2</v>
      </c>
      <c r="K234" s="59" t="str">
        <f t="shared" si="24"/>
        <v/>
      </c>
      <c r="L234" s="59">
        <f t="shared" si="24"/>
        <v>3.9735236249351432E-3</v>
      </c>
      <c r="M234" s="59">
        <f t="shared" si="24"/>
        <v>7.7177543573142019E-3</v>
      </c>
      <c r="N234" s="59">
        <f t="shared" si="24"/>
        <v>9.5720707956480008E-3</v>
      </c>
      <c r="O234" s="62">
        <f t="shared" si="24"/>
        <v>1.115927946937682E-2</v>
      </c>
      <c r="P234" s="54" t="s">
        <v>21</v>
      </c>
      <c r="Q234" s="52" t="s">
        <v>21</v>
      </c>
      <c r="R234" s="93" t="s">
        <v>21</v>
      </c>
      <c r="S234" s="70">
        <v>0</v>
      </c>
      <c r="T234" s="62">
        <f t="shared" si="20"/>
        <v>4.9370600557314202E-2</v>
      </c>
      <c r="V234" s="113">
        <v>1.1153422399999999</v>
      </c>
      <c r="W234" s="71">
        <v>2.8760727699999999</v>
      </c>
      <c r="X234" s="71">
        <v>4.4441503299999994</v>
      </c>
      <c r="Y234" s="71">
        <v>5.8039343499999996</v>
      </c>
      <c r="Z234" s="114">
        <v>7.5113534199999998</v>
      </c>
      <c r="AB234" s="70">
        <v>4.063613950312004E-2</v>
      </c>
      <c r="AC234" s="70">
        <v>4.5572254224935139E-2</v>
      </c>
      <c r="AD234" s="70">
        <v>4.9370600557314202E-2</v>
      </c>
      <c r="AE234" s="70">
        <v>5.1986080495648006E-2</v>
      </c>
      <c r="AF234" s="62">
        <v>5.5056588369376817E-2</v>
      </c>
      <c r="AG234" s="70" t="s">
        <v>21</v>
      </c>
      <c r="AH234" s="70">
        <v>3.9735236249351432E-3</v>
      </c>
      <c r="AI234" s="70">
        <v>7.7177543573142019E-3</v>
      </c>
      <c r="AJ234" s="70">
        <v>9.5720707956480008E-3</v>
      </c>
      <c r="AK234" s="62">
        <v>1.115927946937682E-2</v>
      </c>
    </row>
    <row r="235" spans="2:37" x14ac:dyDescent="0.35">
      <c r="B235" s="54" t="s">
        <v>260</v>
      </c>
      <c r="C235" s="52" t="s">
        <v>232</v>
      </c>
      <c r="D235" s="52" t="s">
        <v>43</v>
      </c>
      <c r="E235" s="52" t="s">
        <v>21</v>
      </c>
      <c r="F235" s="72">
        <f t="shared" si="23"/>
        <v>4.0452114935264662E-2</v>
      </c>
      <c r="G235" s="59">
        <f t="shared" si="23"/>
        <v>4.5768058909343455E-2</v>
      </c>
      <c r="H235" s="59">
        <f t="shared" si="23"/>
        <v>4.9322880853423477E-2</v>
      </c>
      <c r="I235" s="59">
        <f t="shared" si="23"/>
        <v>5.1696019894278737E-2</v>
      </c>
      <c r="J235" s="62">
        <f t="shared" si="23"/>
        <v>5.4756627053657893E-2</v>
      </c>
      <c r="K235" s="59" t="str">
        <f t="shared" si="24"/>
        <v/>
      </c>
      <c r="L235" s="59">
        <f t="shared" si="24"/>
        <v>4.1613569093434605E-3</v>
      </c>
      <c r="M235" s="59">
        <f t="shared" si="24"/>
        <v>7.6735937534234818E-3</v>
      </c>
      <c r="N235" s="59">
        <f t="shared" si="24"/>
        <v>9.2968173942787405E-3</v>
      </c>
      <c r="O235" s="62">
        <f t="shared" si="24"/>
        <v>1.0870968153657897E-2</v>
      </c>
      <c r="P235" s="54" t="s">
        <v>21</v>
      </c>
      <c r="Q235" s="52" t="s">
        <v>21</v>
      </c>
      <c r="R235" s="93" t="s">
        <v>21</v>
      </c>
      <c r="S235" s="70">
        <v>0</v>
      </c>
      <c r="T235" s="62">
        <f t="shared" si="20"/>
        <v>4.9322880853423477E-2</v>
      </c>
      <c r="V235" s="113">
        <v>1.1156578100000001</v>
      </c>
      <c r="W235" s="71">
        <v>2.8753949800000003</v>
      </c>
      <c r="X235" s="71">
        <v>4.4434980499999996</v>
      </c>
      <c r="Y235" s="71">
        <v>5.8075029999999996</v>
      </c>
      <c r="Z235" s="114">
        <v>7.5237175700000005</v>
      </c>
      <c r="AB235" s="70">
        <v>4.0452114935264662E-2</v>
      </c>
      <c r="AC235" s="70">
        <v>4.5768058909343455E-2</v>
      </c>
      <c r="AD235" s="70">
        <v>4.9322880853423477E-2</v>
      </c>
      <c r="AE235" s="70">
        <v>5.1696019894278737E-2</v>
      </c>
      <c r="AF235" s="62">
        <v>5.4756627053657893E-2</v>
      </c>
      <c r="AG235" s="70" t="s">
        <v>21</v>
      </c>
      <c r="AH235" s="70">
        <v>4.1613569093434605E-3</v>
      </c>
      <c r="AI235" s="70">
        <v>7.6735937534234818E-3</v>
      </c>
      <c r="AJ235" s="70">
        <v>9.2968173942787405E-3</v>
      </c>
      <c r="AK235" s="62">
        <v>1.0870968153657897E-2</v>
      </c>
    </row>
    <row r="236" spans="2:37" x14ac:dyDescent="0.35">
      <c r="B236" s="54" t="s">
        <v>322</v>
      </c>
      <c r="C236" s="52" t="s">
        <v>232</v>
      </c>
      <c r="D236" s="52" t="s">
        <v>31</v>
      </c>
      <c r="E236" s="52" t="s">
        <v>256</v>
      </c>
      <c r="F236" s="72">
        <f t="shared" si="23"/>
        <v>3.9961227072404425E-2</v>
      </c>
      <c r="G236" s="59">
        <f t="shared" si="23"/>
        <v>4.5231339874261534E-2</v>
      </c>
      <c r="H236" s="59">
        <f t="shared" si="23"/>
        <v>4.9199124586657275E-2</v>
      </c>
      <c r="I236" s="59">
        <f t="shared" si="23"/>
        <v>5.2830913845262659E-2</v>
      </c>
      <c r="J236" s="62">
        <f t="shared" si="23"/>
        <v>5.6212542220663367E-2</v>
      </c>
      <c r="K236" s="59" t="str">
        <f t="shared" si="24"/>
        <v/>
      </c>
      <c r="L236" s="59">
        <f t="shared" si="24"/>
        <v>3.6500269742615337E-3</v>
      </c>
      <c r="M236" s="59">
        <f t="shared" si="24"/>
        <v>7.5551666866572817E-3</v>
      </c>
      <c r="N236" s="59">
        <f t="shared" si="24"/>
        <v>1.0375952345262661E-2</v>
      </c>
      <c r="O236" s="62">
        <f t="shared" si="24"/>
        <v>1.2271285320663367E-2</v>
      </c>
      <c r="P236" s="54" t="s">
        <v>21</v>
      </c>
      <c r="Q236" s="52" t="s">
        <v>21</v>
      </c>
      <c r="R236" s="93" t="s">
        <v>21</v>
      </c>
      <c r="S236" s="70">
        <v>0</v>
      </c>
      <c r="T236" s="62">
        <f t="shared" si="20"/>
        <v>4.9199124586657275E-2</v>
      </c>
      <c r="V236" s="113">
        <v>1.1165964100000001</v>
      </c>
      <c r="W236" s="71">
        <v>2.8803562</v>
      </c>
      <c r="X236" s="71">
        <v>4.4505734800000001</v>
      </c>
      <c r="Y236" s="71">
        <v>5.7986130899999999</v>
      </c>
      <c r="Z236" s="114">
        <v>7.4730468800000001</v>
      </c>
      <c r="AB236" s="70">
        <v>3.9961227072404425E-2</v>
      </c>
      <c r="AC236" s="70">
        <v>4.5231339874261534E-2</v>
      </c>
      <c r="AD236" s="70">
        <v>4.9199124586657275E-2</v>
      </c>
      <c r="AE236" s="70">
        <v>5.2830913845262659E-2</v>
      </c>
      <c r="AF236" s="62">
        <v>5.6212542220663367E-2</v>
      </c>
      <c r="AG236" s="70" t="s">
        <v>21</v>
      </c>
      <c r="AH236" s="70">
        <v>3.6500269742615337E-3</v>
      </c>
      <c r="AI236" s="70">
        <v>7.5551666866572817E-3</v>
      </c>
      <c r="AJ236" s="70">
        <v>1.0375952345262661E-2</v>
      </c>
      <c r="AK236" s="62">
        <v>1.2271285320663367E-2</v>
      </c>
    </row>
    <row r="237" spans="2:37" x14ac:dyDescent="0.35">
      <c r="B237" s="54" t="s">
        <v>365</v>
      </c>
      <c r="C237" s="52" t="s">
        <v>232</v>
      </c>
      <c r="D237" s="52" t="s">
        <v>69</v>
      </c>
      <c r="E237" s="52" t="s">
        <v>21</v>
      </c>
      <c r="F237" s="72">
        <f t="shared" si="23"/>
        <v>4.0553775067274901E-2</v>
      </c>
      <c r="G237" s="59">
        <f t="shared" si="23"/>
        <v>4.5395382584425437E-2</v>
      </c>
      <c r="H237" s="59">
        <f t="shared" si="23"/>
        <v>4.9154484633359287E-2</v>
      </c>
      <c r="I237" s="59">
        <f t="shared" si="23"/>
        <v>5.167678389987896E-2</v>
      </c>
      <c r="J237" s="62">
        <f t="shared" si="23"/>
        <v>5.455245067018135E-2</v>
      </c>
      <c r="K237" s="59" t="str">
        <f t="shared" si="24"/>
        <v/>
      </c>
      <c r="L237" s="59">
        <f t="shared" si="24"/>
        <v>3.8076733844254391E-3</v>
      </c>
      <c r="M237" s="59">
        <f t="shared" si="24"/>
        <v>7.5139196333592929E-3</v>
      </c>
      <c r="N237" s="59">
        <f t="shared" si="24"/>
        <v>9.2790298998789624E-3</v>
      </c>
      <c r="O237" s="62">
        <f t="shared" si="24"/>
        <v>1.0677430770181351E-2</v>
      </c>
      <c r="P237" s="54" t="s">
        <v>21</v>
      </c>
      <c r="Q237" s="52" t="s">
        <v>21</v>
      </c>
      <c r="R237" s="93" t="s">
        <v>21</v>
      </c>
      <c r="S237" s="70">
        <v>0</v>
      </c>
      <c r="T237" s="62">
        <f t="shared" si="20"/>
        <v>4.9154484633359287E-2</v>
      </c>
      <c r="V237" s="113">
        <v>1.1154672799999998</v>
      </c>
      <c r="W237" s="71">
        <v>2.8773690899999997</v>
      </c>
      <c r="X237" s="71">
        <v>4.4478884900000004</v>
      </c>
      <c r="Y237" s="71">
        <v>5.8121380299999998</v>
      </c>
      <c r="Z237" s="114">
        <v>7.532137060000001</v>
      </c>
      <c r="AB237" s="70">
        <v>4.0553775067274901E-2</v>
      </c>
      <c r="AC237" s="70">
        <v>4.5395382584425437E-2</v>
      </c>
      <c r="AD237" s="70">
        <v>4.9154484633359287E-2</v>
      </c>
      <c r="AE237" s="70">
        <v>5.167678389987896E-2</v>
      </c>
      <c r="AF237" s="62">
        <v>5.455245067018135E-2</v>
      </c>
      <c r="AG237" s="70" t="s">
        <v>21</v>
      </c>
      <c r="AH237" s="70">
        <v>3.8076733844254391E-3</v>
      </c>
      <c r="AI237" s="70">
        <v>7.5139196333592929E-3</v>
      </c>
      <c r="AJ237" s="70">
        <v>9.2790298998789624E-3</v>
      </c>
      <c r="AK237" s="62">
        <v>1.0677430770181351E-2</v>
      </c>
    </row>
    <row r="238" spans="2:37" x14ac:dyDescent="0.35">
      <c r="B238" s="54" t="s">
        <v>374</v>
      </c>
      <c r="C238" s="52" t="s">
        <v>232</v>
      </c>
      <c r="D238" s="52" t="s">
        <v>20</v>
      </c>
      <c r="E238" s="52" t="s">
        <v>249</v>
      </c>
      <c r="F238" s="72">
        <f t="shared" si="23"/>
        <v>3.9952360643442479E-2</v>
      </c>
      <c r="G238" s="59">
        <f t="shared" si="23"/>
        <v>4.4745718554488174E-2</v>
      </c>
      <c r="H238" s="59">
        <f t="shared" si="23"/>
        <v>4.7956510160657044E-2</v>
      </c>
      <c r="I238" s="59">
        <f t="shared" si="23"/>
        <v>5.013315320447298E-2</v>
      </c>
      <c r="J238" s="62">
        <f t="shared" si="23"/>
        <v>5.2583450029144302E-2</v>
      </c>
      <c r="K238" s="59" t="str">
        <f t="shared" si="24"/>
        <v/>
      </c>
      <c r="L238" s="59">
        <f t="shared" si="24"/>
        <v>3.1900264544881731E-3</v>
      </c>
      <c r="M238" s="59">
        <f t="shared" si="24"/>
        <v>6.374317160657051E-3</v>
      </c>
      <c r="N238" s="59">
        <f t="shared" si="24"/>
        <v>7.8078100044729776E-3</v>
      </c>
      <c r="O238" s="62">
        <f t="shared" si="24"/>
        <v>8.7871951291443005E-3</v>
      </c>
      <c r="P238" s="54" t="s">
        <v>21</v>
      </c>
      <c r="Q238" s="52" t="s">
        <v>21</v>
      </c>
      <c r="R238" s="93" t="s">
        <v>21</v>
      </c>
      <c r="S238" s="70">
        <v>0</v>
      </c>
      <c r="T238" s="62">
        <f t="shared" si="20"/>
        <v>4.7956510160657044E-2</v>
      </c>
      <c r="V238" s="113">
        <v>1.11659277</v>
      </c>
      <c r="W238" s="71">
        <v>2.8832853900000002</v>
      </c>
      <c r="X238" s="71">
        <v>4.4669062000000004</v>
      </c>
      <c r="Y238" s="71">
        <v>5.8543816899999994</v>
      </c>
      <c r="Z238" s="114">
        <v>7.6241325799999995</v>
      </c>
      <c r="AB238" s="70">
        <v>3.9952360643442479E-2</v>
      </c>
      <c r="AC238" s="70">
        <v>4.4745718554488174E-2</v>
      </c>
      <c r="AD238" s="70">
        <v>4.7956510160657044E-2</v>
      </c>
      <c r="AE238" s="70">
        <v>5.013315320447298E-2</v>
      </c>
      <c r="AF238" s="62">
        <v>5.2583450029144302E-2</v>
      </c>
      <c r="AG238" s="70" t="s">
        <v>21</v>
      </c>
      <c r="AH238" s="70">
        <v>3.1900264544881731E-3</v>
      </c>
      <c r="AI238" s="70">
        <v>6.374317160657051E-3</v>
      </c>
      <c r="AJ238" s="70">
        <v>7.8078100044729776E-3</v>
      </c>
      <c r="AK238" s="62">
        <v>8.7871951291443005E-3</v>
      </c>
    </row>
    <row r="239" spans="2:37" x14ac:dyDescent="0.35">
      <c r="B239" s="54" t="s">
        <v>357</v>
      </c>
      <c r="C239" s="52" t="s">
        <v>232</v>
      </c>
      <c r="D239" s="52" t="s">
        <v>20</v>
      </c>
      <c r="E239" s="52" t="s">
        <v>58</v>
      </c>
      <c r="F239" s="72">
        <f t="shared" si="23"/>
        <v>4.0878086474821898E-2</v>
      </c>
      <c r="G239" s="59">
        <f t="shared" si="23"/>
        <v>4.6443470177540309E-2</v>
      </c>
      <c r="H239" s="59">
        <f t="shared" si="23"/>
        <v>5.0727327377852433E-2</v>
      </c>
      <c r="I239" s="59">
        <f t="shared" si="23"/>
        <v>5.3561412494646833E-2</v>
      </c>
      <c r="J239" s="62">
        <f t="shared" si="23"/>
        <v>5.6769961990140685E-2</v>
      </c>
      <c r="K239" s="59" t="str">
        <f t="shared" si="24"/>
        <v/>
      </c>
      <c r="L239" s="59">
        <f t="shared" si="24"/>
        <v>4.8003609775403083E-3</v>
      </c>
      <c r="M239" s="59">
        <f t="shared" si="24"/>
        <v>9.0051282778524349E-3</v>
      </c>
      <c r="N239" s="59">
        <f t="shared" si="24"/>
        <v>1.1069076194646839E-2</v>
      </c>
      <c r="O239" s="62">
        <f t="shared" si="24"/>
        <v>1.2799844390140685E-2</v>
      </c>
      <c r="P239" s="54" t="s">
        <v>21</v>
      </c>
      <c r="Q239" s="52" t="s">
        <v>21</v>
      </c>
      <c r="R239" s="93" t="s">
        <v>21</v>
      </c>
      <c r="S239" s="70">
        <v>0</v>
      </c>
      <c r="T239" s="62">
        <f t="shared" si="20"/>
        <v>5.0727327377852433E-2</v>
      </c>
      <c r="V239" s="113">
        <v>1.1148834999999999</v>
      </c>
      <c r="W239" s="71">
        <v>2.8693267599999999</v>
      </c>
      <c r="X239" s="71">
        <v>4.4229312499999995</v>
      </c>
      <c r="Y239" s="71">
        <v>5.7584231399999997</v>
      </c>
      <c r="Z239" s="114">
        <v>7.4203432500000002</v>
      </c>
      <c r="AB239" s="70">
        <v>4.0878086474821898E-2</v>
      </c>
      <c r="AC239" s="70">
        <v>4.6443470177540309E-2</v>
      </c>
      <c r="AD239" s="70">
        <v>5.0727327377852433E-2</v>
      </c>
      <c r="AE239" s="70">
        <v>5.3561412494646833E-2</v>
      </c>
      <c r="AF239" s="62">
        <v>5.6769961990140685E-2</v>
      </c>
      <c r="AG239" s="70" t="s">
        <v>21</v>
      </c>
      <c r="AH239" s="70">
        <v>4.8003609775403083E-3</v>
      </c>
      <c r="AI239" s="70">
        <v>9.0051282778524349E-3</v>
      </c>
      <c r="AJ239" s="70">
        <v>1.1069076194646839E-2</v>
      </c>
      <c r="AK239" s="62">
        <v>1.2799844390140685E-2</v>
      </c>
    </row>
    <row r="240" spans="2:37" x14ac:dyDescent="0.35">
      <c r="B240" s="54" t="s">
        <v>261</v>
      </c>
      <c r="C240" s="52" t="s">
        <v>232</v>
      </c>
      <c r="D240" s="52" t="s">
        <v>62</v>
      </c>
      <c r="E240" s="52" t="s">
        <v>128</v>
      </c>
      <c r="F240" s="72">
        <f t="shared" si="23"/>
        <v>4.0565034634719568E-2</v>
      </c>
      <c r="G240" s="59">
        <f t="shared" si="23"/>
        <v>4.5493816115507499E-2</v>
      </c>
      <c r="H240" s="59">
        <f t="shared" si="23"/>
        <v>4.9054654752125511E-2</v>
      </c>
      <c r="I240" s="59">
        <f t="shared" si="23"/>
        <v>5.1529077952805057E-2</v>
      </c>
      <c r="J240" s="62">
        <f t="shared" si="23"/>
        <v>5.4352924670413041E-2</v>
      </c>
      <c r="K240" s="59" t="str">
        <f t="shared" si="24"/>
        <v/>
      </c>
      <c r="L240" s="59">
        <f t="shared" si="24"/>
        <v>3.9015421155074968E-3</v>
      </c>
      <c r="M240" s="59">
        <f t="shared" si="24"/>
        <v>7.4192224521255137E-3</v>
      </c>
      <c r="N240" s="59">
        <f t="shared" si="24"/>
        <v>9.1383505528050621E-3</v>
      </c>
      <c r="O240" s="62">
        <f t="shared" si="24"/>
        <v>1.0485623870413041E-2</v>
      </c>
      <c r="P240" s="54" t="s">
        <v>557</v>
      </c>
      <c r="Q240" s="52" t="s">
        <v>558</v>
      </c>
      <c r="R240" s="93">
        <v>47649</v>
      </c>
      <c r="S240" s="70">
        <v>4.6382619999999999E-2</v>
      </c>
      <c r="T240" s="62">
        <f t="shared" si="20"/>
        <v>2.6720347521255114E-3</v>
      </c>
      <c r="V240" s="113">
        <v>1.1154407799999999</v>
      </c>
      <c r="W240" s="71">
        <v>2.8767112699999999</v>
      </c>
      <c r="X240" s="71">
        <v>4.4480435800000002</v>
      </c>
      <c r="Y240" s="71">
        <v>5.8146572899999995</v>
      </c>
      <c r="Z240" s="114">
        <v>7.5400619000000004</v>
      </c>
      <c r="AB240" s="70">
        <v>4.0565034634719568E-2</v>
      </c>
      <c r="AC240" s="70">
        <v>4.5493816115507499E-2</v>
      </c>
      <c r="AD240" s="70">
        <v>4.9054654752125511E-2</v>
      </c>
      <c r="AE240" s="70">
        <v>5.1529077952805057E-2</v>
      </c>
      <c r="AF240" s="62">
        <v>5.4352924670413041E-2</v>
      </c>
      <c r="AG240" s="70" t="s">
        <v>21</v>
      </c>
      <c r="AH240" s="70">
        <v>3.9015421155074968E-3</v>
      </c>
      <c r="AI240" s="70">
        <v>7.4192224521255137E-3</v>
      </c>
      <c r="AJ240" s="70">
        <v>9.1383505528050621E-3</v>
      </c>
      <c r="AK240" s="62">
        <v>1.0485623870413041E-2</v>
      </c>
    </row>
    <row r="241" spans="2:37" x14ac:dyDescent="0.35">
      <c r="B241" s="54" t="s">
        <v>370</v>
      </c>
      <c r="C241" s="52" t="s">
        <v>232</v>
      </c>
      <c r="D241" s="52" t="s">
        <v>69</v>
      </c>
      <c r="E241" s="52" t="s">
        <v>21</v>
      </c>
      <c r="F241" s="72">
        <f t="shared" si="23"/>
        <v>4.0017673860684916E-2</v>
      </c>
      <c r="G241" s="59">
        <f t="shared" si="23"/>
        <v>4.5420859013909021E-2</v>
      </c>
      <c r="H241" s="59">
        <f t="shared" si="23"/>
        <v>4.8998129095573287E-2</v>
      </c>
      <c r="I241" s="59">
        <f t="shared" si="23"/>
        <v>5.171582817266749E-2</v>
      </c>
      <c r="J241" s="62">
        <f t="shared" si="23"/>
        <v>5.4828235008097449E-2</v>
      </c>
      <c r="K241" s="59" t="str">
        <f t="shared" si="24"/>
        <v/>
      </c>
      <c r="L241" s="59">
        <f t="shared" si="24"/>
        <v>3.8317965139090249E-3</v>
      </c>
      <c r="M241" s="59">
        <f t="shared" si="24"/>
        <v>7.365179995573283E-3</v>
      </c>
      <c r="N241" s="59">
        <f t="shared" si="24"/>
        <v>9.3161233726674932E-3</v>
      </c>
      <c r="O241" s="62">
        <f t="shared" si="24"/>
        <v>1.0942198808097452E-2</v>
      </c>
      <c r="P241" s="54" t="s">
        <v>401</v>
      </c>
      <c r="Q241" s="52" t="s">
        <v>402</v>
      </c>
      <c r="R241" s="93">
        <v>47802</v>
      </c>
      <c r="S241" s="70">
        <v>5.0250510000000005E-2</v>
      </c>
      <c r="T241" s="62">
        <f t="shared" si="20"/>
        <v>-1.2523809044267184E-3</v>
      </c>
      <c r="V241" s="113">
        <v>1.1164666300000001</v>
      </c>
      <c r="W241" s="71">
        <v>2.87894446</v>
      </c>
      <c r="X241" s="71">
        <v>4.4508135900000001</v>
      </c>
      <c r="Y241" s="71">
        <v>5.8147617299999999</v>
      </c>
      <c r="Z241" s="114">
        <v>7.5275936799999998</v>
      </c>
      <c r="AB241" s="70">
        <v>4.0017673860684916E-2</v>
      </c>
      <c r="AC241" s="70">
        <v>4.5420859013909021E-2</v>
      </c>
      <c r="AD241" s="70">
        <v>4.8998129095573287E-2</v>
      </c>
      <c r="AE241" s="70">
        <v>5.171582817266749E-2</v>
      </c>
      <c r="AF241" s="62">
        <v>5.4828235008097449E-2</v>
      </c>
      <c r="AG241" s="70" t="s">
        <v>21</v>
      </c>
      <c r="AH241" s="70">
        <v>3.8317965139090249E-3</v>
      </c>
      <c r="AI241" s="70">
        <v>7.365179995573283E-3</v>
      </c>
      <c r="AJ241" s="70">
        <v>9.3161233726674932E-3</v>
      </c>
      <c r="AK241" s="62">
        <v>1.0942198808097452E-2</v>
      </c>
    </row>
    <row r="242" spans="2:37" x14ac:dyDescent="0.35">
      <c r="B242" s="54" t="s">
        <v>263</v>
      </c>
      <c r="C242" s="52" t="s">
        <v>232</v>
      </c>
      <c r="D242" s="52" t="s">
        <v>31</v>
      </c>
      <c r="E242" s="52" t="s">
        <v>21</v>
      </c>
      <c r="F242" s="72">
        <f t="shared" si="23"/>
        <v>4.0308719342309826E-2</v>
      </c>
      <c r="G242" s="59">
        <f t="shared" si="23"/>
        <v>4.5146071903180998E-2</v>
      </c>
      <c r="H242" s="59">
        <f t="shared" si="23"/>
        <v>4.8988903950737371E-2</v>
      </c>
      <c r="I242" s="59">
        <f t="shared" si="23"/>
        <v>5.1611158072021011E-2</v>
      </c>
      <c r="J242" s="62">
        <f t="shared" si="23"/>
        <v>5.4205312136659946E-2</v>
      </c>
      <c r="K242" s="59" t="str">
        <f t="shared" si="24"/>
        <v/>
      </c>
      <c r="L242" s="59">
        <f t="shared" si="24"/>
        <v>3.5710888031809957E-3</v>
      </c>
      <c r="M242" s="59">
        <f t="shared" si="24"/>
        <v>7.3568233507373682E-3</v>
      </c>
      <c r="N242" s="59">
        <f t="shared" si="24"/>
        <v>9.2170448720210133E-3</v>
      </c>
      <c r="O242" s="62">
        <f t="shared" si="24"/>
        <v>1.0346673536659943E-2</v>
      </c>
      <c r="P242" s="54" t="s">
        <v>21</v>
      </c>
      <c r="Q242" s="52" t="s">
        <v>21</v>
      </c>
      <c r="R242" s="93" t="s">
        <v>21</v>
      </c>
      <c r="S242" s="70">
        <v>0</v>
      </c>
      <c r="T242" s="62">
        <f t="shared" si="20"/>
        <v>4.8988903950737371E-2</v>
      </c>
      <c r="V242" s="113">
        <v>1.11592084</v>
      </c>
      <c r="W242" s="71">
        <v>2.8796980100000003</v>
      </c>
      <c r="X242" s="71">
        <v>4.4522663599999994</v>
      </c>
      <c r="Y242" s="71">
        <v>5.81742895</v>
      </c>
      <c r="Z242" s="114">
        <v>7.5448504500000002</v>
      </c>
      <c r="AB242" s="70">
        <v>4.0308719342309826E-2</v>
      </c>
      <c r="AC242" s="70">
        <v>4.5146071903180998E-2</v>
      </c>
      <c r="AD242" s="70">
        <v>4.8988903950737371E-2</v>
      </c>
      <c r="AE242" s="70">
        <v>5.1611158072021011E-2</v>
      </c>
      <c r="AF242" s="62">
        <v>5.4205312136659946E-2</v>
      </c>
      <c r="AG242" s="70" t="s">
        <v>21</v>
      </c>
      <c r="AH242" s="70">
        <v>3.5710888031809957E-3</v>
      </c>
      <c r="AI242" s="70">
        <v>7.3568233507373682E-3</v>
      </c>
      <c r="AJ242" s="70">
        <v>9.2170448720210133E-3</v>
      </c>
      <c r="AK242" s="62">
        <v>1.0346673536659943E-2</v>
      </c>
    </row>
    <row r="243" spans="2:37" x14ac:dyDescent="0.35">
      <c r="B243" s="54" t="s">
        <v>376</v>
      </c>
      <c r="C243" s="52" t="s">
        <v>232</v>
      </c>
      <c r="D243" s="52" t="s">
        <v>20</v>
      </c>
      <c r="E243" s="52" t="s">
        <v>21</v>
      </c>
      <c r="F243" s="72">
        <f t="shared" si="23"/>
        <v>4.0189635037731597E-2</v>
      </c>
      <c r="G243" s="59">
        <f t="shared" si="23"/>
        <v>4.5194699827122695E-2</v>
      </c>
      <c r="H243" s="59">
        <f t="shared" si="23"/>
        <v>4.9423837279117984E-2</v>
      </c>
      <c r="I243" s="59">
        <f t="shared" si="23"/>
        <v>5.190981447689428E-2</v>
      </c>
      <c r="J243" s="62">
        <f t="shared" si="23"/>
        <v>5.4778772477633408E-2</v>
      </c>
      <c r="K243" s="59" t="str">
        <f t="shared" si="24"/>
        <v/>
      </c>
      <c r="L243" s="59">
        <f t="shared" si="24"/>
        <v>3.6149095271226974E-3</v>
      </c>
      <c r="M243" s="59">
        <f t="shared" si="24"/>
        <v>7.7685704791179838E-3</v>
      </c>
      <c r="N243" s="59">
        <f t="shared" si="24"/>
        <v>9.5013133768942805E-3</v>
      </c>
      <c r="O243" s="62">
        <f t="shared" si="24"/>
        <v>1.0896340077633402E-2</v>
      </c>
      <c r="P243" s="54" t="s">
        <v>405</v>
      </c>
      <c r="Q243" s="52" t="s">
        <v>406</v>
      </c>
      <c r="R243" s="93">
        <v>47825</v>
      </c>
      <c r="S243" s="70">
        <v>4.9944059999999998E-2</v>
      </c>
      <c r="T243" s="62">
        <f t="shared" si="20"/>
        <v>-5.2022272088201454E-4</v>
      </c>
      <c r="V243" s="113">
        <v>1.1161664599999999</v>
      </c>
      <c r="W243" s="71">
        <v>2.8800144599999999</v>
      </c>
      <c r="X243" s="71">
        <v>4.4482446299999996</v>
      </c>
      <c r="Y243" s="71">
        <v>5.8062999299999998</v>
      </c>
      <c r="Z243" s="114">
        <v>7.5185257099999996</v>
      </c>
      <c r="AB243" s="70">
        <v>4.0189635037731597E-2</v>
      </c>
      <c r="AC243" s="70">
        <v>4.5194699827122695E-2</v>
      </c>
      <c r="AD243" s="70">
        <v>4.9423837279117984E-2</v>
      </c>
      <c r="AE243" s="70">
        <v>5.190981447689428E-2</v>
      </c>
      <c r="AF243" s="62">
        <v>5.4778772477633408E-2</v>
      </c>
      <c r="AG243" s="70" t="s">
        <v>21</v>
      </c>
      <c r="AH243" s="70">
        <v>3.6149095271226974E-3</v>
      </c>
      <c r="AI243" s="70">
        <v>7.7685704791179838E-3</v>
      </c>
      <c r="AJ243" s="70">
        <v>9.5013133768942805E-3</v>
      </c>
      <c r="AK243" s="62">
        <v>1.0896340077633402E-2</v>
      </c>
    </row>
    <row r="244" spans="2:37" x14ac:dyDescent="0.35">
      <c r="B244" s="54" t="s">
        <v>362</v>
      </c>
      <c r="C244" s="52" t="s">
        <v>232</v>
      </c>
      <c r="D244" s="52" t="s">
        <v>20</v>
      </c>
      <c r="E244" s="52" t="s">
        <v>21</v>
      </c>
      <c r="F244" s="72">
        <f t="shared" si="23"/>
        <v>4.021609586550496E-2</v>
      </c>
      <c r="G244" s="59">
        <f t="shared" si="23"/>
        <v>4.5665317606173476E-2</v>
      </c>
      <c r="H244" s="59">
        <f t="shared" si="23"/>
        <v>4.9342729946192966E-2</v>
      </c>
      <c r="I244" s="59">
        <f t="shared" si="23"/>
        <v>5.1592417412995778E-2</v>
      </c>
      <c r="J244" s="62">
        <f t="shared" si="23"/>
        <v>5.4222750780720835E-2</v>
      </c>
      <c r="K244" s="59" t="str">
        <f t="shared" si="24"/>
        <v/>
      </c>
      <c r="L244" s="59">
        <f t="shared" si="24"/>
        <v>4.0612329061734814E-3</v>
      </c>
      <c r="M244" s="59">
        <f t="shared" si="24"/>
        <v>7.6907638461929662E-3</v>
      </c>
      <c r="N244" s="59">
        <f t="shared" si="24"/>
        <v>9.1980568129957883E-3</v>
      </c>
      <c r="O244" s="62">
        <f t="shared" si="24"/>
        <v>1.0364063280720832E-2</v>
      </c>
      <c r="P244" s="54" t="s">
        <v>21</v>
      </c>
      <c r="Q244" s="52" t="s">
        <v>21</v>
      </c>
      <c r="R244" s="93" t="s">
        <v>21</v>
      </c>
      <c r="S244" s="70">
        <v>0</v>
      </c>
      <c r="T244" s="62">
        <f t="shared" si="20"/>
        <v>4.9342729946192966E-2</v>
      </c>
      <c r="V244" s="113">
        <v>1.1161273500000002</v>
      </c>
      <c r="W244" s="71">
        <v>2.8770377900000002</v>
      </c>
      <c r="X244" s="71">
        <v>4.44544271</v>
      </c>
      <c r="Y244" s="71">
        <v>5.8084217000000002</v>
      </c>
      <c r="Z244" s="114">
        <v>7.5304678900000006</v>
      </c>
      <c r="AB244" s="70">
        <v>4.021609586550496E-2</v>
      </c>
      <c r="AC244" s="70">
        <v>4.5665317606173476E-2</v>
      </c>
      <c r="AD244" s="70">
        <v>4.9342729946192966E-2</v>
      </c>
      <c r="AE244" s="70">
        <v>5.1592417412995778E-2</v>
      </c>
      <c r="AF244" s="62">
        <v>5.4222750780720835E-2</v>
      </c>
      <c r="AG244" s="70" t="s">
        <v>21</v>
      </c>
      <c r="AH244" s="70">
        <v>4.0612329061734814E-3</v>
      </c>
      <c r="AI244" s="70">
        <v>7.6907638461929662E-3</v>
      </c>
      <c r="AJ244" s="70">
        <v>9.1980568129957883E-3</v>
      </c>
      <c r="AK244" s="62">
        <v>1.0364063280720832E-2</v>
      </c>
    </row>
    <row r="245" spans="2:37" x14ac:dyDescent="0.35">
      <c r="B245" s="54" t="s">
        <v>363</v>
      </c>
      <c r="C245" s="52" t="s">
        <v>232</v>
      </c>
      <c r="D245" s="52" t="s">
        <v>20</v>
      </c>
      <c r="E245" s="52" t="s">
        <v>21</v>
      </c>
      <c r="F245" s="72">
        <f t="shared" si="23"/>
        <v>4.0157797072461872E-2</v>
      </c>
      <c r="G245" s="59">
        <f t="shared" si="23"/>
        <v>4.548567726735965E-2</v>
      </c>
      <c r="H245" s="59">
        <f t="shared" si="23"/>
        <v>4.9302842842805367E-2</v>
      </c>
      <c r="I245" s="59">
        <f t="shared" si="23"/>
        <v>5.2024948341587135E-2</v>
      </c>
      <c r="J245" s="62">
        <f t="shared" si="23"/>
        <v>5.5229592368544814E-2</v>
      </c>
      <c r="K245" s="59" t="str">
        <f t="shared" si="24"/>
        <v/>
      </c>
      <c r="L245" s="59">
        <f t="shared" si="24"/>
        <v>3.8922924673596474E-3</v>
      </c>
      <c r="M245" s="59">
        <f t="shared" si="24"/>
        <v>7.6540866428053732E-3</v>
      </c>
      <c r="N245" s="59">
        <f t="shared" si="24"/>
        <v>9.6098548415871447E-3</v>
      </c>
      <c r="O245" s="62">
        <f t="shared" si="24"/>
        <v>1.1327796268544812E-2</v>
      </c>
      <c r="P245" s="54" t="s">
        <v>21</v>
      </c>
      <c r="Q245" s="52" t="s">
        <v>21</v>
      </c>
      <c r="R245" s="93" t="s">
        <v>21</v>
      </c>
      <c r="S245" s="70">
        <v>0</v>
      </c>
      <c r="T245" s="62">
        <f t="shared" si="20"/>
        <v>4.9302842842805367E-2</v>
      </c>
      <c r="V245" s="113">
        <v>1.11621437</v>
      </c>
      <c r="W245" s="71">
        <v>2.8782733</v>
      </c>
      <c r="X245" s="71">
        <v>4.4476317700000001</v>
      </c>
      <c r="Y245" s="71">
        <v>5.8074893200000002</v>
      </c>
      <c r="Z245" s="114">
        <v>7.5084069599999994</v>
      </c>
      <c r="AB245" s="70">
        <v>4.0157797072461872E-2</v>
      </c>
      <c r="AC245" s="70">
        <v>4.548567726735965E-2</v>
      </c>
      <c r="AD245" s="70">
        <v>4.9302842842805367E-2</v>
      </c>
      <c r="AE245" s="70">
        <v>5.2024948341587135E-2</v>
      </c>
      <c r="AF245" s="62">
        <v>5.5229592368544814E-2</v>
      </c>
      <c r="AG245" s="70" t="s">
        <v>21</v>
      </c>
      <c r="AH245" s="70">
        <v>3.8922924673596474E-3</v>
      </c>
      <c r="AI245" s="70">
        <v>7.6540866428053732E-3</v>
      </c>
      <c r="AJ245" s="70">
        <v>9.6098548415871447E-3</v>
      </c>
      <c r="AK245" s="62">
        <v>1.1327796268544812E-2</v>
      </c>
    </row>
    <row r="246" spans="2:37" x14ac:dyDescent="0.35">
      <c r="B246" s="54" t="s">
        <v>366</v>
      </c>
      <c r="C246" s="52" t="s">
        <v>232</v>
      </c>
      <c r="D246" s="52" t="s">
        <v>20</v>
      </c>
      <c r="E246" s="52" t="s">
        <v>264</v>
      </c>
      <c r="F246" s="72">
        <f t="shared" si="23"/>
        <v>4.0263716478962874E-2</v>
      </c>
      <c r="G246" s="59">
        <f t="shared" si="23"/>
        <v>4.5532684116724731E-2</v>
      </c>
      <c r="H246" s="59">
        <f t="shared" si="23"/>
        <v>4.9288763378153452E-2</v>
      </c>
      <c r="I246" s="59">
        <f t="shared" si="23"/>
        <v>5.202170607283544E-2</v>
      </c>
      <c r="J246" s="62">
        <f t="shared" si="23"/>
        <v>5.5388579550241908E-2</v>
      </c>
      <c r="K246" s="59" t="str">
        <f t="shared" si="24"/>
        <v/>
      </c>
      <c r="L246" s="59">
        <f t="shared" si="24"/>
        <v>3.9359147167247338E-3</v>
      </c>
      <c r="M246" s="59">
        <f t="shared" si="24"/>
        <v>7.6399783781534517E-3</v>
      </c>
      <c r="N246" s="59">
        <f t="shared" si="24"/>
        <v>9.60663887283544E-3</v>
      </c>
      <c r="O246" s="62">
        <f t="shared" si="24"/>
        <v>1.1479557550241909E-2</v>
      </c>
      <c r="P246" s="54" t="s">
        <v>397</v>
      </c>
      <c r="Q246" s="52" t="s">
        <v>398</v>
      </c>
      <c r="R246" s="93">
        <v>47710</v>
      </c>
      <c r="S246" s="70">
        <v>5.0816510000000002E-2</v>
      </c>
      <c r="T246" s="62">
        <f t="shared" si="20"/>
        <v>-1.5277466218465499E-3</v>
      </c>
      <c r="V246" s="113">
        <v>1.11604584</v>
      </c>
      <c r="W246" s="71">
        <v>2.8780508299999998</v>
      </c>
      <c r="X246" s="71">
        <v>4.4472224599999999</v>
      </c>
      <c r="Y246" s="71">
        <v>5.8055640300000002</v>
      </c>
      <c r="Z246" s="114">
        <v>7.5022686099999998</v>
      </c>
      <c r="AB246" s="70">
        <v>4.0263716478962874E-2</v>
      </c>
      <c r="AC246" s="70">
        <v>4.5532684116724731E-2</v>
      </c>
      <c r="AD246" s="70">
        <v>4.9288763378153452E-2</v>
      </c>
      <c r="AE246" s="70">
        <v>5.202170607283544E-2</v>
      </c>
      <c r="AF246" s="62">
        <v>5.5388579550241908E-2</v>
      </c>
      <c r="AG246" s="70" t="s">
        <v>21</v>
      </c>
      <c r="AH246" s="70">
        <v>3.9359147167247338E-3</v>
      </c>
      <c r="AI246" s="70">
        <v>7.6399783781534517E-3</v>
      </c>
      <c r="AJ246" s="70">
        <v>9.60663887283544E-3</v>
      </c>
      <c r="AK246" s="62">
        <v>1.1479557550241909E-2</v>
      </c>
    </row>
    <row r="247" spans="2:37" x14ac:dyDescent="0.35">
      <c r="B247" s="54" t="s">
        <v>364</v>
      </c>
      <c r="C247" s="52" t="s">
        <v>232</v>
      </c>
      <c r="D247" s="52" t="s">
        <v>20</v>
      </c>
      <c r="E247" s="52" t="s">
        <v>112</v>
      </c>
      <c r="F247" s="72">
        <f t="shared" si="23"/>
        <v>4.030814651211953E-2</v>
      </c>
      <c r="G247" s="59">
        <f t="shared" si="23"/>
        <v>4.5214777383681813E-2</v>
      </c>
      <c r="H247" s="59">
        <f t="shared" si="23"/>
        <v>4.9274901402321283E-2</v>
      </c>
      <c r="I247" s="59">
        <f t="shared" si="23"/>
        <v>5.1877114291778638E-2</v>
      </c>
      <c r="J247" s="62">
        <f t="shared" si="23"/>
        <v>5.4852604262869559E-2</v>
      </c>
      <c r="K247" s="59" t="str">
        <f t="shared" si="24"/>
        <v/>
      </c>
      <c r="L247" s="59">
        <f t="shared" si="24"/>
        <v>3.6343137836818114E-3</v>
      </c>
      <c r="M247" s="59">
        <f t="shared" si="24"/>
        <v>7.6272771023212808E-3</v>
      </c>
      <c r="N247" s="59">
        <f t="shared" si="24"/>
        <v>9.4698477917786392E-3</v>
      </c>
      <c r="O247" s="62">
        <f t="shared" si="24"/>
        <v>1.0967605462869567E-2</v>
      </c>
      <c r="P247" s="54" t="s">
        <v>395</v>
      </c>
      <c r="Q247" s="52" t="s">
        <v>396</v>
      </c>
      <c r="R247" s="93">
        <v>47708</v>
      </c>
      <c r="S247" s="70">
        <v>4.7764369999999993E-2</v>
      </c>
      <c r="T247" s="62">
        <f t="shared" si="20"/>
        <v>1.5105314023212899E-3</v>
      </c>
      <c r="V247" s="113">
        <v>1.1159643000000001</v>
      </c>
      <c r="W247" s="71">
        <v>2.8791323499999999</v>
      </c>
      <c r="X247" s="71">
        <v>4.4497476699999998</v>
      </c>
      <c r="Y247" s="71">
        <v>5.8096738400000003</v>
      </c>
      <c r="Z247" s="114">
        <v>7.51895939</v>
      </c>
      <c r="AB247" s="70">
        <v>4.030814651211953E-2</v>
      </c>
      <c r="AC247" s="70">
        <v>4.5214777383681813E-2</v>
      </c>
      <c r="AD247" s="70">
        <v>4.9274901402321283E-2</v>
      </c>
      <c r="AE247" s="70">
        <v>5.1877114291778638E-2</v>
      </c>
      <c r="AF247" s="62">
        <v>5.4852604262869559E-2</v>
      </c>
      <c r="AG247" s="70" t="s">
        <v>21</v>
      </c>
      <c r="AH247" s="70">
        <v>3.6343137836818114E-3</v>
      </c>
      <c r="AI247" s="70">
        <v>7.6272771023212808E-3</v>
      </c>
      <c r="AJ247" s="70">
        <v>9.4698477917786392E-3</v>
      </c>
      <c r="AK247" s="62">
        <v>1.0967605462869567E-2</v>
      </c>
    </row>
    <row r="248" spans="2:37" x14ac:dyDescent="0.35">
      <c r="B248" s="54" t="s">
        <v>355</v>
      </c>
      <c r="C248" s="52" t="s">
        <v>232</v>
      </c>
      <c r="D248" s="52" t="s">
        <v>20</v>
      </c>
      <c r="E248" s="52" t="s">
        <v>21</v>
      </c>
      <c r="F248" s="72">
        <f t="shared" si="23"/>
        <v>4.0019278496309194E-2</v>
      </c>
      <c r="G248" s="59">
        <f t="shared" si="23"/>
        <v>4.5171966091731103E-2</v>
      </c>
      <c r="H248" s="59">
        <f t="shared" si="23"/>
        <v>4.9245439856796913E-2</v>
      </c>
      <c r="I248" s="59">
        <f t="shared" si="23"/>
        <v>5.2365440356982713E-2</v>
      </c>
      <c r="J248" s="62">
        <f t="shared" si="23"/>
        <v>5.5790875667265039E-2</v>
      </c>
      <c r="K248" s="59" t="str">
        <f t="shared" si="24"/>
        <v/>
      </c>
      <c r="L248" s="59">
        <f t="shared" si="24"/>
        <v>3.5959352917311099E-3</v>
      </c>
      <c r="M248" s="59">
        <f t="shared" si="24"/>
        <v>7.6008474567969241E-3</v>
      </c>
      <c r="N248" s="59">
        <f t="shared" si="24"/>
        <v>9.9358085569827143E-3</v>
      </c>
      <c r="O248" s="62">
        <f t="shared" si="24"/>
        <v>1.1868401767265033E-2</v>
      </c>
      <c r="P248" s="54" t="s">
        <v>21</v>
      </c>
      <c r="Q248" s="52" t="s">
        <v>21</v>
      </c>
      <c r="R248" s="93" t="s">
        <v>21</v>
      </c>
      <c r="S248" s="70">
        <v>0</v>
      </c>
      <c r="T248" s="62">
        <f t="shared" si="20"/>
        <v>4.9245439856796913E-2</v>
      </c>
      <c r="V248" s="113">
        <v>1.11646343</v>
      </c>
      <c r="W248" s="71">
        <v>2.8806573100000001</v>
      </c>
      <c r="X248" s="71">
        <v>4.4512644400000001</v>
      </c>
      <c r="Y248" s="71">
        <v>5.80414429</v>
      </c>
      <c r="Z248" s="114">
        <v>7.4895601300000001</v>
      </c>
      <c r="AB248" s="70">
        <v>4.0019278496309194E-2</v>
      </c>
      <c r="AC248" s="70">
        <v>4.5171966091731103E-2</v>
      </c>
      <c r="AD248" s="70">
        <v>4.9245439856796913E-2</v>
      </c>
      <c r="AE248" s="70">
        <v>5.2365440356982713E-2</v>
      </c>
      <c r="AF248" s="62">
        <v>5.5790875667265039E-2</v>
      </c>
      <c r="AG248" s="70" t="s">
        <v>21</v>
      </c>
      <c r="AH248" s="70">
        <v>3.5959352917311099E-3</v>
      </c>
      <c r="AI248" s="70">
        <v>7.6008474567969241E-3</v>
      </c>
      <c r="AJ248" s="70">
        <v>9.9358085569827143E-3</v>
      </c>
      <c r="AK248" s="62">
        <v>1.1868401767265033E-2</v>
      </c>
    </row>
    <row r="249" spans="2:37" x14ac:dyDescent="0.35">
      <c r="B249" s="54" t="s">
        <v>358</v>
      </c>
      <c r="C249" s="52" t="s">
        <v>232</v>
      </c>
      <c r="D249" s="52" t="s">
        <v>20</v>
      </c>
      <c r="E249" s="52" t="s">
        <v>21</v>
      </c>
      <c r="F249" s="72">
        <f t="shared" si="23"/>
        <v>4.0217994298055865E-2</v>
      </c>
      <c r="G249" s="59">
        <f t="shared" si="23"/>
        <v>4.53687655144226E-2</v>
      </c>
      <c r="H249" s="59">
        <f t="shared" si="23"/>
        <v>4.9210722865546806E-2</v>
      </c>
      <c r="I249" s="59">
        <f t="shared" si="23"/>
        <v>5.2412900533902074E-2</v>
      </c>
      <c r="J249" s="62">
        <f t="shared" si="23"/>
        <v>5.5899380512748197E-2</v>
      </c>
      <c r="K249" s="59" t="str">
        <f t="shared" si="24"/>
        <v/>
      </c>
      <c r="L249" s="59">
        <f t="shared" si="24"/>
        <v>3.7802608144226041E-3</v>
      </c>
      <c r="M249" s="59">
        <f t="shared" si="24"/>
        <v>7.565928665546803E-3</v>
      </c>
      <c r="N249" s="59">
        <f t="shared" si="24"/>
        <v>9.9784331339020788E-3</v>
      </c>
      <c r="O249" s="62">
        <f t="shared" si="24"/>
        <v>1.1970386512748187E-2</v>
      </c>
      <c r="P249" s="54" t="s">
        <v>21</v>
      </c>
      <c r="Q249" s="52" t="s">
        <v>21</v>
      </c>
      <c r="R249" s="93" t="s">
        <v>21</v>
      </c>
      <c r="S249" s="70">
        <v>0</v>
      </c>
      <c r="T249" s="62">
        <f t="shared" si="20"/>
        <v>4.9210722865546806E-2</v>
      </c>
      <c r="V249" s="113">
        <v>1.1161176500000001</v>
      </c>
      <c r="W249" s="71">
        <v>2.8791544600000001</v>
      </c>
      <c r="X249" s="71">
        <v>4.4492337900000001</v>
      </c>
      <c r="Y249" s="71">
        <v>5.80347452</v>
      </c>
      <c r="Z249" s="114">
        <v>7.4860091899999999</v>
      </c>
      <c r="AB249" s="70">
        <v>4.0217994298055865E-2</v>
      </c>
      <c r="AC249" s="70">
        <v>4.53687655144226E-2</v>
      </c>
      <c r="AD249" s="70">
        <v>4.9210722865546806E-2</v>
      </c>
      <c r="AE249" s="70">
        <v>5.2412900533902074E-2</v>
      </c>
      <c r="AF249" s="62">
        <v>5.5899380512748197E-2</v>
      </c>
      <c r="AG249" s="70" t="s">
        <v>21</v>
      </c>
      <c r="AH249" s="70">
        <v>3.7802608144226041E-3</v>
      </c>
      <c r="AI249" s="70">
        <v>7.565928665546803E-3</v>
      </c>
      <c r="AJ249" s="70">
        <v>9.9784331339020788E-3</v>
      </c>
      <c r="AK249" s="62">
        <v>1.1970386512748187E-2</v>
      </c>
    </row>
    <row r="250" spans="2:37" x14ac:dyDescent="0.35">
      <c r="B250" s="54" t="s">
        <v>262</v>
      </c>
      <c r="C250" s="52" t="s">
        <v>232</v>
      </c>
      <c r="D250" s="52" t="s">
        <v>97</v>
      </c>
      <c r="E250" s="52" t="s">
        <v>21</v>
      </c>
      <c r="F250" s="72">
        <f t="shared" si="23"/>
        <v>4.0152758916265373E-2</v>
      </c>
      <c r="G250" s="59">
        <f t="shared" si="23"/>
        <v>4.5222574771795782E-2</v>
      </c>
      <c r="H250" s="59">
        <f t="shared" si="23"/>
        <v>4.863192888466969E-2</v>
      </c>
      <c r="I250" s="59">
        <f t="shared" si="23"/>
        <v>5.1014145225885571E-2</v>
      </c>
      <c r="J250" s="62">
        <f t="shared" si="23"/>
        <v>5.3493672392765923E-2</v>
      </c>
      <c r="K250" s="59" t="str">
        <f t="shared" si="24"/>
        <v/>
      </c>
      <c r="L250" s="59">
        <f t="shared" si="24"/>
        <v>3.6424280717957829E-3</v>
      </c>
      <c r="M250" s="59">
        <f t="shared" si="24"/>
        <v>7.0163578846696925E-3</v>
      </c>
      <c r="N250" s="59">
        <f t="shared" si="24"/>
        <v>8.6472888258855626E-3</v>
      </c>
      <c r="O250" s="62">
        <f t="shared" si="24"/>
        <v>9.6613137927659184E-3</v>
      </c>
      <c r="P250" s="54" t="s">
        <v>559</v>
      </c>
      <c r="Q250" s="52" t="s">
        <v>560</v>
      </c>
      <c r="R250" s="93">
        <v>47648</v>
      </c>
      <c r="S250" s="70">
        <v>4.6862009999999996E-2</v>
      </c>
      <c r="T250" s="62">
        <f t="shared" si="20"/>
        <v>1.7699188846696939E-3</v>
      </c>
      <c r="V250" s="113">
        <v>1.1162295100000001</v>
      </c>
      <c r="W250" s="71">
        <v>2.87976893</v>
      </c>
      <c r="X250" s="71">
        <v>4.45574314</v>
      </c>
      <c r="Y250" s="71">
        <v>5.8299727099999998</v>
      </c>
      <c r="Z250" s="114">
        <v>7.5767650899999994</v>
      </c>
      <c r="AB250" s="70">
        <v>4.0152758916265373E-2</v>
      </c>
      <c r="AC250" s="70">
        <v>4.5222574771795782E-2</v>
      </c>
      <c r="AD250" s="70">
        <v>4.863192888466969E-2</v>
      </c>
      <c r="AE250" s="70">
        <v>5.1014145225885571E-2</v>
      </c>
      <c r="AF250" s="62">
        <v>5.3493672392765923E-2</v>
      </c>
      <c r="AG250" s="70" t="s">
        <v>21</v>
      </c>
      <c r="AH250" s="70">
        <v>3.6424280717957829E-3</v>
      </c>
      <c r="AI250" s="70">
        <v>7.0163578846696925E-3</v>
      </c>
      <c r="AJ250" s="70">
        <v>8.6472888258855626E-3</v>
      </c>
      <c r="AK250" s="62">
        <v>9.6613137927659184E-3</v>
      </c>
    </row>
    <row r="251" spans="2:37" x14ac:dyDescent="0.35">
      <c r="B251" s="54" t="s">
        <v>371</v>
      </c>
      <c r="C251" s="52" t="s">
        <v>232</v>
      </c>
      <c r="D251" s="52" t="s">
        <v>31</v>
      </c>
      <c r="E251" s="52" t="s">
        <v>289</v>
      </c>
      <c r="F251" s="72">
        <f t="shared" si="23"/>
        <v>4.0234450284565605E-2</v>
      </c>
      <c r="G251" s="59">
        <f t="shared" si="23"/>
        <v>4.5004244121822905E-2</v>
      </c>
      <c r="H251" s="59">
        <f t="shared" si="23"/>
        <v>4.851946200889809E-2</v>
      </c>
      <c r="I251" s="59">
        <f t="shared" si="23"/>
        <v>5.0904241206041825E-2</v>
      </c>
      <c r="J251" s="62">
        <f t="shared" si="23"/>
        <v>5.3665756783741289E-2</v>
      </c>
      <c r="K251" s="59" t="str">
        <f t="shared" si="24"/>
        <v/>
      </c>
      <c r="L251" s="59">
        <f t="shared" si="24"/>
        <v>3.4361690218229117E-3</v>
      </c>
      <c r="M251" s="59">
        <f t="shared" si="24"/>
        <v>6.9103076088980944E-3</v>
      </c>
      <c r="N251" s="59">
        <f t="shared" si="24"/>
        <v>8.5434215060418289E-3</v>
      </c>
      <c r="O251" s="62">
        <f t="shared" si="24"/>
        <v>9.8267865837412885E-3</v>
      </c>
      <c r="P251" s="54" t="s">
        <v>21</v>
      </c>
      <c r="Q251" s="52" t="s">
        <v>21</v>
      </c>
      <c r="R251" s="93" t="s">
        <v>21</v>
      </c>
      <c r="S251" s="70">
        <v>0</v>
      </c>
      <c r="T251" s="62">
        <f t="shared" si="20"/>
        <v>4.851946200889809E-2</v>
      </c>
      <c r="V251" s="113">
        <v>1.11606169</v>
      </c>
      <c r="W251" s="71">
        <v>2.8808226299999999</v>
      </c>
      <c r="X251" s="71">
        <v>4.4583507899999999</v>
      </c>
      <c r="Y251" s="71">
        <v>5.83410998</v>
      </c>
      <c r="Z251" s="114">
        <v>7.5770499399999993</v>
      </c>
      <c r="AB251" s="70">
        <v>4.0234450284565605E-2</v>
      </c>
      <c r="AC251" s="70">
        <v>4.5004244121822905E-2</v>
      </c>
      <c r="AD251" s="70">
        <v>4.851946200889809E-2</v>
      </c>
      <c r="AE251" s="70">
        <v>5.0904241206041825E-2</v>
      </c>
      <c r="AF251" s="62">
        <v>5.3665756783741289E-2</v>
      </c>
      <c r="AG251" s="70" t="s">
        <v>21</v>
      </c>
      <c r="AH251" s="70">
        <v>3.4361690218229117E-3</v>
      </c>
      <c r="AI251" s="70">
        <v>6.9103076088980944E-3</v>
      </c>
      <c r="AJ251" s="70">
        <v>8.5434215060418289E-3</v>
      </c>
      <c r="AK251" s="62">
        <v>9.8267865837412885E-3</v>
      </c>
    </row>
    <row r="252" spans="2:37" x14ac:dyDescent="0.35">
      <c r="B252" s="54" t="s">
        <v>147</v>
      </c>
      <c r="C252" s="52" t="s">
        <v>232</v>
      </c>
      <c r="D252" s="52" t="s">
        <v>20</v>
      </c>
      <c r="E252" s="52" t="s">
        <v>21</v>
      </c>
      <c r="F252" s="72">
        <f t="shared" si="23"/>
        <v>3.9837485678806642E-2</v>
      </c>
      <c r="G252" s="59">
        <f t="shared" si="23"/>
        <v>4.458859347716284E-2</v>
      </c>
      <c r="H252" s="59">
        <f t="shared" si="23"/>
        <v>4.847778106233247E-2</v>
      </c>
      <c r="I252" s="59">
        <f t="shared" si="23"/>
        <v>5.1463333379694221E-2</v>
      </c>
      <c r="J252" s="62">
        <f t="shared" si="23"/>
        <v>5.4702248731468374E-2</v>
      </c>
      <c r="K252" s="59" t="str">
        <f t="shared" si="24"/>
        <v/>
      </c>
      <c r="L252" s="59">
        <f t="shared" si="24"/>
        <v>3.0401208771628401E-3</v>
      </c>
      <c r="M252" s="59">
        <f t="shared" si="24"/>
        <v>6.8702763623324781E-3</v>
      </c>
      <c r="N252" s="59">
        <f t="shared" si="24"/>
        <v>9.0769160796942191E-3</v>
      </c>
      <c r="O252" s="62">
        <f t="shared" si="24"/>
        <v>1.0826155731468376E-2</v>
      </c>
      <c r="P252" s="54" t="s">
        <v>561</v>
      </c>
      <c r="Q252" s="52" t="s">
        <v>562</v>
      </c>
      <c r="R252" s="93">
        <v>47515</v>
      </c>
      <c r="S252" s="70">
        <v>5.0047680000000004E-2</v>
      </c>
      <c r="T252" s="62">
        <f t="shared" si="20"/>
        <v>-1.569898937667534E-3</v>
      </c>
      <c r="V252" s="113">
        <v>1.1168151799999999</v>
      </c>
      <c r="W252" s="71">
        <v>2.88493924</v>
      </c>
      <c r="X252" s="71">
        <v>4.4637912499999999</v>
      </c>
      <c r="Y252" s="71">
        <v>5.8302799800000003</v>
      </c>
      <c r="Z252" s="114">
        <v>7.5426231399999999</v>
      </c>
      <c r="AB252" s="70">
        <v>3.9837485678806642E-2</v>
      </c>
      <c r="AC252" s="70">
        <v>4.458859347716284E-2</v>
      </c>
      <c r="AD252" s="70">
        <v>4.847778106233247E-2</v>
      </c>
      <c r="AE252" s="70">
        <v>5.1463333379694221E-2</v>
      </c>
      <c r="AF252" s="62">
        <v>5.4702248731468374E-2</v>
      </c>
      <c r="AG252" s="70" t="s">
        <v>21</v>
      </c>
      <c r="AH252" s="70">
        <v>3.0401208771628401E-3</v>
      </c>
      <c r="AI252" s="70">
        <v>6.8702763623324781E-3</v>
      </c>
      <c r="AJ252" s="70">
        <v>9.0769160796942191E-3</v>
      </c>
      <c r="AK252" s="62">
        <v>1.0826155731468376E-2</v>
      </c>
    </row>
    <row r="253" spans="2:37" x14ac:dyDescent="0.35">
      <c r="B253" s="54" t="s">
        <v>372</v>
      </c>
      <c r="C253" s="52" t="s">
        <v>232</v>
      </c>
      <c r="D253" s="52" t="s">
        <v>20</v>
      </c>
      <c r="E253" s="52" t="s">
        <v>21</v>
      </c>
      <c r="F253" s="72">
        <f t="shared" si="23"/>
        <v>4.0171874619371717E-2</v>
      </c>
      <c r="G253" s="59">
        <f t="shared" si="23"/>
        <v>4.5057335985722383E-2</v>
      </c>
      <c r="H253" s="59">
        <f t="shared" si="23"/>
        <v>4.8489945313160386E-2</v>
      </c>
      <c r="I253" s="59">
        <f t="shared" si="23"/>
        <v>5.0712293291067037E-2</v>
      </c>
      <c r="J253" s="62">
        <f t="shared" si="23"/>
        <v>5.3516983666466372E-2</v>
      </c>
      <c r="K253" s="59" t="str">
        <f t="shared" si="24"/>
        <v/>
      </c>
      <c r="L253" s="59">
        <f t="shared" si="24"/>
        <v>3.4855030857223798E-3</v>
      </c>
      <c r="M253" s="59">
        <f t="shared" si="24"/>
        <v>6.8814485131603858E-3</v>
      </c>
      <c r="N253" s="59">
        <f t="shared" si="24"/>
        <v>8.3601080910670408E-3</v>
      </c>
      <c r="O253" s="62">
        <f t="shared" si="24"/>
        <v>9.683800466466377E-3</v>
      </c>
      <c r="P253" s="54" t="s">
        <v>21</v>
      </c>
      <c r="Q253" s="52" t="s">
        <v>21</v>
      </c>
      <c r="R253" s="93" t="s">
        <v>21</v>
      </c>
      <c r="S253" s="70">
        <v>0</v>
      </c>
      <c r="T253" s="62">
        <f t="shared" si="20"/>
        <v>4.8489945313160386E-2</v>
      </c>
      <c r="V253" s="113">
        <v>1.1161985399999999</v>
      </c>
      <c r="W253" s="71">
        <v>2.8807769899999998</v>
      </c>
      <c r="X253" s="71">
        <v>4.4587766100000001</v>
      </c>
      <c r="Y253" s="71">
        <v>5.8367170499999999</v>
      </c>
      <c r="Z253" s="114">
        <v>7.5826226199999995</v>
      </c>
      <c r="AB253" s="70">
        <v>4.0171874619371717E-2</v>
      </c>
      <c r="AC253" s="70">
        <v>4.5057335985722383E-2</v>
      </c>
      <c r="AD253" s="70">
        <v>4.8489945313160386E-2</v>
      </c>
      <c r="AE253" s="70">
        <v>5.0712293291067037E-2</v>
      </c>
      <c r="AF253" s="62">
        <v>5.3516983666466372E-2</v>
      </c>
      <c r="AG253" s="70" t="s">
        <v>21</v>
      </c>
      <c r="AH253" s="70">
        <v>3.4855030857223798E-3</v>
      </c>
      <c r="AI253" s="70">
        <v>6.8814485131603858E-3</v>
      </c>
      <c r="AJ253" s="70">
        <v>8.3601080910670408E-3</v>
      </c>
      <c r="AK253" s="62">
        <v>9.683800466466377E-3</v>
      </c>
    </row>
    <row r="254" spans="2:37" x14ac:dyDescent="0.35">
      <c r="B254" s="54" t="s">
        <v>369</v>
      </c>
      <c r="C254" s="52" t="s">
        <v>232</v>
      </c>
      <c r="D254" s="52" t="s">
        <v>20</v>
      </c>
      <c r="E254" s="52" t="s">
        <v>256</v>
      </c>
      <c r="F254" s="72">
        <f t="shared" si="23"/>
        <v>3.9833646723779634E-2</v>
      </c>
      <c r="G254" s="59">
        <f t="shared" si="23"/>
        <v>4.4852706775451223E-2</v>
      </c>
      <c r="H254" s="59">
        <f t="shared" si="23"/>
        <v>4.8467932694899525E-2</v>
      </c>
      <c r="I254" s="59">
        <f t="shared" si="23"/>
        <v>5.0991532023523994E-2</v>
      </c>
      <c r="J254" s="62">
        <f t="shared" si="23"/>
        <v>5.3695968495829687E-2</v>
      </c>
      <c r="K254" s="59" t="str">
        <f t="shared" si="24"/>
        <v/>
      </c>
      <c r="L254" s="59">
        <f t="shared" si="24"/>
        <v>3.2904781754512212E-3</v>
      </c>
      <c r="M254" s="59">
        <f t="shared" si="24"/>
        <v>6.8602336948995297E-3</v>
      </c>
      <c r="N254" s="59">
        <f t="shared" si="24"/>
        <v>8.6264360235239982E-3</v>
      </c>
      <c r="O254" s="62">
        <f t="shared" si="24"/>
        <v>9.8576904958296921E-3</v>
      </c>
      <c r="P254" s="54" t="s">
        <v>21</v>
      </c>
      <c r="Q254" s="52" t="s">
        <v>21</v>
      </c>
      <c r="R254" s="93" t="s">
        <v>21</v>
      </c>
      <c r="S254" s="70">
        <v>0</v>
      </c>
      <c r="T254" s="62">
        <f t="shared" si="20"/>
        <v>4.8467932694899525E-2</v>
      </c>
      <c r="V254" s="113">
        <v>1.1168321000000001</v>
      </c>
      <c r="W254" s="71">
        <v>2.8832697</v>
      </c>
      <c r="X254" s="71">
        <v>4.4617756499999999</v>
      </c>
      <c r="Y254" s="71">
        <v>5.8356300399999999</v>
      </c>
      <c r="Z254" s="114">
        <v>7.5760030399999998</v>
      </c>
      <c r="AB254" s="70">
        <v>3.9833646723779634E-2</v>
      </c>
      <c r="AC254" s="70">
        <v>4.4852706775451223E-2</v>
      </c>
      <c r="AD254" s="70">
        <v>4.8467932694899525E-2</v>
      </c>
      <c r="AE254" s="70">
        <v>5.0991532023523994E-2</v>
      </c>
      <c r="AF254" s="62">
        <v>5.3695968495829687E-2</v>
      </c>
      <c r="AG254" s="70" t="s">
        <v>21</v>
      </c>
      <c r="AH254" s="70">
        <v>3.2904781754512212E-3</v>
      </c>
      <c r="AI254" s="70">
        <v>6.8602336948995297E-3</v>
      </c>
      <c r="AJ254" s="70">
        <v>8.6264360235239982E-3</v>
      </c>
      <c r="AK254" s="62">
        <v>9.8576904958296921E-3</v>
      </c>
    </row>
    <row r="255" spans="2:37" x14ac:dyDescent="0.35">
      <c r="B255" s="54" t="s">
        <v>368</v>
      </c>
      <c r="C255" s="52" t="s">
        <v>232</v>
      </c>
      <c r="D255" s="52" t="s">
        <v>20</v>
      </c>
      <c r="E255" s="52" t="s">
        <v>292</v>
      </c>
      <c r="F255" s="72">
        <f t="shared" si="23"/>
        <v>3.9871154294697779E-2</v>
      </c>
      <c r="G255" s="59">
        <f t="shared" si="23"/>
        <v>4.4801442441008997E-2</v>
      </c>
      <c r="H255" s="59">
        <f t="shared" si="23"/>
        <v>4.834857284613283E-2</v>
      </c>
      <c r="I255" s="59">
        <f t="shared" si="23"/>
        <v>5.1127943620039154E-2</v>
      </c>
      <c r="J255" s="62">
        <f t="shared" si="23"/>
        <v>5.4158216682339333E-2</v>
      </c>
      <c r="K255" s="59" t="str">
        <f t="shared" si="24"/>
        <v/>
      </c>
      <c r="L255" s="59">
        <f t="shared" si="24"/>
        <v>3.2413941410090038E-3</v>
      </c>
      <c r="M255" s="59">
        <f t="shared" si="24"/>
        <v>6.7464359461328286E-3</v>
      </c>
      <c r="N255" s="59">
        <f t="shared" si="24"/>
        <v>8.7565203200391552E-3</v>
      </c>
      <c r="O255" s="62">
        <f t="shared" si="24"/>
        <v>1.0306965182339338E-2</v>
      </c>
      <c r="P255" s="54" t="s">
        <v>21</v>
      </c>
      <c r="Q255" s="52" t="s">
        <v>21</v>
      </c>
      <c r="R255" s="93" t="s">
        <v>21</v>
      </c>
      <c r="S255" s="70">
        <v>0</v>
      </c>
      <c r="T255" s="62">
        <f t="shared" si="20"/>
        <v>4.834857284613283E-2</v>
      </c>
      <c r="V255" s="113">
        <v>1.1167644399999999</v>
      </c>
      <c r="W255" s="71">
        <v>2.8835297799999999</v>
      </c>
      <c r="X255" s="71">
        <v>4.4637509099999999</v>
      </c>
      <c r="Y255" s="71">
        <v>5.83504077</v>
      </c>
      <c r="Z255" s="114">
        <v>7.5553523499999997</v>
      </c>
      <c r="AB255" s="70">
        <v>3.9871154294697779E-2</v>
      </c>
      <c r="AC255" s="70">
        <v>4.4801442441008997E-2</v>
      </c>
      <c r="AD255" s="70">
        <v>4.834857284613283E-2</v>
      </c>
      <c r="AE255" s="70">
        <v>5.1127943620039154E-2</v>
      </c>
      <c r="AF255" s="62">
        <v>5.4158216682339333E-2</v>
      </c>
      <c r="AG255" s="70" t="s">
        <v>21</v>
      </c>
      <c r="AH255" s="70">
        <v>3.2413941410090038E-3</v>
      </c>
      <c r="AI255" s="70">
        <v>6.7464359461328286E-3</v>
      </c>
      <c r="AJ255" s="70">
        <v>8.7565203200391552E-3</v>
      </c>
      <c r="AK255" s="62">
        <v>1.0306965182339338E-2</v>
      </c>
    </row>
    <row r="256" spans="2:37" x14ac:dyDescent="0.35">
      <c r="B256" s="54" t="s">
        <v>266</v>
      </c>
      <c r="C256" s="52" t="s">
        <v>232</v>
      </c>
      <c r="D256" s="52" t="s">
        <v>20</v>
      </c>
      <c r="E256" s="52" t="s">
        <v>21</v>
      </c>
      <c r="F256" s="72">
        <f t="shared" si="23"/>
        <v>4.0299465346016694E-2</v>
      </c>
      <c r="G256" s="59">
        <f t="shared" si="23"/>
        <v>4.4945583259945111E-2</v>
      </c>
      <c r="H256" s="59">
        <f t="shared" si="23"/>
        <v>4.8063934967497515E-2</v>
      </c>
      <c r="I256" s="59">
        <f t="shared" si="23"/>
        <v>5.0219443137369382E-2</v>
      </c>
      <c r="J256" s="62">
        <f t="shared" si="23"/>
        <v>5.2668906804430614E-2</v>
      </c>
      <c r="K256" s="59" t="str">
        <f t="shared" si="24"/>
        <v/>
      </c>
      <c r="L256" s="59">
        <f t="shared" si="24"/>
        <v>3.3775011599451177E-3</v>
      </c>
      <c r="M256" s="59">
        <f t="shared" si="24"/>
        <v>6.4748176674975164E-3</v>
      </c>
      <c r="N256" s="59">
        <f t="shared" si="24"/>
        <v>7.8887975373693811E-3</v>
      </c>
      <c r="O256" s="62">
        <f t="shared" si="24"/>
        <v>8.8676875044306231E-3</v>
      </c>
      <c r="P256" s="54" t="s">
        <v>563</v>
      </c>
      <c r="Q256" s="52" t="s">
        <v>564</v>
      </c>
      <c r="R256" s="93" t="s">
        <v>32</v>
      </c>
      <c r="S256" s="70">
        <v>4.6306550000000002E-2</v>
      </c>
      <c r="T256" s="62">
        <f t="shared" si="20"/>
        <v>1.7573849674975134E-3</v>
      </c>
      <c r="V256" s="113">
        <v>1.1159765800000001</v>
      </c>
      <c r="W256" s="71">
        <v>2.881151</v>
      </c>
      <c r="X256" s="71">
        <v>4.4640274799999995</v>
      </c>
      <c r="Y256" s="71">
        <v>5.8496459600000001</v>
      </c>
      <c r="Z256" s="114">
        <v>7.6176048199999995</v>
      </c>
      <c r="AB256" s="70">
        <v>4.0299465346016694E-2</v>
      </c>
      <c r="AC256" s="70">
        <v>4.4945583259945111E-2</v>
      </c>
      <c r="AD256" s="70">
        <v>4.8063934967497515E-2</v>
      </c>
      <c r="AE256" s="70">
        <v>5.0219443137369382E-2</v>
      </c>
      <c r="AF256" s="62">
        <v>5.2668906804430614E-2</v>
      </c>
      <c r="AG256" s="70" t="s">
        <v>21</v>
      </c>
      <c r="AH256" s="70">
        <v>3.3775011599451177E-3</v>
      </c>
      <c r="AI256" s="70">
        <v>6.4748176674975164E-3</v>
      </c>
      <c r="AJ256" s="70">
        <v>7.8887975373693811E-3</v>
      </c>
      <c r="AK256" s="62">
        <v>8.8676875044306231E-3</v>
      </c>
    </row>
    <row r="257" spans="2:37" x14ac:dyDescent="0.35">
      <c r="B257" s="54" t="s">
        <v>349</v>
      </c>
      <c r="C257" s="52" t="s">
        <v>232</v>
      </c>
      <c r="D257" s="52" t="s">
        <v>20</v>
      </c>
      <c r="E257" s="52" t="s">
        <v>316</v>
      </c>
      <c r="F257" s="72">
        <f t="shared" si="23"/>
        <v>4.2039388593973555E-2</v>
      </c>
      <c r="G257" s="59">
        <f t="shared" si="23"/>
        <v>4.9111695149496364E-2</v>
      </c>
      <c r="H257" s="59">
        <f t="shared" si="23"/>
        <v>5.5876645017041197E-2</v>
      </c>
      <c r="I257" s="59">
        <f t="shared" si="23"/>
        <v>5.894568870509629E-2</v>
      </c>
      <c r="J257" s="62">
        <f t="shared" si="23"/>
        <v>6.2422591051374411E-2</v>
      </c>
      <c r="K257" s="59" t="str">
        <f t="shared" si="24"/>
        <v/>
      </c>
      <c r="L257" s="59">
        <f t="shared" si="24"/>
        <v>7.3270811494963641E-3</v>
      </c>
      <c r="M257" s="59">
        <f t="shared" si="24"/>
        <v>1.386807331704119E-2</v>
      </c>
      <c r="N257" s="59">
        <f t="shared" si="24"/>
        <v>1.6154664105096306E-2</v>
      </c>
      <c r="O257" s="62">
        <f t="shared" si="24"/>
        <v>1.8167046751374389E-2</v>
      </c>
      <c r="P257" s="54" t="s">
        <v>389</v>
      </c>
      <c r="Q257" s="52" t="s">
        <v>390</v>
      </c>
      <c r="R257" s="93">
        <v>47507</v>
      </c>
      <c r="S257" s="70">
        <v>5.5350219999999999E-2</v>
      </c>
      <c r="T257" s="62">
        <f t="shared" si="20"/>
        <v>5.2642501704119882E-4</v>
      </c>
      <c r="V257" s="113">
        <v>1.11271257</v>
      </c>
      <c r="W257" s="71">
        <v>2.8509083400000002</v>
      </c>
      <c r="X257" s="71">
        <v>4.3504426</v>
      </c>
      <c r="Y257" s="71">
        <v>5.6057661200000002</v>
      </c>
      <c r="Z257" s="114">
        <v>7.1332875300000005</v>
      </c>
      <c r="AB257" s="70">
        <v>4.2039388593973555E-2</v>
      </c>
      <c r="AC257" s="70">
        <v>4.9111695149496364E-2</v>
      </c>
      <c r="AD257" s="70">
        <v>5.5876645017041197E-2</v>
      </c>
      <c r="AE257" s="70">
        <v>5.894568870509629E-2</v>
      </c>
      <c r="AF257" s="62">
        <v>6.2422591051374411E-2</v>
      </c>
      <c r="AG257" s="70" t="s">
        <v>21</v>
      </c>
      <c r="AH257" s="70">
        <v>7.3270811494963641E-3</v>
      </c>
      <c r="AI257" s="70">
        <v>1.386807331704119E-2</v>
      </c>
      <c r="AJ257" s="70">
        <v>1.6154664105096306E-2</v>
      </c>
      <c r="AK257" s="62">
        <v>1.8167046751374389E-2</v>
      </c>
    </row>
    <row r="258" spans="2:37" x14ac:dyDescent="0.35">
      <c r="B258" s="54" t="s">
        <v>375</v>
      </c>
      <c r="C258" s="52" t="s">
        <v>232</v>
      </c>
      <c r="D258" s="52" t="s">
        <v>20</v>
      </c>
      <c r="E258" s="52" t="s">
        <v>264</v>
      </c>
      <c r="F258" s="73">
        <f t="shared" si="23"/>
        <v>3.9837968803394005E-2</v>
      </c>
      <c r="G258" s="75">
        <f t="shared" si="23"/>
        <v>4.4783352585857659E-2</v>
      </c>
      <c r="H258" s="75">
        <f t="shared" si="23"/>
        <v>4.7947340793096642E-2</v>
      </c>
      <c r="I258" s="75">
        <f t="shared" si="23"/>
        <v>5.0072049505695902E-2</v>
      </c>
      <c r="J258" s="63">
        <f t="shared" si="23"/>
        <v>5.2669949326825699E-2</v>
      </c>
      <c r="K258" s="75" t="str">
        <f t="shared" si="24"/>
        <v/>
      </c>
      <c r="L258" s="75">
        <f t="shared" si="24"/>
        <v>3.2243724858576615E-3</v>
      </c>
      <c r="M258" s="75">
        <f t="shared" si="24"/>
        <v>6.3645884930966425E-3</v>
      </c>
      <c r="N258" s="75">
        <f t="shared" si="24"/>
        <v>7.7489215056959033E-3</v>
      </c>
      <c r="O258" s="63">
        <f t="shared" si="24"/>
        <v>8.874822626825693E-3</v>
      </c>
      <c r="P258" s="54" t="s">
        <v>403</v>
      </c>
      <c r="Q258" s="52" t="s">
        <v>404</v>
      </c>
      <c r="R258" s="93">
        <v>47515</v>
      </c>
      <c r="S258" s="70">
        <v>4.9302640000000002E-2</v>
      </c>
      <c r="T258" s="62">
        <f t="shared" si="20"/>
        <v>-1.3552992069033598E-3</v>
      </c>
      <c r="V258" s="113">
        <v>1.1168275300000001</v>
      </c>
      <c r="W258" s="71">
        <v>2.8835007400000001</v>
      </c>
      <c r="X258" s="71">
        <v>4.4671289600000001</v>
      </c>
      <c r="Y258" s="71">
        <v>5.8548539699999997</v>
      </c>
      <c r="Z258" s="114">
        <v>7.6141894500000005</v>
      </c>
      <c r="AB258" s="70">
        <v>3.9837968803394005E-2</v>
      </c>
      <c r="AC258" s="70">
        <v>4.4783352585857659E-2</v>
      </c>
      <c r="AD258" s="70">
        <v>4.7947340793096642E-2</v>
      </c>
      <c r="AE258" s="70">
        <v>5.0072049505695902E-2</v>
      </c>
      <c r="AF258" s="62">
        <v>5.2669949326825699E-2</v>
      </c>
      <c r="AG258" s="70" t="s">
        <v>21</v>
      </c>
      <c r="AH258" s="70">
        <v>3.2243724858576615E-3</v>
      </c>
      <c r="AI258" s="70">
        <v>6.3645884930966425E-3</v>
      </c>
      <c r="AJ258" s="70">
        <v>7.7489215056959033E-3</v>
      </c>
      <c r="AK258" s="62">
        <v>8.874822626825693E-3</v>
      </c>
    </row>
    <row r="259" spans="2:37" x14ac:dyDescent="0.35">
      <c r="B259" s="78" t="s">
        <v>160</v>
      </c>
      <c r="C259" s="135"/>
      <c r="D259" s="77"/>
      <c r="E259" s="77"/>
      <c r="F259" s="77" t="str">
        <f t="shared" si="23"/>
        <v/>
      </c>
      <c r="G259" s="77" t="str">
        <f>IF(ISNUMBER(AC259),AC259-((D$4-D$3)/W259),"")</f>
        <v/>
      </c>
      <c r="H259" s="77" t="str">
        <f t="shared" si="23"/>
        <v/>
      </c>
      <c r="I259" s="77" t="str">
        <f t="shared" si="23"/>
        <v/>
      </c>
      <c r="J259" s="77" t="str">
        <f t="shared" si="23"/>
        <v/>
      </c>
      <c r="K259" s="77" t="str">
        <f t="shared" si="24"/>
        <v/>
      </c>
      <c r="L259" s="77" t="str">
        <f t="shared" si="24"/>
        <v/>
      </c>
      <c r="M259" s="77" t="str">
        <f t="shared" si="24"/>
        <v/>
      </c>
      <c r="N259" s="77" t="str">
        <f t="shared" si="24"/>
        <v/>
      </c>
      <c r="O259" s="76" t="str">
        <f t="shared" si="24"/>
        <v/>
      </c>
      <c r="P259" s="78"/>
      <c r="Q259" s="77"/>
      <c r="R259" s="94"/>
      <c r="S259" s="77"/>
      <c r="T259" s="76" t="str">
        <f t="shared" si="20"/>
        <v/>
      </c>
      <c r="V259" s="119"/>
      <c r="W259" s="108"/>
      <c r="X259" s="108"/>
      <c r="Y259" s="108"/>
      <c r="Z259" s="120"/>
      <c r="AB259" s="77"/>
      <c r="AC259" s="77"/>
      <c r="AD259" s="77"/>
      <c r="AE259" s="77"/>
      <c r="AF259" s="77"/>
      <c r="AG259" s="77"/>
      <c r="AH259" s="77"/>
      <c r="AI259" s="77"/>
      <c r="AJ259" s="77"/>
      <c r="AK259" s="76"/>
    </row>
    <row r="260" spans="2:37" x14ac:dyDescent="0.35">
      <c r="B260" s="55" t="s">
        <v>162</v>
      </c>
      <c r="C260" s="52" t="s">
        <v>232</v>
      </c>
      <c r="D260" s="65" t="s">
        <v>20</v>
      </c>
      <c r="E260" s="65" t="s">
        <v>290</v>
      </c>
      <c r="F260" s="72">
        <f t="shared" si="23"/>
        <v>4.8803728355073912E-2</v>
      </c>
      <c r="G260" s="59">
        <f t="shared" si="23"/>
        <v>6.8438127788749067E-2</v>
      </c>
      <c r="H260" s="59">
        <f t="shared" si="23"/>
        <v>8.6387302234703742E-2</v>
      </c>
      <c r="I260" s="59">
        <f t="shared" si="23"/>
        <v>9.76006459036491E-2</v>
      </c>
      <c r="J260" s="62">
        <f t="shared" si="23"/>
        <v>0.10381105020031886</v>
      </c>
      <c r="K260" s="59">
        <f t="shared" si="24"/>
        <v>6.2614542550739087E-3</v>
      </c>
      <c r="L260" s="59">
        <f t="shared" si="24"/>
        <v>2.5262842488749049E-2</v>
      </c>
      <c r="M260" s="59">
        <f t="shared" si="24"/>
        <v>4.179029883470374E-2</v>
      </c>
      <c r="N260" s="59">
        <f t="shared" si="24"/>
        <v>5.1355711503649107E-2</v>
      </c>
      <c r="O260" s="62">
        <f t="shared" si="24"/>
        <v>5.5994279600318872E-2</v>
      </c>
      <c r="P260" s="55" t="s">
        <v>21</v>
      </c>
      <c r="Q260" s="65" t="s">
        <v>21</v>
      </c>
      <c r="R260" s="99" t="s">
        <v>21</v>
      </c>
      <c r="S260" s="79">
        <v>0</v>
      </c>
      <c r="T260" s="62">
        <f t="shared" si="20"/>
        <v>8.6387302234703742E-2</v>
      </c>
      <c r="V260" s="117">
        <v>1.0974519599999999</v>
      </c>
      <c r="W260" s="60">
        <v>2.7096451199999998</v>
      </c>
      <c r="X260" s="60">
        <v>3.9049817200000003</v>
      </c>
      <c r="Y260" s="60">
        <v>4.6989078400000004</v>
      </c>
      <c r="Z260" s="118">
        <v>5.4683083899999998</v>
      </c>
      <c r="AB260" s="79">
        <v>4.8803728355073912E-2</v>
      </c>
      <c r="AC260" s="79">
        <v>6.8438127788749067E-2</v>
      </c>
      <c r="AD260" s="79">
        <v>8.6387302234703742E-2</v>
      </c>
      <c r="AE260" s="79">
        <v>9.76006459036491E-2</v>
      </c>
      <c r="AF260" s="61">
        <v>0.10381105020031886</v>
      </c>
      <c r="AG260" s="79">
        <v>6.2614542550739087E-3</v>
      </c>
      <c r="AH260" s="79">
        <v>2.5262842488749049E-2</v>
      </c>
      <c r="AI260" s="79">
        <v>4.179029883470374E-2</v>
      </c>
      <c r="AJ260" s="79">
        <v>5.1355711503649107E-2</v>
      </c>
      <c r="AK260" s="61">
        <v>5.5994279600318872E-2</v>
      </c>
    </row>
    <row r="261" spans="2:37" x14ac:dyDescent="0.35">
      <c r="B261" s="54" t="s">
        <v>166</v>
      </c>
      <c r="C261" s="52" t="s">
        <v>232</v>
      </c>
      <c r="D261" s="52" t="s">
        <v>167</v>
      </c>
      <c r="E261" s="52" t="s">
        <v>234</v>
      </c>
      <c r="F261" s="72">
        <f t="shared" si="23"/>
        <v>5.6110539438972568E-2</v>
      </c>
      <c r="G261" s="59">
        <f t="shared" si="23"/>
        <v>6.9848285531668539E-2</v>
      </c>
      <c r="H261" s="59">
        <f t="shared" si="23"/>
        <v>7.4442897383012338E-2</v>
      </c>
      <c r="I261" s="59">
        <f t="shared" si="23"/>
        <v>7.6661156641729428E-2</v>
      </c>
      <c r="J261" s="62">
        <f t="shared" si="23"/>
        <v>7.9384905308176268E-2</v>
      </c>
      <c r="K261" s="59">
        <f t="shared" si="24"/>
        <v>1.2777186638972577E-2</v>
      </c>
      <c r="L261" s="59">
        <f t="shared" si="24"/>
        <v>2.6448446531668533E-2</v>
      </c>
      <c r="M261" s="59">
        <f t="shared" si="24"/>
        <v>3.0919771083012325E-2</v>
      </c>
      <c r="N261" s="59">
        <f t="shared" si="24"/>
        <v>3.2434355141729439E-2</v>
      </c>
      <c r="O261" s="62">
        <f t="shared" si="24"/>
        <v>3.3815705808176291E-2</v>
      </c>
      <c r="P261" s="54" t="s">
        <v>21</v>
      </c>
      <c r="Q261" s="52" t="s">
        <v>21</v>
      </c>
      <c r="R261" s="93" t="s">
        <v>21</v>
      </c>
      <c r="S261" s="70">
        <v>0</v>
      </c>
      <c r="T261" s="62">
        <f t="shared" si="20"/>
        <v>7.4442897383012338E-2</v>
      </c>
      <c r="V261" s="113">
        <v>1.08294807</v>
      </c>
      <c r="W261" s="71">
        <v>2.6714828400000004</v>
      </c>
      <c r="X261" s="71">
        <v>3.9731360100000002</v>
      </c>
      <c r="Y261" s="71">
        <v>5.0216936400000005</v>
      </c>
      <c r="Z261" s="114">
        <v>6.2357920199999999</v>
      </c>
      <c r="AB261" s="70">
        <v>5.6110539438972568E-2</v>
      </c>
      <c r="AC261" s="70">
        <v>6.9848285531668539E-2</v>
      </c>
      <c r="AD261" s="70">
        <v>7.4442897383012338E-2</v>
      </c>
      <c r="AE261" s="70">
        <v>7.6661156641729428E-2</v>
      </c>
      <c r="AF261" s="62">
        <v>7.9384905308176268E-2</v>
      </c>
      <c r="AG261" s="70">
        <v>1.2777186638972577E-2</v>
      </c>
      <c r="AH261" s="70">
        <v>2.6448446531668533E-2</v>
      </c>
      <c r="AI261" s="70">
        <v>3.0919771083012325E-2</v>
      </c>
      <c r="AJ261" s="70">
        <v>3.2434355141729439E-2</v>
      </c>
      <c r="AK261" s="62">
        <v>3.3815705808176291E-2</v>
      </c>
    </row>
    <row r="262" spans="2:37" x14ac:dyDescent="0.35">
      <c r="B262" s="54" t="s">
        <v>165</v>
      </c>
      <c r="C262" s="52" t="s">
        <v>232</v>
      </c>
      <c r="D262" s="52" t="s">
        <v>97</v>
      </c>
      <c r="E262" s="52" t="s">
        <v>565</v>
      </c>
      <c r="F262" s="72">
        <f t="shared" si="23"/>
        <v>4.4566842999955662E-2</v>
      </c>
      <c r="G262" s="59">
        <f t="shared" si="23"/>
        <v>5.9066669876029064E-2</v>
      </c>
      <c r="H262" s="59">
        <f t="shared" si="23"/>
        <v>7.1392646586730155E-2</v>
      </c>
      <c r="I262" s="59">
        <f t="shared" si="23"/>
        <v>7.6035645547631023E-2</v>
      </c>
      <c r="J262" s="62">
        <f t="shared" si="23"/>
        <v>8.0584935736327801E-2</v>
      </c>
      <c r="K262" s="59">
        <f t="shared" si="24"/>
        <v>2.3806424999556651E-3</v>
      </c>
      <c r="L262" s="59">
        <f t="shared" si="24"/>
        <v>1.6663542776029064E-2</v>
      </c>
      <c r="M262" s="59">
        <f t="shared" si="24"/>
        <v>2.8241762186730152E-2</v>
      </c>
      <c r="N262" s="59">
        <f t="shared" si="24"/>
        <v>3.197189704763103E-2</v>
      </c>
      <c r="O262" s="62">
        <f t="shared" si="24"/>
        <v>3.5050907336327798E-2</v>
      </c>
      <c r="P262" s="54" t="s">
        <v>21</v>
      </c>
      <c r="Q262" s="52" t="s">
        <v>21</v>
      </c>
      <c r="R262" s="93" t="s">
        <v>21</v>
      </c>
      <c r="S262" s="70">
        <v>0</v>
      </c>
      <c r="T262" s="62">
        <f t="shared" si="20"/>
        <v>7.1392646586730155E-2</v>
      </c>
      <c r="V262" s="113">
        <v>1.10712758</v>
      </c>
      <c r="W262" s="71">
        <v>2.7789521100000001</v>
      </c>
      <c r="X262" s="71">
        <v>4.1144985500000004</v>
      </c>
      <c r="Y262" s="71">
        <v>5.1487028199999996</v>
      </c>
      <c r="Z262" s="114">
        <v>6.3028767099999996</v>
      </c>
      <c r="AB262" s="70">
        <v>4.4566842999955662E-2</v>
      </c>
      <c r="AC262" s="70">
        <v>5.9066669876029064E-2</v>
      </c>
      <c r="AD262" s="70">
        <v>7.1392646586730155E-2</v>
      </c>
      <c r="AE262" s="70">
        <v>7.6035645547631023E-2</v>
      </c>
      <c r="AF262" s="62">
        <v>8.0584935736327801E-2</v>
      </c>
      <c r="AG262" s="70">
        <v>2.3806424999556651E-3</v>
      </c>
      <c r="AH262" s="70">
        <v>1.6663542776029064E-2</v>
      </c>
      <c r="AI262" s="70">
        <v>2.8241762186730152E-2</v>
      </c>
      <c r="AJ262" s="70">
        <v>3.197189704763103E-2</v>
      </c>
      <c r="AK262" s="62">
        <v>3.5050907336327798E-2</v>
      </c>
    </row>
    <row r="263" spans="2:37" x14ac:dyDescent="0.35">
      <c r="B263" s="54" t="s">
        <v>233</v>
      </c>
      <c r="C263" s="52" t="s">
        <v>232</v>
      </c>
      <c r="D263" s="52" t="s">
        <v>43</v>
      </c>
      <c r="E263" s="52" t="s">
        <v>116</v>
      </c>
      <c r="F263" s="72">
        <f t="shared" si="23"/>
        <v>4.3866541336833875E-2</v>
      </c>
      <c r="G263" s="59">
        <f t="shared" si="23"/>
        <v>5.4789125531088972E-2</v>
      </c>
      <c r="H263" s="59">
        <f t="shared" si="23"/>
        <v>6.6846469705417785E-2</v>
      </c>
      <c r="I263" s="59">
        <f t="shared" si="23"/>
        <v>7.3822460335152301E-2</v>
      </c>
      <c r="J263" s="62">
        <f t="shared" si="23"/>
        <v>7.8867230558054349E-2</v>
      </c>
      <c r="K263" s="59">
        <f t="shared" si="24"/>
        <v>1.7016527368338679E-3</v>
      </c>
      <c r="L263" s="59">
        <f t="shared" si="24"/>
        <v>1.2670492131088975E-2</v>
      </c>
      <c r="M263" s="59">
        <f t="shared" si="24"/>
        <v>2.4056862605417798E-2</v>
      </c>
      <c r="N263" s="59">
        <f t="shared" si="24"/>
        <v>2.9935900935152311E-2</v>
      </c>
      <c r="O263" s="62">
        <f t="shared" si="24"/>
        <v>3.3479526358054366E-2</v>
      </c>
      <c r="P263" s="54" t="s">
        <v>21</v>
      </c>
      <c r="Q263" s="52" t="s">
        <v>21</v>
      </c>
      <c r="R263" s="93" t="s">
        <v>21</v>
      </c>
      <c r="S263" s="70">
        <v>0</v>
      </c>
      <c r="T263" s="62">
        <f t="shared" si="20"/>
        <v>6.6846469705417785E-2</v>
      </c>
      <c r="V263" s="113">
        <v>1.1089853599999999</v>
      </c>
      <c r="W263" s="71">
        <v>2.8114156299999999</v>
      </c>
      <c r="X263" s="71">
        <v>4.1934532200000003</v>
      </c>
      <c r="Y263" s="71">
        <v>5.2531942100000002</v>
      </c>
      <c r="Z263" s="114">
        <v>6.4235689900000006</v>
      </c>
      <c r="AB263" s="70">
        <v>4.3866541336833875E-2</v>
      </c>
      <c r="AC263" s="70">
        <v>5.4789125531088972E-2</v>
      </c>
      <c r="AD263" s="70">
        <v>6.6846469705417785E-2</v>
      </c>
      <c r="AE263" s="70">
        <v>7.3822460335152301E-2</v>
      </c>
      <c r="AF263" s="62">
        <v>7.8867230558054349E-2</v>
      </c>
      <c r="AG263" s="70">
        <v>1.7016527368338679E-3</v>
      </c>
      <c r="AH263" s="70">
        <v>1.2670492131088975E-2</v>
      </c>
      <c r="AI263" s="70">
        <v>2.4056862605417798E-2</v>
      </c>
      <c r="AJ263" s="70">
        <v>2.9935900935152311E-2</v>
      </c>
      <c r="AK263" s="62">
        <v>3.3479526358054366E-2</v>
      </c>
    </row>
    <row r="264" spans="2:37" x14ac:dyDescent="0.35">
      <c r="B264" s="54" t="s">
        <v>161</v>
      </c>
      <c r="C264" s="52" t="s">
        <v>232</v>
      </c>
      <c r="D264" s="52" t="s">
        <v>97</v>
      </c>
      <c r="E264" s="52" t="s">
        <v>566</v>
      </c>
      <c r="F264" s="72">
        <f t="shared" si="23"/>
        <v>4.3034480501980818E-2</v>
      </c>
      <c r="G264" s="59">
        <f t="shared" si="23"/>
        <v>5.3938689418287111E-2</v>
      </c>
      <c r="H264" s="59">
        <f t="shared" si="23"/>
        <v>6.3182735143470073E-2</v>
      </c>
      <c r="I264" s="59">
        <f t="shared" si="23"/>
        <v>6.8826749876510093E-2</v>
      </c>
      <c r="J264" s="62">
        <f t="shared" si="23"/>
        <v>7.3838364113404734E-2</v>
      </c>
      <c r="K264" s="59">
        <f t="shared" si="24"/>
        <v>9.0303790198081706E-4</v>
      </c>
      <c r="L264" s="59">
        <f t="shared" si="24"/>
        <v>1.1868862818287107E-2</v>
      </c>
      <c r="M264" s="59">
        <f t="shared" si="24"/>
        <v>2.0674521143470081E-2</v>
      </c>
      <c r="N264" s="59">
        <f t="shared" si="24"/>
        <v>2.5343791176510103E-2</v>
      </c>
      <c r="O264" s="62">
        <f t="shared" si="24"/>
        <v>2.8836430113404719E-2</v>
      </c>
      <c r="P264" s="54" t="s">
        <v>567</v>
      </c>
      <c r="Q264" s="52" t="s">
        <v>568</v>
      </c>
      <c r="R264" s="93">
        <v>47542</v>
      </c>
      <c r="S264" s="70">
        <v>5.4138719999999994E-2</v>
      </c>
      <c r="T264" s="62">
        <f t="shared" si="20"/>
        <v>9.0440151434700786E-3</v>
      </c>
      <c r="V264" s="113">
        <v>1.1109102100000001</v>
      </c>
      <c r="W264" s="71">
        <v>2.8139274300000001</v>
      </c>
      <c r="X264" s="71">
        <v>4.2340459199999998</v>
      </c>
      <c r="Y264" s="71">
        <v>5.3613146299999999</v>
      </c>
      <c r="Z264" s="114">
        <v>6.6356659499999999</v>
      </c>
      <c r="AB264" s="70">
        <v>4.3034480501980818E-2</v>
      </c>
      <c r="AC264" s="70">
        <v>5.3938689418287111E-2</v>
      </c>
      <c r="AD264" s="70">
        <v>6.3182735143470073E-2</v>
      </c>
      <c r="AE264" s="70">
        <v>6.8826749876510093E-2</v>
      </c>
      <c r="AF264" s="62">
        <v>7.3838364113404734E-2</v>
      </c>
      <c r="AG264" s="70">
        <v>9.0303790198081706E-4</v>
      </c>
      <c r="AH264" s="70">
        <v>1.1868862818287107E-2</v>
      </c>
      <c r="AI264" s="70">
        <v>2.0674521143470081E-2</v>
      </c>
      <c r="AJ264" s="70">
        <v>2.5343791176510103E-2</v>
      </c>
      <c r="AK264" s="62">
        <v>2.8836430113404719E-2</v>
      </c>
    </row>
    <row r="265" spans="2:37" x14ac:dyDescent="0.35">
      <c r="B265" s="54" t="s">
        <v>173</v>
      </c>
      <c r="C265" s="52" t="s">
        <v>232</v>
      </c>
      <c r="D265" s="52" t="s">
        <v>43</v>
      </c>
      <c r="E265" s="52" t="s">
        <v>569</v>
      </c>
      <c r="F265" s="72">
        <f t="shared" si="23"/>
        <v>4.6906579075877655E-2</v>
      </c>
      <c r="G265" s="59">
        <f t="shared" si="23"/>
        <v>5.4140890312507753E-2</v>
      </c>
      <c r="H265" s="59">
        <f t="shared" si="23"/>
        <v>6.0767274764355617E-2</v>
      </c>
      <c r="I265" s="59">
        <f t="shared" si="23"/>
        <v>6.593630022415374E-2</v>
      </c>
      <c r="J265" s="62">
        <f t="shared" si="23"/>
        <v>7.16648237096605E-2</v>
      </c>
      <c r="K265" s="59">
        <f t="shared" si="24"/>
        <v>4.4958009758776576E-3</v>
      </c>
      <c r="L265" s="59">
        <f t="shared" si="24"/>
        <v>1.2047849512507758E-2</v>
      </c>
      <c r="M265" s="59">
        <f t="shared" si="24"/>
        <v>1.8426053164355603E-2</v>
      </c>
      <c r="N265" s="59">
        <f t="shared" si="24"/>
        <v>2.2661413624153744E-2</v>
      </c>
      <c r="O265" s="62">
        <f t="shared" si="24"/>
        <v>2.6803985009660497E-2</v>
      </c>
      <c r="P265" s="54" t="s">
        <v>21</v>
      </c>
      <c r="Q265" s="52" t="s">
        <v>21</v>
      </c>
      <c r="R265" s="93" t="s">
        <v>21</v>
      </c>
      <c r="S265" s="70">
        <v>0</v>
      </c>
      <c r="T265" s="62">
        <f t="shared" si="20"/>
        <v>6.0767274764355617E-2</v>
      </c>
      <c r="V265" s="113">
        <v>1.10200111</v>
      </c>
      <c r="W265" s="71">
        <v>2.80271874</v>
      </c>
      <c r="X265" s="71">
        <v>4.2466644799999997</v>
      </c>
      <c r="Y265" s="71">
        <v>5.4129563200000002</v>
      </c>
      <c r="Z265" s="114">
        <v>6.7372255399999998</v>
      </c>
      <c r="AB265" s="70">
        <v>4.6906579075877655E-2</v>
      </c>
      <c r="AC265" s="70">
        <v>5.4140890312507753E-2</v>
      </c>
      <c r="AD265" s="70">
        <v>6.0767274764355617E-2</v>
      </c>
      <c r="AE265" s="70">
        <v>6.593630022415374E-2</v>
      </c>
      <c r="AF265" s="62">
        <v>7.16648237096605E-2</v>
      </c>
      <c r="AG265" s="70">
        <v>4.4958009758776576E-3</v>
      </c>
      <c r="AH265" s="70">
        <v>1.2047849512507758E-2</v>
      </c>
      <c r="AI265" s="70">
        <v>1.8426053164355603E-2</v>
      </c>
      <c r="AJ265" s="70">
        <v>2.2661413624153744E-2</v>
      </c>
      <c r="AK265" s="62">
        <v>2.6803985009660497E-2</v>
      </c>
    </row>
    <row r="266" spans="2:37" x14ac:dyDescent="0.35">
      <c r="B266" s="54" t="s">
        <v>172</v>
      </c>
      <c r="C266" s="52" t="s">
        <v>232</v>
      </c>
      <c r="D266" s="52" t="s">
        <v>43</v>
      </c>
      <c r="E266" s="52" t="s">
        <v>140</v>
      </c>
      <c r="F266" s="72">
        <f t="shared" si="23"/>
        <v>4.3510657630776023E-2</v>
      </c>
      <c r="G266" s="59">
        <f t="shared" si="23"/>
        <v>5.1998448275141704E-2</v>
      </c>
      <c r="H266" s="59">
        <f t="shared" si="23"/>
        <v>6.0556339056342404E-2</v>
      </c>
      <c r="I266" s="59">
        <f t="shared" si="23"/>
        <v>6.6065410318931747E-2</v>
      </c>
      <c r="J266" s="62">
        <f t="shared" si="23"/>
        <v>7.0517482045017621E-2</v>
      </c>
      <c r="K266" s="59">
        <f t="shared" si="24"/>
        <v>1.3660569307760162E-3</v>
      </c>
      <c r="L266" s="59">
        <f t="shared" si="24"/>
        <v>1.00513376751417E-2</v>
      </c>
      <c r="M266" s="59">
        <f t="shared" si="24"/>
        <v>1.8241064156342409E-2</v>
      </c>
      <c r="N266" s="59">
        <f t="shared" si="24"/>
        <v>2.2791548718931735E-2</v>
      </c>
      <c r="O266" s="62">
        <f t="shared" si="24"/>
        <v>2.5754002445017618E-2</v>
      </c>
      <c r="P266" s="54" t="s">
        <v>570</v>
      </c>
      <c r="Q266" s="52" t="s">
        <v>571</v>
      </c>
      <c r="R266" s="93">
        <v>47535</v>
      </c>
      <c r="S266" s="70">
        <v>5.0263519999999999E-2</v>
      </c>
      <c r="T266" s="62">
        <f t="shared" si="20"/>
        <v>1.0292819056342405E-2</v>
      </c>
      <c r="V266" s="113">
        <v>1.1098624099999999</v>
      </c>
      <c r="W266" s="71">
        <v>2.82855005</v>
      </c>
      <c r="X266" s="71">
        <v>4.27588816</v>
      </c>
      <c r="Y266" s="71">
        <v>5.43748626</v>
      </c>
      <c r="Z266" s="114">
        <v>6.7796036000000006</v>
      </c>
      <c r="AB266" s="70">
        <v>4.3510657630776023E-2</v>
      </c>
      <c r="AC266" s="70">
        <v>5.1998448275141704E-2</v>
      </c>
      <c r="AD266" s="70">
        <v>6.0556339056342404E-2</v>
      </c>
      <c r="AE266" s="70">
        <v>6.6065410318931747E-2</v>
      </c>
      <c r="AF266" s="62">
        <v>7.0517482045017621E-2</v>
      </c>
      <c r="AG266" s="70">
        <v>1.3660569307760162E-3</v>
      </c>
      <c r="AH266" s="70">
        <v>1.00513376751417E-2</v>
      </c>
      <c r="AI266" s="70">
        <v>1.8241064156342409E-2</v>
      </c>
      <c r="AJ266" s="70">
        <v>2.2791548718931735E-2</v>
      </c>
      <c r="AK266" s="62">
        <v>2.5754002445017618E-2</v>
      </c>
    </row>
    <row r="267" spans="2:37" x14ac:dyDescent="0.35">
      <c r="B267" s="54" t="s">
        <v>170</v>
      </c>
      <c r="C267" s="52" t="s">
        <v>232</v>
      </c>
      <c r="D267" s="52" t="s">
        <v>31</v>
      </c>
      <c r="E267" s="52" t="s">
        <v>572</v>
      </c>
      <c r="F267" s="72">
        <f t="shared" si="23"/>
        <v>4.2370864814925857E-2</v>
      </c>
      <c r="G267" s="59">
        <f t="shared" si="23"/>
        <v>5.1002203034234875E-2</v>
      </c>
      <c r="H267" s="59">
        <f t="shared" si="23"/>
        <v>6.0289764151403143E-2</v>
      </c>
      <c r="I267" s="59">
        <f t="shared" si="23"/>
        <v>6.7228481739931067E-2</v>
      </c>
      <c r="J267" s="62">
        <f t="shared" si="23"/>
        <v>7.3308054791868346E-2</v>
      </c>
      <c r="K267" s="59">
        <f t="shared" si="24"/>
        <v>2.8029351492586153E-4</v>
      </c>
      <c r="L267" s="59">
        <f t="shared" si="24"/>
        <v>9.1112728342348809E-3</v>
      </c>
      <c r="M267" s="59">
        <f t="shared" si="24"/>
        <v>1.7992450551403152E-2</v>
      </c>
      <c r="N267" s="59">
        <f t="shared" si="24"/>
        <v>2.3868718539931073E-2</v>
      </c>
      <c r="O267" s="62">
        <f t="shared" si="24"/>
        <v>2.8351193691868337E-2</v>
      </c>
      <c r="P267" s="54" t="s">
        <v>573</v>
      </c>
      <c r="Q267" s="52" t="s">
        <v>574</v>
      </c>
      <c r="R267" s="93">
        <v>47664</v>
      </c>
      <c r="S267" s="70">
        <v>5.2854140000000001E-2</v>
      </c>
      <c r="T267" s="62">
        <f t="shared" si="20"/>
        <v>7.4356241514031418E-3</v>
      </c>
      <c r="V267" s="113">
        <v>1.1120911600000001</v>
      </c>
      <c r="W267" s="71">
        <v>2.8385599099999999</v>
      </c>
      <c r="X267" s="71">
        <v>4.2895756</v>
      </c>
      <c r="Y267" s="71">
        <v>5.4350030299999998</v>
      </c>
      <c r="Z267" s="114">
        <v>6.7119839700000004</v>
      </c>
      <c r="AB267" s="70">
        <v>4.2370864814925857E-2</v>
      </c>
      <c r="AC267" s="70">
        <v>5.1002203034234875E-2</v>
      </c>
      <c r="AD267" s="70">
        <v>6.0289764151403143E-2</v>
      </c>
      <c r="AE267" s="70">
        <v>6.7228481739931067E-2</v>
      </c>
      <c r="AF267" s="62">
        <v>7.3308054791868346E-2</v>
      </c>
      <c r="AG267" s="70">
        <v>2.8029351492586153E-4</v>
      </c>
      <c r="AH267" s="70">
        <v>9.1112728342348809E-3</v>
      </c>
      <c r="AI267" s="70">
        <v>1.7992450551403152E-2</v>
      </c>
      <c r="AJ267" s="70">
        <v>2.3868718539931073E-2</v>
      </c>
      <c r="AK267" s="62">
        <v>2.8351193691868337E-2</v>
      </c>
    </row>
    <row r="268" spans="2:37" x14ac:dyDescent="0.35">
      <c r="B268" s="54" t="s">
        <v>129</v>
      </c>
      <c r="C268" s="52" t="s">
        <v>232</v>
      </c>
      <c r="D268" s="52" t="s">
        <v>62</v>
      </c>
      <c r="E268" s="52" t="s">
        <v>286</v>
      </c>
      <c r="F268" s="72">
        <f t="shared" si="23"/>
        <v>4.3897788239532221E-2</v>
      </c>
      <c r="G268" s="59">
        <f t="shared" si="23"/>
        <v>5.2655763152072828E-2</v>
      </c>
      <c r="H268" s="59">
        <f t="shared" si="23"/>
        <v>5.9639673773351116E-2</v>
      </c>
      <c r="I268" s="59">
        <f t="shared" si="23"/>
        <v>6.4314141756273049E-2</v>
      </c>
      <c r="J268" s="62">
        <f t="shared" si="23"/>
        <v>6.8434264484407897E-2</v>
      </c>
      <c r="K268" s="59">
        <f t="shared" si="24"/>
        <v>1.7294452395322157E-3</v>
      </c>
      <c r="L268" s="59">
        <f t="shared" si="24"/>
        <v>1.0670221452072828E-2</v>
      </c>
      <c r="M268" s="59">
        <f t="shared" si="24"/>
        <v>1.7387693273351122E-2</v>
      </c>
      <c r="N268" s="59">
        <f t="shared" si="24"/>
        <v>2.1165595456273039E-2</v>
      </c>
      <c r="O268" s="62">
        <f t="shared" si="24"/>
        <v>2.3805514484407903E-2</v>
      </c>
      <c r="P268" s="54" t="s">
        <v>21</v>
      </c>
      <c r="Q268" s="52" t="s">
        <v>21</v>
      </c>
      <c r="R268" s="93" t="s">
        <v>21</v>
      </c>
      <c r="S268" s="70">
        <v>0</v>
      </c>
      <c r="T268" s="62">
        <f t="shared" si="20"/>
        <v>5.9639673773351116E-2</v>
      </c>
      <c r="V268" s="113">
        <v>1.1089199599999999</v>
      </c>
      <c r="W268" s="71">
        <v>2.82180724</v>
      </c>
      <c r="X268" s="71">
        <v>4.2775264700000006</v>
      </c>
      <c r="Y268" s="71">
        <v>5.4642224800000001</v>
      </c>
      <c r="Z268" s="114">
        <v>6.8560129200000004</v>
      </c>
      <c r="AB268" s="70">
        <v>4.3897788239532221E-2</v>
      </c>
      <c r="AC268" s="70">
        <v>5.2655763152072828E-2</v>
      </c>
      <c r="AD268" s="70">
        <v>5.9639673773351116E-2</v>
      </c>
      <c r="AE268" s="70">
        <v>6.4314141756273049E-2</v>
      </c>
      <c r="AF268" s="62">
        <v>6.8434264484407897E-2</v>
      </c>
      <c r="AG268" s="70">
        <v>1.7294452395322157E-3</v>
      </c>
      <c r="AH268" s="70">
        <v>1.0670221452072828E-2</v>
      </c>
      <c r="AI268" s="70">
        <v>1.7387693273351122E-2</v>
      </c>
      <c r="AJ268" s="70">
        <v>2.1165595456273039E-2</v>
      </c>
      <c r="AK268" s="62">
        <v>2.3805514484407903E-2</v>
      </c>
    </row>
    <row r="269" spans="2:37" x14ac:dyDescent="0.35">
      <c r="B269" s="54" t="s">
        <v>407</v>
      </c>
      <c r="C269" s="52" t="s">
        <v>232</v>
      </c>
      <c r="D269" s="52" t="s">
        <v>20</v>
      </c>
      <c r="E269" s="52" t="s">
        <v>48</v>
      </c>
      <c r="F269" s="72">
        <f t="shared" si="23"/>
        <v>4.2201483378010718E-2</v>
      </c>
      <c r="G269" s="59">
        <f t="shared" si="23"/>
        <v>5.087903941242336E-2</v>
      </c>
      <c r="H269" s="59">
        <f t="shared" si="23"/>
        <v>5.8024865992901978E-2</v>
      </c>
      <c r="I269" s="59">
        <f t="shared" si="23"/>
        <v>6.344558049989682E-2</v>
      </c>
      <c r="J269" s="62">
        <f t="shared" si="23"/>
        <v>6.6870007742772103E-2</v>
      </c>
      <c r="K269" s="59">
        <f t="shared" si="24"/>
        <v>9.8171178010713137E-5</v>
      </c>
      <c r="L269" s="59">
        <f t="shared" si="24"/>
        <v>8.9858646124233582E-3</v>
      </c>
      <c r="M269" s="59">
        <f t="shared" si="24"/>
        <v>1.5875595792901976E-2</v>
      </c>
      <c r="N269" s="59">
        <f t="shared" si="24"/>
        <v>2.0359092499896835E-2</v>
      </c>
      <c r="O269" s="62">
        <f t="shared" si="24"/>
        <v>2.2354098342772095E-2</v>
      </c>
      <c r="P269" s="54" t="s">
        <v>409</v>
      </c>
      <c r="Q269" s="52" t="s">
        <v>410</v>
      </c>
      <c r="R269" s="93">
        <v>47771</v>
      </c>
      <c r="S269" s="70">
        <v>5.5013949999999999E-2</v>
      </c>
      <c r="T269" s="62">
        <f t="shared" si="20"/>
        <v>3.0109159929019788E-3</v>
      </c>
      <c r="V269" s="113">
        <v>1.1125048399999999</v>
      </c>
      <c r="W269" s="71">
        <v>2.8384929900000002</v>
      </c>
      <c r="X269" s="71">
        <v>4.3135251100000005</v>
      </c>
      <c r="Y269" s="71">
        <v>5.5109064399999994</v>
      </c>
      <c r="Z269" s="114">
        <v>6.9317565799999992</v>
      </c>
      <c r="AB269" s="70">
        <v>4.2201483378010718E-2</v>
      </c>
      <c r="AC269" s="70">
        <v>5.087903941242336E-2</v>
      </c>
      <c r="AD269" s="70">
        <v>5.8024865992901978E-2</v>
      </c>
      <c r="AE269" s="70">
        <v>6.344558049989682E-2</v>
      </c>
      <c r="AF269" s="62">
        <v>6.6870007742772103E-2</v>
      </c>
      <c r="AG269" s="70">
        <v>9.8171178010713137E-5</v>
      </c>
      <c r="AH269" s="70">
        <v>8.9858646124233582E-3</v>
      </c>
      <c r="AI269" s="70">
        <v>1.5875595792901976E-2</v>
      </c>
      <c r="AJ269" s="70">
        <v>2.0359092499896835E-2</v>
      </c>
      <c r="AK269" s="62">
        <v>2.2354098342772095E-2</v>
      </c>
    </row>
    <row r="270" spans="2:37" x14ac:dyDescent="0.35">
      <c r="B270" s="54" t="s">
        <v>163</v>
      </c>
      <c r="C270" s="52" t="s">
        <v>232</v>
      </c>
      <c r="D270" s="52" t="s">
        <v>47</v>
      </c>
      <c r="E270" s="52" t="s">
        <v>575</v>
      </c>
      <c r="F270" s="72">
        <f t="shared" si="23"/>
        <v>4.2536878669893641E-2</v>
      </c>
      <c r="G270" s="59">
        <f t="shared" si="23"/>
        <v>4.991724639866349E-2</v>
      </c>
      <c r="H270" s="59">
        <f t="shared" si="23"/>
        <v>5.6734573559077101E-2</v>
      </c>
      <c r="I270" s="59">
        <f t="shared" si="23"/>
        <v>6.2118590485440994E-2</v>
      </c>
      <c r="J270" s="62">
        <f t="shared" si="23"/>
        <v>6.7405649479651344E-2</v>
      </c>
      <c r="K270" s="59">
        <f t="shared" si="24"/>
        <v>4.4291996989363758E-4</v>
      </c>
      <c r="L270" s="59">
        <f t="shared" si="24"/>
        <v>8.0902604986634891E-3</v>
      </c>
      <c r="M270" s="59">
        <f t="shared" si="24"/>
        <v>1.4674301459077107E-2</v>
      </c>
      <c r="N270" s="59">
        <f t="shared" si="24"/>
        <v>1.9124525085440987E-2</v>
      </c>
      <c r="O270" s="62">
        <f t="shared" si="24"/>
        <v>2.2852965479651349E-2</v>
      </c>
      <c r="P270" s="54" t="s">
        <v>21</v>
      </c>
      <c r="Q270" s="52" t="s">
        <v>21</v>
      </c>
      <c r="R270" s="93" t="s">
        <v>21</v>
      </c>
      <c r="S270" s="70">
        <v>0</v>
      </c>
      <c r="T270" s="62">
        <f t="shared" si="20"/>
        <v>5.6734573559077101E-2</v>
      </c>
      <c r="V270" s="113">
        <v>1.1117579900000001</v>
      </c>
      <c r="W270" s="71">
        <v>2.8442908400000002</v>
      </c>
      <c r="X270" s="71">
        <v>4.3324200299999998</v>
      </c>
      <c r="Y270" s="71">
        <v>5.5481906199999997</v>
      </c>
      <c r="Z270" s="114">
        <v>6.9572082899999996</v>
      </c>
      <c r="AB270" s="70">
        <v>4.2536878669893641E-2</v>
      </c>
      <c r="AC270" s="70">
        <v>4.991724639866349E-2</v>
      </c>
      <c r="AD270" s="70">
        <v>5.6734573559077101E-2</v>
      </c>
      <c r="AE270" s="70">
        <v>6.2118590485440994E-2</v>
      </c>
      <c r="AF270" s="62">
        <v>6.7405649479651344E-2</v>
      </c>
      <c r="AG270" s="70">
        <v>4.4291996989363758E-4</v>
      </c>
      <c r="AH270" s="70">
        <v>8.0902604986634891E-3</v>
      </c>
      <c r="AI270" s="70">
        <v>1.4674301459077107E-2</v>
      </c>
      <c r="AJ270" s="70">
        <v>1.9124525085440987E-2</v>
      </c>
      <c r="AK270" s="62">
        <v>2.2852965479651349E-2</v>
      </c>
    </row>
    <row r="271" spans="2:37" x14ac:dyDescent="0.35">
      <c r="B271" s="54" t="s">
        <v>164</v>
      </c>
      <c r="C271" s="52" t="s">
        <v>232</v>
      </c>
      <c r="D271" s="52" t="s">
        <v>43</v>
      </c>
      <c r="E271" s="52" t="s">
        <v>291</v>
      </c>
      <c r="F271" s="72">
        <f t="shared" si="23"/>
        <v>4.1964680932310011E-2</v>
      </c>
      <c r="G271" s="59">
        <f t="shared" si="23"/>
        <v>4.9489195913964334E-2</v>
      </c>
      <c r="H271" s="59">
        <f t="shared" si="23"/>
        <v>5.6029690799606152E-2</v>
      </c>
      <c r="I271" s="59">
        <f t="shared" si="23"/>
        <v>5.9280153494891581E-2</v>
      </c>
      <c r="J271" s="62">
        <f t="shared" si="23"/>
        <v>6.2090010827991142E-2</v>
      </c>
      <c r="K271" s="59" t="str">
        <f t="shared" si="24"/>
        <v/>
      </c>
      <c r="L271" s="59">
        <f t="shared" si="24"/>
        <v>7.6783009139643355E-3</v>
      </c>
      <c r="M271" s="59">
        <f t="shared" si="24"/>
        <v>1.4007709399606164E-2</v>
      </c>
      <c r="N271" s="59">
        <f t="shared" si="24"/>
        <v>1.6464094594891572E-2</v>
      </c>
      <c r="O271" s="62">
        <f t="shared" si="24"/>
        <v>1.7849574227991147E-2</v>
      </c>
      <c r="P271" s="54" t="s">
        <v>21</v>
      </c>
      <c r="Q271" s="52" t="s">
        <v>21</v>
      </c>
      <c r="R271" s="93" t="s">
        <v>21</v>
      </c>
      <c r="S271" s="70">
        <v>0</v>
      </c>
      <c r="T271" s="62">
        <f t="shared" si="20"/>
        <v>5.6029690799606152E-2</v>
      </c>
      <c r="V271" s="113">
        <v>1.1129296</v>
      </c>
      <c r="W271" s="71">
        <v>2.84880522</v>
      </c>
      <c r="X271" s="71">
        <v>4.3451718799999997</v>
      </c>
      <c r="Y271" s="71">
        <v>5.5973523400000005</v>
      </c>
      <c r="Z271" s="114">
        <v>7.1331270500000006</v>
      </c>
      <c r="AB271" s="70">
        <v>4.1964680932310011E-2</v>
      </c>
      <c r="AC271" s="70">
        <v>4.9489195913964334E-2</v>
      </c>
      <c r="AD271" s="70">
        <v>5.6029690799606152E-2</v>
      </c>
      <c r="AE271" s="70">
        <v>5.9280153494891581E-2</v>
      </c>
      <c r="AF271" s="62">
        <v>6.2090010827991142E-2</v>
      </c>
      <c r="AG271" s="70" t="s">
        <v>21</v>
      </c>
      <c r="AH271" s="70">
        <v>7.6783009139643355E-3</v>
      </c>
      <c r="AI271" s="70">
        <v>1.4007709399606164E-2</v>
      </c>
      <c r="AJ271" s="70">
        <v>1.6464094594891572E-2</v>
      </c>
      <c r="AK271" s="62">
        <v>1.7849574227991147E-2</v>
      </c>
    </row>
    <row r="272" spans="2:37" x14ac:dyDescent="0.35">
      <c r="B272" s="54" t="s">
        <v>168</v>
      </c>
      <c r="C272" s="52" t="s">
        <v>232</v>
      </c>
      <c r="D272" s="52" t="s">
        <v>20</v>
      </c>
      <c r="E272" s="52" t="s">
        <v>408</v>
      </c>
      <c r="F272" s="72">
        <f t="shared" si="23"/>
        <v>4.5925840556176739E-2</v>
      </c>
      <c r="G272" s="59">
        <f t="shared" si="23"/>
        <v>5.6009300660639805E-2</v>
      </c>
      <c r="H272" s="59">
        <f t="shared" si="23"/>
        <v>6.5614648850285603E-2</v>
      </c>
      <c r="I272" s="59">
        <f t="shared" si="23"/>
        <v>7.0634609959192393E-2</v>
      </c>
      <c r="J272" s="62">
        <f t="shared" si="23"/>
        <v>7.56072452411886E-2</v>
      </c>
      <c r="K272" s="59">
        <f t="shared" si="24"/>
        <v>3.6217886561767448E-3</v>
      </c>
      <c r="L272" s="59">
        <f t="shared" si="24"/>
        <v>1.3809386760639804E-2</v>
      </c>
      <c r="M272" s="59">
        <f t="shared" si="24"/>
        <v>2.2925629350285609E-2</v>
      </c>
      <c r="N272" s="59">
        <f t="shared" si="24"/>
        <v>2.7015499059192396E-2</v>
      </c>
      <c r="O272" s="62">
        <f t="shared" si="24"/>
        <v>3.0467805541188608E-2</v>
      </c>
      <c r="P272" s="54" t="s">
        <v>474</v>
      </c>
      <c r="Q272" s="52" t="s">
        <v>475</v>
      </c>
      <c r="R272" s="93">
        <v>47505</v>
      </c>
      <c r="S272" s="70">
        <v>6.150423E-2</v>
      </c>
      <c r="T272" s="62">
        <f t="shared" si="20"/>
        <v>4.1104188502856034E-3</v>
      </c>
      <c r="V272" s="113">
        <v>1.1040500799999999</v>
      </c>
      <c r="W272" s="71">
        <v>2.7930866499999998</v>
      </c>
      <c r="X272" s="71">
        <v>4.1915596500000003</v>
      </c>
      <c r="Y272" s="71">
        <v>5.2861023500000002</v>
      </c>
      <c r="Z272" s="114">
        <v>6.5327139899999995</v>
      </c>
      <c r="AB272" s="70">
        <v>4.5925840556176739E-2</v>
      </c>
      <c r="AC272" s="70">
        <v>5.6009300660639805E-2</v>
      </c>
      <c r="AD272" s="70">
        <v>6.5614648850285603E-2</v>
      </c>
      <c r="AE272" s="70">
        <v>7.0634609959192393E-2</v>
      </c>
      <c r="AF272" s="62">
        <v>7.56072452411886E-2</v>
      </c>
      <c r="AG272" s="70">
        <v>3.6217886561767448E-3</v>
      </c>
      <c r="AH272" s="70">
        <v>1.3809386760639804E-2</v>
      </c>
      <c r="AI272" s="70">
        <v>2.2925629350285609E-2</v>
      </c>
      <c r="AJ272" s="70">
        <v>2.7015499059192396E-2</v>
      </c>
      <c r="AK272" s="62">
        <v>3.0467805541188608E-2</v>
      </c>
    </row>
    <row r="273" spans="2:37" x14ac:dyDescent="0.35">
      <c r="B273" s="54" t="s">
        <v>168</v>
      </c>
      <c r="C273" s="52" t="s">
        <v>232</v>
      </c>
      <c r="D273" s="52" t="s">
        <v>20</v>
      </c>
      <c r="E273" s="52" t="s">
        <v>576</v>
      </c>
      <c r="F273" s="72">
        <f t="shared" si="23"/>
        <v>4.5925840556176739E-2</v>
      </c>
      <c r="G273" s="59">
        <f t="shared" si="23"/>
        <v>5.6009300660639805E-2</v>
      </c>
      <c r="H273" s="59">
        <f t="shared" si="23"/>
        <v>6.5614648850285603E-2</v>
      </c>
      <c r="I273" s="59">
        <f t="shared" si="23"/>
        <v>7.0634609959192393E-2</v>
      </c>
      <c r="J273" s="62">
        <f t="shared" si="23"/>
        <v>7.56072452411886E-2</v>
      </c>
      <c r="K273" s="59">
        <f t="shared" si="24"/>
        <v>3.6217886561767448E-3</v>
      </c>
      <c r="L273" s="59">
        <f t="shared" si="24"/>
        <v>1.3809386760639804E-2</v>
      </c>
      <c r="M273" s="59">
        <f t="shared" si="24"/>
        <v>2.2925629350285609E-2</v>
      </c>
      <c r="N273" s="59">
        <f t="shared" si="24"/>
        <v>2.7015499059192396E-2</v>
      </c>
      <c r="O273" s="62">
        <f t="shared" si="24"/>
        <v>3.0467805541188608E-2</v>
      </c>
      <c r="P273" s="54" t="s">
        <v>474</v>
      </c>
      <c r="Q273" s="52" t="s">
        <v>475</v>
      </c>
      <c r="R273" s="93">
        <v>47505</v>
      </c>
      <c r="S273" s="70">
        <v>6.150423E-2</v>
      </c>
      <c r="T273" s="62">
        <f t="shared" si="20"/>
        <v>4.1104188502856034E-3</v>
      </c>
      <c r="V273" s="113">
        <v>1.1040500799999999</v>
      </c>
      <c r="W273" s="71">
        <v>2.7930866499999998</v>
      </c>
      <c r="X273" s="71">
        <v>4.1915596500000003</v>
      </c>
      <c r="Y273" s="71">
        <v>5.2861023500000002</v>
      </c>
      <c r="Z273" s="114">
        <v>6.5327139899999995</v>
      </c>
      <c r="AB273" s="70">
        <v>4.5925840556176739E-2</v>
      </c>
      <c r="AC273" s="70">
        <v>5.6009300660639805E-2</v>
      </c>
      <c r="AD273" s="70">
        <v>6.5614648850285603E-2</v>
      </c>
      <c r="AE273" s="70">
        <v>7.0634609959192393E-2</v>
      </c>
      <c r="AF273" s="62">
        <v>7.56072452411886E-2</v>
      </c>
      <c r="AG273" s="70">
        <v>3.6217886561767448E-3</v>
      </c>
      <c r="AH273" s="70">
        <v>1.3809386760639804E-2</v>
      </c>
      <c r="AI273" s="70">
        <v>2.2925629350285609E-2</v>
      </c>
      <c r="AJ273" s="70">
        <v>2.7015499059192396E-2</v>
      </c>
      <c r="AK273" s="62">
        <v>3.0467805541188608E-2</v>
      </c>
    </row>
    <row r="274" spans="2:37" x14ac:dyDescent="0.35">
      <c r="B274" s="54" t="s">
        <v>117</v>
      </c>
      <c r="C274" s="52" t="s">
        <v>232</v>
      </c>
      <c r="D274" s="52" t="s">
        <v>31</v>
      </c>
      <c r="E274" s="52" t="s">
        <v>123</v>
      </c>
      <c r="F274" s="72">
        <f t="shared" si="23"/>
        <v>4.121453537244061E-2</v>
      </c>
      <c r="G274" s="59">
        <f t="shared" si="23"/>
        <v>4.9440053229824386E-2</v>
      </c>
      <c r="H274" s="59">
        <f t="shared" si="23"/>
        <v>5.3162183014850505E-2</v>
      </c>
      <c r="I274" s="59">
        <f t="shared" si="23"/>
        <v>5.6437511755558729E-2</v>
      </c>
      <c r="J274" s="62">
        <f t="shared" si="23"/>
        <v>5.9345279939015221E-2</v>
      </c>
      <c r="K274" s="59" t="str">
        <f t="shared" si="24"/>
        <v/>
      </c>
      <c r="L274" s="59">
        <f t="shared" si="24"/>
        <v>7.636336529824388E-3</v>
      </c>
      <c r="M274" s="59">
        <f t="shared" si="24"/>
        <v>1.1307639114850509E-2</v>
      </c>
      <c r="N274" s="59">
        <f t="shared" si="24"/>
        <v>1.3788202655558723E-2</v>
      </c>
      <c r="O274" s="62">
        <f t="shared" si="24"/>
        <v>1.5248820439015213E-2</v>
      </c>
      <c r="P274" s="54" t="s">
        <v>21</v>
      </c>
      <c r="Q274" s="52" t="s">
        <v>21</v>
      </c>
      <c r="R274" s="93" t="s">
        <v>21</v>
      </c>
      <c r="S274" s="70">
        <v>0</v>
      </c>
      <c r="T274" s="62">
        <f t="shared" si="20"/>
        <v>5.3162183014850505E-2</v>
      </c>
      <c r="V274" s="113">
        <v>1.1142536000000001</v>
      </c>
      <c r="W274" s="71">
        <v>2.85101643</v>
      </c>
      <c r="X274" s="71">
        <v>4.37692674</v>
      </c>
      <c r="Y274" s="71">
        <v>5.6729129799999995</v>
      </c>
      <c r="Z274" s="114">
        <v>7.2733934099999997</v>
      </c>
      <c r="AB274" s="70">
        <v>4.121453537244061E-2</v>
      </c>
      <c r="AC274" s="70">
        <v>4.9440053229824386E-2</v>
      </c>
      <c r="AD274" s="70">
        <v>5.3162183014850505E-2</v>
      </c>
      <c r="AE274" s="70">
        <v>5.6437511755558729E-2</v>
      </c>
      <c r="AF274" s="62">
        <v>5.9345279939015221E-2</v>
      </c>
      <c r="AG274" s="70" t="s">
        <v>21</v>
      </c>
      <c r="AH274" s="70">
        <v>7.636336529824388E-3</v>
      </c>
      <c r="AI274" s="70">
        <v>1.1307639114850509E-2</v>
      </c>
      <c r="AJ274" s="70">
        <v>1.3788202655558723E-2</v>
      </c>
      <c r="AK274" s="62">
        <v>1.5248820439015213E-2</v>
      </c>
    </row>
    <row r="275" spans="2:37" x14ac:dyDescent="0.35">
      <c r="B275" s="54" t="s">
        <v>138</v>
      </c>
      <c r="C275" s="52" t="s">
        <v>232</v>
      </c>
      <c r="D275" s="52" t="s">
        <v>139</v>
      </c>
      <c r="E275" s="52" t="s">
        <v>159</v>
      </c>
      <c r="F275" s="72">
        <f t="shared" si="23"/>
        <v>4.2305041870820889E-2</v>
      </c>
      <c r="G275" s="59">
        <f t="shared" si="23"/>
        <v>4.7686624775560779E-2</v>
      </c>
      <c r="H275" s="59">
        <f t="shared" si="23"/>
        <v>5.2161218666229449E-2</v>
      </c>
      <c r="I275" s="59">
        <f t="shared" si="23"/>
        <v>5.5872850480595426E-2</v>
      </c>
      <c r="J275" s="62">
        <f t="shared" si="23"/>
        <v>6.0332257827769534E-2</v>
      </c>
      <c r="K275" s="59">
        <f t="shared" si="24"/>
        <v>2.2438807082089066E-4</v>
      </c>
      <c r="L275" s="59">
        <f t="shared" si="24"/>
        <v>5.9830482755607872E-3</v>
      </c>
      <c r="M275" s="59">
        <f t="shared" si="24"/>
        <v>1.0366114266229446E-2</v>
      </c>
      <c r="N275" s="59">
        <f t="shared" si="24"/>
        <v>1.3260444780595423E-2</v>
      </c>
      <c r="O275" s="62">
        <f t="shared" si="24"/>
        <v>1.6190692527769536E-2</v>
      </c>
      <c r="P275" s="54" t="s">
        <v>21</v>
      </c>
      <c r="Q275" s="52" t="s">
        <v>21</v>
      </c>
      <c r="R275" s="93" t="s">
        <v>21</v>
      </c>
      <c r="S275" s="70">
        <v>0</v>
      </c>
      <c r="T275" s="62">
        <f t="shared" si="20"/>
        <v>5.2161218666229449E-2</v>
      </c>
      <c r="V275" s="113">
        <v>1.1121755099999999</v>
      </c>
      <c r="W275" s="71">
        <v>2.8575835199999999</v>
      </c>
      <c r="X275" s="71">
        <v>4.3946469000000006</v>
      </c>
      <c r="Y275" s="71">
        <v>5.6993177099999999</v>
      </c>
      <c r="Z275" s="114">
        <v>7.2782172699999998</v>
      </c>
      <c r="AA275" s="136"/>
      <c r="AB275" s="70">
        <v>4.2305041870820889E-2</v>
      </c>
      <c r="AC275" s="70">
        <v>4.7686624775560779E-2</v>
      </c>
      <c r="AD275" s="70">
        <v>5.2161218666229449E-2</v>
      </c>
      <c r="AE275" s="70">
        <v>5.5872850480595426E-2</v>
      </c>
      <c r="AF275" s="62">
        <v>6.0332257827769534E-2</v>
      </c>
      <c r="AG275" s="70">
        <v>2.2438807082089066E-4</v>
      </c>
      <c r="AH275" s="70">
        <v>5.9830482755607872E-3</v>
      </c>
      <c r="AI275" s="70">
        <v>1.0366114266229446E-2</v>
      </c>
      <c r="AJ275" s="70">
        <v>1.3260444780595423E-2</v>
      </c>
      <c r="AK275" s="62">
        <v>1.6190692527769536E-2</v>
      </c>
    </row>
    <row r="276" spans="2:37" x14ac:dyDescent="0.35">
      <c r="B276" s="56" t="s">
        <v>169</v>
      </c>
      <c r="C276" s="66" t="s">
        <v>232</v>
      </c>
      <c r="D276" s="66" t="s">
        <v>69</v>
      </c>
      <c r="E276" s="66" t="s">
        <v>110</v>
      </c>
      <c r="F276" s="73">
        <f t="shared" ref="F276:J276" si="25">IF(ISNUMBER(AB276),AB276-((C$4-C$3)/V276),"")</f>
        <v>4.0679115074269662E-2</v>
      </c>
      <c r="G276" s="75">
        <f t="shared" si="25"/>
        <v>4.6303443885251969E-2</v>
      </c>
      <c r="H276" s="75">
        <f t="shared" si="25"/>
        <v>5.083710625924568E-2</v>
      </c>
      <c r="I276" s="75">
        <f t="shared" si="25"/>
        <v>5.3675130695362935E-2</v>
      </c>
      <c r="J276" s="63">
        <f t="shared" si="25"/>
        <v>5.7663481587870997E-2</v>
      </c>
      <c r="K276" s="75" t="str">
        <f t="shared" ref="K276:O276" si="26">IF(ISNUMBER(AG276),IF(AG276-((C$4-C$3)/V276)&lt;0,"",AG276-((C$4-C$3)/V276)),"")</f>
        <v/>
      </c>
      <c r="L276" s="75">
        <f t="shared" si="26"/>
        <v>4.6682647852519764E-3</v>
      </c>
      <c r="M276" s="75">
        <f t="shared" si="26"/>
        <v>9.1097177592456904E-3</v>
      </c>
      <c r="N276" s="75">
        <f t="shared" si="26"/>
        <v>1.117724679536293E-2</v>
      </c>
      <c r="O276" s="63">
        <f t="shared" si="26"/>
        <v>1.3649819487871013E-2</v>
      </c>
      <c r="P276" s="56" t="s">
        <v>21</v>
      </c>
      <c r="Q276" s="66" t="s">
        <v>21</v>
      </c>
      <c r="R276" s="95" t="s">
        <v>21</v>
      </c>
      <c r="S276" s="75">
        <v>0</v>
      </c>
      <c r="T276" s="63">
        <f t="shared" si="20"/>
        <v>5.083710625924568E-2</v>
      </c>
      <c r="V276" s="115">
        <v>1.11524884</v>
      </c>
      <c r="W276" s="107">
        <v>2.8713877800000001</v>
      </c>
      <c r="X276" s="107">
        <v>4.4234812100000003</v>
      </c>
      <c r="Y276" s="107">
        <v>5.7578945499999996</v>
      </c>
      <c r="Z276" s="116">
        <v>7.4009921199999997</v>
      </c>
      <c r="AA276" s="66"/>
      <c r="AB276" s="75">
        <v>4.0679115074269662E-2</v>
      </c>
      <c r="AC276" s="75">
        <v>4.6303443885251969E-2</v>
      </c>
      <c r="AD276" s="75">
        <v>5.083710625924568E-2</v>
      </c>
      <c r="AE276" s="75">
        <v>5.3675130695362935E-2</v>
      </c>
      <c r="AF276" s="63">
        <v>5.7663481587870997E-2</v>
      </c>
      <c r="AG276" s="75" t="s">
        <v>21</v>
      </c>
      <c r="AH276" s="75">
        <v>4.6682647852519764E-3</v>
      </c>
      <c r="AI276" s="75">
        <v>9.1097177592456904E-3</v>
      </c>
      <c r="AJ276" s="75">
        <v>1.117724679536293E-2</v>
      </c>
      <c r="AK276" s="63">
        <v>1.3649819487871013E-2</v>
      </c>
    </row>
    <row r="277" spans="2:37" x14ac:dyDescent="0.35">
      <c r="P277" s="127"/>
      <c r="Q277" s="127"/>
      <c r="R277" s="44"/>
      <c r="S277" s="127"/>
      <c r="V277" s="71"/>
      <c r="W277" s="71"/>
      <c r="X277" s="71"/>
      <c r="Y277" s="71"/>
      <c r="Z277" s="71"/>
    </row>
    <row r="278" spans="2:37" ht="15.5" x14ac:dyDescent="0.35">
      <c r="B278" s="121" t="s">
        <v>177</v>
      </c>
      <c r="R278" s="93"/>
      <c r="S278" s="70"/>
      <c r="T278" s="70"/>
      <c r="V278" s="71"/>
      <c r="W278" s="71"/>
      <c r="X278" s="71"/>
      <c r="Y278" s="71"/>
      <c r="Z278" s="71"/>
    </row>
    <row r="279" spans="2:37" x14ac:dyDescent="0.35">
      <c r="B279" s="84" t="s">
        <v>5</v>
      </c>
      <c r="C279" s="83" t="s">
        <v>6</v>
      </c>
      <c r="D279" s="83" t="s">
        <v>7</v>
      </c>
      <c r="E279" s="83" t="s">
        <v>8</v>
      </c>
      <c r="F279" s="82" t="s">
        <v>9</v>
      </c>
      <c r="G279" s="81" t="s">
        <v>10</v>
      </c>
      <c r="H279" s="81" t="s">
        <v>11</v>
      </c>
      <c r="I279" s="81" t="s">
        <v>12</v>
      </c>
      <c r="J279" s="80" t="s">
        <v>13</v>
      </c>
      <c r="K279" s="82" t="s">
        <v>9</v>
      </c>
      <c r="L279" s="81" t="s">
        <v>10</v>
      </c>
      <c r="M279" s="81" t="s">
        <v>11</v>
      </c>
      <c r="N279" s="81" t="s">
        <v>12</v>
      </c>
      <c r="O279" s="80" t="s">
        <v>13</v>
      </c>
      <c r="P279" s="69" t="s">
        <v>14</v>
      </c>
      <c r="Q279" s="57" t="s">
        <v>15</v>
      </c>
      <c r="R279" s="57" t="s">
        <v>16</v>
      </c>
      <c r="S279" s="57" t="s">
        <v>413</v>
      </c>
      <c r="T279" s="57" t="s">
        <v>18</v>
      </c>
      <c r="V279" s="109" t="s">
        <v>9</v>
      </c>
      <c r="W279" s="105" t="s">
        <v>10</v>
      </c>
      <c r="X279" s="105" t="s">
        <v>11</v>
      </c>
      <c r="Y279" s="105" t="s">
        <v>12</v>
      </c>
      <c r="Z279" s="110" t="s">
        <v>13</v>
      </c>
      <c r="AB279" s="82" t="s">
        <v>9</v>
      </c>
      <c r="AC279" s="81" t="s">
        <v>10</v>
      </c>
      <c r="AD279" s="81" t="s">
        <v>11</v>
      </c>
      <c r="AE279" s="81" t="s">
        <v>12</v>
      </c>
      <c r="AF279" s="80" t="s">
        <v>13</v>
      </c>
      <c r="AG279" s="57" t="s">
        <v>9</v>
      </c>
      <c r="AH279" s="57" t="s">
        <v>10</v>
      </c>
      <c r="AI279" s="57" t="s">
        <v>11</v>
      </c>
      <c r="AJ279" s="57" t="s">
        <v>12</v>
      </c>
      <c r="AK279" s="57" t="s">
        <v>13</v>
      </c>
    </row>
    <row r="280" spans="2:37" x14ac:dyDescent="0.35">
      <c r="B280" s="55" t="s">
        <v>178</v>
      </c>
      <c r="C280" s="52" t="s">
        <v>232</v>
      </c>
      <c r="D280" s="65" t="s">
        <v>47</v>
      </c>
      <c r="E280" s="65" t="s">
        <v>577</v>
      </c>
      <c r="F280" s="72" t="str">
        <f>IF(ISNUMBER(AB280),AB280-((C$4-C$3)/V280),"")</f>
        <v/>
      </c>
      <c r="G280" s="59">
        <f>IF(ISNUMBER(AC280),AC280-((D$4-D$3)/W280),"")</f>
        <v>4.6795558345201486E-2</v>
      </c>
      <c r="H280" s="59">
        <f>IF(ISNUMBER(AD280),AD280-((E$4-E$3)/X280),"")</f>
        <v>5.046121388799911E-2</v>
      </c>
      <c r="I280" s="59">
        <f>IF(ISNUMBER(AE280),AE280-((F$4-F$3)/Y280),"")</f>
        <v>5.3977678578354372E-2</v>
      </c>
      <c r="J280" s="62">
        <f>IF(ISNUMBER(AF280),AF280-((G$4-G$3)/Z280),"")</f>
        <v>5.7706526483504397E-2</v>
      </c>
      <c r="K280" s="59" t="str">
        <f>IF(ISNUMBER(AG280),IF(AG280-((C$4-C$3)/V280)&lt;0,"",AG280-((C$4-C$3)/V280)),"")</f>
        <v/>
      </c>
      <c r="L280" s="59">
        <f>IF(ISNUMBER(AH280),IF(AH280-((D$4-D$3)/W280)&lt;0,"",AH280-((D$4-D$3)/W280)),"")</f>
        <v>5.1966425452014886E-3</v>
      </c>
      <c r="M280" s="59">
        <f>IF(ISNUMBER(AI280),IF(AI280-((E$4-E$3)/X280)&lt;0,"",AI280-((E$4-E$3)/X280)),"")</f>
        <v>8.7959512879991174E-3</v>
      </c>
      <c r="N280" s="59">
        <f>IF(ISNUMBER(AJ280),IF(AJ280-((F$4-F$3)/Y280)&lt;0,"",AJ280-((F$4-F$3)/Y280)),"")</f>
        <v>1.1541092978354373E-2</v>
      </c>
      <c r="O280" s="62">
        <f>IF(ISNUMBER(AK280),IF(AK280-((G$4-G$3)/Z280)&lt;0,"",AK280-((G$4-G$3)/Z280)),"")</f>
        <v>1.3777614283504398E-2</v>
      </c>
      <c r="P280" s="55" t="s">
        <v>578</v>
      </c>
      <c r="Q280" s="65" t="s">
        <v>579</v>
      </c>
      <c r="R280" s="99" t="s">
        <v>32</v>
      </c>
      <c r="S280" s="79">
        <v>4.6937899999999998E-2</v>
      </c>
      <c r="T280" s="62">
        <f t="shared" ref="T280:T286" si="27">IF(S280="","",H280-S280)</f>
        <v>3.5233138879991119E-3</v>
      </c>
      <c r="V280" s="113">
        <v>1.1159426300000002</v>
      </c>
      <c r="W280" s="71">
        <v>2.8771672599999998</v>
      </c>
      <c r="X280" s="71">
        <v>4.4427698699999993</v>
      </c>
      <c r="Y280" s="71">
        <v>5.7956309499999996</v>
      </c>
      <c r="Z280" s="114">
        <v>7.4834233299999999</v>
      </c>
      <c r="AB280" s="79" t="s">
        <v>21</v>
      </c>
      <c r="AC280" s="79">
        <v>4.6795558345201486E-2</v>
      </c>
      <c r="AD280" s="79">
        <v>5.046121388799911E-2</v>
      </c>
      <c r="AE280" s="79">
        <v>5.3977678578354372E-2</v>
      </c>
      <c r="AF280" s="61">
        <v>5.7706526483504397E-2</v>
      </c>
      <c r="AG280" s="79" t="s">
        <v>21</v>
      </c>
      <c r="AH280" s="79">
        <v>5.1966425452014886E-3</v>
      </c>
      <c r="AI280" s="79">
        <v>8.7959512879991174E-3</v>
      </c>
      <c r="AJ280" s="79">
        <v>1.1541092978354373E-2</v>
      </c>
      <c r="AK280" s="79">
        <v>1.3777614283504398E-2</v>
      </c>
    </row>
    <row r="281" spans="2:37" x14ac:dyDescent="0.35">
      <c r="B281" s="54" t="s">
        <v>269</v>
      </c>
      <c r="C281" s="52" t="s">
        <v>232</v>
      </c>
      <c r="D281" s="52" t="s">
        <v>20</v>
      </c>
      <c r="E281" s="52" t="s">
        <v>580</v>
      </c>
      <c r="F281" s="72" t="str">
        <f t="shared" ref="F281:J286" si="28">IF(ISNUMBER(AB281),AB281-((C$4-C$3)/V281),"")</f>
        <v/>
      </c>
      <c r="G281" s="59">
        <f t="shared" si="28"/>
        <v>4.7950217571505506E-2</v>
      </c>
      <c r="H281" s="59">
        <f t="shared" si="28"/>
        <v>5.0617753358917356E-2</v>
      </c>
      <c r="I281" s="59">
        <f t="shared" si="28"/>
        <v>5.3270160380451376E-2</v>
      </c>
      <c r="J281" s="62">
        <f t="shared" si="28"/>
        <v>5.5544838699414116E-2</v>
      </c>
      <c r="K281" s="59" t="str">
        <f t="shared" ref="K281:O286" si="29">IF(ISNUMBER(AG281),IF(AG281-((C$4-C$3)/V281)&lt;0,"",AG281-((C$4-C$3)/V281)),"")</f>
        <v/>
      </c>
      <c r="L281" s="59">
        <f t="shared" si="29"/>
        <v>6.2973544715055089E-3</v>
      </c>
      <c r="M281" s="59">
        <f t="shared" si="29"/>
        <v>8.946668358917359E-3</v>
      </c>
      <c r="N281" s="59">
        <f t="shared" si="29"/>
        <v>1.0865413780451385E-2</v>
      </c>
      <c r="O281" s="62">
        <f t="shared" si="29"/>
        <v>1.1695648099414122E-2</v>
      </c>
      <c r="P281" s="54" t="s">
        <v>581</v>
      </c>
      <c r="Q281" s="52" t="s">
        <v>582</v>
      </c>
      <c r="R281" s="93" t="s">
        <v>32</v>
      </c>
      <c r="S281" s="70">
        <v>4.4412359999999998E-2</v>
      </c>
      <c r="T281" s="62">
        <f t="shared" si="27"/>
        <v>6.2053933589173577E-3</v>
      </c>
      <c r="V281" s="113">
        <v>1.1146281</v>
      </c>
      <c r="W281" s="71">
        <v>2.86715155</v>
      </c>
      <c r="X281" s="71">
        <v>4.4295484299999996</v>
      </c>
      <c r="Y281" s="71">
        <v>5.7926531699999995</v>
      </c>
      <c r="Z281" s="114">
        <v>7.5326095100000003</v>
      </c>
      <c r="AB281" s="70" t="s">
        <v>21</v>
      </c>
      <c r="AC281" s="70">
        <v>4.7950217571505506E-2</v>
      </c>
      <c r="AD281" s="70">
        <v>5.0617753358917356E-2</v>
      </c>
      <c r="AE281" s="70">
        <v>5.3270160380451376E-2</v>
      </c>
      <c r="AF281" s="62">
        <v>5.5544838699414116E-2</v>
      </c>
      <c r="AG281" s="70" t="s">
        <v>21</v>
      </c>
      <c r="AH281" s="70">
        <v>6.2973544715055089E-3</v>
      </c>
      <c r="AI281" s="70">
        <v>8.946668358917359E-3</v>
      </c>
      <c r="AJ281" s="70">
        <v>1.0865413780451385E-2</v>
      </c>
      <c r="AK281" s="70">
        <v>1.1695648099414122E-2</v>
      </c>
    </row>
    <row r="282" spans="2:37" x14ac:dyDescent="0.35">
      <c r="B282" s="54" t="s">
        <v>180</v>
      </c>
      <c r="C282" s="52" t="s">
        <v>232</v>
      </c>
      <c r="D282" s="52" t="s">
        <v>69</v>
      </c>
      <c r="E282" s="52" t="s">
        <v>270</v>
      </c>
      <c r="F282" s="72" t="str">
        <f t="shared" si="28"/>
        <v/>
      </c>
      <c r="G282" s="59">
        <f t="shared" si="28"/>
        <v>4.5636650313998398E-2</v>
      </c>
      <c r="H282" s="59">
        <f t="shared" si="28"/>
        <v>4.8568556887843596E-2</v>
      </c>
      <c r="I282" s="59">
        <f t="shared" si="28"/>
        <v>5.1346398871141424E-2</v>
      </c>
      <c r="J282" s="62">
        <f t="shared" si="28"/>
        <v>5.4203650540082401E-2</v>
      </c>
      <c r="K282" s="59" t="str">
        <f t="shared" si="29"/>
        <v/>
      </c>
      <c r="L282" s="59">
        <f t="shared" si="29"/>
        <v>4.0964440139984052E-3</v>
      </c>
      <c r="M282" s="59">
        <f t="shared" si="29"/>
        <v>6.9946049878435957E-3</v>
      </c>
      <c r="N282" s="59">
        <f t="shared" si="29"/>
        <v>9.0272160711414376E-3</v>
      </c>
      <c r="O282" s="62">
        <f t="shared" si="29"/>
        <v>1.0407036540082404E-2</v>
      </c>
      <c r="P282" s="54" t="s">
        <v>583</v>
      </c>
      <c r="Q282" s="52" t="s">
        <v>584</v>
      </c>
      <c r="R282" s="93" t="s">
        <v>32</v>
      </c>
      <c r="S282" s="70">
        <v>4.3802250000000001E-2</v>
      </c>
      <c r="T282" s="62">
        <f t="shared" si="27"/>
        <v>4.7663068878435952E-3</v>
      </c>
      <c r="V282" s="113">
        <v>1.1168216499999999</v>
      </c>
      <c r="W282" s="71">
        <v>2.8855924700000002</v>
      </c>
      <c r="X282" s="71">
        <v>4.47130954</v>
      </c>
      <c r="Y282" s="71">
        <v>5.8602462900000001</v>
      </c>
      <c r="Z282" s="114">
        <v>7.6309377499999993</v>
      </c>
      <c r="AB282" s="70" t="s">
        <v>21</v>
      </c>
      <c r="AC282" s="70">
        <v>4.5636650313998398E-2</v>
      </c>
      <c r="AD282" s="70">
        <v>4.8568556887843596E-2</v>
      </c>
      <c r="AE282" s="70">
        <v>5.1346398871141424E-2</v>
      </c>
      <c r="AF282" s="62">
        <v>5.4203650540082401E-2</v>
      </c>
      <c r="AG282" s="70" t="s">
        <v>21</v>
      </c>
      <c r="AH282" s="70">
        <v>4.0964440139984052E-3</v>
      </c>
      <c r="AI282" s="70">
        <v>6.9946049878435957E-3</v>
      </c>
      <c r="AJ282" s="70">
        <v>9.0272160711414376E-3</v>
      </c>
      <c r="AK282" s="70">
        <v>1.0407036540082404E-2</v>
      </c>
    </row>
    <row r="283" spans="2:37" x14ac:dyDescent="0.35">
      <c r="B283" s="54" t="s">
        <v>181</v>
      </c>
      <c r="C283" s="52" t="s">
        <v>232</v>
      </c>
      <c r="D283" s="52" t="s">
        <v>182</v>
      </c>
      <c r="E283" s="52" t="s">
        <v>321</v>
      </c>
      <c r="F283" s="72" t="str">
        <f t="shared" si="28"/>
        <v/>
      </c>
      <c r="G283" s="59">
        <f t="shared" si="28"/>
        <v>4.6621891651625967E-2</v>
      </c>
      <c r="H283" s="59">
        <f t="shared" si="28"/>
        <v>5.0179944251628569E-2</v>
      </c>
      <c r="I283" s="59">
        <f t="shared" si="28"/>
        <v>5.4171323674892538E-2</v>
      </c>
      <c r="J283" s="62">
        <f t="shared" si="28"/>
        <v>5.8483540933472626E-2</v>
      </c>
      <c r="K283" s="59" t="str">
        <f t="shared" si="29"/>
        <v/>
      </c>
      <c r="L283" s="59">
        <f t="shared" si="29"/>
        <v>5.0329694516259736E-3</v>
      </c>
      <c r="M283" s="59">
        <f t="shared" si="29"/>
        <v>8.529291251628577E-3</v>
      </c>
      <c r="N283" s="59">
        <f t="shared" si="29"/>
        <v>1.1726790274892544E-2</v>
      </c>
      <c r="O283" s="62">
        <f t="shared" si="29"/>
        <v>1.452520453347262E-2</v>
      </c>
      <c r="P283" s="54" t="s">
        <v>585</v>
      </c>
      <c r="Q283" s="52" t="s">
        <v>586</v>
      </c>
      <c r="R283" s="93" t="s">
        <v>32</v>
      </c>
      <c r="S283" s="70">
        <v>5.0479260000000005E-2</v>
      </c>
      <c r="T283" s="62">
        <f t="shared" si="27"/>
        <v>-2.9931574837143565E-4</v>
      </c>
      <c r="V283" s="113">
        <v>1.1168169100000001</v>
      </c>
      <c r="W283" s="71">
        <v>2.8796996699999999</v>
      </c>
      <c r="X283" s="71">
        <v>4.4481254900000007</v>
      </c>
      <c r="Y283" s="71">
        <v>5.7987631300000002</v>
      </c>
      <c r="Z283" s="114">
        <v>7.4679095099999993</v>
      </c>
      <c r="AB283" s="70" t="s">
        <v>21</v>
      </c>
      <c r="AC283" s="70">
        <v>4.6621891651625967E-2</v>
      </c>
      <c r="AD283" s="70">
        <v>5.0179944251628569E-2</v>
      </c>
      <c r="AE283" s="70">
        <v>5.4171323674892538E-2</v>
      </c>
      <c r="AF283" s="62">
        <v>5.8483540933472626E-2</v>
      </c>
      <c r="AG283" s="70" t="s">
        <v>21</v>
      </c>
      <c r="AH283" s="70">
        <v>5.0329694516259736E-3</v>
      </c>
      <c r="AI283" s="70">
        <v>8.529291251628577E-3</v>
      </c>
      <c r="AJ283" s="70">
        <v>1.1726790274892544E-2</v>
      </c>
      <c r="AK283" s="70">
        <v>1.452520453347262E-2</v>
      </c>
    </row>
    <row r="284" spans="2:37" x14ac:dyDescent="0.35">
      <c r="B284" s="54" t="s">
        <v>183</v>
      </c>
      <c r="C284" s="52" t="s">
        <v>232</v>
      </c>
      <c r="D284" s="52" t="s">
        <v>53</v>
      </c>
      <c r="E284" s="52" t="s">
        <v>179</v>
      </c>
      <c r="F284" s="72" t="str">
        <f t="shared" si="28"/>
        <v/>
      </c>
      <c r="G284" s="59">
        <f t="shared" si="28"/>
        <v>4.5586053123707213E-2</v>
      </c>
      <c r="H284" s="59">
        <f t="shared" si="28"/>
        <v>4.8459133701344685E-2</v>
      </c>
      <c r="I284" s="59">
        <f t="shared" si="28"/>
        <v>5.1449861052197524E-2</v>
      </c>
      <c r="J284" s="62">
        <f t="shared" si="28"/>
        <v>5.4418152219226142E-2</v>
      </c>
      <c r="K284" s="59" t="str">
        <f t="shared" si="29"/>
        <v/>
      </c>
      <c r="L284" s="59">
        <f t="shared" si="29"/>
        <v>4.0471536237072182E-3</v>
      </c>
      <c r="M284" s="59">
        <f t="shared" si="29"/>
        <v>6.889438701344691E-3</v>
      </c>
      <c r="N284" s="59">
        <f t="shared" si="29"/>
        <v>9.1257361521975278E-3</v>
      </c>
      <c r="O284" s="62">
        <f t="shared" si="29"/>
        <v>1.0614421519226137E-2</v>
      </c>
      <c r="P284" s="54" t="s">
        <v>587</v>
      </c>
      <c r="Q284" s="52" t="s">
        <v>588</v>
      </c>
      <c r="R284" s="93" t="s">
        <v>32</v>
      </c>
      <c r="S284" s="70">
        <v>4.4573549999999997E-2</v>
      </c>
      <c r="T284" s="62">
        <f t="shared" si="27"/>
        <v>3.8855837013446887E-3</v>
      </c>
      <c r="V284" s="113">
        <v>1.1172391500000001</v>
      </c>
      <c r="W284" s="71">
        <v>2.8866245099999999</v>
      </c>
      <c r="X284" s="71">
        <v>4.4734349700000005</v>
      </c>
      <c r="Y284" s="71">
        <v>5.8611783399999995</v>
      </c>
      <c r="Z284" s="114">
        <v>7.6261889299999996</v>
      </c>
      <c r="AB284" s="70" t="s">
        <v>21</v>
      </c>
      <c r="AC284" s="70">
        <v>4.5586053123707213E-2</v>
      </c>
      <c r="AD284" s="70">
        <v>4.8459133701344685E-2</v>
      </c>
      <c r="AE284" s="70">
        <v>5.1449861052197524E-2</v>
      </c>
      <c r="AF284" s="62">
        <v>5.4418152219226142E-2</v>
      </c>
      <c r="AG284" s="70" t="s">
        <v>21</v>
      </c>
      <c r="AH284" s="70">
        <v>4.0471536237072182E-3</v>
      </c>
      <c r="AI284" s="70">
        <v>6.889438701344691E-3</v>
      </c>
      <c r="AJ284" s="70">
        <v>9.1257361521975278E-3</v>
      </c>
      <c r="AK284" s="70">
        <v>1.0614421519226137E-2</v>
      </c>
    </row>
    <row r="285" spans="2:37" x14ac:dyDescent="0.35">
      <c r="B285" s="54" t="s">
        <v>184</v>
      </c>
      <c r="C285" s="52" t="s">
        <v>232</v>
      </c>
      <c r="D285" s="52" t="s">
        <v>31</v>
      </c>
      <c r="E285" s="52" t="s">
        <v>589</v>
      </c>
      <c r="F285" s="72" t="str">
        <f t="shared" si="28"/>
        <v/>
      </c>
      <c r="G285" s="59">
        <f t="shared" si="28"/>
        <v>4.6315321150171174E-2</v>
      </c>
      <c r="H285" s="59">
        <f t="shared" si="28"/>
        <v>4.9689796051363949E-2</v>
      </c>
      <c r="I285" s="59">
        <f t="shared" si="28"/>
        <v>5.2994244857831767E-2</v>
      </c>
      <c r="J285" s="62">
        <f t="shared" si="28"/>
        <v>5.6434312480838175E-2</v>
      </c>
      <c r="K285" s="59" t="str">
        <f t="shared" si="29"/>
        <v/>
      </c>
      <c r="L285" s="59">
        <f t="shared" si="29"/>
        <v>4.7414761501711842E-3</v>
      </c>
      <c r="M285" s="59">
        <f t="shared" si="29"/>
        <v>8.0627312513639506E-3</v>
      </c>
      <c r="N285" s="59">
        <f t="shared" si="29"/>
        <v>1.0603077257831765E-2</v>
      </c>
      <c r="O285" s="62">
        <f t="shared" si="29"/>
        <v>1.2556139080838177E-2</v>
      </c>
      <c r="P285" s="54" t="s">
        <v>590</v>
      </c>
      <c r="Q285" s="52" t="s">
        <v>591</v>
      </c>
      <c r="R285" s="93" t="s">
        <v>32</v>
      </c>
      <c r="S285" s="70">
        <v>4.6072920000000003E-2</v>
      </c>
      <c r="T285" s="62">
        <f t="shared" si="27"/>
        <v>3.6168760513639459E-3</v>
      </c>
      <c r="V285" s="113">
        <v>1.11647311</v>
      </c>
      <c r="W285" s="71">
        <v>2.88093412</v>
      </c>
      <c r="X285" s="71">
        <v>4.4546778400000004</v>
      </c>
      <c r="Y285" s="71">
        <v>5.82097043</v>
      </c>
      <c r="Z285" s="114">
        <v>7.5382846000000008</v>
      </c>
      <c r="AB285" s="70" t="s">
        <v>21</v>
      </c>
      <c r="AC285" s="70">
        <v>4.6315321150171174E-2</v>
      </c>
      <c r="AD285" s="70">
        <v>4.9689796051363949E-2</v>
      </c>
      <c r="AE285" s="70">
        <v>5.2994244857831767E-2</v>
      </c>
      <c r="AF285" s="62">
        <v>5.6434312480838175E-2</v>
      </c>
      <c r="AG285" s="70" t="s">
        <v>21</v>
      </c>
      <c r="AH285" s="70">
        <v>4.7414761501711842E-3</v>
      </c>
      <c r="AI285" s="70">
        <v>8.0627312513639506E-3</v>
      </c>
      <c r="AJ285" s="70">
        <v>1.0603077257831765E-2</v>
      </c>
      <c r="AK285" s="70">
        <v>1.2556139080838177E-2</v>
      </c>
    </row>
    <row r="286" spans="2:37" x14ac:dyDescent="0.35">
      <c r="B286" s="56" t="s">
        <v>185</v>
      </c>
      <c r="C286" s="66" t="s">
        <v>232</v>
      </c>
      <c r="D286" s="66" t="s">
        <v>139</v>
      </c>
      <c r="E286" s="66" t="s">
        <v>592</v>
      </c>
      <c r="F286" s="73" t="str">
        <f t="shared" si="28"/>
        <v/>
      </c>
      <c r="G286" s="75">
        <f t="shared" si="28"/>
        <v>4.5581362507510159E-2</v>
      </c>
      <c r="H286" s="75">
        <f t="shared" si="28"/>
        <v>4.8296105413955556E-2</v>
      </c>
      <c r="I286" s="75">
        <f t="shared" si="28"/>
        <v>5.1713900596602594E-2</v>
      </c>
      <c r="J286" s="63">
        <f t="shared" si="28"/>
        <v>5.4745935859046427E-2</v>
      </c>
      <c r="K286" s="75" t="str">
        <f t="shared" si="29"/>
        <v/>
      </c>
      <c r="L286" s="75">
        <f t="shared" si="29"/>
        <v>4.0420039075101622E-3</v>
      </c>
      <c r="M286" s="75">
        <f t="shared" si="29"/>
        <v>6.733338413955567E-3</v>
      </c>
      <c r="N286" s="75">
        <f t="shared" si="29"/>
        <v>9.3779697966025893E-3</v>
      </c>
      <c r="O286" s="63">
        <f t="shared" si="29"/>
        <v>1.0931856359046425E-2</v>
      </c>
      <c r="P286" s="56" t="s">
        <v>593</v>
      </c>
      <c r="Q286" s="66" t="s">
        <v>594</v>
      </c>
      <c r="R286" s="95" t="s">
        <v>32</v>
      </c>
      <c r="S286" s="75">
        <v>4.3243900000000002E-2</v>
      </c>
      <c r="T286" s="63">
        <f t="shared" si="27"/>
        <v>5.0522054139555544E-3</v>
      </c>
      <c r="V286" s="115">
        <v>1.11737303</v>
      </c>
      <c r="W286" s="107">
        <v>2.8868886300000001</v>
      </c>
      <c r="X286" s="107">
        <v>4.4752746000000005</v>
      </c>
      <c r="Y286" s="107">
        <v>5.8599806699999997</v>
      </c>
      <c r="Z286" s="116">
        <v>7.6158855299999999</v>
      </c>
      <c r="AB286" s="75" t="s">
        <v>21</v>
      </c>
      <c r="AC286" s="75">
        <v>4.5581362507510159E-2</v>
      </c>
      <c r="AD286" s="75">
        <v>4.8296105413955556E-2</v>
      </c>
      <c r="AE286" s="75">
        <v>5.1713900596602594E-2</v>
      </c>
      <c r="AF286" s="63">
        <v>5.4745935859046427E-2</v>
      </c>
      <c r="AG286" s="75" t="s">
        <v>21</v>
      </c>
      <c r="AH286" s="75">
        <v>4.0420039075101622E-3</v>
      </c>
      <c r="AI286" s="75">
        <v>6.733338413955567E-3</v>
      </c>
      <c r="AJ286" s="75">
        <v>9.3779697966025893E-3</v>
      </c>
      <c r="AK286" s="75">
        <v>1.0931856359046425E-2</v>
      </c>
    </row>
    <row r="287" spans="2:37" x14ac:dyDescent="0.35">
      <c r="V287" s="71"/>
      <c r="W287" s="71"/>
      <c r="X287" s="71"/>
      <c r="Y287" s="71"/>
      <c r="Z287" s="71"/>
    </row>
    <row r="288" spans="2:37" ht="15.5" x14ac:dyDescent="0.35">
      <c r="B288" s="121" t="s">
        <v>186</v>
      </c>
      <c r="R288" s="93"/>
      <c r="S288" s="70"/>
      <c r="T288" s="70"/>
      <c r="V288" s="71"/>
      <c r="W288" s="71"/>
      <c r="X288" s="71"/>
      <c r="Y288" s="71"/>
      <c r="Z288" s="71"/>
    </row>
    <row r="289" spans="2:37" x14ac:dyDescent="0.35">
      <c r="B289" s="84" t="s">
        <v>5</v>
      </c>
      <c r="C289" s="83" t="s">
        <v>6</v>
      </c>
      <c r="D289" s="83" t="s">
        <v>7</v>
      </c>
      <c r="E289" s="83" t="s">
        <v>8</v>
      </c>
      <c r="F289" s="82" t="s">
        <v>9</v>
      </c>
      <c r="G289" s="81" t="s">
        <v>10</v>
      </c>
      <c r="H289" s="81" t="s">
        <v>11</v>
      </c>
      <c r="I289" s="81" t="s">
        <v>12</v>
      </c>
      <c r="J289" s="80" t="s">
        <v>13</v>
      </c>
      <c r="K289" s="82" t="s">
        <v>9</v>
      </c>
      <c r="L289" s="81" t="s">
        <v>10</v>
      </c>
      <c r="M289" s="81" t="s">
        <v>11</v>
      </c>
      <c r="N289" s="81" t="s">
        <v>12</v>
      </c>
      <c r="O289" s="80" t="s">
        <v>13</v>
      </c>
      <c r="P289" s="69" t="s">
        <v>14</v>
      </c>
      <c r="Q289" s="57" t="s">
        <v>15</v>
      </c>
      <c r="R289" s="57" t="s">
        <v>16</v>
      </c>
      <c r="S289" s="57" t="s">
        <v>413</v>
      </c>
      <c r="T289" s="80" t="s">
        <v>18</v>
      </c>
      <c r="V289" s="109" t="s">
        <v>9</v>
      </c>
      <c r="W289" s="105" t="s">
        <v>10</v>
      </c>
      <c r="X289" s="105" t="s">
        <v>11</v>
      </c>
      <c r="Y289" s="105" t="s">
        <v>12</v>
      </c>
      <c r="Z289" s="110" t="s">
        <v>13</v>
      </c>
      <c r="AB289" s="82" t="s">
        <v>9</v>
      </c>
      <c r="AC289" s="81" t="s">
        <v>10</v>
      </c>
      <c r="AD289" s="81" t="s">
        <v>11</v>
      </c>
      <c r="AE289" s="81" t="s">
        <v>12</v>
      </c>
      <c r="AF289" s="80" t="s">
        <v>13</v>
      </c>
      <c r="AG289" s="57" t="s">
        <v>9</v>
      </c>
      <c r="AH289" s="57" t="s">
        <v>10</v>
      </c>
      <c r="AI289" s="57" t="s">
        <v>11</v>
      </c>
      <c r="AJ289" s="57" t="s">
        <v>12</v>
      </c>
      <c r="AK289" s="57" t="s">
        <v>13</v>
      </c>
    </row>
    <row r="290" spans="2:37" x14ac:dyDescent="0.35">
      <c r="B290" s="56" t="s">
        <v>296</v>
      </c>
      <c r="C290" s="66"/>
      <c r="D290" s="68"/>
      <c r="E290" s="68"/>
      <c r="F290" s="101" t="str">
        <f t="shared" ref="F290:J305" si="30">IF(ISNUMBER(AB290),AB290-((C$4-C$3)/V290),"")</f>
        <v/>
      </c>
      <c r="G290" s="102" t="str">
        <f t="shared" si="30"/>
        <v/>
      </c>
      <c r="H290" s="102">
        <f t="shared" si="30"/>
        <v>5.8409282045284124E-2</v>
      </c>
      <c r="I290" s="102" t="str">
        <f t="shared" si="30"/>
        <v/>
      </c>
      <c r="J290" s="103" t="str">
        <f t="shared" si="30"/>
        <v/>
      </c>
      <c r="K290" s="102" t="str">
        <f t="shared" ref="K290:O305" si="31">IF(ISNUMBER(AG290),IF(AG290-((C$4-C$3)/V290)&lt;0,"",AG290-((C$4-C$3)/V290)),"")</f>
        <v/>
      </c>
      <c r="L290" s="102" t="str">
        <f t="shared" si="31"/>
        <v/>
      </c>
      <c r="M290" s="102">
        <f t="shared" si="31"/>
        <v>1.6404966645284128E-2</v>
      </c>
      <c r="N290" s="102" t="str">
        <f t="shared" si="31"/>
        <v/>
      </c>
      <c r="O290" s="103" t="str">
        <f t="shared" si="31"/>
        <v/>
      </c>
      <c r="P290" s="55"/>
      <c r="Q290" s="68"/>
      <c r="R290" s="104"/>
      <c r="S290" s="102"/>
      <c r="T290" s="103"/>
      <c r="V290" s="113">
        <v>1.10019523</v>
      </c>
      <c r="W290" s="71">
        <v>2.8060168600000002</v>
      </c>
      <c r="X290" s="71">
        <v>4.3052513299999999</v>
      </c>
      <c r="Y290" s="71">
        <v>5.6006880800000003</v>
      </c>
      <c r="Z290" s="114">
        <v>7.2355197100000002</v>
      </c>
      <c r="AB290" s="102" t="s">
        <v>21</v>
      </c>
      <c r="AC290" s="102"/>
      <c r="AD290" s="102">
        <v>5.8409282045284124E-2</v>
      </c>
      <c r="AE290" s="102" t="s">
        <v>21</v>
      </c>
      <c r="AF290" s="103" t="s">
        <v>21</v>
      </c>
      <c r="AG290" s="79" t="s">
        <v>21</v>
      </c>
      <c r="AH290" s="79"/>
      <c r="AI290" s="79">
        <v>1.6404966645284128E-2</v>
      </c>
      <c r="AJ290" s="79" t="s">
        <v>21</v>
      </c>
      <c r="AK290" s="79" t="s">
        <v>21</v>
      </c>
    </row>
    <row r="291" spans="2:37" x14ac:dyDescent="0.35">
      <c r="B291" s="54" t="s">
        <v>187</v>
      </c>
      <c r="C291" s="52" t="s">
        <v>232</v>
      </c>
      <c r="D291" s="65" t="s">
        <v>188</v>
      </c>
      <c r="E291" s="65" t="s">
        <v>271</v>
      </c>
      <c r="F291" s="74" t="str">
        <f t="shared" si="30"/>
        <v/>
      </c>
      <c r="G291" s="79">
        <f t="shared" si="30"/>
        <v>4.5804870205662256E-2</v>
      </c>
      <c r="H291" s="79">
        <f t="shared" si="30"/>
        <v>4.9745253706086033E-2</v>
      </c>
      <c r="I291" s="79" t="str">
        <f t="shared" si="30"/>
        <v/>
      </c>
      <c r="J291" s="61" t="str">
        <f t="shared" si="30"/>
        <v/>
      </c>
      <c r="K291" s="79" t="str">
        <f t="shared" si="31"/>
        <v/>
      </c>
      <c r="L291" s="79">
        <f t="shared" si="31"/>
        <v>4.2694282056622637E-3</v>
      </c>
      <c r="M291" s="79">
        <f t="shared" si="31"/>
        <v>8.163242406086034E-3</v>
      </c>
      <c r="N291" s="79" t="str">
        <f t="shared" si="31"/>
        <v/>
      </c>
      <c r="O291" s="61" t="str">
        <f t="shared" si="31"/>
        <v/>
      </c>
      <c r="P291" s="55" t="s">
        <v>21</v>
      </c>
      <c r="Q291" s="65" t="s">
        <v>21</v>
      </c>
      <c r="R291" s="99" t="s">
        <v>21</v>
      </c>
      <c r="S291" s="79">
        <v>0</v>
      </c>
      <c r="T291" s="62">
        <f t="shared" ref="T291:T316" si="32">IF(S291="","",H291-S291)</f>
        <v>4.9745253706086033E-2</v>
      </c>
      <c r="V291" s="113">
        <v>1.1170822299999998</v>
      </c>
      <c r="W291" s="71">
        <v>2.8872531000000001</v>
      </c>
      <c r="X291" s="71">
        <v>4.473217</v>
      </c>
      <c r="Y291" s="71">
        <v>5.8566530800000001</v>
      </c>
      <c r="Z291" s="114">
        <v>7.6145425899999992</v>
      </c>
      <c r="AB291" s="79" t="s">
        <v>21</v>
      </c>
      <c r="AC291" s="79">
        <v>4.5804870205662256E-2</v>
      </c>
      <c r="AD291" s="79">
        <v>4.9745253706086033E-2</v>
      </c>
      <c r="AE291" s="79" t="s">
        <v>21</v>
      </c>
      <c r="AF291" s="61" t="s">
        <v>21</v>
      </c>
      <c r="AG291" s="79" t="s">
        <v>21</v>
      </c>
      <c r="AH291" s="79">
        <v>4.2694282056622637E-3</v>
      </c>
      <c r="AI291" s="79">
        <v>8.163242406086034E-3</v>
      </c>
      <c r="AJ291" s="79" t="s">
        <v>21</v>
      </c>
      <c r="AK291" s="79" t="s">
        <v>21</v>
      </c>
    </row>
    <row r="292" spans="2:37" x14ac:dyDescent="0.35">
      <c r="B292" s="54" t="s">
        <v>189</v>
      </c>
      <c r="C292" s="52" t="s">
        <v>232</v>
      </c>
      <c r="D292" s="52" t="s">
        <v>190</v>
      </c>
      <c r="E292" s="52" t="s">
        <v>595</v>
      </c>
      <c r="F292" s="72" t="str">
        <f t="shared" si="30"/>
        <v/>
      </c>
      <c r="G292" s="59">
        <f t="shared" si="30"/>
        <v>4.8813966500152205E-2</v>
      </c>
      <c r="H292" s="59">
        <f t="shared" si="30"/>
        <v>5.3680822888204582E-2</v>
      </c>
      <c r="I292" s="59" t="str">
        <f t="shared" si="30"/>
        <v/>
      </c>
      <c r="J292" s="62" t="str">
        <f t="shared" si="30"/>
        <v/>
      </c>
      <c r="K292" s="59" t="str">
        <f t="shared" si="31"/>
        <v/>
      </c>
      <c r="L292" s="59">
        <f t="shared" si="31"/>
        <v>7.1294920001522032E-3</v>
      </c>
      <c r="M292" s="59">
        <f t="shared" si="31"/>
        <v>1.1907333788204577E-2</v>
      </c>
      <c r="N292" s="59" t="str">
        <f t="shared" si="31"/>
        <v/>
      </c>
      <c r="O292" s="62" t="str">
        <f t="shared" si="31"/>
        <v/>
      </c>
      <c r="P292" s="54" t="s">
        <v>596</v>
      </c>
      <c r="Q292" s="52" t="s">
        <v>597</v>
      </c>
      <c r="R292" s="93" t="s">
        <v>32</v>
      </c>
      <c r="S292" s="70">
        <v>5.2231940000000004E-2</v>
      </c>
      <c r="T292" s="62">
        <f t="shared" si="32"/>
        <v>1.4488828882045779E-3</v>
      </c>
      <c r="V292" s="113">
        <v>1.1126280100000001</v>
      </c>
      <c r="W292" s="71">
        <v>2.8637009299999998</v>
      </c>
      <c r="X292" s="71">
        <v>4.4113463499999996</v>
      </c>
      <c r="Y292" s="71">
        <v>5.7432099000000001</v>
      </c>
      <c r="Z292" s="114">
        <v>7.40116453</v>
      </c>
      <c r="AB292" s="70" t="s">
        <v>21</v>
      </c>
      <c r="AC292" s="70">
        <v>4.8813966500152205E-2</v>
      </c>
      <c r="AD292" s="70">
        <v>5.3680822888204582E-2</v>
      </c>
      <c r="AE292" s="70" t="s">
        <v>21</v>
      </c>
      <c r="AF292" s="62" t="s">
        <v>21</v>
      </c>
      <c r="AG292" s="70" t="s">
        <v>21</v>
      </c>
      <c r="AH292" s="70">
        <v>7.1294920001522032E-3</v>
      </c>
      <c r="AI292" s="70">
        <v>1.1907333788204577E-2</v>
      </c>
      <c r="AJ292" s="70" t="s">
        <v>21</v>
      </c>
      <c r="AK292" s="70" t="s">
        <v>21</v>
      </c>
    </row>
    <row r="293" spans="2:37" x14ac:dyDescent="0.35">
      <c r="B293" s="54" t="s">
        <v>192</v>
      </c>
      <c r="C293" s="52" t="s">
        <v>232</v>
      </c>
      <c r="D293" s="52" t="s">
        <v>193</v>
      </c>
      <c r="E293" s="52" t="s">
        <v>292</v>
      </c>
      <c r="F293" s="72" t="str">
        <f t="shared" si="30"/>
        <v/>
      </c>
      <c r="G293" s="59">
        <f t="shared" si="30"/>
        <v>4.5857804611015809E-2</v>
      </c>
      <c r="H293" s="59">
        <f t="shared" si="30"/>
        <v>4.9785828659851289E-2</v>
      </c>
      <c r="I293" s="59" t="str">
        <f t="shared" si="30"/>
        <v/>
      </c>
      <c r="J293" s="62" t="str">
        <f t="shared" si="30"/>
        <v/>
      </c>
      <c r="K293" s="59" t="str">
        <f t="shared" si="31"/>
        <v/>
      </c>
      <c r="L293" s="59">
        <f t="shared" si="31"/>
        <v>4.3207740110158162E-3</v>
      </c>
      <c r="M293" s="59">
        <f t="shared" si="31"/>
        <v>8.2025605598512862E-3</v>
      </c>
      <c r="N293" s="59" t="str">
        <f t="shared" si="31"/>
        <v/>
      </c>
      <c r="O293" s="62" t="str">
        <f t="shared" si="31"/>
        <v/>
      </c>
      <c r="P293" s="54" t="s">
        <v>598</v>
      </c>
      <c r="Q293" s="52" t="s">
        <v>599</v>
      </c>
      <c r="R293" s="93" t="s">
        <v>32</v>
      </c>
      <c r="S293" s="70">
        <v>5.0045149999999997E-2</v>
      </c>
      <c r="T293" s="62">
        <f t="shared" si="32"/>
        <v>-2.5932134014870767E-4</v>
      </c>
      <c r="V293" s="113">
        <v>1.1167513299999998</v>
      </c>
      <c r="W293" s="71">
        <v>2.8864498900000002</v>
      </c>
      <c r="X293" s="71">
        <v>4.4721445399999995</v>
      </c>
      <c r="Y293" s="71">
        <v>5.8565360499999999</v>
      </c>
      <c r="Z293" s="114">
        <v>7.6020212100000002</v>
      </c>
      <c r="AB293" s="70" t="s">
        <v>21</v>
      </c>
      <c r="AC293" s="70">
        <v>4.5857804611015809E-2</v>
      </c>
      <c r="AD293" s="70">
        <v>4.9785828659851289E-2</v>
      </c>
      <c r="AE293" s="70" t="s">
        <v>21</v>
      </c>
      <c r="AF293" s="62" t="s">
        <v>21</v>
      </c>
      <c r="AG293" s="70" t="s">
        <v>21</v>
      </c>
      <c r="AH293" s="70">
        <v>4.3207740110158162E-3</v>
      </c>
      <c r="AI293" s="70">
        <v>8.2025605598512862E-3</v>
      </c>
      <c r="AJ293" s="70" t="s">
        <v>21</v>
      </c>
      <c r="AK293" s="70" t="s">
        <v>21</v>
      </c>
    </row>
    <row r="294" spans="2:37" x14ac:dyDescent="0.35">
      <c r="B294" s="54" t="s">
        <v>194</v>
      </c>
      <c r="C294" s="52" t="s">
        <v>232</v>
      </c>
      <c r="D294" s="52" t="s">
        <v>195</v>
      </c>
      <c r="E294" s="52" t="s">
        <v>600</v>
      </c>
      <c r="F294" s="72" t="str">
        <f t="shared" si="30"/>
        <v/>
      </c>
      <c r="G294" s="59">
        <f t="shared" si="30"/>
        <v>5.2086383915884243E-2</v>
      </c>
      <c r="H294" s="59">
        <f t="shared" si="30"/>
        <v>6.0509838560108678E-2</v>
      </c>
      <c r="I294" s="59" t="str">
        <f t="shared" si="30"/>
        <v/>
      </c>
      <c r="J294" s="62" t="str">
        <f t="shared" si="30"/>
        <v/>
      </c>
      <c r="K294" s="59" t="str">
        <f t="shared" si="31"/>
        <v/>
      </c>
      <c r="L294" s="59">
        <f t="shared" si="31"/>
        <v>1.021825781588424E-2</v>
      </c>
      <c r="M294" s="59">
        <f t="shared" si="31"/>
        <v>1.8344026160108686E-2</v>
      </c>
      <c r="N294" s="59" t="str">
        <f t="shared" si="31"/>
        <v/>
      </c>
      <c r="O294" s="62" t="str">
        <f t="shared" si="31"/>
        <v/>
      </c>
      <c r="P294" s="54" t="s">
        <v>601</v>
      </c>
      <c r="Q294" s="52" t="s">
        <v>602</v>
      </c>
      <c r="R294" s="93" t="s">
        <v>32</v>
      </c>
      <c r="S294" s="70">
        <v>5.966689E-2</v>
      </c>
      <c r="T294" s="62">
        <f t="shared" si="32"/>
        <v>8.429485601086778E-4</v>
      </c>
      <c r="V294" s="113">
        <v>1.1126833600000001</v>
      </c>
      <c r="W294" s="71">
        <v>2.84754079</v>
      </c>
      <c r="X294" s="71">
        <v>4.3296821400000001</v>
      </c>
      <c r="Y294" s="71">
        <v>5.5421246899999996</v>
      </c>
      <c r="Z294" s="114">
        <v>6.9353074400000008</v>
      </c>
      <c r="AB294" s="70" t="s">
        <v>21</v>
      </c>
      <c r="AC294" s="70">
        <v>5.2086383915884243E-2</v>
      </c>
      <c r="AD294" s="70">
        <v>6.0509838560108678E-2</v>
      </c>
      <c r="AE294" s="70" t="s">
        <v>21</v>
      </c>
      <c r="AF294" s="62" t="s">
        <v>21</v>
      </c>
      <c r="AG294" s="70" t="s">
        <v>21</v>
      </c>
      <c r="AH294" s="70">
        <v>1.021825781588424E-2</v>
      </c>
      <c r="AI294" s="70">
        <v>1.8344026160108686E-2</v>
      </c>
      <c r="AJ294" s="70" t="s">
        <v>21</v>
      </c>
      <c r="AK294" s="70" t="s">
        <v>21</v>
      </c>
    </row>
    <row r="295" spans="2:37" x14ac:dyDescent="0.35">
      <c r="B295" s="54" t="s">
        <v>196</v>
      </c>
      <c r="C295" s="52" t="s">
        <v>232</v>
      </c>
      <c r="D295" s="52" t="s">
        <v>197</v>
      </c>
      <c r="E295" s="52" t="s">
        <v>55</v>
      </c>
      <c r="F295" s="72" t="str">
        <f t="shared" si="30"/>
        <v/>
      </c>
      <c r="G295" s="59">
        <f t="shared" si="30"/>
        <v>5.0946928026356912E-2</v>
      </c>
      <c r="H295" s="59">
        <f t="shared" si="30"/>
        <v>5.6994720281687533E-2</v>
      </c>
      <c r="I295" s="59" t="str">
        <f t="shared" si="30"/>
        <v/>
      </c>
      <c r="J295" s="62" t="str">
        <f t="shared" si="30"/>
        <v/>
      </c>
      <c r="K295" s="59" t="str">
        <f t="shared" si="31"/>
        <v/>
      </c>
      <c r="L295" s="59">
        <f t="shared" si="31"/>
        <v>9.159827426356907E-3</v>
      </c>
      <c r="M295" s="59">
        <f t="shared" si="31"/>
        <v>1.5051357381687541E-2</v>
      </c>
      <c r="N295" s="59" t="str">
        <f t="shared" si="31"/>
        <v/>
      </c>
      <c r="O295" s="62" t="str">
        <f t="shared" si="31"/>
        <v/>
      </c>
      <c r="P295" s="54" t="s">
        <v>603</v>
      </c>
      <c r="Q295" s="52" t="s">
        <v>604</v>
      </c>
      <c r="R295" s="93">
        <v>47586</v>
      </c>
      <c r="S295" s="70">
        <v>5.565374E-2</v>
      </c>
      <c r="T295" s="62">
        <f t="shared" si="32"/>
        <v>1.340980281687533E-3</v>
      </c>
      <c r="V295" s="113">
        <v>1.1121930900000001</v>
      </c>
      <c r="W295" s="71">
        <v>2.8517177</v>
      </c>
      <c r="X295" s="71">
        <v>4.3673873399999996</v>
      </c>
      <c r="Y295" s="71">
        <v>5.6375621899999997</v>
      </c>
      <c r="Z295" s="114">
        <v>7.1560450799999993</v>
      </c>
      <c r="AB295" s="70" t="s">
        <v>21</v>
      </c>
      <c r="AC295" s="70">
        <v>5.0946928026356912E-2</v>
      </c>
      <c r="AD295" s="70">
        <v>5.6994720281687533E-2</v>
      </c>
      <c r="AE295" s="70" t="s">
        <v>21</v>
      </c>
      <c r="AF295" s="62" t="s">
        <v>21</v>
      </c>
      <c r="AG295" s="70" t="s">
        <v>21</v>
      </c>
      <c r="AH295" s="70">
        <v>9.159827426356907E-3</v>
      </c>
      <c r="AI295" s="70">
        <v>1.5051357381687541E-2</v>
      </c>
      <c r="AJ295" s="70" t="s">
        <v>21</v>
      </c>
      <c r="AK295" s="70" t="s">
        <v>21</v>
      </c>
    </row>
    <row r="296" spans="2:37" x14ac:dyDescent="0.35">
      <c r="B296" s="54" t="s">
        <v>198</v>
      </c>
      <c r="C296" s="52" t="s">
        <v>232</v>
      </c>
      <c r="D296" s="52" t="s">
        <v>199</v>
      </c>
      <c r="E296" s="52" t="s">
        <v>293</v>
      </c>
      <c r="F296" s="72" t="str">
        <f t="shared" si="30"/>
        <v/>
      </c>
      <c r="G296" s="59">
        <f t="shared" si="30"/>
        <v>5.2989948150497602E-2</v>
      </c>
      <c r="H296" s="59">
        <f t="shared" si="30"/>
        <v>6.027414963200723E-2</v>
      </c>
      <c r="I296" s="59" t="str">
        <f t="shared" si="30"/>
        <v/>
      </c>
      <c r="J296" s="62" t="str">
        <f t="shared" si="30"/>
        <v/>
      </c>
      <c r="K296" s="59" t="str">
        <f t="shared" si="31"/>
        <v/>
      </c>
      <c r="L296" s="59">
        <f t="shared" si="31"/>
        <v>1.1096185350497606E-2</v>
      </c>
      <c r="M296" s="59">
        <f t="shared" si="31"/>
        <v>1.8143084832007224E-2</v>
      </c>
      <c r="N296" s="59" t="str">
        <f t="shared" si="31"/>
        <v/>
      </c>
      <c r="O296" s="62" t="str">
        <f t="shared" si="31"/>
        <v/>
      </c>
      <c r="P296" s="54" t="s">
        <v>605</v>
      </c>
      <c r="Q296" s="52" t="s">
        <v>606</v>
      </c>
      <c r="R296" s="93" t="s">
        <v>32</v>
      </c>
      <c r="S296" s="70">
        <v>5.5374130000000001E-2</v>
      </c>
      <c r="T296" s="62">
        <f t="shared" si="32"/>
        <v>4.9000196320072298E-3</v>
      </c>
      <c r="V296" s="113">
        <v>1.11077552</v>
      </c>
      <c r="W296" s="71">
        <v>2.8387255499999999</v>
      </c>
      <c r="X296" s="71">
        <v>4.3236323200000006</v>
      </c>
      <c r="Y296" s="71">
        <v>5.5434921900000003</v>
      </c>
      <c r="Z296" s="114">
        <v>6.9604580700000005</v>
      </c>
      <c r="AB296" s="70" t="s">
        <v>21</v>
      </c>
      <c r="AC296" s="70">
        <v>5.2989948150497602E-2</v>
      </c>
      <c r="AD296" s="70">
        <v>6.027414963200723E-2</v>
      </c>
      <c r="AE296" s="70" t="s">
        <v>21</v>
      </c>
      <c r="AF296" s="62" t="s">
        <v>21</v>
      </c>
      <c r="AG296" s="70" t="s">
        <v>21</v>
      </c>
      <c r="AH296" s="70">
        <v>1.1096185350497606E-2</v>
      </c>
      <c r="AI296" s="70">
        <v>1.8143084832007224E-2</v>
      </c>
      <c r="AJ296" s="70" t="s">
        <v>21</v>
      </c>
      <c r="AK296" s="70" t="s">
        <v>21</v>
      </c>
    </row>
    <row r="297" spans="2:37" x14ac:dyDescent="0.35">
      <c r="B297" s="54" t="s">
        <v>200</v>
      </c>
      <c r="C297" s="52" t="s">
        <v>232</v>
      </c>
      <c r="D297" s="52" t="s">
        <v>201</v>
      </c>
      <c r="E297" s="52" t="s">
        <v>179</v>
      </c>
      <c r="F297" s="72" t="str">
        <f t="shared" si="30"/>
        <v/>
      </c>
      <c r="G297" s="59">
        <f t="shared" si="30"/>
        <v>4.9699251052252182E-2</v>
      </c>
      <c r="H297" s="59">
        <f t="shared" si="30"/>
        <v>5.4983268610473202E-2</v>
      </c>
      <c r="I297" s="59" t="str">
        <f t="shared" si="30"/>
        <v/>
      </c>
      <c r="J297" s="62" t="str">
        <f t="shared" si="30"/>
        <v/>
      </c>
      <c r="K297" s="59" t="str">
        <f t="shared" si="31"/>
        <v/>
      </c>
      <c r="L297" s="59">
        <f t="shared" si="31"/>
        <v>7.9664473522521786E-3</v>
      </c>
      <c r="M297" s="59">
        <f t="shared" si="31"/>
        <v>1.3137262910473202E-2</v>
      </c>
      <c r="N297" s="59" t="str">
        <f t="shared" si="31"/>
        <v/>
      </c>
      <c r="O297" s="62" t="str">
        <f t="shared" si="31"/>
        <v/>
      </c>
      <c r="P297" s="54" t="s">
        <v>607</v>
      </c>
      <c r="Q297" s="52" t="s">
        <v>608</v>
      </c>
      <c r="R297" s="93" t="s">
        <v>32</v>
      </c>
      <c r="S297" s="70">
        <v>5.2256499999999992E-3</v>
      </c>
      <c r="T297" s="62">
        <f t="shared" si="32"/>
        <v>4.9757618610473203E-2</v>
      </c>
      <c r="V297" s="113">
        <v>1.1126756</v>
      </c>
      <c r="W297" s="71">
        <v>2.8582362799999999</v>
      </c>
      <c r="X297" s="71">
        <v>4.3911398100000003</v>
      </c>
      <c r="Y297" s="71">
        <v>5.69360278</v>
      </c>
      <c r="Z297" s="114">
        <v>7.2921544599999999</v>
      </c>
      <c r="AB297" s="70" t="s">
        <v>21</v>
      </c>
      <c r="AC297" s="70">
        <v>4.9699251052252182E-2</v>
      </c>
      <c r="AD297" s="70">
        <v>5.4983268610473202E-2</v>
      </c>
      <c r="AE297" s="70" t="s">
        <v>21</v>
      </c>
      <c r="AF297" s="62" t="s">
        <v>21</v>
      </c>
      <c r="AG297" s="70" t="s">
        <v>21</v>
      </c>
      <c r="AH297" s="70">
        <v>7.9664473522521786E-3</v>
      </c>
      <c r="AI297" s="70">
        <v>1.3137262910473202E-2</v>
      </c>
      <c r="AJ297" s="70" t="s">
        <v>21</v>
      </c>
      <c r="AK297" s="70" t="s">
        <v>21</v>
      </c>
    </row>
    <row r="298" spans="2:37" x14ac:dyDescent="0.35">
      <c r="B298" s="54" t="s">
        <v>202</v>
      </c>
      <c r="C298" s="52" t="s">
        <v>232</v>
      </c>
      <c r="D298" s="52" t="s">
        <v>203</v>
      </c>
      <c r="E298" s="52" t="s">
        <v>609</v>
      </c>
      <c r="F298" s="72" t="str">
        <f t="shared" si="30"/>
        <v/>
      </c>
      <c r="G298" s="59">
        <f t="shared" si="30"/>
        <v>5.949038252170355E-2</v>
      </c>
      <c r="H298" s="59">
        <f t="shared" si="30"/>
        <v>6.8847022983981723E-2</v>
      </c>
      <c r="I298" s="59" t="str">
        <f t="shared" si="30"/>
        <v/>
      </c>
      <c r="J298" s="62" t="str">
        <f t="shared" si="30"/>
        <v/>
      </c>
      <c r="K298" s="59" t="str">
        <f t="shared" si="31"/>
        <v/>
      </c>
      <c r="L298" s="59">
        <f t="shared" si="31"/>
        <v>1.7194655621703563E-2</v>
      </c>
      <c r="M298" s="59">
        <f t="shared" si="31"/>
        <v>2.6121821683981711E-2</v>
      </c>
      <c r="N298" s="59" t="str">
        <f t="shared" si="31"/>
        <v/>
      </c>
      <c r="O298" s="62" t="str">
        <f t="shared" si="31"/>
        <v/>
      </c>
      <c r="P298" s="54" t="s">
        <v>21</v>
      </c>
      <c r="Q298" s="52" t="s">
        <v>21</v>
      </c>
      <c r="R298" s="93" t="s">
        <v>21</v>
      </c>
      <c r="S298" s="70">
        <v>0</v>
      </c>
      <c r="T298" s="62">
        <f t="shared" si="32"/>
        <v>6.8847022983981723E-2</v>
      </c>
      <c r="V298" s="113">
        <v>1.10421839</v>
      </c>
      <c r="W298" s="71">
        <v>2.7911344099999997</v>
      </c>
      <c r="X298" s="71">
        <v>4.1970552300000001</v>
      </c>
      <c r="Y298" s="71">
        <v>5.3052859799999998</v>
      </c>
      <c r="Z298" s="114">
        <v>6.5381945200000002</v>
      </c>
      <c r="AB298" s="70" t="s">
        <v>21</v>
      </c>
      <c r="AC298" s="70">
        <v>5.949038252170355E-2</v>
      </c>
      <c r="AD298" s="70">
        <v>6.8847022983981723E-2</v>
      </c>
      <c r="AE298" s="70" t="s">
        <v>21</v>
      </c>
      <c r="AF298" s="62" t="s">
        <v>21</v>
      </c>
      <c r="AG298" s="70" t="s">
        <v>21</v>
      </c>
      <c r="AH298" s="70">
        <v>1.7194655621703563E-2</v>
      </c>
      <c r="AI298" s="70">
        <v>2.6121821683981711E-2</v>
      </c>
      <c r="AJ298" s="70" t="s">
        <v>21</v>
      </c>
      <c r="AK298" s="70" t="s">
        <v>21</v>
      </c>
    </row>
    <row r="299" spans="2:37" x14ac:dyDescent="0.35">
      <c r="B299" s="54" t="s">
        <v>204</v>
      </c>
      <c r="C299" s="52" t="s">
        <v>232</v>
      </c>
      <c r="D299" s="52" t="s">
        <v>205</v>
      </c>
      <c r="E299" s="52" t="s">
        <v>191</v>
      </c>
      <c r="F299" s="72" t="str">
        <f t="shared" si="30"/>
        <v/>
      </c>
      <c r="G299" s="59">
        <f t="shared" si="30"/>
        <v>4.8419854899413618E-2</v>
      </c>
      <c r="H299" s="59">
        <f t="shared" si="30"/>
        <v>5.2836525381657382E-2</v>
      </c>
      <c r="I299" s="59" t="str">
        <f t="shared" si="30"/>
        <v/>
      </c>
      <c r="J299" s="62" t="str">
        <f t="shared" si="30"/>
        <v/>
      </c>
      <c r="K299" s="59" t="str">
        <f t="shared" si="31"/>
        <v/>
      </c>
      <c r="L299" s="59">
        <f t="shared" si="31"/>
        <v>6.7580600994136203E-3</v>
      </c>
      <c r="M299" s="59">
        <f t="shared" si="31"/>
        <v>1.1107100181657382E-2</v>
      </c>
      <c r="N299" s="59" t="str">
        <f t="shared" si="31"/>
        <v/>
      </c>
      <c r="O299" s="62" t="str">
        <f t="shared" si="31"/>
        <v/>
      </c>
      <c r="P299" s="54" t="s">
        <v>610</v>
      </c>
      <c r="Q299" s="52" t="s">
        <v>611</v>
      </c>
      <c r="R299" s="93" t="s">
        <v>32</v>
      </c>
      <c r="S299" s="70">
        <v>4.8356960000000004E-2</v>
      </c>
      <c r="T299" s="62">
        <f t="shared" si="32"/>
        <v>4.4795653816573772E-3</v>
      </c>
      <c r="V299" s="113">
        <v>1.1139334000000001</v>
      </c>
      <c r="W299" s="71">
        <v>2.8678208600000001</v>
      </c>
      <c r="X299" s="71">
        <v>4.4231500500000003</v>
      </c>
      <c r="Y299" s="71">
        <v>5.7620533199999997</v>
      </c>
      <c r="Z299" s="114">
        <v>7.4340842</v>
      </c>
      <c r="AB299" s="70" t="s">
        <v>21</v>
      </c>
      <c r="AC299" s="70">
        <v>4.8419854899413618E-2</v>
      </c>
      <c r="AD299" s="70">
        <v>5.2836525381657382E-2</v>
      </c>
      <c r="AE299" s="70" t="s">
        <v>21</v>
      </c>
      <c r="AF299" s="62" t="s">
        <v>21</v>
      </c>
      <c r="AG299" s="70" t="s">
        <v>21</v>
      </c>
      <c r="AH299" s="70">
        <v>6.7580600994136203E-3</v>
      </c>
      <c r="AI299" s="70">
        <v>1.1107100181657382E-2</v>
      </c>
      <c r="AJ299" s="70" t="s">
        <v>21</v>
      </c>
      <c r="AK299" s="70" t="s">
        <v>21</v>
      </c>
    </row>
    <row r="300" spans="2:37" x14ac:dyDescent="0.35">
      <c r="B300" s="54" t="s">
        <v>206</v>
      </c>
      <c r="C300" s="52" t="s">
        <v>232</v>
      </c>
      <c r="D300" s="52" t="s">
        <v>207</v>
      </c>
      <c r="E300" s="52" t="s">
        <v>179</v>
      </c>
      <c r="F300" s="72" t="str">
        <f t="shared" si="30"/>
        <v/>
      </c>
      <c r="G300" s="59">
        <f t="shared" si="30"/>
        <v>5.2320805862350057E-2</v>
      </c>
      <c r="H300" s="59">
        <f t="shared" si="30"/>
        <v>5.9035616372334565E-2</v>
      </c>
      <c r="I300" s="59" t="str">
        <f t="shared" si="30"/>
        <v/>
      </c>
      <c r="J300" s="62" t="str">
        <f t="shared" si="30"/>
        <v/>
      </c>
      <c r="K300" s="59" t="str">
        <f t="shared" si="31"/>
        <v/>
      </c>
      <c r="L300" s="59">
        <f t="shared" si="31"/>
        <v>1.0457151162350053E-2</v>
      </c>
      <c r="M300" s="59">
        <f t="shared" si="31"/>
        <v>1.6972089272334567E-2</v>
      </c>
      <c r="N300" s="59" t="str">
        <f t="shared" si="31"/>
        <v/>
      </c>
      <c r="O300" s="62" t="str">
        <f t="shared" si="31"/>
        <v/>
      </c>
      <c r="P300" s="54" t="s">
        <v>21</v>
      </c>
      <c r="Q300" s="52" t="s">
        <v>21</v>
      </c>
      <c r="R300" s="93" t="s">
        <v>21</v>
      </c>
      <c r="S300" s="70">
        <v>0</v>
      </c>
      <c r="T300" s="62">
        <f t="shared" si="32"/>
        <v>5.9035616372334565E-2</v>
      </c>
      <c r="V300" s="113">
        <v>1.11062225</v>
      </c>
      <c r="W300" s="71">
        <v>2.8411403500000003</v>
      </c>
      <c r="X300" s="71">
        <v>4.3370843099999998</v>
      </c>
      <c r="Y300" s="71">
        <v>5.5778352699999996</v>
      </c>
      <c r="Z300" s="114">
        <v>7.0393781600000001</v>
      </c>
      <c r="AB300" s="70" t="s">
        <v>21</v>
      </c>
      <c r="AC300" s="70">
        <v>5.2320805862350057E-2</v>
      </c>
      <c r="AD300" s="70">
        <v>5.9035616372334565E-2</v>
      </c>
      <c r="AE300" s="70" t="s">
        <v>21</v>
      </c>
      <c r="AF300" s="62" t="s">
        <v>21</v>
      </c>
      <c r="AG300" s="70" t="s">
        <v>21</v>
      </c>
      <c r="AH300" s="70">
        <v>1.0457151162350053E-2</v>
      </c>
      <c r="AI300" s="70">
        <v>1.6972089272334567E-2</v>
      </c>
      <c r="AJ300" s="70" t="s">
        <v>21</v>
      </c>
      <c r="AK300" s="70" t="s">
        <v>21</v>
      </c>
    </row>
    <row r="301" spans="2:37" x14ac:dyDescent="0.35">
      <c r="B301" s="54" t="s">
        <v>411</v>
      </c>
      <c r="C301" s="52" t="s">
        <v>232</v>
      </c>
      <c r="D301" s="52" t="s">
        <v>411</v>
      </c>
      <c r="E301" s="52" t="s">
        <v>612</v>
      </c>
      <c r="F301" s="72" t="str">
        <f t="shared" si="30"/>
        <v/>
      </c>
      <c r="G301" s="59">
        <f t="shared" si="30"/>
        <v>7.6202053187788277E-2</v>
      </c>
      <c r="H301" s="59">
        <f t="shared" si="30"/>
        <v>8.4961903769629393E-2</v>
      </c>
      <c r="I301" s="59" t="str">
        <f t="shared" si="30"/>
        <v/>
      </c>
      <c r="J301" s="62" t="str">
        <f t="shared" si="30"/>
        <v/>
      </c>
      <c r="K301" s="59" t="str">
        <f t="shared" si="31"/>
        <v/>
      </c>
      <c r="L301" s="59">
        <f t="shared" si="31"/>
        <v>3.2613433087788267E-2</v>
      </c>
      <c r="M301" s="59">
        <f t="shared" si="31"/>
        <v>4.0832736069629422E-2</v>
      </c>
      <c r="N301" s="59" t="str">
        <f t="shared" si="31"/>
        <v/>
      </c>
      <c r="O301" s="62" t="str">
        <f t="shared" si="31"/>
        <v/>
      </c>
      <c r="P301" s="54" t="s">
        <v>613</v>
      </c>
      <c r="Q301" s="52" t="s">
        <v>614</v>
      </c>
      <c r="R301" s="93" t="s">
        <v>32</v>
      </c>
      <c r="S301" s="70">
        <v>7.9607960000000005E-2</v>
      </c>
      <c r="T301" s="62">
        <f t="shared" si="32"/>
        <v>5.3539437696293879E-3</v>
      </c>
      <c r="V301" s="113">
        <v>1.07276167</v>
      </c>
      <c r="W301" s="71">
        <v>2.65287037</v>
      </c>
      <c r="X301" s="71">
        <v>3.9118684200000002</v>
      </c>
      <c r="Y301" s="71">
        <v>4.8808228699999994</v>
      </c>
      <c r="Z301" s="114">
        <v>5.9361757400000004</v>
      </c>
      <c r="AB301" s="70" t="s">
        <v>21</v>
      </c>
      <c r="AC301" s="70">
        <v>7.6202053187788277E-2</v>
      </c>
      <c r="AD301" s="70">
        <v>8.4961903769629393E-2</v>
      </c>
      <c r="AE301" s="70" t="s">
        <v>21</v>
      </c>
      <c r="AF301" s="62" t="s">
        <v>21</v>
      </c>
      <c r="AG301" s="70" t="s">
        <v>21</v>
      </c>
      <c r="AH301" s="70">
        <v>3.2613433087788267E-2</v>
      </c>
      <c r="AI301" s="70">
        <v>4.0832736069629422E-2</v>
      </c>
      <c r="AJ301" s="70" t="s">
        <v>21</v>
      </c>
      <c r="AK301" s="70" t="s">
        <v>21</v>
      </c>
    </row>
    <row r="302" spans="2:37" x14ac:dyDescent="0.35">
      <c r="B302" s="54" t="s">
        <v>208</v>
      </c>
      <c r="C302" s="52" t="s">
        <v>232</v>
      </c>
      <c r="D302" s="52" t="s">
        <v>208</v>
      </c>
      <c r="E302" s="52" t="s">
        <v>615</v>
      </c>
      <c r="F302" s="72" t="str">
        <f t="shared" si="30"/>
        <v/>
      </c>
      <c r="G302" s="59">
        <f t="shared" si="30"/>
        <v>5.0005334921359251E-2</v>
      </c>
      <c r="H302" s="59">
        <f t="shared" si="30"/>
        <v>5.4688468280889579E-2</v>
      </c>
      <c r="I302" s="59" t="str">
        <f t="shared" si="30"/>
        <v/>
      </c>
      <c r="J302" s="62" t="str">
        <f t="shared" si="30"/>
        <v/>
      </c>
      <c r="K302" s="59" t="str">
        <f t="shared" si="31"/>
        <v/>
      </c>
      <c r="L302" s="59">
        <f t="shared" si="31"/>
        <v>8.2679176213592519E-3</v>
      </c>
      <c r="M302" s="59">
        <f t="shared" si="31"/>
        <v>1.2867992480889569E-2</v>
      </c>
      <c r="N302" s="59" t="str">
        <f t="shared" si="31"/>
        <v/>
      </c>
      <c r="O302" s="62" t="str">
        <f t="shared" si="31"/>
        <v/>
      </c>
      <c r="P302" s="54" t="s">
        <v>616</v>
      </c>
      <c r="Q302" s="52" t="s">
        <v>617</v>
      </c>
      <c r="R302" s="93" t="s">
        <v>32</v>
      </c>
      <c r="S302" s="70">
        <v>5.335049E-2</v>
      </c>
      <c r="T302" s="62">
        <f t="shared" si="32"/>
        <v>1.337978280889579E-3</v>
      </c>
      <c r="V302" s="113">
        <v>1.1127185499999999</v>
      </c>
      <c r="W302" s="71">
        <v>2.8575709800000002</v>
      </c>
      <c r="X302" s="71">
        <v>4.3938582500000001</v>
      </c>
      <c r="Y302" s="71">
        <v>5.71199222</v>
      </c>
      <c r="Z302" s="114">
        <v>7.3528092700000007</v>
      </c>
      <c r="AB302" s="70" t="s">
        <v>21</v>
      </c>
      <c r="AC302" s="70">
        <v>5.0005334921359251E-2</v>
      </c>
      <c r="AD302" s="70">
        <v>5.4688468280889579E-2</v>
      </c>
      <c r="AE302" s="70" t="s">
        <v>21</v>
      </c>
      <c r="AF302" s="62" t="s">
        <v>21</v>
      </c>
      <c r="AG302" s="70" t="s">
        <v>21</v>
      </c>
      <c r="AH302" s="70">
        <v>8.2679176213592519E-3</v>
      </c>
      <c r="AI302" s="70">
        <v>1.2867992480889569E-2</v>
      </c>
      <c r="AJ302" s="70" t="s">
        <v>21</v>
      </c>
      <c r="AK302" s="70" t="s">
        <v>21</v>
      </c>
    </row>
    <row r="303" spans="2:37" x14ac:dyDescent="0.35">
      <c r="B303" s="54" t="s">
        <v>209</v>
      </c>
      <c r="C303" s="52" t="s">
        <v>232</v>
      </c>
      <c r="D303" s="52" t="s">
        <v>209</v>
      </c>
      <c r="E303" s="52" t="s">
        <v>618</v>
      </c>
      <c r="F303" s="72" t="str">
        <f t="shared" si="30"/>
        <v/>
      </c>
      <c r="G303" s="59">
        <f t="shared" si="30"/>
        <v>5.6984055873098585E-2</v>
      </c>
      <c r="H303" s="59">
        <f t="shared" si="30"/>
        <v>6.4510261174194977E-2</v>
      </c>
      <c r="I303" s="59" t="str">
        <f t="shared" si="30"/>
        <v/>
      </c>
      <c r="J303" s="62" t="str">
        <f t="shared" si="30"/>
        <v/>
      </c>
      <c r="K303" s="59" t="str">
        <f t="shared" si="31"/>
        <v/>
      </c>
      <c r="L303" s="59">
        <f t="shared" si="31"/>
        <v>1.4726993373098591E-2</v>
      </c>
      <c r="M303" s="59">
        <f t="shared" si="31"/>
        <v>2.1960526574194988E-2</v>
      </c>
      <c r="N303" s="59" t="str">
        <f t="shared" si="31"/>
        <v/>
      </c>
      <c r="O303" s="62" t="str">
        <f t="shared" si="31"/>
        <v/>
      </c>
      <c r="P303" s="54" t="s">
        <v>619</v>
      </c>
      <c r="Q303" s="52" t="s">
        <v>620</v>
      </c>
      <c r="R303" s="93" t="s">
        <v>32</v>
      </c>
      <c r="S303" s="70">
        <v>7.663064E-2</v>
      </c>
      <c r="T303" s="62">
        <f t="shared" si="32"/>
        <v>-1.2120378825805023E-2</v>
      </c>
      <c r="V303" s="113">
        <v>1.10342736</v>
      </c>
      <c r="W303" s="71">
        <v>2.7947044000000001</v>
      </c>
      <c r="X303" s="71">
        <v>4.2214230499999994</v>
      </c>
      <c r="Y303" s="71">
        <v>5.3829149699999999</v>
      </c>
      <c r="Z303" s="114">
        <v>6.7475377899999991</v>
      </c>
      <c r="AB303" s="70" t="s">
        <v>21</v>
      </c>
      <c r="AC303" s="70">
        <v>5.6984055873098585E-2</v>
      </c>
      <c r="AD303" s="70">
        <v>6.4510261174194977E-2</v>
      </c>
      <c r="AE303" s="70" t="s">
        <v>21</v>
      </c>
      <c r="AF303" s="62" t="s">
        <v>21</v>
      </c>
      <c r="AG303" s="70" t="s">
        <v>21</v>
      </c>
      <c r="AH303" s="70">
        <v>1.4726993373098591E-2</v>
      </c>
      <c r="AI303" s="70">
        <v>2.1960526574194988E-2</v>
      </c>
      <c r="AJ303" s="70" t="s">
        <v>21</v>
      </c>
      <c r="AK303" s="70" t="s">
        <v>21</v>
      </c>
    </row>
    <row r="304" spans="2:37" x14ac:dyDescent="0.35">
      <c r="B304" s="54" t="s">
        <v>210</v>
      </c>
      <c r="C304" s="52" t="s">
        <v>232</v>
      </c>
      <c r="D304" s="52" t="s">
        <v>210</v>
      </c>
      <c r="E304" s="52" t="s">
        <v>572</v>
      </c>
      <c r="F304" s="72" t="str">
        <f t="shared" si="30"/>
        <v/>
      </c>
      <c r="G304" s="59">
        <f t="shared" si="30"/>
        <v>6.7748313756467171E-2</v>
      </c>
      <c r="H304" s="59">
        <f t="shared" si="30"/>
        <v>7.8431544029129718E-2</v>
      </c>
      <c r="I304" s="59" t="str">
        <f t="shared" si="30"/>
        <v/>
      </c>
      <c r="J304" s="62" t="str">
        <f t="shared" si="30"/>
        <v/>
      </c>
      <c r="K304" s="59" t="str">
        <f t="shared" si="31"/>
        <v/>
      </c>
      <c r="L304" s="59">
        <f t="shared" si="31"/>
        <v>2.4850554656467187E-2</v>
      </c>
      <c r="M304" s="59">
        <f t="shared" si="31"/>
        <v>3.492002032912972E-2</v>
      </c>
      <c r="N304" s="59" t="str">
        <f t="shared" si="31"/>
        <v/>
      </c>
      <c r="O304" s="62" t="str">
        <f t="shared" si="31"/>
        <v/>
      </c>
      <c r="P304" s="54" t="s">
        <v>621</v>
      </c>
      <c r="Q304" s="52" t="s">
        <v>622</v>
      </c>
      <c r="R304" s="93" t="s">
        <v>32</v>
      </c>
      <c r="S304" s="70">
        <v>7.1748179999999995E-2</v>
      </c>
      <c r="T304" s="62">
        <f t="shared" si="32"/>
        <v>6.6833640291297236E-3</v>
      </c>
      <c r="V304" s="113">
        <v>1.0918923</v>
      </c>
      <c r="W304" s="71">
        <v>2.7292808700000002</v>
      </c>
      <c r="X304" s="71">
        <v>4.04916082</v>
      </c>
      <c r="Y304" s="71">
        <v>5.0759551399999996</v>
      </c>
      <c r="Z304" s="114">
        <v>6.2118927400000006</v>
      </c>
      <c r="AB304" s="70" t="s">
        <v>21</v>
      </c>
      <c r="AC304" s="70">
        <v>6.7748313756467171E-2</v>
      </c>
      <c r="AD304" s="70">
        <v>7.8431544029129718E-2</v>
      </c>
      <c r="AE304" s="70" t="s">
        <v>21</v>
      </c>
      <c r="AF304" s="62" t="s">
        <v>21</v>
      </c>
      <c r="AG304" s="70" t="s">
        <v>21</v>
      </c>
      <c r="AH304" s="70">
        <v>2.4850554656467187E-2</v>
      </c>
      <c r="AI304" s="70">
        <v>3.492002032912972E-2</v>
      </c>
      <c r="AJ304" s="70" t="s">
        <v>21</v>
      </c>
      <c r="AK304" s="70" t="s">
        <v>21</v>
      </c>
    </row>
    <row r="305" spans="2:37" x14ac:dyDescent="0.35">
      <c r="B305" s="54" t="s">
        <v>211</v>
      </c>
      <c r="C305" s="52" t="s">
        <v>232</v>
      </c>
      <c r="D305" s="52" t="s">
        <v>211</v>
      </c>
      <c r="E305" s="52" t="s">
        <v>623</v>
      </c>
      <c r="F305" s="72" t="str">
        <f t="shared" si="30"/>
        <v/>
      </c>
      <c r="G305" s="59">
        <f t="shared" si="30"/>
        <v>6.5175843661767818E-2</v>
      </c>
      <c r="H305" s="59">
        <f t="shared" si="30"/>
        <v>7.4521612470209761E-2</v>
      </c>
      <c r="I305" s="59" t="str">
        <f t="shared" si="30"/>
        <v/>
      </c>
      <c r="J305" s="62" t="str">
        <f t="shared" si="30"/>
        <v/>
      </c>
      <c r="K305" s="59" t="str">
        <f t="shared" si="31"/>
        <v/>
      </c>
      <c r="L305" s="59">
        <f t="shared" si="31"/>
        <v>2.2447407561767815E-2</v>
      </c>
      <c r="M305" s="59">
        <f t="shared" si="31"/>
        <v>3.131605887020978E-2</v>
      </c>
      <c r="N305" s="59" t="str">
        <f t="shared" si="31"/>
        <v/>
      </c>
      <c r="O305" s="62" t="str">
        <f t="shared" si="31"/>
        <v/>
      </c>
      <c r="P305" s="54" t="s">
        <v>624</v>
      </c>
      <c r="Q305" s="52" t="s">
        <v>625</v>
      </c>
      <c r="R305" s="93" t="s">
        <v>32</v>
      </c>
      <c r="S305" s="70">
        <v>6.7925739999999998E-2</v>
      </c>
      <c r="T305" s="62">
        <f t="shared" si="32"/>
        <v>6.5958724702097626E-3</v>
      </c>
      <c r="V305" s="113">
        <v>1.0965050699999999</v>
      </c>
      <c r="W305" s="71">
        <v>2.7469613399999999</v>
      </c>
      <c r="X305" s="71">
        <v>4.09775694</v>
      </c>
      <c r="Y305" s="71">
        <v>5.1568502399999998</v>
      </c>
      <c r="Z305" s="114">
        <v>6.3328594399999991</v>
      </c>
      <c r="AB305" s="70" t="s">
        <v>21</v>
      </c>
      <c r="AC305" s="70">
        <v>6.5175843661767818E-2</v>
      </c>
      <c r="AD305" s="70">
        <v>7.4521612470209761E-2</v>
      </c>
      <c r="AE305" s="70" t="s">
        <v>21</v>
      </c>
      <c r="AF305" s="62" t="s">
        <v>21</v>
      </c>
      <c r="AG305" s="70" t="s">
        <v>21</v>
      </c>
      <c r="AH305" s="70">
        <v>2.2447407561767815E-2</v>
      </c>
      <c r="AI305" s="70">
        <v>3.131605887020978E-2</v>
      </c>
      <c r="AJ305" s="70" t="s">
        <v>21</v>
      </c>
      <c r="AK305" s="70" t="s">
        <v>21</v>
      </c>
    </row>
    <row r="306" spans="2:37" x14ac:dyDescent="0.35">
      <c r="B306" s="54" t="s">
        <v>272</v>
      </c>
      <c r="C306" s="52" t="s">
        <v>232</v>
      </c>
      <c r="D306" s="52" t="s">
        <v>272</v>
      </c>
      <c r="E306" s="52" t="s">
        <v>286</v>
      </c>
      <c r="F306" s="72" t="str">
        <f t="shared" ref="F306:J316" si="33">IF(ISNUMBER(AB306),AB306-((C$4-C$3)/V306),"")</f>
        <v/>
      </c>
      <c r="G306" s="59">
        <f t="shared" si="33"/>
        <v>4.8242945014039015E-2</v>
      </c>
      <c r="H306" s="59">
        <f t="shared" si="33"/>
        <v>5.4070699379610399E-2</v>
      </c>
      <c r="I306" s="59" t="str">
        <f t="shared" si="33"/>
        <v/>
      </c>
      <c r="J306" s="62" t="str">
        <f t="shared" si="33"/>
        <v/>
      </c>
      <c r="K306" s="59" t="str">
        <f t="shared" ref="K306:O316" si="34">IF(ISNUMBER(AG306),IF(AG306-((C$4-C$3)/V306)&lt;0,"",AG306-((C$4-C$3)/V306)),"")</f>
        <v/>
      </c>
      <c r="L306" s="59">
        <f t="shared" si="34"/>
        <v>6.5950223140390143E-3</v>
      </c>
      <c r="M306" s="59">
        <f t="shared" si="34"/>
        <v>1.22839959796104E-2</v>
      </c>
      <c r="N306" s="59" t="str">
        <f t="shared" si="34"/>
        <v/>
      </c>
      <c r="O306" s="62" t="str">
        <f t="shared" si="34"/>
        <v/>
      </c>
      <c r="P306" s="54" t="s">
        <v>21</v>
      </c>
      <c r="Q306" s="52" t="s">
        <v>21</v>
      </c>
      <c r="R306" s="93" t="s">
        <v>21</v>
      </c>
      <c r="S306" s="70">
        <v>0</v>
      </c>
      <c r="T306" s="62">
        <f t="shared" si="32"/>
        <v>5.4070699379610399E-2</v>
      </c>
      <c r="V306" s="113">
        <v>1.11479236</v>
      </c>
      <c r="W306" s="71">
        <v>2.8705687000000002</v>
      </c>
      <c r="X306" s="71">
        <v>4.4160010200000004</v>
      </c>
      <c r="Y306" s="71">
        <v>5.7224869900000002</v>
      </c>
      <c r="Z306" s="114">
        <v>7.3379865200000003</v>
      </c>
      <c r="AB306" s="70" t="s">
        <v>21</v>
      </c>
      <c r="AC306" s="70">
        <v>4.8242945014039015E-2</v>
      </c>
      <c r="AD306" s="70">
        <v>5.4070699379610399E-2</v>
      </c>
      <c r="AE306" s="70" t="s">
        <v>21</v>
      </c>
      <c r="AF306" s="62" t="s">
        <v>21</v>
      </c>
      <c r="AG306" s="70" t="s">
        <v>21</v>
      </c>
      <c r="AH306" s="70">
        <v>6.5950223140390143E-3</v>
      </c>
      <c r="AI306" s="70">
        <v>1.22839959796104E-2</v>
      </c>
      <c r="AJ306" s="70" t="s">
        <v>21</v>
      </c>
      <c r="AK306" s="70" t="s">
        <v>21</v>
      </c>
    </row>
    <row r="307" spans="2:37" x14ac:dyDescent="0.35">
      <c r="B307" s="54" t="s">
        <v>273</v>
      </c>
      <c r="C307" s="52" t="s">
        <v>232</v>
      </c>
      <c r="D307" s="52" t="s">
        <v>273</v>
      </c>
      <c r="E307" s="52" t="s">
        <v>274</v>
      </c>
      <c r="F307" s="72" t="str">
        <f t="shared" si="33"/>
        <v/>
      </c>
      <c r="G307" s="59">
        <f t="shared" si="33"/>
        <v>5.1852298665227406E-2</v>
      </c>
      <c r="H307" s="59">
        <f t="shared" si="33"/>
        <v>5.7854448143239208E-2</v>
      </c>
      <c r="I307" s="59" t="str">
        <f t="shared" si="33"/>
        <v/>
      </c>
      <c r="J307" s="62" t="str">
        <f t="shared" si="33"/>
        <v/>
      </c>
      <c r="K307" s="59" t="str">
        <f t="shared" si="34"/>
        <v/>
      </c>
      <c r="L307" s="59">
        <f t="shared" si="34"/>
        <v>1.0009411265227416E-2</v>
      </c>
      <c r="M307" s="59">
        <f t="shared" si="34"/>
        <v>1.5857066143239194E-2</v>
      </c>
      <c r="N307" s="59" t="str">
        <f t="shared" si="34"/>
        <v/>
      </c>
      <c r="O307" s="62" t="str">
        <f t="shared" si="34"/>
        <v/>
      </c>
      <c r="P307" s="54" t="s">
        <v>626</v>
      </c>
      <c r="Q307" s="52" t="s">
        <v>627</v>
      </c>
      <c r="R307" s="93" t="s">
        <v>32</v>
      </c>
      <c r="S307" s="70">
        <v>5.6366820000000005E-2</v>
      </c>
      <c r="T307" s="62">
        <f t="shared" si="32"/>
        <v>1.487628143239203E-3</v>
      </c>
      <c r="V307" s="113">
        <v>1.1130802200000001</v>
      </c>
      <c r="W307" s="71">
        <v>2.8490028000000001</v>
      </c>
      <c r="X307" s="71">
        <v>4.3553693999999998</v>
      </c>
      <c r="Y307" s="71">
        <v>5.6206626699999997</v>
      </c>
      <c r="Z307" s="114">
        <v>7.1587212499999993</v>
      </c>
      <c r="AB307" s="70" t="s">
        <v>21</v>
      </c>
      <c r="AC307" s="70">
        <v>5.1852298665227406E-2</v>
      </c>
      <c r="AD307" s="70">
        <v>5.7854448143239208E-2</v>
      </c>
      <c r="AE307" s="70" t="s">
        <v>21</v>
      </c>
      <c r="AF307" s="62" t="s">
        <v>21</v>
      </c>
      <c r="AG307" s="70" t="s">
        <v>21</v>
      </c>
      <c r="AH307" s="70">
        <v>1.0009411265227416E-2</v>
      </c>
      <c r="AI307" s="70">
        <v>1.5857066143239194E-2</v>
      </c>
      <c r="AJ307" s="70" t="s">
        <v>21</v>
      </c>
      <c r="AK307" s="70" t="s">
        <v>21</v>
      </c>
    </row>
    <row r="308" spans="2:37" x14ac:dyDescent="0.35">
      <c r="B308" s="137" t="s">
        <v>277</v>
      </c>
      <c r="C308" s="138" t="s">
        <v>232</v>
      </c>
      <c r="D308" s="138" t="s">
        <v>277</v>
      </c>
      <c r="E308" s="138" t="s">
        <v>278</v>
      </c>
      <c r="F308" s="72" t="str">
        <f t="shared" si="33"/>
        <v/>
      </c>
      <c r="G308" s="59">
        <f t="shared" si="33"/>
        <v>4.8369576353350305E-2</v>
      </c>
      <c r="H308" s="59">
        <f t="shared" si="33"/>
        <v>5.3097567099197593E-2</v>
      </c>
      <c r="I308" s="59" t="str">
        <f t="shared" si="33"/>
        <v/>
      </c>
      <c r="J308" s="62" t="str">
        <f t="shared" si="33"/>
        <v/>
      </c>
      <c r="K308" s="59" t="str">
        <f t="shared" si="34"/>
        <v/>
      </c>
      <c r="L308" s="59">
        <f t="shared" si="34"/>
        <v>6.7118885533503092E-3</v>
      </c>
      <c r="M308" s="59">
        <f t="shared" si="34"/>
        <v>1.1356509399197584E-2</v>
      </c>
      <c r="N308" s="59" t="str">
        <f t="shared" si="34"/>
        <v/>
      </c>
      <c r="O308" s="62" t="str">
        <f t="shared" si="34"/>
        <v/>
      </c>
      <c r="P308" s="137" t="s">
        <v>628</v>
      </c>
      <c r="Q308" s="138" t="s">
        <v>629</v>
      </c>
      <c r="R308" s="142" t="s">
        <v>32</v>
      </c>
      <c r="S308" s="140">
        <v>4.7467670000000003E-2</v>
      </c>
      <c r="T308" s="62">
        <f t="shared" si="32"/>
        <v>5.6298970991975894E-3</v>
      </c>
      <c r="V308" s="143">
        <v>1.1149088</v>
      </c>
      <c r="W308" s="144">
        <v>2.8695074899999997</v>
      </c>
      <c r="X308" s="144">
        <v>4.4219810499999994</v>
      </c>
      <c r="Y308" s="144">
        <v>5.7579867499999997</v>
      </c>
      <c r="Z308" s="145">
        <v>7.4253850699999999</v>
      </c>
      <c r="AB308" s="140" t="s">
        <v>21</v>
      </c>
      <c r="AC308" s="140">
        <v>4.8369576353350305E-2</v>
      </c>
      <c r="AD308" s="140">
        <v>5.3097567099197593E-2</v>
      </c>
      <c r="AE308" s="140" t="s">
        <v>21</v>
      </c>
      <c r="AF308" s="141" t="s">
        <v>21</v>
      </c>
      <c r="AG308" s="140" t="s">
        <v>21</v>
      </c>
      <c r="AH308" s="140">
        <v>6.7118885533503092E-3</v>
      </c>
      <c r="AI308" s="140">
        <v>1.1356509399197584E-2</v>
      </c>
      <c r="AJ308" s="140" t="s">
        <v>21</v>
      </c>
      <c r="AK308" s="140" t="s">
        <v>21</v>
      </c>
    </row>
    <row r="309" spans="2:37" x14ac:dyDescent="0.35">
      <c r="B309" s="137" t="s">
        <v>279</v>
      </c>
      <c r="C309" s="138" t="s">
        <v>232</v>
      </c>
      <c r="D309" s="138" t="s">
        <v>279</v>
      </c>
      <c r="E309" s="138" t="s">
        <v>48</v>
      </c>
      <c r="F309" s="72" t="str">
        <f t="shared" si="33"/>
        <v/>
      </c>
      <c r="G309" s="59">
        <f t="shared" si="33"/>
        <v>5.5447606470627533E-2</v>
      </c>
      <c r="H309" s="59">
        <f t="shared" si="33"/>
        <v>6.266319152671844E-2</v>
      </c>
      <c r="I309" s="59" t="str">
        <f t="shared" si="33"/>
        <v/>
      </c>
      <c r="J309" s="62" t="str">
        <f t="shared" si="33"/>
        <v/>
      </c>
      <c r="K309" s="59" t="str">
        <f t="shared" si="34"/>
        <v/>
      </c>
      <c r="L309" s="59">
        <f t="shared" si="34"/>
        <v>1.3408212170627537E-2</v>
      </c>
      <c r="M309" s="59">
        <f t="shared" si="34"/>
        <v>2.0371308626718442E-2</v>
      </c>
      <c r="N309" s="59" t="str">
        <f t="shared" si="34"/>
        <v/>
      </c>
      <c r="O309" s="62" t="str">
        <f t="shared" si="34"/>
        <v/>
      </c>
      <c r="P309" s="137" t="s">
        <v>630</v>
      </c>
      <c r="Q309" s="138" t="s">
        <v>631</v>
      </c>
      <c r="R309" s="142" t="s">
        <v>32</v>
      </c>
      <c r="S309" s="140">
        <v>5.9674189999999995E-2</v>
      </c>
      <c r="T309" s="62">
        <f t="shared" si="32"/>
        <v>2.9890015267184447E-3</v>
      </c>
      <c r="V309" s="143">
        <v>1.1081750299999999</v>
      </c>
      <c r="W309" s="144">
        <v>2.8191926199999999</v>
      </c>
      <c r="X309" s="144">
        <v>4.2797320700000006</v>
      </c>
      <c r="Y309" s="144">
        <v>5.4796973399999995</v>
      </c>
      <c r="Z309" s="145">
        <v>6.8724345399999995</v>
      </c>
      <c r="AB309" s="140" t="s">
        <v>21</v>
      </c>
      <c r="AC309" s="140">
        <v>5.5447606470627533E-2</v>
      </c>
      <c r="AD309" s="140">
        <v>6.266319152671844E-2</v>
      </c>
      <c r="AE309" s="140" t="s">
        <v>21</v>
      </c>
      <c r="AF309" s="141" t="s">
        <v>21</v>
      </c>
      <c r="AG309" s="140" t="s">
        <v>21</v>
      </c>
      <c r="AH309" s="140">
        <v>1.3408212170627537E-2</v>
      </c>
      <c r="AI309" s="140">
        <v>2.0371308626718442E-2</v>
      </c>
      <c r="AJ309" s="140" t="s">
        <v>21</v>
      </c>
      <c r="AK309" s="140" t="s">
        <v>21</v>
      </c>
    </row>
    <row r="310" spans="2:37" x14ac:dyDescent="0.35">
      <c r="B310" s="146" t="s">
        <v>275</v>
      </c>
      <c r="C310" s="147" t="s">
        <v>232</v>
      </c>
      <c r="D310" s="147" t="s">
        <v>276</v>
      </c>
      <c r="E310" s="147" t="s">
        <v>123</v>
      </c>
      <c r="F310" s="72" t="str">
        <f t="shared" si="33"/>
        <v/>
      </c>
      <c r="G310" s="59">
        <f t="shared" si="33"/>
        <v>5.189892004266683E-2</v>
      </c>
      <c r="H310" s="59">
        <f t="shared" si="33"/>
        <v>5.7059429604955761E-2</v>
      </c>
      <c r="I310" s="59" t="str">
        <f t="shared" si="33"/>
        <v/>
      </c>
      <c r="J310" s="62" t="str">
        <f t="shared" si="33"/>
        <v/>
      </c>
      <c r="K310" s="59" t="str">
        <f t="shared" si="34"/>
        <v/>
      </c>
      <c r="L310" s="59">
        <f t="shared" si="34"/>
        <v>1.0026950842666832E-2</v>
      </c>
      <c r="M310" s="59">
        <f t="shared" si="34"/>
        <v>1.5056254204955757E-2</v>
      </c>
      <c r="N310" s="59" t="str">
        <f t="shared" si="34"/>
        <v/>
      </c>
      <c r="O310" s="62" t="str">
        <f t="shared" si="34"/>
        <v/>
      </c>
      <c r="P310" s="146" t="s">
        <v>632</v>
      </c>
      <c r="Q310" s="147" t="s">
        <v>633</v>
      </c>
      <c r="R310" s="151" t="s">
        <v>32</v>
      </c>
      <c r="S310" s="149">
        <v>5.2727969999999999E-2</v>
      </c>
      <c r="T310" s="62">
        <f t="shared" si="32"/>
        <v>4.3314596049557619E-3</v>
      </c>
      <c r="V310" s="152">
        <v>1.1089850000000001</v>
      </c>
      <c r="W310" s="153">
        <v>2.83322969</v>
      </c>
      <c r="X310" s="153">
        <v>4.32920617</v>
      </c>
      <c r="Y310" s="153">
        <v>5.5873766800000002</v>
      </c>
      <c r="Z310" s="154">
        <v>7.0887000899999997</v>
      </c>
      <c r="AB310" s="149" t="s">
        <v>21</v>
      </c>
      <c r="AC310" s="149">
        <v>5.189892004266683E-2</v>
      </c>
      <c r="AD310" s="149">
        <v>5.7059429604955761E-2</v>
      </c>
      <c r="AE310" s="149" t="s">
        <v>21</v>
      </c>
      <c r="AF310" s="150" t="s">
        <v>21</v>
      </c>
      <c r="AG310" s="149" t="s">
        <v>21</v>
      </c>
      <c r="AH310" s="149">
        <v>1.0026950842666832E-2</v>
      </c>
      <c r="AI310" s="149">
        <v>1.5056254204955757E-2</v>
      </c>
      <c r="AJ310" s="149" t="s">
        <v>21</v>
      </c>
      <c r="AK310" s="149" t="s">
        <v>21</v>
      </c>
    </row>
    <row r="311" spans="2:37" x14ac:dyDescent="0.35">
      <c r="B311" s="54" t="s">
        <v>212</v>
      </c>
      <c r="C311" s="52" t="s">
        <v>232</v>
      </c>
      <c r="D311" s="52" t="s">
        <v>199</v>
      </c>
      <c r="E311" s="52" t="s">
        <v>293</v>
      </c>
      <c r="F311" s="74" t="str">
        <f t="shared" si="33"/>
        <v/>
      </c>
      <c r="G311" s="79">
        <f t="shared" si="33"/>
        <v>5.2383783514108627E-2</v>
      </c>
      <c r="H311" s="79">
        <f t="shared" si="33"/>
        <v>6.0497316797169021E-2</v>
      </c>
      <c r="I311" s="79" t="str">
        <f t="shared" si="33"/>
        <v/>
      </c>
      <c r="J311" s="61" t="str">
        <f t="shared" si="33"/>
        <v/>
      </c>
      <c r="K311" s="79" t="str">
        <f t="shared" si="34"/>
        <v/>
      </c>
      <c r="L311" s="79">
        <f t="shared" si="34"/>
        <v>1.0481556014108632E-2</v>
      </c>
      <c r="M311" s="79">
        <f t="shared" si="34"/>
        <v>1.8308854097169015E-2</v>
      </c>
      <c r="N311" s="79" t="str">
        <f t="shared" si="34"/>
        <v/>
      </c>
      <c r="O311" s="61" t="str">
        <f t="shared" si="34"/>
        <v/>
      </c>
      <c r="P311" s="54" t="s">
        <v>634</v>
      </c>
      <c r="Q311" s="52" t="s">
        <v>635</v>
      </c>
      <c r="R311" s="93" t="s">
        <v>32</v>
      </c>
      <c r="S311" s="70">
        <v>5.7093790000000005E-2</v>
      </c>
      <c r="T311" s="61">
        <f t="shared" si="32"/>
        <v>3.4035267971690153E-3</v>
      </c>
      <c r="V311" s="113">
        <v>1.11222256</v>
      </c>
      <c r="W311" s="71">
        <v>2.8410347999999996</v>
      </c>
      <c r="X311" s="71">
        <v>4.3184405000000003</v>
      </c>
      <c r="Y311" s="71">
        <v>5.5254024199999998</v>
      </c>
      <c r="Z311" s="114">
        <v>6.9271733899999992</v>
      </c>
      <c r="AB311" s="70" t="s">
        <v>21</v>
      </c>
      <c r="AC311" s="70">
        <v>5.2383783514108627E-2</v>
      </c>
      <c r="AD311" s="70">
        <v>6.0497316797169021E-2</v>
      </c>
      <c r="AE311" s="70" t="s">
        <v>21</v>
      </c>
      <c r="AF311" s="62" t="s">
        <v>21</v>
      </c>
      <c r="AG311" s="70" t="s">
        <v>21</v>
      </c>
      <c r="AH311" s="70">
        <v>1.0481556014108632E-2</v>
      </c>
      <c r="AI311" s="70">
        <v>1.8308854097169015E-2</v>
      </c>
      <c r="AJ311" s="70" t="s">
        <v>21</v>
      </c>
      <c r="AK311" s="70" t="s">
        <v>21</v>
      </c>
    </row>
    <row r="312" spans="2:37" x14ac:dyDescent="0.35">
      <c r="B312" s="54" t="s">
        <v>213</v>
      </c>
      <c r="C312" s="52" t="s">
        <v>232</v>
      </c>
      <c r="D312" s="52" t="s">
        <v>197</v>
      </c>
      <c r="E312" s="52" t="s">
        <v>636</v>
      </c>
      <c r="F312" s="72" t="str">
        <f t="shared" si="33"/>
        <v/>
      </c>
      <c r="G312" s="59">
        <f t="shared" si="33"/>
        <v>6.8095655858603249E-2</v>
      </c>
      <c r="H312" s="59">
        <f t="shared" si="33"/>
        <v>7.6236618490337624E-2</v>
      </c>
      <c r="I312" s="59" t="str">
        <f t="shared" si="33"/>
        <v/>
      </c>
      <c r="J312" s="62" t="str">
        <f t="shared" si="33"/>
        <v/>
      </c>
      <c r="K312" s="59" t="str">
        <f t="shared" si="34"/>
        <v/>
      </c>
      <c r="L312" s="59">
        <f t="shared" si="34"/>
        <v>2.5149598658603264E-2</v>
      </c>
      <c r="M312" s="59">
        <f t="shared" si="34"/>
        <v>3.2876698390337626E-2</v>
      </c>
      <c r="N312" s="59" t="str">
        <f t="shared" si="34"/>
        <v/>
      </c>
      <c r="O312" s="62" t="str">
        <f t="shared" si="34"/>
        <v/>
      </c>
      <c r="P312" s="54" t="s">
        <v>21</v>
      </c>
      <c r="Q312" s="52" t="s">
        <v>21</v>
      </c>
      <c r="R312" s="93" t="s">
        <v>21</v>
      </c>
      <c r="S312" s="70">
        <v>0</v>
      </c>
      <c r="T312" s="62">
        <f t="shared" si="32"/>
        <v>7.6236618490337624E-2</v>
      </c>
      <c r="V312" s="113">
        <v>1.0863690500000001</v>
      </c>
      <c r="W312" s="71">
        <v>2.7133751699999999</v>
      </c>
      <c r="X312" s="71">
        <v>4.0479975699999997</v>
      </c>
      <c r="Y312" s="71">
        <v>5.0859491200000004</v>
      </c>
      <c r="Z312" s="114">
        <v>6.2359438599999999</v>
      </c>
      <c r="AB312" s="70" t="s">
        <v>21</v>
      </c>
      <c r="AC312" s="70">
        <v>6.8095655858603249E-2</v>
      </c>
      <c r="AD312" s="70">
        <v>7.6236618490337624E-2</v>
      </c>
      <c r="AE312" s="70" t="s">
        <v>21</v>
      </c>
      <c r="AF312" s="62" t="s">
        <v>21</v>
      </c>
      <c r="AG312" s="70" t="s">
        <v>21</v>
      </c>
      <c r="AH312" s="70">
        <v>2.5149598658603264E-2</v>
      </c>
      <c r="AI312" s="70">
        <v>3.2876698390337626E-2</v>
      </c>
      <c r="AJ312" s="70" t="s">
        <v>21</v>
      </c>
      <c r="AK312" s="70" t="s">
        <v>21</v>
      </c>
    </row>
    <row r="313" spans="2:37" x14ac:dyDescent="0.35">
      <c r="B313" s="54" t="s">
        <v>280</v>
      </c>
      <c r="C313" s="52" t="s">
        <v>232</v>
      </c>
      <c r="D313" s="52" t="s">
        <v>199</v>
      </c>
      <c r="E313" s="52" t="s">
        <v>133</v>
      </c>
      <c r="F313" s="72" t="str">
        <f t="shared" si="33"/>
        <v/>
      </c>
      <c r="G313" s="59" t="str">
        <f t="shared" si="33"/>
        <v/>
      </c>
      <c r="H313" s="59">
        <f t="shared" si="33"/>
        <v>5.0543060022567123E-2</v>
      </c>
      <c r="I313" s="59" t="str">
        <f t="shared" si="33"/>
        <v/>
      </c>
      <c r="J313" s="62" t="str">
        <f t="shared" si="33"/>
        <v/>
      </c>
      <c r="K313" s="59" t="str">
        <f t="shared" si="34"/>
        <v/>
      </c>
      <c r="L313" s="59" t="str">
        <f t="shared" si="34"/>
        <v/>
      </c>
      <c r="M313" s="59">
        <f t="shared" si="34"/>
        <v>8.7903568225671351E-3</v>
      </c>
      <c r="N313" s="59" t="str">
        <f t="shared" si="34"/>
        <v/>
      </c>
      <c r="O313" s="62" t="str">
        <f t="shared" si="34"/>
        <v/>
      </c>
      <c r="P313" s="54" t="s">
        <v>294</v>
      </c>
      <c r="Q313" s="52" t="s">
        <v>295</v>
      </c>
      <c r="R313" s="93">
        <v>47581</v>
      </c>
      <c r="S313" s="70">
        <v>5.4140430000000003E-2</v>
      </c>
      <c r="T313" s="62">
        <f t="shared" si="32"/>
        <v>-3.5973699774328807E-3</v>
      </c>
      <c r="V313" s="113">
        <v>1.1126429</v>
      </c>
      <c r="W313" s="71">
        <v>2.8642298999999998</v>
      </c>
      <c r="X313" s="71">
        <v>4.4134812300000004</v>
      </c>
      <c r="Y313" s="71">
        <v>5.7442840100000003</v>
      </c>
      <c r="Z313" s="114">
        <v>7.3800636899999992</v>
      </c>
      <c r="AB313" s="70" t="s">
        <v>21</v>
      </c>
      <c r="AC313" s="70"/>
      <c r="AD313" s="70">
        <v>5.0543060022567123E-2</v>
      </c>
      <c r="AE313" s="70" t="s">
        <v>21</v>
      </c>
      <c r="AF313" s="62" t="s">
        <v>21</v>
      </c>
      <c r="AG313" s="70" t="s">
        <v>21</v>
      </c>
      <c r="AH313" s="70"/>
      <c r="AI313" s="70">
        <v>8.7903568225671351E-3</v>
      </c>
      <c r="AJ313" s="70" t="s">
        <v>21</v>
      </c>
      <c r="AK313" s="70" t="s">
        <v>21</v>
      </c>
    </row>
    <row r="314" spans="2:37" x14ac:dyDescent="0.35">
      <c r="B314" s="54" t="s">
        <v>281</v>
      </c>
      <c r="C314" s="52" t="s">
        <v>232</v>
      </c>
      <c r="D314" s="52" t="s">
        <v>195</v>
      </c>
      <c r="E314" s="52" t="s">
        <v>637</v>
      </c>
      <c r="F314" s="72" t="str">
        <f t="shared" si="33"/>
        <v/>
      </c>
      <c r="G314" s="59" t="str">
        <f t="shared" si="33"/>
        <v/>
      </c>
      <c r="H314" s="59">
        <f t="shared" si="33"/>
        <v>7.7772801252693688E-2</v>
      </c>
      <c r="I314" s="59" t="str">
        <f t="shared" si="33"/>
        <v/>
      </c>
      <c r="J314" s="62" t="str">
        <f t="shared" si="33"/>
        <v/>
      </c>
      <c r="K314" s="59" t="str">
        <f t="shared" si="34"/>
        <v/>
      </c>
      <c r="L314" s="59" t="str">
        <f t="shared" si="34"/>
        <v/>
      </c>
      <c r="M314" s="59">
        <f t="shared" si="34"/>
        <v>3.4259484052693676E-2</v>
      </c>
      <c r="N314" s="59" t="str">
        <f t="shared" si="34"/>
        <v/>
      </c>
      <c r="O314" s="62" t="str">
        <f t="shared" si="34"/>
        <v/>
      </c>
      <c r="P314" s="54" t="s">
        <v>21</v>
      </c>
      <c r="Q314" s="52" t="s">
        <v>21</v>
      </c>
      <c r="R314" s="93" t="s">
        <v>21</v>
      </c>
      <c r="S314" s="70">
        <v>0</v>
      </c>
      <c r="T314" s="62">
        <f t="shared" si="32"/>
        <v>7.7772801252693688E-2</v>
      </c>
      <c r="V314" s="113">
        <v>1.08236811</v>
      </c>
      <c r="W314" s="71">
        <v>2.68306851</v>
      </c>
      <c r="X314" s="71">
        <v>3.9961063300000004</v>
      </c>
      <c r="Y314" s="71">
        <v>5.0559113</v>
      </c>
      <c r="Z314" s="114">
        <v>6.2892350099999996</v>
      </c>
      <c r="AB314" s="70" t="s">
        <v>21</v>
      </c>
      <c r="AC314" s="70"/>
      <c r="AD314" s="70">
        <v>7.7772801252693688E-2</v>
      </c>
      <c r="AE314" s="70" t="s">
        <v>21</v>
      </c>
      <c r="AF314" s="62" t="s">
        <v>21</v>
      </c>
      <c r="AG314" s="70" t="s">
        <v>21</v>
      </c>
      <c r="AH314" s="70"/>
      <c r="AI314" s="70">
        <v>3.4259484052693676E-2</v>
      </c>
      <c r="AJ314" s="70" t="s">
        <v>21</v>
      </c>
      <c r="AK314" s="70" t="s">
        <v>21</v>
      </c>
    </row>
    <row r="315" spans="2:37" x14ac:dyDescent="0.35">
      <c r="B315" s="54" t="s">
        <v>282</v>
      </c>
      <c r="C315" s="52" t="s">
        <v>232</v>
      </c>
      <c r="D315" s="52" t="s">
        <v>195</v>
      </c>
      <c r="E315" s="52" t="s">
        <v>638</v>
      </c>
      <c r="F315" s="72" t="str">
        <f t="shared" si="33"/>
        <v/>
      </c>
      <c r="G315" s="59" t="str">
        <f t="shared" si="33"/>
        <v/>
      </c>
      <c r="H315" s="59">
        <f t="shared" si="33"/>
        <v>7.9971920240486397E-2</v>
      </c>
      <c r="I315" s="59" t="str">
        <f t="shared" si="33"/>
        <v/>
      </c>
      <c r="J315" s="62" t="str">
        <f t="shared" si="33"/>
        <v/>
      </c>
      <c r="K315" s="59" t="str">
        <f t="shared" si="34"/>
        <v/>
      </c>
      <c r="L315" s="59" t="str">
        <f t="shared" si="34"/>
        <v/>
      </c>
      <c r="M315" s="59">
        <f t="shared" si="34"/>
        <v>3.6725088040486388E-2</v>
      </c>
      <c r="N315" s="59" t="str">
        <f t="shared" si="34"/>
        <v/>
      </c>
      <c r="O315" s="62" t="str">
        <f t="shared" si="34"/>
        <v/>
      </c>
      <c r="P315" s="54" t="s">
        <v>21</v>
      </c>
      <c r="Q315" s="52" t="s">
        <v>21</v>
      </c>
      <c r="R315" s="93" t="s">
        <v>21</v>
      </c>
      <c r="S315" s="70">
        <v>0</v>
      </c>
      <c r="T315" s="62">
        <f t="shared" si="32"/>
        <v>7.9971920240486397E-2</v>
      </c>
      <c r="V315" s="113">
        <v>1.08828714</v>
      </c>
      <c r="W315" s="71">
        <v>2.7246271399999999</v>
      </c>
      <c r="X315" s="71">
        <v>4.0674886200000007</v>
      </c>
      <c r="Y315" s="71">
        <v>5.1223805900000006</v>
      </c>
      <c r="Z315" s="114">
        <v>6.273471680000001</v>
      </c>
      <c r="AB315" s="70" t="s">
        <v>21</v>
      </c>
      <c r="AC315" s="70"/>
      <c r="AD315" s="70">
        <v>7.9971920240486397E-2</v>
      </c>
      <c r="AE315" s="70" t="s">
        <v>21</v>
      </c>
      <c r="AF315" s="62" t="s">
        <v>21</v>
      </c>
      <c r="AG315" s="70" t="s">
        <v>21</v>
      </c>
      <c r="AH315" s="70"/>
      <c r="AI315" s="70">
        <v>3.6725088040486388E-2</v>
      </c>
      <c r="AJ315" s="70" t="s">
        <v>21</v>
      </c>
      <c r="AK315" s="70" t="s">
        <v>21</v>
      </c>
    </row>
    <row r="316" spans="2:37" x14ac:dyDescent="0.35">
      <c r="B316" s="56" t="s">
        <v>283</v>
      </c>
      <c r="C316" s="52" t="s">
        <v>232</v>
      </c>
      <c r="D316" s="66" t="s">
        <v>195</v>
      </c>
      <c r="E316" s="66" t="s">
        <v>268</v>
      </c>
      <c r="F316" s="73" t="str">
        <f t="shared" si="33"/>
        <v/>
      </c>
      <c r="G316" s="75" t="str">
        <f t="shared" si="33"/>
        <v/>
      </c>
      <c r="H316" s="75">
        <f t="shared" si="33"/>
        <v>8.4962843186727408E-2</v>
      </c>
      <c r="I316" s="75" t="str">
        <f t="shared" si="33"/>
        <v/>
      </c>
      <c r="J316" s="63" t="str">
        <f t="shared" si="33"/>
        <v/>
      </c>
      <c r="K316" s="75" t="str">
        <f t="shared" si="34"/>
        <v/>
      </c>
      <c r="L316" s="75" t="str">
        <f t="shared" si="34"/>
        <v/>
      </c>
      <c r="M316" s="75">
        <f t="shared" si="34"/>
        <v>4.0404896686727435E-2</v>
      </c>
      <c r="N316" s="75" t="str">
        <f t="shared" si="34"/>
        <v/>
      </c>
      <c r="O316" s="63" t="str">
        <f t="shared" si="34"/>
        <v/>
      </c>
      <c r="P316" s="56" t="s">
        <v>639</v>
      </c>
      <c r="Q316" s="66" t="s">
        <v>640</v>
      </c>
      <c r="R316" s="95">
        <v>47560</v>
      </c>
      <c r="S316" s="75">
        <v>8.1144130000000009E-2</v>
      </c>
      <c r="T316" s="63">
        <f t="shared" si="32"/>
        <v>3.8187131867273988E-3</v>
      </c>
      <c r="V316" s="115">
        <v>1.0769631900000001</v>
      </c>
      <c r="W316" s="107">
        <v>2.6325210100000001</v>
      </c>
      <c r="X316" s="107">
        <v>3.8559366599999998</v>
      </c>
      <c r="Y316" s="107">
        <v>4.7989794799999999</v>
      </c>
      <c r="Z316" s="116">
        <v>5.7793536200000002</v>
      </c>
      <c r="AB316" s="75" t="s">
        <v>21</v>
      </c>
      <c r="AC316" s="75"/>
      <c r="AD316" s="75">
        <v>8.4962843186727408E-2</v>
      </c>
      <c r="AE316" s="75" t="s">
        <v>21</v>
      </c>
      <c r="AF316" s="63" t="s">
        <v>21</v>
      </c>
      <c r="AG316" s="75" t="s">
        <v>21</v>
      </c>
      <c r="AH316" s="75"/>
      <c r="AI316" s="75">
        <v>4.0404896686727435E-2</v>
      </c>
      <c r="AJ316" s="75" t="s">
        <v>21</v>
      </c>
      <c r="AK316" s="75" t="s">
        <v>21</v>
      </c>
    </row>
    <row r="317" spans="2:37" x14ac:dyDescent="0.35">
      <c r="B317" s="65"/>
      <c r="C317" s="65"/>
      <c r="D317" s="65"/>
      <c r="E317" s="65"/>
      <c r="P317" s="65"/>
      <c r="Q317" s="65"/>
      <c r="R317" s="65"/>
      <c r="S317" s="65"/>
      <c r="V317" s="65"/>
      <c r="W317" s="65"/>
      <c r="X317" s="65"/>
      <c r="Y317" s="65"/>
      <c r="Z317" s="65"/>
      <c r="AB317" s="65"/>
      <c r="AC317" s="65"/>
      <c r="AD317" s="65"/>
      <c r="AE317" s="65"/>
      <c r="AF317" s="65"/>
      <c r="AG317" s="65"/>
      <c r="AH317" s="65"/>
      <c r="AI317" s="65"/>
      <c r="AJ317" s="65"/>
      <c r="AK317" s="65"/>
    </row>
    <row r="318" spans="2:37" ht="15.5" x14ac:dyDescent="0.35">
      <c r="B318" s="121" t="s">
        <v>284</v>
      </c>
    </row>
    <row r="319" spans="2:37" x14ac:dyDescent="0.35">
      <c r="B319" s="84" t="s">
        <v>5</v>
      </c>
      <c r="C319" s="83" t="s">
        <v>6</v>
      </c>
      <c r="D319" s="83" t="s">
        <v>7</v>
      </c>
      <c r="E319" s="83" t="s">
        <v>8</v>
      </c>
      <c r="F319" s="82" t="s">
        <v>9</v>
      </c>
      <c r="G319" s="81" t="s">
        <v>10</v>
      </c>
      <c r="H319" s="81" t="s">
        <v>11</v>
      </c>
      <c r="I319" s="81" t="s">
        <v>12</v>
      </c>
      <c r="J319" s="80" t="s">
        <v>13</v>
      </c>
      <c r="K319" s="82" t="s">
        <v>9</v>
      </c>
      <c r="L319" s="81" t="s">
        <v>10</v>
      </c>
      <c r="M319" s="81" t="s">
        <v>11</v>
      </c>
      <c r="N319" s="81" t="s">
        <v>12</v>
      </c>
      <c r="O319" s="80" t="s">
        <v>13</v>
      </c>
      <c r="P319" s="82" t="s">
        <v>14</v>
      </c>
      <c r="Q319" s="81" t="s">
        <v>15</v>
      </c>
      <c r="R319" s="81" t="s">
        <v>16</v>
      </c>
      <c r="S319" s="81" t="s">
        <v>413</v>
      </c>
      <c r="T319" s="57" t="s">
        <v>18</v>
      </c>
      <c r="V319" s="109" t="s">
        <v>9</v>
      </c>
      <c r="W319" s="105" t="s">
        <v>10</v>
      </c>
      <c r="X319" s="105" t="s">
        <v>11</v>
      </c>
      <c r="Y319" s="105" t="s">
        <v>12</v>
      </c>
      <c r="Z319" s="110" t="s">
        <v>13</v>
      </c>
      <c r="AB319" s="82" t="s">
        <v>9</v>
      </c>
      <c r="AC319" s="81" t="s">
        <v>10</v>
      </c>
      <c r="AD319" s="81" t="s">
        <v>11</v>
      </c>
      <c r="AE319" s="81" t="s">
        <v>12</v>
      </c>
      <c r="AF319" s="80" t="s">
        <v>13</v>
      </c>
      <c r="AG319" s="81" t="s">
        <v>9</v>
      </c>
      <c r="AH319" s="81" t="s">
        <v>10</v>
      </c>
      <c r="AI319" s="81" t="s">
        <v>11</v>
      </c>
      <c r="AJ319" s="81" t="s">
        <v>12</v>
      </c>
      <c r="AK319" s="81" t="s">
        <v>13</v>
      </c>
    </row>
    <row r="320" spans="2:37" x14ac:dyDescent="0.35">
      <c r="B320" s="54" t="s">
        <v>641</v>
      </c>
      <c r="C320" s="52" t="s">
        <v>232</v>
      </c>
      <c r="D320" s="52" t="s">
        <v>642</v>
      </c>
      <c r="E320" s="52" t="s">
        <v>643</v>
      </c>
      <c r="F320" s="72">
        <f>IF(ISNUMBER(AB320),AB320-((C$4-C$3)/V320),"")</f>
        <v>4.1933634021335674E-2</v>
      </c>
      <c r="G320" s="59">
        <f>IF(ISNUMBER(AC320),AC320-((D$4-D$3)/W320),"")</f>
        <v>4.818481957221922E-2</v>
      </c>
      <c r="H320" s="59">
        <f>IF(ISNUMBER(AD320),AD320-((E$4-E$3)/X320),"")</f>
        <v>5.3671632738638522E-2</v>
      </c>
      <c r="I320" s="59">
        <f>IF(ISNUMBER(AE320),AE320-((F$4-F$3)/Y320),"")</f>
        <v>5.61711657542045E-2</v>
      </c>
      <c r="J320" s="62">
        <f>IF(ISNUMBER(AF320),AF320-((G$4-G$3)/Z320),"")</f>
        <v>5.8870562469636872E-2</v>
      </c>
      <c r="K320" s="59" t="str">
        <f>IF(ISNUMBER(AG320),IF(AG320-((C$4-C$3)/V320)&lt;0,"",AG320-((C$4-C$3)/V320)),"")</f>
        <v/>
      </c>
      <c r="L320" s="59">
        <f>IF(ISNUMBER(AH320),IF(AH320-((D$4-D$3)/W320)&lt;0,"",AH320-((D$4-D$3)/W320)),"")</f>
        <v>6.4557398722192207E-3</v>
      </c>
      <c r="M320" s="59">
        <f>IF(ISNUMBER(AI320),IF(AI320-((E$4-E$3)/X320)&lt;0,"",AI320-((E$4-E$3)/X320)),"")</f>
        <v>1.1793922638638517E-2</v>
      </c>
      <c r="N320" s="59">
        <f>IF(ISNUMBER(AJ320),IF(AJ320-((F$4-F$3)/Y320)&lt;0,"",AJ320-((F$4-F$3)/Y320)),"")</f>
        <v>1.3542610354204506E-2</v>
      </c>
      <c r="O320" s="62">
        <f>IF(ISNUMBER(AK320),IF(AK320-((G$4-G$3)/Z320)&lt;0,"",AK320-((G$4-G$3)/Z320)),"")</f>
        <v>1.4801115469636885E-2</v>
      </c>
      <c r="P320" s="54" t="s">
        <v>644</v>
      </c>
      <c r="Q320" s="52" t="s">
        <v>645</v>
      </c>
      <c r="R320" s="93">
        <v>47545</v>
      </c>
      <c r="S320" s="70">
        <v>4.7164900000000003E-2</v>
      </c>
      <c r="T320" s="62">
        <f t="shared" ref="T320:T325" si="35">IF(S320="","",H320-S320)</f>
        <v>6.5067327386385196E-3</v>
      </c>
      <c r="V320" s="113">
        <v>1.11284611</v>
      </c>
      <c r="W320" s="71">
        <v>2.8557701299999998</v>
      </c>
      <c r="X320" s="71">
        <v>4.3768816500000005</v>
      </c>
      <c r="Y320" s="71">
        <v>5.6738899600000003</v>
      </c>
      <c r="Z320" s="114">
        <v>7.2864986600000003</v>
      </c>
      <c r="AB320" s="70">
        <v>4.1933634021335674E-2</v>
      </c>
      <c r="AC320" s="70">
        <v>4.818481957221922E-2</v>
      </c>
      <c r="AD320" s="70">
        <v>5.3671632738638522E-2</v>
      </c>
      <c r="AE320" s="70">
        <v>5.61711657542045E-2</v>
      </c>
      <c r="AF320" s="62">
        <v>5.8870562469636872E-2</v>
      </c>
      <c r="AG320" s="70" t="s">
        <v>21</v>
      </c>
      <c r="AH320" s="70">
        <v>6.4557398722192207E-3</v>
      </c>
      <c r="AI320" s="70">
        <v>1.1793922638638517E-2</v>
      </c>
      <c r="AJ320" s="70">
        <v>1.3542610354204506E-2</v>
      </c>
      <c r="AK320" s="70">
        <v>1.4801115469636885E-2</v>
      </c>
    </row>
    <row r="321" spans="2:37" x14ac:dyDescent="0.35">
      <c r="B321" s="54" t="s">
        <v>646</v>
      </c>
      <c r="C321" s="52" t="s">
        <v>232</v>
      </c>
      <c r="D321" s="52" t="s">
        <v>647</v>
      </c>
      <c r="E321" s="52" t="s">
        <v>264</v>
      </c>
      <c r="F321" s="72">
        <f t="shared" ref="F321:J325" si="36">IF(ISNUMBER(AB321),AB321-((C$4-C$3)/V321),"")</f>
        <v>4.2790914915747394E-2</v>
      </c>
      <c r="G321" s="59">
        <f t="shared" si="36"/>
        <v>4.8797415711755839E-2</v>
      </c>
      <c r="H321" s="59">
        <f t="shared" si="36"/>
        <v>5.3996516875951223E-2</v>
      </c>
      <c r="I321" s="59">
        <f t="shared" si="36"/>
        <v>5.6339992800278196E-2</v>
      </c>
      <c r="J321" s="62">
        <f t="shared" si="36"/>
        <v>5.9088257788641116E-2</v>
      </c>
      <c r="K321" s="59">
        <f t="shared" ref="K321:O325" si="37">IF(ISNUMBER(AG321),IF(AG321-((C$4-C$3)/V321)&lt;0,"",AG321-((C$4-C$3)/V321)),"")</f>
        <v>6.9675411574740033E-4</v>
      </c>
      <c r="L321" s="59">
        <f t="shared" si="37"/>
        <v>7.0379447117558357E-3</v>
      </c>
      <c r="M321" s="59">
        <f t="shared" si="37"/>
        <v>1.2102215775951219E-2</v>
      </c>
      <c r="N321" s="59">
        <f t="shared" si="37"/>
        <v>1.3702274300278209E-2</v>
      </c>
      <c r="O321" s="62">
        <f t="shared" si="37"/>
        <v>1.5005921088641109E-2</v>
      </c>
      <c r="P321" s="54" t="s">
        <v>21</v>
      </c>
      <c r="Q321" s="52" t="s">
        <v>21</v>
      </c>
      <c r="R321" s="93" t="s">
        <v>21</v>
      </c>
      <c r="S321" s="70">
        <v>0</v>
      </c>
      <c r="T321" s="62">
        <f t="shared" si="35"/>
        <v>5.3996516875951223E-2</v>
      </c>
      <c r="V321" s="113">
        <v>1.11122104</v>
      </c>
      <c r="W321" s="71">
        <v>2.84896678</v>
      </c>
      <c r="X321" s="71">
        <v>4.3659014899999997</v>
      </c>
      <c r="Y321" s="71">
        <v>5.6616237200000006</v>
      </c>
      <c r="Z321" s="114">
        <v>7.2706305499999999</v>
      </c>
      <c r="AB321" s="70">
        <v>4.2790914915747394E-2</v>
      </c>
      <c r="AC321" s="70">
        <v>4.8797415711755839E-2</v>
      </c>
      <c r="AD321" s="70">
        <v>5.3996516875951223E-2</v>
      </c>
      <c r="AE321" s="70">
        <v>5.6339992800278196E-2</v>
      </c>
      <c r="AF321" s="62">
        <v>5.9088257788641116E-2</v>
      </c>
      <c r="AG321" s="70">
        <v>6.9675411574740033E-4</v>
      </c>
      <c r="AH321" s="70">
        <v>7.0379447117558357E-3</v>
      </c>
      <c r="AI321" s="70">
        <v>1.2102215775951219E-2</v>
      </c>
      <c r="AJ321" s="70">
        <v>1.3702274300278209E-2</v>
      </c>
      <c r="AK321" s="70">
        <v>1.5005921088641109E-2</v>
      </c>
    </row>
    <row r="322" spans="2:37" x14ac:dyDescent="0.35">
      <c r="B322" s="54" t="s">
        <v>287</v>
      </c>
      <c r="C322" s="52" t="s">
        <v>232</v>
      </c>
      <c r="D322" s="52" t="s">
        <v>285</v>
      </c>
      <c r="E322" s="52" t="s">
        <v>179</v>
      </c>
      <c r="F322" s="72">
        <f t="shared" si="36"/>
        <v>4.0905931921650845E-2</v>
      </c>
      <c r="G322" s="59">
        <f t="shared" si="36"/>
        <v>4.6805229197076748E-2</v>
      </c>
      <c r="H322" s="59">
        <f t="shared" si="36"/>
        <v>5.145709625552395E-2</v>
      </c>
      <c r="I322" s="59">
        <f t="shared" si="36"/>
        <v>5.4343880175786376E-2</v>
      </c>
      <c r="J322" s="62">
        <f t="shared" si="36"/>
        <v>5.7384845517706062E-2</v>
      </c>
      <c r="K322" s="59" t="str">
        <f t="shared" si="37"/>
        <v/>
      </c>
      <c r="L322" s="59">
        <f t="shared" si="37"/>
        <v>5.1429029970767523E-3</v>
      </c>
      <c r="M322" s="59">
        <f t="shared" si="37"/>
        <v>9.6961336555239485E-3</v>
      </c>
      <c r="N322" s="59">
        <f t="shared" si="37"/>
        <v>1.1811657275786376E-2</v>
      </c>
      <c r="O322" s="62">
        <f t="shared" si="37"/>
        <v>1.3388975517706061E-2</v>
      </c>
      <c r="P322" s="54" t="s">
        <v>648</v>
      </c>
      <c r="Q322" s="52" t="s">
        <v>649</v>
      </c>
      <c r="R322" s="93" t="s">
        <v>32</v>
      </c>
      <c r="S322" s="70">
        <v>4.8115079999999998E-2</v>
      </c>
      <c r="T322" s="62">
        <f t="shared" si="35"/>
        <v>3.3420162555239524E-3</v>
      </c>
      <c r="V322" s="113">
        <v>1.114827</v>
      </c>
      <c r="W322" s="71">
        <v>2.8684347700000004</v>
      </c>
      <c r="X322" s="71">
        <v>4.41497019</v>
      </c>
      <c r="Y322" s="71">
        <v>5.7371103100000003</v>
      </c>
      <c r="Z322" s="114">
        <v>7.38141917</v>
      </c>
      <c r="AB322" s="70">
        <v>4.0905931921650845E-2</v>
      </c>
      <c r="AC322" s="70">
        <v>4.6805229197076748E-2</v>
      </c>
      <c r="AD322" s="70">
        <v>5.145709625552395E-2</v>
      </c>
      <c r="AE322" s="70">
        <v>5.4343880175786376E-2</v>
      </c>
      <c r="AF322" s="62">
        <v>5.7384845517706062E-2</v>
      </c>
      <c r="AG322" s="70" t="s">
        <v>21</v>
      </c>
      <c r="AH322" s="70">
        <v>5.1429029970767523E-3</v>
      </c>
      <c r="AI322" s="70">
        <v>9.6961336555239485E-3</v>
      </c>
      <c r="AJ322" s="70">
        <v>1.1811657275786376E-2</v>
      </c>
      <c r="AK322" s="70">
        <v>1.3388975517706061E-2</v>
      </c>
    </row>
    <row r="323" spans="2:37" x14ac:dyDescent="0.35">
      <c r="B323" s="54" t="s">
        <v>650</v>
      </c>
      <c r="C323" s="52" t="s">
        <v>232</v>
      </c>
      <c r="D323" s="52" t="s">
        <v>642</v>
      </c>
      <c r="E323" s="52" t="s">
        <v>651</v>
      </c>
      <c r="F323" s="72">
        <f t="shared" si="36"/>
        <v>4.254182193937394E-2</v>
      </c>
      <c r="G323" s="59">
        <f t="shared" si="36"/>
        <v>5.0026765728498547E-2</v>
      </c>
      <c r="H323" s="59">
        <f t="shared" si="36"/>
        <v>5.5409293476159013E-2</v>
      </c>
      <c r="I323" s="59">
        <f t="shared" si="36"/>
        <v>5.8726744089919597E-2</v>
      </c>
      <c r="J323" s="62">
        <f t="shared" si="36"/>
        <v>6.2727957018527569E-2</v>
      </c>
      <c r="K323" s="59">
        <f t="shared" si="37"/>
        <v>4.4797663937394452E-4</v>
      </c>
      <c r="L323" s="59">
        <f t="shared" si="37"/>
        <v>8.1937656284985453E-3</v>
      </c>
      <c r="M323" s="59">
        <f t="shared" si="37"/>
        <v>1.3429369976159011E-2</v>
      </c>
      <c r="N323" s="59">
        <f t="shared" si="37"/>
        <v>1.5946987689919607E-2</v>
      </c>
      <c r="O323" s="62">
        <f t="shared" si="37"/>
        <v>1.8452089318527577E-2</v>
      </c>
      <c r="P323" s="54" t="s">
        <v>652</v>
      </c>
      <c r="Q323" s="52" t="s">
        <v>653</v>
      </c>
      <c r="R323" s="93">
        <v>47651</v>
      </c>
      <c r="S323" s="70">
        <v>4.898243E-2</v>
      </c>
      <c r="T323" s="62">
        <f t="shared" si="35"/>
        <v>6.4268634761590129E-3</v>
      </c>
      <c r="V323" s="113">
        <v>1.1117469</v>
      </c>
      <c r="W323" s="71">
        <v>2.8432738099999999</v>
      </c>
      <c r="X323" s="71">
        <v>4.3443884000000006</v>
      </c>
      <c r="Y323" s="71">
        <v>5.6072298499999995</v>
      </c>
      <c r="Z323" s="114">
        <v>7.1282709999999998</v>
      </c>
      <c r="AB323" s="70">
        <v>4.254182193937394E-2</v>
      </c>
      <c r="AC323" s="70">
        <v>5.0026765728498547E-2</v>
      </c>
      <c r="AD323" s="70">
        <v>5.5409293476159013E-2</v>
      </c>
      <c r="AE323" s="70">
        <v>5.8726744089919597E-2</v>
      </c>
      <c r="AF323" s="62">
        <v>6.2727957018527569E-2</v>
      </c>
      <c r="AG323" s="70">
        <v>4.4797663937394452E-4</v>
      </c>
      <c r="AH323" s="70">
        <v>8.1937656284985453E-3</v>
      </c>
      <c r="AI323" s="70">
        <v>1.3429369976159011E-2</v>
      </c>
      <c r="AJ323" s="70">
        <v>1.5946987689919607E-2</v>
      </c>
      <c r="AK323" s="70">
        <v>1.8452089318527577E-2</v>
      </c>
    </row>
    <row r="324" spans="2:37" x14ac:dyDescent="0.35">
      <c r="B324" s="54" t="s">
        <v>654</v>
      </c>
      <c r="C324" s="52" t="s">
        <v>232</v>
      </c>
      <c r="D324" s="52" t="s">
        <v>642</v>
      </c>
      <c r="E324" s="52" t="s">
        <v>643</v>
      </c>
      <c r="F324" s="72">
        <f t="shared" si="36"/>
        <v>4.3181860110152889E-2</v>
      </c>
      <c r="G324" s="59">
        <f t="shared" si="36"/>
        <v>5.0271487469848414E-2</v>
      </c>
      <c r="H324" s="59">
        <f t="shared" si="36"/>
        <v>5.5835831124385782E-2</v>
      </c>
      <c r="I324" s="59">
        <f t="shared" si="36"/>
        <v>5.8457368460059216E-2</v>
      </c>
      <c r="J324" s="62">
        <f t="shared" si="36"/>
        <v>6.1801842187535733E-2</v>
      </c>
      <c r="K324" s="59">
        <f t="shared" si="37"/>
        <v>1.0677499101528912E-3</v>
      </c>
      <c r="L324" s="59">
        <f t="shared" si="37"/>
        <v>8.4294439698484047E-3</v>
      </c>
      <c r="M324" s="59">
        <f t="shared" si="37"/>
        <v>1.3834085424385778E-2</v>
      </c>
      <c r="N324" s="59">
        <f t="shared" si="37"/>
        <v>1.5696131060059217E-2</v>
      </c>
      <c r="O324" s="62">
        <f t="shared" si="37"/>
        <v>1.7575098287535732E-2</v>
      </c>
      <c r="P324" s="54" t="s">
        <v>655</v>
      </c>
      <c r="Q324" s="52" t="s">
        <v>656</v>
      </c>
      <c r="R324" s="93">
        <v>47599</v>
      </c>
      <c r="S324" s="70">
        <v>4.8121830000000004E-2</v>
      </c>
      <c r="T324" s="62">
        <f t="shared" si="35"/>
        <v>7.7140011243857776E-3</v>
      </c>
      <c r="V324" s="113">
        <v>1.1105033600000001</v>
      </c>
      <c r="W324" s="71">
        <v>2.8388244</v>
      </c>
      <c r="X324" s="71">
        <v>4.33555855</v>
      </c>
      <c r="Y324" s="71">
        <v>5.6016621099999995</v>
      </c>
      <c r="Z324" s="114">
        <v>7.1483188899999996</v>
      </c>
      <c r="AB324" s="70">
        <v>4.3181860110152889E-2</v>
      </c>
      <c r="AC324" s="70">
        <v>5.0271487469848414E-2</v>
      </c>
      <c r="AD324" s="70">
        <v>5.5835831124385782E-2</v>
      </c>
      <c r="AE324" s="70">
        <v>5.8457368460059216E-2</v>
      </c>
      <c r="AF324" s="62">
        <v>6.1801842187535733E-2</v>
      </c>
      <c r="AG324" s="70">
        <v>1.0677499101528912E-3</v>
      </c>
      <c r="AH324" s="70">
        <v>8.4294439698484047E-3</v>
      </c>
      <c r="AI324" s="70">
        <v>1.3834085424385778E-2</v>
      </c>
      <c r="AJ324" s="70">
        <v>1.5696131060059217E-2</v>
      </c>
      <c r="AK324" s="70">
        <v>1.7575098287535732E-2</v>
      </c>
    </row>
    <row r="325" spans="2:37" x14ac:dyDescent="0.35">
      <c r="B325" s="56" t="s">
        <v>657</v>
      </c>
      <c r="C325" s="66" t="s">
        <v>232</v>
      </c>
      <c r="D325" s="66" t="s">
        <v>642</v>
      </c>
      <c r="E325" s="66" t="s">
        <v>658</v>
      </c>
      <c r="F325" s="73">
        <f t="shared" si="36"/>
        <v>4.3406891343857237E-2</v>
      </c>
      <c r="G325" s="75">
        <f t="shared" si="36"/>
        <v>5.1044089548315331E-2</v>
      </c>
      <c r="H325" s="75">
        <f t="shared" si="36"/>
        <v>5.6278234153264002E-2</v>
      </c>
      <c r="I325" s="75">
        <f t="shared" si="36"/>
        <v>5.9094044856431424E-2</v>
      </c>
      <c r="J325" s="63">
        <f t="shared" si="36"/>
        <v>6.2312791805344228E-2</v>
      </c>
      <c r="K325" s="75">
        <f t="shared" si="37"/>
        <v>1.2866950438572278E-3</v>
      </c>
      <c r="L325" s="75">
        <f t="shared" si="37"/>
        <v>9.1609070483153268E-3</v>
      </c>
      <c r="M325" s="75">
        <f t="shared" si="37"/>
        <v>1.4251442953264002E-2</v>
      </c>
      <c r="N325" s="75">
        <f t="shared" si="37"/>
        <v>1.6294878556431427E-2</v>
      </c>
      <c r="O325" s="63">
        <f t="shared" si="37"/>
        <v>1.805849950534421E-2</v>
      </c>
      <c r="P325" s="56" t="s">
        <v>659</v>
      </c>
      <c r="Q325" s="66" t="s">
        <v>660</v>
      </c>
      <c r="R325" s="95">
        <v>47490</v>
      </c>
      <c r="S325" s="75">
        <v>4.8636660000000005E-2</v>
      </c>
      <c r="T325" s="63">
        <f t="shared" si="35"/>
        <v>7.6415741532639969E-3</v>
      </c>
      <c r="V325" s="115">
        <v>1.1099827600000001</v>
      </c>
      <c r="W325" s="107">
        <v>2.8331554799999998</v>
      </c>
      <c r="X325" s="107">
        <v>4.3239289799999998</v>
      </c>
      <c r="Y325" s="107">
        <v>5.5819819600000002</v>
      </c>
      <c r="Z325" s="116">
        <v>7.1161868799999999</v>
      </c>
      <c r="AB325" s="75">
        <v>4.3406891343857237E-2</v>
      </c>
      <c r="AC325" s="75">
        <v>5.1044089548315331E-2</v>
      </c>
      <c r="AD325" s="75">
        <v>5.6278234153264002E-2</v>
      </c>
      <c r="AE325" s="75">
        <v>5.9094044856431424E-2</v>
      </c>
      <c r="AF325" s="63">
        <v>6.2312791805344228E-2</v>
      </c>
      <c r="AG325" s="75">
        <v>1.2866950438572278E-3</v>
      </c>
      <c r="AH325" s="75">
        <v>9.1609070483153268E-3</v>
      </c>
      <c r="AI325" s="75">
        <v>1.4251442953264002E-2</v>
      </c>
      <c r="AJ325" s="75">
        <v>1.6294878556431427E-2</v>
      </c>
      <c r="AK325" s="75">
        <v>1.805849950534421E-2</v>
      </c>
    </row>
  </sheetData>
  <mergeCells count="10">
    <mergeCell ref="V10:Z10"/>
    <mergeCell ref="V19:Z19"/>
    <mergeCell ref="F8:J8"/>
    <mergeCell ref="K8:O8"/>
    <mergeCell ref="AB8:AF8"/>
    <mergeCell ref="AG8:AK8"/>
    <mergeCell ref="F9:J9"/>
    <mergeCell ref="K9:O9"/>
    <mergeCell ref="AB9:AF9"/>
    <mergeCell ref="AG9:AK9"/>
  </mergeCells>
  <conditionalFormatting sqref="F31">
    <cfRule type="colorScale" priority="151">
      <colorScale>
        <cfvo type="min"/>
        <cfvo type="max"/>
        <color rgb="FFFFEF9C"/>
        <color rgb="FF63BE7B"/>
      </colorScale>
    </cfRule>
  </conditionalFormatting>
  <conditionalFormatting sqref="F12:J17">
    <cfRule type="colorScale" priority="159">
      <colorScale>
        <cfvo type="min"/>
        <cfvo type="max"/>
        <color rgb="FFFFEF9C"/>
        <color rgb="FF63BE7B"/>
      </colorScale>
    </cfRule>
  </conditionalFormatting>
  <conditionalFormatting sqref="F21:J27">
    <cfRule type="colorScale" priority="110">
      <colorScale>
        <cfvo type="min"/>
        <cfvo type="max"/>
        <color rgb="FFFFEF9C"/>
        <color rgb="FF63BE7B"/>
      </colorScale>
    </cfRule>
  </conditionalFormatting>
  <conditionalFormatting sqref="F31:J70 F72:J78 F80:J110">
    <cfRule type="colorScale" priority="157">
      <colorScale>
        <cfvo type="min"/>
        <cfvo type="max"/>
        <color rgb="FFFFEF9C"/>
        <color rgb="FF63BE7B"/>
      </colorScale>
    </cfRule>
  </conditionalFormatting>
  <conditionalFormatting sqref="F31:J70 F72:J78">
    <cfRule type="colorScale" priority="179">
      <colorScale>
        <cfvo type="min"/>
        <cfvo type="max"/>
        <color rgb="FFFFEF9C"/>
        <color rgb="FF63BE7B"/>
      </colorScale>
    </cfRule>
  </conditionalFormatting>
  <conditionalFormatting sqref="F31:J70 F72:J110">
    <cfRule type="colorScale" priority="181">
      <colorScale>
        <cfvo type="min"/>
        <cfvo type="max"/>
        <color rgb="FFFFEF9C"/>
        <color rgb="FF63BE7B"/>
      </colorScale>
    </cfRule>
  </conditionalFormatting>
  <conditionalFormatting sqref="F32:J50 G31:J31 F52:J70 F72:J78 F80:J110">
    <cfRule type="colorScale" priority="156">
      <colorScale>
        <cfvo type="min"/>
        <cfvo type="max"/>
        <color rgb="FFFFEF9C"/>
        <color rgb="FF63BE7B"/>
      </colorScale>
    </cfRule>
  </conditionalFormatting>
  <conditionalFormatting sqref="F45:J53 F290:J316">
    <cfRule type="cellIs" dxfId="43" priority="153" operator="lessThan">
      <formula>0</formula>
    </cfRule>
  </conditionalFormatting>
  <conditionalFormatting sqref="F51:J51">
    <cfRule type="colorScale" priority="152">
      <colorScale>
        <cfvo type="min"/>
        <cfvo type="max"/>
        <color rgb="FFFFEF9C"/>
        <color rgb="FF63BE7B"/>
      </colorScale>
    </cfRule>
  </conditionalFormatting>
  <conditionalFormatting sqref="F55:J60 F62:J65 F73:J75 F77:J78 F80:J98">
    <cfRule type="cellIs" dxfId="42" priority="155" operator="lessThan">
      <formula>0</formula>
    </cfRule>
  </conditionalFormatting>
  <conditionalFormatting sqref="F67:J71">
    <cfRule type="cellIs" dxfId="41" priority="50" operator="lessThan">
      <formula>0</formula>
    </cfRule>
  </conditionalFormatting>
  <conditionalFormatting sqref="F71:J71">
    <cfRule type="colorScale" priority="53">
      <colorScale>
        <cfvo type="min"/>
        <cfvo type="max"/>
        <color rgb="FFFFEF9C"/>
        <color rgb="FF63BE7B"/>
      </colorScale>
    </cfRule>
    <cfRule type="colorScale" priority="51">
      <colorScale>
        <cfvo type="min"/>
        <cfvo type="max"/>
        <color rgb="FFFFEF9C"/>
        <color rgb="FF63BE7B"/>
      </colorScale>
    </cfRule>
    <cfRule type="colorScale" priority="55">
      <colorScale>
        <cfvo type="min"/>
        <cfvo type="max"/>
        <color rgb="FFFFEF9C"/>
        <color rgb="FF63BE7B"/>
      </colorScale>
    </cfRule>
    <cfRule type="colorScale" priority="52">
      <colorScale>
        <cfvo type="min"/>
        <cfvo type="max"/>
        <color rgb="FFFFEF9C"/>
        <color rgb="FF63BE7B"/>
      </colorScale>
    </cfRule>
  </conditionalFormatting>
  <conditionalFormatting sqref="F79:J79">
    <cfRule type="colorScale" priority="148">
      <colorScale>
        <cfvo type="min"/>
        <cfvo type="max"/>
        <color rgb="FFFFEF9C"/>
        <color rgb="FF63BE7B"/>
      </colorScale>
    </cfRule>
    <cfRule type="colorScale" priority="149">
      <colorScale>
        <cfvo type="min"/>
        <cfvo type="max"/>
        <color rgb="FFFFEF9C"/>
        <color rgb="FF63BE7B"/>
      </colorScale>
    </cfRule>
    <cfRule type="colorScale" priority="150">
      <colorScale>
        <cfvo type="min"/>
        <cfvo type="max"/>
        <color rgb="FFFFEF9C"/>
        <color rgb="FF63BE7B"/>
      </colorScale>
    </cfRule>
  </conditionalFormatting>
  <conditionalFormatting sqref="F111:J113">
    <cfRule type="colorScale" priority="164">
      <colorScale>
        <cfvo type="min"/>
        <cfvo type="max"/>
        <color rgb="FFFFEF9C"/>
        <color rgb="FF63BE7B"/>
      </colorScale>
    </cfRule>
  </conditionalFormatting>
  <conditionalFormatting sqref="F114:J114">
    <cfRule type="colorScale" priority="162">
      <colorScale>
        <cfvo type="min"/>
        <cfvo type="max"/>
        <color rgb="FFFFEF9C"/>
        <color rgb="FF63BE7B"/>
      </colorScale>
    </cfRule>
    <cfRule type="colorScale" priority="160">
      <colorScale>
        <cfvo type="min"/>
        <cfvo type="max"/>
        <color rgb="FFFFEF9C"/>
        <color rgb="FF63BE7B"/>
      </colorScale>
    </cfRule>
    <cfRule type="colorScale" priority="161">
      <colorScale>
        <cfvo type="min"/>
        <cfvo type="max"/>
        <color rgb="FFFFEF9C"/>
        <color rgb="FF63BE7B"/>
      </colorScale>
    </cfRule>
  </conditionalFormatting>
  <conditionalFormatting sqref="F115:J134 F136:J138">
    <cfRule type="cellIs" dxfId="40" priority="143" operator="lessThan">
      <formula>0</formula>
    </cfRule>
  </conditionalFormatting>
  <conditionalFormatting sqref="F115:J134">
    <cfRule type="colorScale" priority="145">
      <colorScale>
        <cfvo type="min"/>
        <cfvo type="max"/>
        <color rgb="FFFFEF9C"/>
        <color rgb="FF63BE7B"/>
      </colorScale>
    </cfRule>
    <cfRule type="colorScale" priority="144">
      <colorScale>
        <cfvo type="min"/>
        <cfvo type="max"/>
        <color rgb="FFFFEF9C"/>
        <color rgb="FF63BE7B"/>
      </colorScale>
    </cfRule>
  </conditionalFormatting>
  <conditionalFormatting sqref="F115:J138">
    <cfRule type="colorScale" priority="147">
      <colorScale>
        <cfvo type="min"/>
        <cfvo type="max"/>
        <color rgb="FFFFEF9C"/>
        <color rgb="FF63BE7B"/>
      </colorScale>
    </cfRule>
  </conditionalFormatting>
  <conditionalFormatting sqref="F135:J135">
    <cfRule type="colorScale" priority="142">
      <colorScale>
        <cfvo type="min"/>
        <cfvo type="max"/>
        <color rgb="FFFFEF9C"/>
        <color rgb="FF63BE7B"/>
      </colorScale>
    </cfRule>
    <cfRule type="colorScale" priority="141">
      <colorScale>
        <cfvo type="min"/>
        <cfvo type="max"/>
        <color rgb="FFFFEF9C"/>
        <color rgb="FF63BE7B"/>
      </colorScale>
    </cfRule>
  </conditionalFormatting>
  <conditionalFormatting sqref="F136:J138">
    <cfRule type="colorScale" priority="146">
      <colorScale>
        <cfvo type="min"/>
        <cfvo type="max"/>
        <color rgb="FFFFEF9C"/>
        <color rgb="FF63BE7B"/>
      </colorScale>
    </cfRule>
  </conditionalFormatting>
  <conditionalFormatting sqref="F142:J142">
    <cfRule type="colorScale" priority="138">
      <colorScale>
        <cfvo type="min"/>
        <cfvo type="max"/>
        <color rgb="FFFFEF9C"/>
        <color rgb="FF63BE7B"/>
      </colorScale>
    </cfRule>
    <cfRule type="colorScale" priority="139">
      <colorScale>
        <cfvo type="min"/>
        <cfvo type="max"/>
        <color rgb="FFFFEF9C"/>
        <color rgb="FF63BE7B"/>
      </colorScale>
    </cfRule>
  </conditionalFormatting>
  <conditionalFormatting sqref="F143:J258 F260:J276 F320:J325">
    <cfRule type="cellIs" dxfId="39" priority="163" operator="lessThan">
      <formula>0</formula>
    </cfRule>
  </conditionalFormatting>
  <conditionalFormatting sqref="F143:J258">
    <cfRule type="colorScale" priority="168">
      <colorScale>
        <cfvo type="min"/>
        <cfvo type="max"/>
        <color rgb="FFFFEF9C"/>
        <color rgb="FF63BE7B"/>
      </colorScale>
    </cfRule>
  </conditionalFormatting>
  <conditionalFormatting sqref="F259:J259">
    <cfRule type="colorScale" priority="137">
      <colorScale>
        <cfvo type="min"/>
        <cfvo type="max"/>
        <color rgb="FFFFEF9C"/>
        <color rgb="FF63BE7B"/>
      </colorScale>
    </cfRule>
    <cfRule type="colorScale" priority="136">
      <colorScale>
        <cfvo type="min"/>
        <cfvo type="max"/>
        <color rgb="FFFFEF9C"/>
        <color rgb="FF63BE7B"/>
      </colorScale>
    </cfRule>
  </conditionalFormatting>
  <conditionalFormatting sqref="F260:J276">
    <cfRule type="colorScale" priority="175">
      <colorScale>
        <cfvo type="min"/>
        <cfvo type="max"/>
        <color rgb="FFFFEF9C"/>
        <color rgb="FF63BE7B"/>
      </colorScale>
    </cfRule>
  </conditionalFormatting>
  <conditionalFormatting sqref="F280:J286">
    <cfRule type="cellIs" dxfId="38" priority="134" operator="lessThan">
      <formula>0</formula>
    </cfRule>
    <cfRule type="colorScale" priority="135">
      <colorScale>
        <cfvo type="min"/>
        <cfvo type="max"/>
        <color rgb="FFFFEF9C"/>
        <color rgb="FF63BE7B"/>
      </colorScale>
    </cfRule>
  </conditionalFormatting>
  <conditionalFormatting sqref="F300:J310">
    <cfRule type="colorScale" priority="185">
      <colorScale>
        <cfvo type="min"/>
        <cfvo type="max"/>
        <color rgb="FFFFEF9C"/>
        <color rgb="FF63BE7B"/>
      </colorScale>
    </cfRule>
  </conditionalFormatting>
  <conditionalFormatting sqref="F311:J316 F290:J299">
    <cfRule type="colorScale" priority="132">
      <colorScale>
        <cfvo type="min"/>
        <cfvo type="max"/>
        <color rgb="FFFFEF9C"/>
        <color rgb="FF63BE7B"/>
      </colorScale>
    </cfRule>
  </conditionalFormatting>
  <conditionalFormatting sqref="F320:J325">
    <cfRule type="colorScale" priority="165">
      <colorScale>
        <cfvo type="min"/>
        <cfvo type="max"/>
        <color rgb="FFFFEF9C"/>
        <color rgb="FF63BE7B"/>
      </colorScale>
    </cfRule>
  </conditionalFormatting>
  <conditionalFormatting sqref="G31:J31 F32:J39 F41:J43 F100:J112">
    <cfRule type="cellIs" dxfId="37" priority="154" operator="lessThan">
      <formula>0</formula>
    </cfRule>
  </conditionalFormatting>
  <conditionalFormatting sqref="K12:O17">
    <cfRule type="colorScale" priority="158">
      <colorScale>
        <cfvo type="min"/>
        <cfvo type="max"/>
        <color theme="0"/>
        <color theme="8" tint="0.39997558519241921"/>
      </colorScale>
    </cfRule>
  </conditionalFormatting>
  <conditionalFormatting sqref="K21:O27">
    <cfRule type="colorScale" priority="109">
      <colorScale>
        <cfvo type="min"/>
        <cfvo type="max"/>
        <color theme="0"/>
        <color theme="8" tint="0.39997558519241921"/>
      </colorScale>
    </cfRule>
  </conditionalFormatting>
  <conditionalFormatting sqref="K31:O70 K72:O110">
    <cfRule type="colorScale" priority="180">
      <colorScale>
        <cfvo type="min"/>
        <cfvo type="max"/>
        <color theme="0"/>
        <color theme="8" tint="0.39997558519241921"/>
      </colorScale>
    </cfRule>
  </conditionalFormatting>
  <conditionalFormatting sqref="K71:O71">
    <cfRule type="colorScale" priority="54">
      <colorScale>
        <cfvo type="min"/>
        <cfvo type="max"/>
        <color theme="0"/>
        <color theme="8" tint="0.39997558519241921"/>
      </colorScale>
    </cfRule>
  </conditionalFormatting>
  <conditionalFormatting sqref="K115:O138">
    <cfRule type="colorScale" priority="140">
      <colorScale>
        <cfvo type="min"/>
        <cfvo type="max"/>
        <color theme="0"/>
        <color theme="8" tint="0.39997558519241921"/>
      </colorScale>
    </cfRule>
  </conditionalFormatting>
  <conditionalFormatting sqref="K143:O258">
    <cfRule type="colorScale" priority="169">
      <colorScale>
        <cfvo type="min"/>
        <cfvo type="max"/>
        <color theme="0"/>
        <color theme="8" tint="0.39997558519241921"/>
      </colorScale>
    </cfRule>
  </conditionalFormatting>
  <conditionalFormatting sqref="K260:O276">
    <cfRule type="colorScale" priority="176">
      <colorScale>
        <cfvo type="min"/>
        <cfvo type="max"/>
        <color theme="0"/>
        <color theme="8" tint="0.39997558519241921"/>
      </colorScale>
    </cfRule>
  </conditionalFormatting>
  <conditionalFormatting sqref="K280:O286">
    <cfRule type="colorScale" priority="133">
      <colorScale>
        <cfvo type="min"/>
        <cfvo type="max"/>
        <color theme="0"/>
        <color theme="8" tint="0.39997558519241921"/>
      </colorScale>
    </cfRule>
  </conditionalFormatting>
  <conditionalFormatting sqref="K290:O316">
    <cfRule type="colorScale" priority="186">
      <colorScale>
        <cfvo type="min"/>
        <cfvo type="max"/>
        <color theme="0"/>
        <color theme="8" tint="0.39997558519241921"/>
      </colorScale>
    </cfRule>
  </conditionalFormatting>
  <conditionalFormatting sqref="K320:O325">
    <cfRule type="colorScale" priority="166">
      <colorScale>
        <cfvo type="min"/>
        <cfvo type="max"/>
        <color theme="0"/>
        <color theme="8" tint="0.39997558519241921"/>
      </colorScale>
    </cfRule>
  </conditionalFormatting>
  <conditionalFormatting sqref="T31:T110">
    <cfRule type="colorScale" priority="182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14">
    <cfRule type="colorScale" priority="1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15:T138">
    <cfRule type="colorScale" priority="112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16:T134">
    <cfRule type="colorScale" priority="1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5">
    <cfRule type="colorScale" priority="1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6:T138">
    <cfRule type="colorScale" priority="1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9:T140">
    <cfRule type="colorScale" priority="1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42">
    <cfRule type="colorScale" priority="1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43:T276">
    <cfRule type="colorScale" priority="178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44:T258">
    <cfRule type="colorScale" priority="1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59">
    <cfRule type="colorScale" priority="1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60:T276">
    <cfRule type="colorScale" priority="1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78">
    <cfRule type="colorScale" priority="1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80:T286">
    <cfRule type="colorScale" priority="111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288">
    <cfRule type="colorScale" priority="1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90 T311 T292:T299">
    <cfRule type="colorScale" priority="1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91:T316">
    <cfRule type="colorScale" priority="187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292:T316">
    <cfRule type="colorScale" priority="1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00:T304">
    <cfRule type="colorScale" priority="1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05:T310">
    <cfRule type="colorScale" priority="1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2">
    <cfRule type="colorScale" priority="1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3:T314">
    <cfRule type="colorScale" priority="1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5">
    <cfRule type="colorScale" priority="1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6">
    <cfRule type="colorScale" priority="1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20:T325">
    <cfRule type="colorScale" priority="167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AB31">
    <cfRule type="colorScale" priority="13">
      <colorScale>
        <cfvo type="min"/>
        <cfvo type="max"/>
        <color rgb="FFFFEF9C"/>
        <color rgb="FF63BE7B"/>
      </colorScale>
    </cfRule>
  </conditionalFormatting>
  <conditionalFormatting sqref="AB12:AF17">
    <cfRule type="colorScale" priority="17">
      <colorScale>
        <cfvo type="min"/>
        <cfvo type="max"/>
        <color rgb="FFFFEF9C"/>
        <color rgb="FF63BE7B"/>
      </colorScale>
    </cfRule>
  </conditionalFormatting>
  <conditionalFormatting sqref="AB21:AF26">
    <cfRule type="colorScale" priority="4">
      <colorScale>
        <cfvo type="min"/>
        <cfvo type="max"/>
        <color rgb="FFFFEF9C"/>
        <color rgb="FF63BE7B"/>
      </colorScale>
    </cfRule>
  </conditionalFormatting>
  <conditionalFormatting sqref="AB31:AF110">
    <cfRule type="colorScale" priority="41">
      <colorScale>
        <cfvo type="min"/>
        <cfvo type="max"/>
        <color rgb="FFFFEF9C"/>
        <color rgb="FF63BE7B"/>
      </colorScale>
    </cfRule>
  </conditionalFormatting>
  <conditionalFormatting sqref="AB45:AF53">
    <cfRule type="cellIs" dxfId="36" priority="15" operator="lessThan">
      <formula>0</formula>
    </cfRule>
  </conditionalFormatting>
  <conditionalFormatting sqref="AB51:AF51">
    <cfRule type="colorScale" priority="14">
      <colorScale>
        <cfvo type="min"/>
        <cfvo type="max"/>
        <color rgb="FFFFEF9C"/>
        <color rgb="FF63BE7B"/>
      </colorScale>
    </cfRule>
  </conditionalFormatting>
  <conditionalFormatting sqref="AB55:AF60 AB62:AF65 AB67:AF71 AB73:AF75 AB77:AF78 AB80:AF98 AB115:AF134 AB136:AF138 AB143:AF258 AB260:AF276 AB320:AF325">
    <cfRule type="cellIs" dxfId="35" priority="18" operator="lessThan">
      <formula>0</formula>
    </cfRule>
  </conditionalFormatting>
  <conditionalFormatting sqref="AB62:AF65 AB52:AF53 AB32:AF39 AC31:AF31 AB41:AF43 AB45:AF50 AB55:AF60 AB80:AF98 AB67:AF71 AB73:AF75 AB100:AF110 AB77:AF78">
    <cfRule type="colorScale" priority="20">
      <colorScale>
        <cfvo type="min"/>
        <cfvo type="max"/>
        <color rgb="FFFFEF9C"/>
        <color rgb="FF63BE7B"/>
      </colorScale>
    </cfRule>
  </conditionalFormatting>
  <conditionalFormatting sqref="AB62:AF65 AB55:AF60 AB31:AF39 AB41:AF43 AB45:AF53 AB80:AF98 AB67:AF71 AB73:AF75 AB100:AF110 AB77:AF78">
    <cfRule type="colorScale" priority="21">
      <colorScale>
        <cfvo type="min"/>
        <cfvo type="max"/>
        <color rgb="FFFFEF9C"/>
        <color rgb="FF63BE7B"/>
      </colorScale>
    </cfRule>
  </conditionalFormatting>
  <conditionalFormatting sqref="AB115:AF134">
    <cfRule type="colorScale" priority="19">
      <colorScale>
        <cfvo type="min"/>
        <cfvo type="max"/>
        <color rgb="FFFFEF9C"/>
        <color rgb="FF63BE7B"/>
      </colorScale>
    </cfRule>
  </conditionalFormatting>
  <conditionalFormatting sqref="AB136:AF138 AB115:AF134">
    <cfRule type="colorScale" priority="23">
      <colorScale>
        <cfvo type="min"/>
        <cfvo type="max"/>
        <color rgb="FFFFEF9C"/>
        <color rgb="FF63BE7B"/>
      </colorScale>
    </cfRule>
  </conditionalFormatting>
  <conditionalFormatting sqref="AB136:AF138">
    <cfRule type="colorScale" priority="22">
      <colorScale>
        <cfvo type="min"/>
        <cfvo type="max"/>
        <color rgb="FFFFEF9C"/>
        <color rgb="FF63BE7B"/>
      </colorScale>
    </cfRule>
  </conditionalFormatting>
  <conditionalFormatting sqref="AB143:AF258">
    <cfRule type="colorScale" priority="39">
      <colorScale>
        <cfvo type="min"/>
        <cfvo type="max"/>
        <color rgb="FFFFEF9C"/>
        <color rgb="FF63BE7B"/>
      </colorScale>
    </cfRule>
  </conditionalFormatting>
  <conditionalFormatting sqref="AB260:AF276">
    <cfRule type="colorScale" priority="43">
      <colorScale>
        <cfvo type="min"/>
        <cfvo type="max"/>
        <color rgb="FFFFEF9C"/>
        <color rgb="FF63BE7B"/>
      </colorScale>
    </cfRule>
  </conditionalFormatting>
  <conditionalFormatting sqref="AB280:AF286">
    <cfRule type="cellIs" dxfId="34" priority="11" operator="lessThan">
      <formula>0</formula>
    </cfRule>
    <cfRule type="colorScale" priority="12">
      <colorScale>
        <cfvo type="min"/>
        <cfvo type="max"/>
        <color rgb="FFFFEF9C"/>
        <color rgb="FF63BE7B"/>
      </colorScale>
    </cfRule>
  </conditionalFormatting>
  <conditionalFormatting sqref="AB290:AF299">
    <cfRule type="colorScale" priority="24">
      <colorScale>
        <cfvo type="min"/>
        <cfvo type="max"/>
        <color rgb="FFFFEF9C"/>
        <color rgb="FF63BE7B"/>
      </colorScale>
    </cfRule>
  </conditionalFormatting>
  <conditionalFormatting sqref="AB290:AF316">
    <cfRule type="cellIs" dxfId="33" priority="1" operator="lessThan">
      <formula>0</formula>
    </cfRule>
  </conditionalFormatting>
  <conditionalFormatting sqref="AB300:AF303">
    <cfRule type="colorScale" priority="25">
      <colorScale>
        <cfvo type="min"/>
        <cfvo type="max"/>
        <color rgb="FFFFEF9C"/>
        <color rgb="FF63BE7B"/>
      </colorScale>
    </cfRule>
  </conditionalFormatting>
  <conditionalFormatting sqref="AB304:AF310">
    <cfRule type="colorScale" priority="10">
      <colorScale>
        <cfvo type="min"/>
        <cfvo type="max"/>
        <color rgb="FFFFEF9C"/>
        <color rgb="FF63BE7B"/>
      </colorScale>
    </cfRule>
  </conditionalFormatting>
  <conditionalFormatting sqref="AB311:AF311">
    <cfRule type="colorScale" priority="2">
      <colorScale>
        <cfvo type="min"/>
        <cfvo type="max"/>
        <color rgb="FFFFEF9C"/>
        <color rgb="FF63BE7B"/>
      </colorScale>
    </cfRule>
  </conditionalFormatting>
  <conditionalFormatting sqref="AB312:AF315">
    <cfRule type="colorScale" priority="8">
      <colorScale>
        <cfvo type="min"/>
        <cfvo type="max"/>
        <color rgb="FFFFEF9C"/>
        <color rgb="FF63BE7B"/>
      </colorScale>
    </cfRule>
  </conditionalFormatting>
  <conditionalFormatting sqref="AB316:AF316">
    <cfRule type="colorScale" priority="6">
      <colorScale>
        <cfvo type="min"/>
        <cfvo type="max"/>
        <color rgb="FFFFEF9C"/>
        <color rgb="FF63BE7B"/>
      </colorScale>
    </cfRule>
  </conditionalFormatting>
  <conditionalFormatting sqref="AB320:AF325">
    <cfRule type="colorScale" priority="27">
      <colorScale>
        <cfvo type="min"/>
        <cfvo type="max"/>
        <color rgb="FFFFEF9C"/>
        <color rgb="FF63BE7B"/>
      </colorScale>
    </cfRule>
  </conditionalFormatting>
  <conditionalFormatting sqref="AC290:AD316">
    <cfRule type="colorScale" priority="26">
      <colorScale>
        <cfvo type="min"/>
        <cfvo type="max"/>
        <color rgb="FFFFEF9C"/>
        <color rgb="FF63BE7B"/>
      </colorScale>
    </cfRule>
  </conditionalFormatting>
  <conditionalFormatting sqref="AC320:AD325">
    <cfRule type="colorScale" priority="28">
      <colorScale>
        <cfvo type="min"/>
        <cfvo type="max"/>
        <color rgb="FFFFEF9C"/>
        <color rgb="FF63BE7B"/>
      </colorScale>
    </cfRule>
  </conditionalFormatting>
  <conditionalFormatting sqref="AC31:AF31 AB32:AF39 AB41:AF43 AB100:AF112">
    <cfRule type="cellIs" dxfId="32" priority="16" operator="lessThan">
      <formula>0</formula>
    </cfRule>
  </conditionalFormatting>
  <conditionalFormatting sqref="AG12:AK17">
    <cfRule type="colorScale" priority="35">
      <colorScale>
        <cfvo type="min"/>
        <cfvo type="max"/>
        <color theme="0"/>
        <color theme="8" tint="0.39997558519241921"/>
      </colorScale>
    </cfRule>
  </conditionalFormatting>
  <conditionalFormatting sqref="AG21:AK26">
    <cfRule type="colorScale" priority="29">
      <colorScale>
        <cfvo type="min"/>
        <cfvo type="max"/>
        <color theme="0"/>
        <color theme="8" tint="0.39997558519241921"/>
      </colorScale>
    </cfRule>
  </conditionalFormatting>
  <conditionalFormatting sqref="AG31:AK110">
    <cfRule type="colorScale" priority="40">
      <colorScale>
        <cfvo type="min"/>
        <cfvo type="max"/>
        <color theme="0"/>
        <color theme="8" tint="0.39997558519241921"/>
      </colorScale>
    </cfRule>
  </conditionalFormatting>
  <conditionalFormatting sqref="AG115:AK138">
    <cfRule type="colorScale" priority="34">
      <colorScale>
        <cfvo type="min"/>
        <cfvo type="max"/>
        <color theme="0"/>
        <color theme="8" tint="0.39997558519241921"/>
      </colorScale>
    </cfRule>
  </conditionalFormatting>
  <conditionalFormatting sqref="AG143:AK258">
    <cfRule type="colorScale" priority="38">
      <colorScale>
        <cfvo type="min"/>
        <cfvo type="max"/>
        <color theme="0"/>
        <color theme="8" tint="0.39997558519241921"/>
      </colorScale>
    </cfRule>
  </conditionalFormatting>
  <conditionalFormatting sqref="AG260:AK276">
    <cfRule type="colorScale" priority="42">
      <colorScale>
        <cfvo type="min"/>
        <cfvo type="max"/>
        <color theme="0"/>
        <color theme="8" tint="0.39997558519241921"/>
      </colorScale>
    </cfRule>
  </conditionalFormatting>
  <conditionalFormatting sqref="AG280:AK286">
    <cfRule type="colorScale" priority="33">
      <colorScale>
        <cfvo type="min"/>
        <cfvo type="max"/>
        <color theme="0"/>
        <color theme="8" tint="0.39997558519241921"/>
      </colorScale>
    </cfRule>
  </conditionalFormatting>
  <conditionalFormatting sqref="AG290:AK303">
    <cfRule type="colorScale" priority="36">
      <colorScale>
        <cfvo type="min"/>
        <cfvo type="max"/>
        <color theme="0"/>
        <color theme="8" tint="0.39997558519241921"/>
      </colorScale>
    </cfRule>
  </conditionalFormatting>
  <conditionalFormatting sqref="AG304:AK310">
    <cfRule type="colorScale" priority="32">
      <colorScale>
        <cfvo type="min"/>
        <cfvo type="max"/>
        <color theme="0"/>
        <color theme="8" tint="0.39997558519241921"/>
      </colorScale>
    </cfRule>
  </conditionalFormatting>
  <conditionalFormatting sqref="AG311:AK311">
    <cfRule type="colorScale" priority="3">
      <colorScale>
        <cfvo type="min"/>
        <cfvo type="max"/>
        <color theme="0"/>
        <color theme="8" tint="0.39997558519241921"/>
      </colorScale>
    </cfRule>
  </conditionalFormatting>
  <conditionalFormatting sqref="AG312:AK315">
    <cfRule type="colorScale" priority="31">
      <colorScale>
        <cfvo type="min"/>
        <cfvo type="max"/>
        <color theme="0"/>
        <color theme="8" tint="0.39997558519241921"/>
      </colorScale>
    </cfRule>
  </conditionalFormatting>
  <conditionalFormatting sqref="AG316:AK316">
    <cfRule type="colorScale" priority="30">
      <colorScale>
        <cfvo type="min"/>
        <cfvo type="max"/>
        <color theme="0"/>
        <color theme="8" tint="0.39997558519241921"/>
      </colorScale>
    </cfRule>
  </conditionalFormatting>
  <conditionalFormatting sqref="AG320:AK325">
    <cfRule type="colorScale" priority="37">
      <colorScale>
        <cfvo type="min"/>
        <cfvo type="max"/>
        <color theme="0"/>
        <color theme="8" tint="0.39997558519241921"/>
      </colorScale>
    </cfRule>
  </conditionalFormatting>
  <pageMargins left="0.7" right="0.7" top="0.75" bottom="0.75" header="0.3" footer="0.3"/>
  <pageSetup orientation="portrait" r:id="rId1"/>
  <headerFooter>
    <oddFooter>&amp;C&amp;1#&amp;"Calibri"&amp;10&amp;K000000 For internal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9D43C-5429-4080-83E8-FF5C36AD5FEB}">
  <sheetPr>
    <tabColor theme="7" tint="0.39997558519241921"/>
  </sheetPr>
  <dimension ref="B2:AK325"/>
  <sheetViews>
    <sheetView showGridLines="0" zoomScale="85" zoomScaleNormal="85" workbookViewId="0">
      <selection activeCell="B5" sqref="B5"/>
    </sheetView>
  </sheetViews>
  <sheetFormatPr defaultRowHeight="14.5" x14ac:dyDescent="0.35"/>
  <cols>
    <col min="1" max="1" width="8.7265625" style="52"/>
    <col min="2" max="2" width="76" style="52" bestFit="1" customWidth="1"/>
    <col min="3" max="3" width="16.1796875" style="52" bestFit="1" customWidth="1"/>
    <col min="4" max="4" width="24" style="52" bestFit="1" customWidth="1"/>
    <col min="5" max="5" width="21" style="52" bestFit="1" customWidth="1"/>
    <col min="6" max="7" width="7.81640625" style="52" bestFit="1" customWidth="1"/>
    <col min="8" max="10" width="7.1796875" style="52" bestFit="1" customWidth="1"/>
    <col min="11" max="11" width="6.81640625" style="52" bestFit="1" customWidth="1"/>
    <col min="12" max="15" width="6.1796875" style="52" bestFit="1" customWidth="1"/>
    <col min="16" max="16" width="15.26953125" style="52" bestFit="1" customWidth="1"/>
    <col min="17" max="17" width="22.1796875" style="52" bestFit="1" customWidth="1"/>
    <col min="18" max="18" width="13.7265625" style="52" bestFit="1" customWidth="1"/>
    <col min="19" max="19" width="9.54296875" style="52" bestFit="1" customWidth="1"/>
    <col min="20" max="20" width="19.81640625" style="52" bestFit="1" customWidth="1"/>
    <col min="21" max="21" width="8.7265625" style="52"/>
    <col min="22" max="26" width="4.7265625" style="52" hidden="1" customWidth="1"/>
    <col min="27" max="27" width="0" style="52" hidden="1" customWidth="1"/>
    <col min="28" max="37" width="6.1796875" style="52" hidden="1" customWidth="1"/>
    <col min="38" max="16384" width="8.7265625" style="52"/>
  </cols>
  <sheetData>
    <row r="2" spans="2:37" ht="15" thickBot="1" x14ac:dyDescent="0.4">
      <c r="C2" s="129" t="s">
        <v>9</v>
      </c>
      <c r="D2" s="129" t="s">
        <v>10</v>
      </c>
      <c r="E2" s="129" t="s">
        <v>11</v>
      </c>
      <c r="F2" s="129" t="s">
        <v>12</v>
      </c>
      <c r="G2" s="129" t="s">
        <v>13</v>
      </c>
    </row>
    <row r="3" spans="2:37" ht="17.5" thickBot="1" x14ac:dyDescent="0.45">
      <c r="B3" s="51" t="s">
        <v>218</v>
      </c>
      <c r="C3" s="128">
        <f>C4</f>
        <v>0.998</v>
      </c>
      <c r="D3" s="130">
        <f>D4</f>
        <v>0.99399999999999999</v>
      </c>
      <c r="E3" s="130">
        <f>E4</f>
        <v>0.99399999999999999</v>
      </c>
      <c r="F3" s="130">
        <f>F4</f>
        <v>0.99399999999999999</v>
      </c>
      <c r="G3" s="130">
        <f>G4</f>
        <v>0.99399999999999999</v>
      </c>
    </row>
    <row r="4" spans="2:37" x14ac:dyDescent="0.35">
      <c r="B4" s="52" t="s">
        <v>217</v>
      </c>
      <c r="C4" s="131">
        <v>0.998</v>
      </c>
      <c r="D4" s="131">
        <v>0.99399999999999999</v>
      </c>
      <c r="E4" s="131">
        <v>0.99399999999999999</v>
      </c>
      <c r="F4" s="131">
        <v>0.99399999999999999</v>
      </c>
      <c r="G4" s="131">
        <v>0.99399999999999999</v>
      </c>
    </row>
    <row r="8" spans="2:37" x14ac:dyDescent="0.35">
      <c r="F8" s="158" t="s">
        <v>220</v>
      </c>
      <c r="G8" s="159"/>
      <c r="H8" s="159"/>
      <c r="I8" s="159"/>
      <c r="J8" s="160"/>
      <c r="K8" s="158" t="s">
        <v>298</v>
      </c>
      <c r="L8" s="159"/>
      <c r="M8" s="159"/>
      <c r="N8" s="159"/>
      <c r="O8" s="160"/>
      <c r="AB8" s="158" t="s">
        <v>220</v>
      </c>
      <c r="AC8" s="159"/>
      <c r="AD8" s="159"/>
      <c r="AE8" s="159"/>
      <c r="AF8" s="160"/>
      <c r="AG8" s="158" t="s">
        <v>300</v>
      </c>
      <c r="AH8" s="159"/>
      <c r="AI8" s="159"/>
      <c r="AJ8" s="159"/>
      <c r="AK8" s="160"/>
    </row>
    <row r="9" spans="2:37" x14ac:dyDescent="0.35">
      <c r="F9" s="155" t="s">
        <v>1</v>
      </c>
      <c r="G9" s="156"/>
      <c r="H9" s="156"/>
      <c r="I9" s="156"/>
      <c r="J9" s="157"/>
      <c r="K9" s="155" t="s">
        <v>2</v>
      </c>
      <c r="L9" s="156"/>
      <c r="M9" s="156"/>
      <c r="N9" s="156"/>
      <c r="O9" s="157"/>
      <c r="AB9" s="155" t="s">
        <v>1</v>
      </c>
      <c r="AC9" s="156"/>
      <c r="AD9" s="156"/>
      <c r="AE9" s="156"/>
      <c r="AF9" s="157"/>
      <c r="AG9" s="155" t="s">
        <v>2</v>
      </c>
      <c r="AH9" s="156"/>
      <c r="AI9" s="156"/>
      <c r="AJ9" s="156"/>
      <c r="AK9" s="157"/>
    </row>
    <row r="10" spans="2:37" ht="15.5" x14ac:dyDescent="0.35">
      <c r="B10" s="121" t="s">
        <v>3</v>
      </c>
      <c r="C10" s="122"/>
      <c r="D10" s="122"/>
      <c r="E10" s="122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Q10" s="125"/>
      <c r="R10" s="125"/>
      <c r="S10" s="125"/>
      <c r="T10" s="125"/>
      <c r="V10" s="155" t="s">
        <v>414</v>
      </c>
      <c r="W10" s="156"/>
      <c r="X10" s="156"/>
      <c r="Y10" s="156"/>
      <c r="Z10" s="157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</row>
    <row r="11" spans="2:37" x14ac:dyDescent="0.35">
      <c r="B11" s="84" t="s">
        <v>5</v>
      </c>
      <c r="C11" s="83" t="s">
        <v>6</v>
      </c>
      <c r="D11" s="83" t="s">
        <v>7</v>
      </c>
      <c r="E11" s="83" t="s">
        <v>8</v>
      </c>
      <c r="F11" s="82" t="s">
        <v>9</v>
      </c>
      <c r="G11" s="81" t="s">
        <v>10</v>
      </c>
      <c r="H11" s="81" t="s">
        <v>11</v>
      </c>
      <c r="I11" s="81" t="s">
        <v>12</v>
      </c>
      <c r="J11" s="80" t="s">
        <v>13</v>
      </c>
      <c r="K11" s="82" t="s">
        <v>9</v>
      </c>
      <c r="L11" s="81" t="s">
        <v>10</v>
      </c>
      <c r="M11" s="81" t="s">
        <v>11</v>
      </c>
      <c r="N11" s="81" t="s">
        <v>12</v>
      </c>
      <c r="O11" s="80" t="s">
        <v>13</v>
      </c>
      <c r="P11" s="69" t="s">
        <v>14</v>
      </c>
      <c r="Q11" s="57" t="s">
        <v>15</v>
      </c>
      <c r="R11" s="57" t="s">
        <v>16</v>
      </c>
      <c r="S11" s="57" t="s">
        <v>415</v>
      </c>
      <c r="T11" s="57" t="s">
        <v>18</v>
      </c>
      <c r="V11" s="109" t="s">
        <v>9</v>
      </c>
      <c r="W11" s="105" t="s">
        <v>10</v>
      </c>
      <c r="X11" s="105" t="s">
        <v>11</v>
      </c>
      <c r="Y11" s="105" t="s">
        <v>12</v>
      </c>
      <c r="Z11" s="110" t="s">
        <v>13</v>
      </c>
      <c r="AB11" s="82" t="s">
        <v>9</v>
      </c>
      <c r="AC11" s="81" t="s">
        <v>10</v>
      </c>
      <c r="AD11" s="81" t="s">
        <v>11</v>
      </c>
      <c r="AE11" s="81" t="s">
        <v>12</v>
      </c>
      <c r="AF11" s="80" t="s">
        <v>13</v>
      </c>
      <c r="AG11" s="82" t="s">
        <v>9</v>
      </c>
      <c r="AH11" s="81" t="s">
        <v>10</v>
      </c>
      <c r="AI11" s="81" t="s">
        <v>11</v>
      </c>
      <c r="AJ11" s="81" t="s">
        <v>12</v>
      </c>
      <c r="AK11" s="80" t="s">
        <v>13</v>
      </c>
    </row>
    <row r="12" spans="2:37" x14ac:dyDescent="0.35">
      <c r="B12" s="55" t="s">
        <v>19</v>
      </c>
      <c r="C12" s="123"/>
      <c r="D12" s="11" t="s">
        <v>20</v>
      </c>
      <c r="E12" s="123"/>
      <c r="F12" s="74" t="str">
        <f t="shared" ref="F12:J17" si="0">IF(ISNUMBER(AB12),AB12-((C$4-C$3)/V12),"")</f>
        <v/>
      </c>
      <c r="G12" s="79">
        <f t="shared" si="0"/>
        <v>6.7618971649720406E-3</v>
      </c>
      <c r="H12" s="79">
        <f t="shared" si="0"/>
        <v>1.193866335109571E-2</v>
      </c>
      <c r="I12" s="79">
        <f t="shared" si="0"/>
        <v>1.5934843623679591E-2</v>
      </c>
      <c r="J12" s="61">
        <f t="shared" si="0"/>
        <v>2.0230036507482375E-2</v>
      </c>
      <c r="K12" s="88" t="str">
        <f t="shared" ref="K12:O17" si="1">IF(ISNUMBER(AG12),IF(AG12-((C$4-C$3)/V12)&lt;0,"",AG12-((C$4-C$3)/V12)),"")</f>
        <v/>
      </c>
      <c r="L12" s="86">
        <f t="shared" si="1"/>
        <v>3.6927050649720405E-3</v>
      </c>
      <c r="M12" s="86">
        <f t="shared" si="1"/>
        <v>7.857061051095713E-3</v>
      </c>
      <c r="N12" s="86">
        <f t="shared" si="1"/>
        <v>1.0963342123679592E-2</v>
      </c>
      <c r="O12" s="89">
        <f t="shared" si="1"/>
        <v>1.3986794507482376E-2</v>
      </c>
      <c r="P12" s="15"/>
      <c r="Q12" s="132"/>
      <c r="R12" s="132"/>
      <c r="S12" s="132"/>
      <c r="T12" s="16"/>
      <c r="V12" s="17">
        <v>1.1061159300000001</v>
      </c>
      <c r="W12" s="18">
        <v>2.8302728199999998</v>
      </c>
      <c r="X12" s="18">
        <v>4.3449563400000004</v>
      </c>
      <c r="Y12" s="18">
        <v>5.6384222400000006</v>
      </c>
      <c r="Z12" s="19">
        <v>7.2208129499999991</v>
      </c>
      <c r="AB12" s="74"/>
      <c r="AC12" s="79">
        <v>6.7618971649720406E-3</v>
      </c>
      <c r="AD12" s="79">
        <v>1.193866335109571E-2</v>
      </c>
      <c r="AE12" s="79">
        <v>1.5934843623679591E-2</v>
      </c>
      <c r="AF12" s="61">
        <v>2.0230036507482375E-2</v>
      </c>
      <c r="AG12" s="79"/>
      <c r="AH12" s="79">
        <v>3.6927050649720405E-3</v>
      </c>
      <c r="AI12" s="79">
        <v>7.857061051095713E-3</v>
      </c>
      <c r="AJ12" s="79">
        <v>1.0963342123679592E-2</v>
      </c>
      <c r="AK12" s="79">
        <v>1.3986794507482376E-2</v>
      </c>
    </row>
    <row r="13" spans="2:37" x14ac:dyDescent="0.35">
      <c r="B13" s="54" t="s">
        <v>22</v>
      </c>
      <c r="C13" s="122"/>
      <c r="D13" s="20" t="s">
        <v>23</v>
      </c>
      <c r="E13" s="122"/>
      <c r="F13" s="72" t="str">
        <f t="shared" si="0"/>
        <v/>
      </c>
      <c r="G13" s="70">
        <f t="shared" si="0"/>
        <v>7.1529071403110241E-3</v>
      </c>
      <c r="H13" s="70">
        <f t="shared" si="0"/>
        <v>1.2639198748078544E-2</v>
      </c>
      <c r="I13" s="70">
        <f t="shared" si="0"/>
        <v>1.6617116756018759E-2</v>
      </c>
      <c r="J13" s="62">
        <f t="shared" si="0"/>
        <v>2.0831625411073862E-2</v>
      </c>
      <c r="K13" s="85" t="str">
        <f t="shared" si="1"/>
        <v/>
      </c>
      <c r="L13" s="67">
        <f t="shared" si="1"/>
        <v>4.1041056403110232E-3</v>
      </c>
      <c r="M13" s="67">
        <f t="shared" si="1"/>
        <v>8.5840667480785449E-3</v>
      </c>
      <c r="N13" s="67">
        <f t="shared" si="1"/>
        <v>1.1666198356018759E-2</v>
      </c>
      <c r="O13" s="90">
        <f t="shared" si="1"/>
        <v>1.4606359011073863E-2</v>
      </c>
      <c r="P13" s="24"/>
      <c r="Q13" s="25"/>
      <c r="R13" s="25"/>
      <c r="S13" s="25"/>
      <c r="T13" s="26"/>
      <c r="V13" s="27">
        <v>1.11048426</v>
      </c>
      <c r="W13" s="28">
        <v>2.8341026299999998</v>
      </c>
      <c r="X13" s="28">
        <v>4.34092755</v>
      </c>
      <c r="Y13" s="28">
        <v>5.6239557599999994</v>
      </c>
      <c r="Z13" s="29">
        <v>7.1902701699999998</v>
      </c>
      <c r="AB13" s="72" t="s">
        <v>21</v>
      </c>
      <c r="AC13" s="70">
        <v>7.1529071403110241E-3</v>
      </c>
      <c r="AD13" s="70">
        <v>1.2639198748078544E-2</v>
      </c>
      <c r="AE13" s="70">
        <v>1.6617116756018759E-2</v>
      </c>
      <c r="AF13" s="62">
        <v>2.0831625411073862E-2</v>
      </c>
      <c r="AG13" s="70" t="s">
        <v>21</v>
      </c>
      <c r="AH13" s="70">
        <v>4.1041056403110232E-3</v>
      </c>
      <c r="AI13" s="70">
        <v>8.5840667480785449E-3</v>
      </c>
      <c r="AJ13" s="70">
        <v>1.1666198356018759E-2</v>
      </c>
      <c r="AK13" s="70">
        <v>1.4606359011073863E-2</v>
      </c>
    </row>
    <row r="14" spans="2:37" x14ac:dyDescent="0.35">
      <c r="B14" s="55" t="s">
        <v>24</v>
      </c>
      <c r="C14" s="123"/>
      <c r="D14" s="11" t="s">
        <v>20</v>
      </c>
      <c r="E14" s="123"/>
      <c r="F14" s="74">
        <f t="shared" si="0"/>
        <v>2.1569259282863018E-2</v>
      </c>
      <c r="G14" s="79">
        <f t="shared" si="0"/>
        <v>3.1222543472491662E-2</v>
      </c>
      <c r="H14" s="79">
        <f t="shared" si="0"/>
        <v>3.888043381441951E-2</v>
      </c>
      <c r="I14" s="79" t="str">
        <f t="shared" si="0"/>
        <v/>
      </c>
      <c r="J14" s="61" t="str">
        <f t="shared" si="0"/>
        <v/>
      </c>
      <c r="K14" s="88">
        <f t="shared" si="1"/>
        <v>1.9825960382863016E-2</v>
      </c>
      <c r="L14" s="86">
        <f t="shared" si="1"/>
        <v>2.7972821472491666E-2</v>
      </c>
      <c r="M14" s="86">
        <f t="shared" si="1"/>
        <v>3.4429986114419511E-2</v>
      </c>
      <c r="N14" s="86" t="str">
        <f t="shared" si="1"/>
        <v/>
      </c>
      <c r="O14" s="89" t="str">
        <f t="shared" si="1"/>
        <v/>
      </c>
      <c r="P14" s="15"/>
      <c r="Q14" s="132"/>
      <c r="R14" s="132"/>
      <c r="S14" s="132"/>
      <c r="T14" s="16"/>
      <c r="V14" s="17">
        <v>1.0741208</v>
      </c>
      <c r="W14" s="18">
        <v>2.6408010599999998</v>
      </c>
      <c r="X14" s="18">
        <v>3.90691678</v>
      </c>
      <c r="Y14" s="18">
        <v>4.9208103899999998</v>
      </c>
      <c r="Z14" s="19">
        <v>6.0873401600000001</v>
      </c>
      <c r="AB14" s="74">
        <v>2.1569259282863018E-2</v>
      </c>
      <c r="AC14" s="79">
        <v>3.1222543472491662E-2</v>
      </c>
      <c r="AD14" s="79">
        <v>3.888043381441951E-2</v>
      </c>
      <c r="AE14" s="79"/>
      <c r="AF14" s="61"/>
      <c r="AG14" s="79">
        <v>1.9825960382863016E-2</v>
      </c>
      <c r="AH14" s="79">
        <v>2.7972821472491666E-2</v>
      </c>
      <c r="AI14" s="79">
        <v>3.4429986114419511E-2</v>
      </c>
      <c r="AJ14" s="79"/>
      <c r="AK14" s="79"/>
    </row>
    <row r="15" spans="2:37" x14ac:dyDescent="0.35">
      <c r="B15" s="56" t="s">
        <v>25</v>
      </c>
      <c r="C15" s="124"/>
      <c r="D15" s="20" t="s">
        <v>23</v>
      </c>
      <c r="E15" s="124"/>
      <c r="F15" s="73">
        <f t="shared" si="0"/>
        <v>9.662557196216311E-3</v>
      </c>
      <c r="G15" s="75">
        <f t="shared" si="0"/>
        <v>2.6780020682469749E-2</v>
      </c>
      <c r="H15" s="75">
        <f t="shared" si="0"/>
        <v>3.8906041531710206E-2</v>
      </c>
      <c r="I15" s="75">
        <f t="shared" si="0"/>
        <v>4.3936494542845567E-2</v>
      </c>
      <c r="J15" s="63">
        <f t="shared" si="0"/>
        <v>4.9039673211994005E-2</v>
      </c>
      <c r="K15" s="91">
        <f t="shared" si="1"/>
        <v>8.1163437962163115E-3</v>
      </c>
      <c r="L15" s="87">
        <f t="shared" si="1"/>
        <v>2.3619024582469748E-2</v>
      </c>
      <c r="M15" s="87">
        <f t="shared" si="1"/>
        <v>3.4320137631710199E-2</v>
      </c>
      <c r="N15" s="87">
        <f t="shared" si="1"/>
        <v>3.8322779442845567E-2</v>
      </c>
      <c r="O15" s="92">
        <f t="shared" si="1"/>
        <v>4.210223381199401E-2</v>
      </c>
      <c r="P15" s="33"/>
      <c r="Q15" s="133"/>
      <c r="R15" s="133"/>
      <c r="S15" s="133"/>
      <c r="T15" s="34"/>
      <c r="V15" s="27">
        <v>1.06649072</v>
      </c>
      <c r="W15" s="28">
        <v>2.6373209799999997</v>
      </c>
      <c r="X15" s="28">
        <v>3.8608107699999996</v>
      </c>
      <c r="Y15" s="28">
        <v>4.7863380199999996</v>
      </c>
      <c r="Z15" s="29">
        <v>5.7654233999999995</v>
      </c>
      <c r="AB15" s="73">
        <v>9.662557196216311E-3</v>
      </c>
      <c r="AC15" s="75">
        <v>2.6780020682469749E-2</v>
      </c>
      <c r="AD15" s="75">
        <v>3.8906041531710206E-2</v>
      </c>
      <c r="AE15" s="75">
        <v>4.3936494542845567E-2</v>
      </c>
      <c r="AF15" s="63">
        <v>4.9039673211994005E-2</v>
      </c>
      <c r="AG15" s="75">
        <v>8.1163437962163115E-3</v>
      </c>
      <c r="AH15" s="75">
        <v>2.3619024582469748E-2</v>
      </c>
      <c r="AI15" s="75">
        <v>3.4320137631710199E-2</v>
      </c>
      <c r="AJ15" s="75">
        <v>3.8322779442845567E-2</v>
      </c>
      <c r="AK15" s="75">
        <v>4.210223381199401E-2</v>
      </c>
    </row>
    <row r="16" spans="2:37" x14ac:dyDescent="0.35">
      <c r="B16" s="54" t="s">
        <v>26</v>
      </c>
      <c r="C16" s="122"/>
      <c r="D16" s="11" t="s">
        <v>23</v>
      </c>
      <c r="E16" s="122"/>
      <c r="F16" s="72" t="str">
        <f t="shared" si="0"/>
        <v/>
      </c>
      <c r="G16" s="70">
        <f t="shared" si="0"/>
        <v>7.2736177498775485E-3</v>
      </c>
      <c r="H16" s="70">
        <f t="shared" si="0"/>
        <v>1.2945183653926041E-2</v>
      </c>
      <c r="I16" s="70" t="str">
        <f t="shared" si="0"/>
        <v/>
      </c>
      <c r="J16" s="62" t="str">
        <f t="shared" si="0"/>
        <v/>
      </c>
      <c r="K16" s="85" t="str">
        <f t="shared" si="1"/>
        <v/>
      </c>
      <c r="L16" s="67">
        <f t="shared" si="1"/>
        <v>4.2331618498775495E-3</v>
      </c>
      <c r="M16" s="67">
        <f t="shared" si="1"/>
        <v>8.9035199539260444E-3</v>
      </c>
      <c r="N16" s="67" t="str">
        <f t="shared" si="1"/>
        <v/>
      </c>
      <c r="O16" s="90" t="str">
        <f t="shared" si="1"/>
        <v/>
      </c>
      <c r="P16" s="24"/>
      <c r="Q16" s="25"/>
      <c r="R16" s="25"/>
      <c r="S16" s="25"/>
      <c r="T16" s="26"/>
      <c r="V16" s="17">
        <v>1.0996098399999998</v>
      </c>
      <c r="W16" s="18">
        <v>2.79800526</v>
      </c>
      <c r="X16" s="18">
        <v>4.2957257699999998</v>
      </c>
      <c r="Y16" s="18">
        <v>5.5471071099999998</v>
      </c>
      <c r="Z16" s="19">
        <v>7.0322650200000005</v>
      </c>
      <c r="AB16" s="72" t="s">
        <v>21</v>
      </c>
      <c r="AC16" s="70">
        <v>7.2736177498775485E-3</v>
      </c>
      <c r="AD16" s="70">
        <v>1.2945183653926041E-2</v>
      </c>
      <c r="AE16" s="70"/>
      <c r="AF16" s="62"/>
      <c r="AG16" s="70" t="s">
        <v>21</v>
      </c>
      <c r="AH16" s="70">
        <v>4.2331618498775495E-3</v>
      </c>
      <c r="AI16" s="70">
        <v>8.9035199539260444E-3</v>
      </c>
      <c r="AJ16" s="70"/>
      <c r="AK16" s="70"/>
    </row>
    <row r="17" spans="2:37" x14ac:dyDescent="0.35">
      <c r="B17" s="56" t="s">
        <v>27</v>
      </c>
      <c r="C17" s="124"/>
      <c r="D17" s="35" t="s">
        <v>23</v>
      </c>
      <c r="E17" s="124"/>
      <c r="F17" s="73" t="str">
        <f t="shared" si="0"/>
        <v/>
      </c>
      <c r="G17" s="75">
        <f t="shared" si="0"/>
        <v>9.9363049633363152E-3</v>
      </c>
      <c r="H17" s="75">
        <f t="shared" si="0"/>
        <v>1.7769094803533593E-2</v>
      </c>
      <c r="I17" s="75" t="str">
        <f t="shared" si="0"/>
        <v/>
      </c>
      <c r="J17" s="63">
        <f t="shared" si="0"/>
        <v>3.3917959109384666E-2</v>
      </c>
      <c r="K17" s="91" t="str">
        <f t="shared" si="1"/>
        <v/>
      </c>
      <c r="L17" s="87">
        <f t="shared" si="1"/>
        <v>7.0032947633363162E-3</v>
      </c>
      <c r="M17" s="87">
        <f t="shared" si="1"/>
        <v>1.3824703903533589E-2</v>
      </c>
      <c r="N17" s="87" t="str">
        <f t="shared" si="1"/>
        <v/>
      </c>
      <c r="O17" s="92">
        <f t="shared" si="1"/>
        <v>2.7685407409384667E-2</v>
      </c>
      <c r="P17" s="33"/>
      <c r="Q17" s="133"/>
      <c r="R17" s="133"/>
      <c r="S17" s="133"/>
      <c r="T17" s="34"/>
      <c r="V17" s="36">
        <v>1.0959612400000001</v>
      </c>
      <c r="W17" s="37">
        <v>2.7800110400000002</v>
      </c>
      <c r="X17" s="37">
        <v>4.2557482700000007</v>
      </c>
      <c r="Y17" s="37">
        <v>5.4659683000000001</v>
      </c>
      <c r="Z17" s="38">
        <v>6.8624176300000004</v>
      </c>
      <c r="AB17" s="73"/>
      <c r="AC17" s="75">
        <v>9.9363049633363152E-3</v>
      </c>
      <c r="AD17" s="75">
        <v>1.7769094803533593E-2</v>
      </c>
      <c r="AE17" s="75"/>
      <c r="AF17" s="63">
        <v>3.3917959109384666E-2</v>
      </c>
      <c r="AG17" s="75"/>
      <c r="AH17" s="75">
        <v>7.0032947633363162E-3</v>
      </c>
      <c r="AI17" s="75">
        <v>1.3824703903533589E-2</v>
      </c>
      <c r="AJ17" s="75"/>
      <c r="AK17" s="75">
        <v>2.7685407409384667E-2</v>
      </c>
    </row>
    <row r="18" spans="2:37" x14ac:dyDescent="0.35">
      <c r="C18" s="122"/>
      <c r="D18" s="122"/>
      <c r="E18" s="122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V18" s="40"/>
      <c r="W18" s="40"/>
      <c r="X18" s="40"/>
      <c r="Y18" s="40"/>
      <c r="Z18" s="40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</row>
    <row r="19" spans="2:37" ht="15.5" x14ac:dyDescent="0.35">
      <c r="B19" s="121" t="s">
        <v>223</v>
      </c>
      <c r="C19" s="122"/>
      <c r="D19" s="122"/>
      <c r="E19" s="122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Q19" s="125"/>
      <c r="R19" s="125"/>
      <c r="T19" s="125"/>
      <c r="V19" s="155" t="s">
        <v>414</v>
      </c>
      <c r="W19" s="156"/>
      <c r="X19" s="156"/>
      <c r="Y19" s="156"/>
      <c r="Z19" s="157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</row>
    <row r="20" spans="2:37" x14ac:dyDescent="0.35">
      <c r="B20" s="84" t="s">
        <v>5</v>
      </c>
      <c r="C20" s="83" t="s">
        <v>6</v>
      </c>
      <c r="D20" s="83" t="s">
        <v>7</v>
      </c>
      <c r="E20" s="83" t="s">
        <v>8</v>
      </c>
      <c r="F20" s="82" t="s">
        <v>9</v>
      </c>
      <c r="G20" s="81" t="s">
        <v>10</v>
      </c>
      <c r="H20" s="81" t="s">
        <v>11</v>
      </c>
      <c r="I20" s="81" t="s">
        <v>12</v>
      </c>
      <c r="J20" s="80" t="s">
        <v>13</v>
      </c>
      <c r="K20" s="82" t="s">
        <v>9</v>
      </c>
      <c r="L20" s="81" t="s">
        <v>10</v>
      </c>
      <c r="M20" s="81" t="s">
        <v>11</v>
      </c>
      <c r="N20" s="81" t="s">
        <v>12</v>
      </c>
      <c r="O20" s="80" t="s">
        <v>13</v>
      </c>
      <c r="P20" s="69" t="s">
        <v>14</v>
      </c>
      <c r="Q20" s="57" t="s">
        <v>15</v>
      </c>
      <c r="R20" s="57" t="s">
        <v>16</v>
      </c>
      <c r="S20" s="57" t="s">
        <v>415</v>
      </c>
      <c r="T20" s="57" t="s">
        <v>18</v>
      </c>
      <c r="V20" s="109" t="s">
        <v>9</v>
      </c>
      <c r="W20" s="105" t="s">
        <v>10</v>
      </c>
      <c r="X20" s="105" t="s">
        <v>11</v>
      </c>
      <c r="Y20" s="105" t="s">
        <v>12</v>
      </c>
      <c r="Z20" s="110" t="s">
        <v>13</v>
      </c>
      <c r="AB20" s="82" t="s">
        <v>9</v>
      </c>
      <c r="AC20" s="81" t="s">
        <v>10</v>
      </c>
      <c r="AD20" s="81" t="s">
        <v>11</v>
      </c>
      <c r="AE20" s="81" t="s">
        <v>12</v>
      </c>
      <c r="AF20" s="80" t="s">
        <v>13</v>
      </c>
      <c r="AG20" s="82" t="s">
        <v>9</v>
      </c>
      <c r="AH20" s="81" t="s">
        <v>10</v>
      </c>
      <c r="AI20" s="81" t="s">
        <v>11</v>
      </c>
      <c r="AJ20" s="81" t="s">
        <v>12</v>
      </c>
      <c r="AK20" s="80" t="s">
        <v>13</v>
      </c>
    </row>
    <row r="21" spans="2:37" x14ac:dyDescent="0.35">
      <c r="B21" s="55" t="s">
        <v>19</v>
      </c>
      <c r="C21" s="123"/>
      <c r="D21" s="11" t="s">
        <v>20</v>
      </c>
      <c r="E21" s="123"/>
      <c r="F21" s="74" t="str">
        <f t="shared" ref="F21:J26" si="2">IF(ISNUMBER(AB21),AB21-((C$4-C$3)/V21),"")</f>
        <v/>
      </c>
      <c r="G21" s="79">
        <f t="shared" si="2"/>
        <v>9.4106603155356162E-3</v>
      </c>
      <c r="H21" s="79">
        <f t="shared" si="2"/>
        <v>1.5597605712310877E-2</v>
      </c>
      <c r="I21" s="79">
        <f t="shared" si="2"/>
        <v>2.0439300770366736E-2</v>
      </c>
      <c r="J21" s="61">
        <f t="shared" si="2"/>
        <v>2.5572770481860591E-2</v>
      </c>
      <c r="K21" s="88" t="str">
        <f t="shared" ref="K21:O26" si="3">IF(ISNUMBER(AG21),IF(AG21-((C$4-C$3)/V21)&lt;0,"",AG21-((C$4-C$3)/V21)),"")</f>
        <v/>
      </c>
      <c r="L21" s="86">
        <f t="shared" si="3"/>
        <v>6.4654899155356139E-3</v>
      </c>
      <c r="M21" s="86">
        <f t="shared" si="3"/>
        <v>1.1644438712310873E-2</v>
      </c>
      <c r="N21" s="86">
        <f t="shared" si="3"/>
        <v>1.5579149770366736E-2</v>
      </c>
      <c r="O21" s="89">
        <f t="shared" si="3"/>
        <v>1.9420582381860594E-2</v>
      </c>
      <c r="P21" s="15"/>
      <c r="Q21" s="132"/>
      <c r="R21" s="132"/>
      <c r="S21" s="132"/>
      <c r="T21" s="16"/>
      <c r="V21" s="17">
        <v>1.1061159300000001</v>
      </c>
      <c r="W21" s="18">
        <v>2.8302728199999998</v>
      </c>
      <c r="X21" s="18">
        <v>4.3449563400000004</v>
      </c>
      <c r="Y21" s="18">
        <v>5.6384222400000006</v>
      </c>
      <c r="Z21" s="19">
        <v>7.2208129499999991</v>
      </c>
      <c r="AB21" s="74"/>
      <c r="AC21" s="79">
        <v>9.4106603155356162E-3</v>
      </c>
      <c r="AD21" s="79">
        <v>1.5597605712310877E-2</v>
      </c>
      <c r="AE21" s="79">
        <v>2.0439300770366736E-2</v>
      </c>
      <c r="AF21" s="61">
        <v>2.5572770481860591E-2</v>
      </c>
      <c r="AG21" s="79"/>
      <c r="AH21" s="79">
        <v>6.4654899155356139E-3</v>
      </c>
      <c r="AI21" s="79">
        <v>1.1644438712310873E-2</v>
      </c>
      <c r="AJ21" s="79">
        <v>1.5579149770366736E-2</v>
      </c>
      <c r="AK21" s="79">
        <v>1.9420582381860594E-2</v>
      </c>
    </row>
    <row r="22" spans="2:37" x14ac:dyDescent="0.35">
      <c r="B22" s="54" t="s">
        <v>22</v>
      </c>
      <c r="C22" s="122"/>
      <c r="D22" s="20" t="s">
        <v>23</v>
      </c>
      <c r="E22" s="122"/>
      <c r="F22" s="72" t="str">
        <f t="shared" si="2"/>
        <v/>
      </c>
      <c r="G22" s="70">
        <f t="shared" si="2"/>
        <v>9.9565595229192064E-3</v>
      </c>
      <c r="H22" s="70">
        <f t="shared" si="2"/>
        <v>1.6604154094782914E-2</v>
      </c>
      <c r="I22" s="70">
        <f t="shared" si="2"/>
        <v>2.1424565210382031E-2</v>
      </c>
      <c r="J22" s="62">
        <f t="shared" si="2"/>
        <v>2.6441520791310753E-2</v>
      </c>
      <c r="K22" s="85" t="str">
        <f t="shared" si="3"/>
        <v/>
      </c>
      <c r="L22" s="67">
        <f t="shared" si="3"/>
        <v>7.0290209229192085E-3</v>
      </c>
      <c r="M22" s="67">
        <f t="shared" si="3"/>
        <v>1.2668309694782913E-2</v>
      </c>
      <c r="N22" s="67">
        <f t="shared" si="3"/>
        <v>1.657324511038203E-2</v>
      </c>
      <c r="O22" s="90">
        <f t="shared" si="3"/>
        <v>2.0294594691310758E-2</v>
      </c>
      <c r="P22" s="24"/>
      <c r="Q22" s="25"/>
      <c r="R22" s="25"/>
      <c r="S22" s="25"/>
      <c r="T22" s="26"/>
      <c r="V22" s="27">
        <v>1.11048426</v>
      </c>
      <c r="W22" s="28">
        <v>2.8341026299999998</v>
      </c>
      <c r="X22" s="28">
        <v>4.34092755</v>
      </c>
      <c r="Y22" s="28">
        <v>5.6239557599999994</v>
      </c>
      <c r="Z22" s="29">
        <v>7.1902701699999998</v>
      </c>
      <c r="AB22" s="72" t="s">
        <v>21</v>
      </c>
      <c r="AC22" s="70">
        <v>9.9565595229192064E-3</v>
      </c>
      <c r="AD22" s="70">
        <v>1.6604154094782914E-2</v>
      </c>
      <c r="AE22" s="70">
        <v>2.1424565210382031E-2</v>
      </c>
      <c r="AF22" s="62">
        <v>2.6441520791310753E-2</v>
      </c>
      <c r="AG22" s="70" t="s">
        <v>21</v>
      </c>
      <c r="AH22" s="70">
        <v>7.0290209229192085E-3</v>
      </c>
      <c r="AI22" s="70">
        <v>1.2668309694782913E-2</v>
      </c>
      <c r="AJ22" s="70">
        <v>1.657324511038203E-2</v>
      </c>
      <c r="AK22" s="70">
        <v>2.0294594691310758E-2</v>
      </c>
    </row>
    <row r="23" spans="2:37" x14ac:dyDescent="0.35">
      <c r="B23" s="55" t="s">
        <v>24</v>
      </c>
      <c r="C23" s="123"/>
      <c r="D23" s="11" t="s">
        <v>20</v>
      </c>
      <c r="E23" s="123"/>
      <c r="F23" s="74">
        <f t="shared" si="2"/>
        <v>2.7819164042057289E-2</v>
      </c>
      <c r="G23" s="79">
        <f t="shared" si="2"/>
        <v>3.9357452575721208E-2</v>
      </c>
      <c r="H23" s="79">
        <f>IF(ISNUMBER(AD23),AD23-((E$4-E$3)/X23),"")</f>
        <v>4.8183408043670682E-2</v>
      </c>
      <c r="I23" s="79" t="str">
        <f>IF(ISNUMBER(AE23),AE23-((F$4-F$3)/Y23),"")</f>
        <v/>
      </c>
      <c r="J23" s="61" t="str">
        <f>IF(ISNUMBER(AF23),AF23-((G$4-G$3)/Z23),"")</f>
        <v/>
      </c>
      <c r="K23" s="88">
        <f>IF(ISNUMBER(AG23),IF(AG23-((C$4-C$3)/V23)&lt;0,"",AG23-((C$4-C$3)/V23)),"")</f>
        <v>2.5931235842057285E-2</v>
      </c>
      <c r="L23" s="86">
        <f>IF(ISNUMBER(AH23),IF(AH23-((D$4-D$3)/W23)&lt;0,"",AH23-((D$4-D$3)/W23)),"")</f>
        <v>3.5894437675721209E-2</v>
      </c>
      <c r="M23" s="86">
        <f t="shared" si="3"/>
        <v>4.3429870643670682E-2</v>
      </c>
      <c r="N23" s="86" t="str">
        <f t="shared" si="3"/>
        <v/>
      </c>
      <c r="O23" s="89" t="str">
        <f t="shared" si="3"/>
        <v/>
      </c>
      <c r="P23" s="15"/>
      <c r="Q23" s="132"/>
      <c r="R23" s="132"/>
      <c r="S23" s="132"/>
      <c r="T23" s="16"/>
      <c r="V23" s="17">
        <v>1.0741208</v>
      </c>
      <c r="W23" s="18">
        <v>2.6408010599999998</v>
      </c>
      <c r="X23" s="18">
        <v>3.90691678</v>
      </c>
      <c r="Y23" s="18">
        <v>4.9208103899999998</v>
      </c>
      <c r="Z23" s="19">
        <v>6.0873401600000001</v>
      </c>
      <c r="AB23" s="74">
        <v>2.7819164042057289E-2</v>
      </c>
      <c r="AC23" s="79">
        <v>3.9357452575721208E-2</v>
      </c>
      <c r="AD23" s="79">
        <v>4.8183408043670682E-2</v>
      </c>
      <c r="AE23" s="79"/>
      <c r="AF23" s="61"/>
      <c r="AG23" s="79">
        <v>2.5931235842057285E-2</v>
      </c>
      <c r="AH23" s="79">
        <v>3.5894437675721209E-2</v>
      </c>
      <c r="AI23" s="79">
        <v>4.3429870643670682E-2</v>
      </c>
      <c r="AJ23" s="79"/>
      <c r="AK23" s="79"/>
    </row>
    <row r="24" spans="2:37" x14ac:dyDescent="0.35">
      <c r="B24" s="56" t="s">
        <v>25</v>
      </c>
      <c r="C24" s="124"/>
      <c r="D24" s="20" t="s">
        <v>23</v>
      </c>
      <c r="E24" s="124"/>
      <c r="F24" s="73">
        <f t="shared" si="2"/>
        <v>1.4385003826189279E-2</v>
      </c>
      <c r="G24" s="75">
        <f t="shared" si="2"/>
        <v>3.6546712612506228E-2</v>
      </c>
      <c r="H24" s="75">
        <f t="shared" si="2"/>
        <v>5.1938463384366688E-2</v>
      </c>
      <c r="I24" s="75">
        <f t="shared" si="2"/>
        <v>5.7956433253561659E-2</v>
      </c>
      <c r="J24" s="63">
        <f t="shared" si="2"/>
        <v>6.3811476423277669E-2</v>
      </c>
      <c r="K24" s="91">
        <f t="shared" si="3"/>
        <v>1.2787271926189279E-2</v>
      </c>
      <c r="L24" s="87">
        <f t="shared" si="3"/>
        <v>3.3122171812506228E-2</v>
      </c>
      <c r="M24" s="87">
        <f t="shared" si="3"/>
        <v>4.679524198436668E-2</v>
      </c>
      <c r="N24" s="87">
        <f t="shared" si="3"/>
        <v>5.1675325353561653E-2</v>
      </c>
      <c r="O24" s="92">
        <f t="shared" si="3"/>
        <v>5.6095951023277663E-2</v>
      </c>
      <c r="P24" s="33"/>
      <c r="Q24" s="133"/>
      <c r="R24" s="133"/>
      <c r="S24" s="133"/>
      <c r="T24" s="34"/>
      <c r="V24" s="27">
        <v>1.06649072</v>
      </c>
      <c r="W24" s="28">
        <v>2.6373209799999997</v>
      </c>
      <c r="X24" s="28">
        <v>3.8608107699999996</v>
      </c>
      <c r="Y24" s="28">
        <v>4.7863380199999996</v>
      </c>
      <c r="Z24" s="29">
        <v>5.7654233999999995</v>
      </c>
      <c r="AB24" s="73">
        <v>1.4385003826189279E-2</v>
      </c>
      <c r="AC24" s="75">
        <v>3.6546712612506228E-2</v>
      </c>
      <c r="AD24" s="75">
        <v>5.1938463384366688E-2</v>
      </c>
      <c r="AE24" s="75">
        <v>5.7956433253561659E-2</v>
      </c>
      <c r="AF24" s="63">
        <v>6.3811476423277669E-2</v>
      </c>
      <c r="AG24" s="75">
        <v>1.2787271926189279E-2</v>
      </c>
      <c r="AH24" s="75">
        <v>3.3122171812506228E-2</v>
      </c>
      <c r="AI24" s="75">
        <v>4.679524198436668E-2</v>
      </c>
      <c r="AJ24" s="75">
        <v>5.1675325353561653E-2</v>
      </c>
      <c r="AK24" s="75">
        <v>5.6095951023277663E-2</v>
      </c>
    </row>
    <row r="25" spans="2:37" x14ac:dyDescent="0.35">
      <c r="B25" s="54" t="s">
        <v>26</v>
      </c>
      <c r="C25" s="122"/>
      <c r="D25" s="11" t="s">
        <v>23</v>
      </c>
      <c r="E25" s="122"/>
      <c r="F25" s="72" t="str">
        <f t="shared" si="2"/>
        <v/>
      </c>
      <c r="G25" s="70">
        <f t="shared" si="2"/>
        <v>1.0157733694953069E-2</v>
      </c>
      <c r="H25" s="70">
        <f t="shared" si="2"/>
        <v>1.7078914030516288E-2</v>
      </c>
      <c r="I25" s="70" t="str">
        <f t="shared" si="2"/>
        <v/>
      </c>
      <c r="J25" s="62" t="str">
        <f t="shared" si="2"/>
        <v/>
      </c>
      <c r="K25" s="85" t="str">
        <f t="shared" si="3"/>
        <v/>
      </c>
      <c r="L25" s="67">
        <f t="shared" si="3"/>
        <v>7.2384871949530694E-3</v>
      </c>
      <c r="M25" s="67">
        <f t="shared" si="3"/>
        <v>1.3151352530516292E-2</v>
      </c>
      <c r="N25" s="67" t="str">
        <f t="shared" si="3"/>
        <v/>
      </c>
      <c r="O25" s="90" t="str">
        <f t="shared" si="3"/>
        <v/>
      </c>
      <c r="P25" s="24"/>
      <c r="Q25" s="25"/>
      <c r="R25" s="25"/>
      <c r="S25" s="25"/>
      <c r="T25" s="26"/>
      <c r="V25" s="17">
        <v>1.0996098399999998</v>
      </c>
      <c r="W25" s="18">
        <v>2.79800526</v>
      </c>
      <c r="X25" s="18">
        <v>4.2957257699999998</v>
      </c>
      <c r="Y25" s="18">
        <v>5.5471071099999998</v>
      </c>
      <c r="Z25" s="19">
        <v>7.0322650200000005</v>
      </c>
      <c r="AB25" s="72" t="s">
        <v>21</v>
      </c>
      <c r="AC25" s="70">
        <v>1.0157733694953069E-2</v>
      </c>
      <c r="AD25" s="70">
        <v>1.7078914030516288E-2</v>
      </c>
      <c r="AE25" s="70"/>
      <c r="AF25" s="62"/>
      <c r="AG25" s="70" t="s">
        <v>21</v>
      </c>
      <c r="AH25" s="70">
        <v>7.2384871949530694E-3</v>
      </c>
      <c r="AI25" s="70">
        <v>1.3151352530516292E-2</v>
      </c>
      <c r="AJ25" s="70"/>
      <c r="AK25" s="70"/>
    </row>
    <row r="26" spans="2:37" x14ac:dyDescent="0.35">
      <c r="B26" s="56" t="s">
        <v>27</v>
      </c>
      <c r="C26" s="124"/>
      <c r="D26" s="35" t="s">
        <v>23</v>
      </c>
      <c r="E26" s="124"/>
      <c r="F26" s="73" t="str">
        <f t="shared" si="2"/>
        <v/>
      </c>
      <c r="G26" s="75">
        <f t="shared" si="2"/>
        <v>1.1983410665334013E-2</v>
      </c>
      <c r="H26" s="75">
        <f t="shared" si="2"/>
        <v>2.0609423310661783E-2</v>
      </c>
      <c r="I26" s="75" t="str">
        <f t="shared" si="2"/>
        <v/>
      </c>
      <c r="J26" s="63">
        <f t="shared" si="2"/>
        <v>3.8548273866823565E-2</v>
      </c>
      <c r="K26" s="91" t="str">
        <f t="shared" si="3"/>
        <v/>
      </c>
      <c r="L26" s="87">
        <f t="shared" si="3"/>
        <v>9.0967551653340119E-3</v>
      </c>
      <c r="M26" s="87">
        <f t="shared" si="3"/>
        <v>1.6695054410661776E-2</v>
      </c>
      <c r="N26" s="87" t="str">
        <f t="shared" si="3"/>
        <v/>
      </c>
      <c r="O26" s="92">
        <f t="shared" si="3"/>
        <v>3.2258728166823562E-2</v>
      </c>
      <c r="P26" s="33"/>
      <c r="Q26" s="133"/>
      <c r="R26" s="133"/>
      <c r="S26" s="133"/>
      <c r="T26" s="34"/>
      <c r="V26" s="36">
        <v>1.0959612400000001</v>
      </c>
      <c r="W26" s="37">
        <v>2.7800110400000002</v>
      </c>
      <c r="X26" s="37">
        <v>4.2557482700000007</v>
      </c>
      <c r="Y26" s="37">
        <v>5.4659683000000001</v>
      </c>
      <c r="Z26" s="38">
        <v>6.8624176300000004</v>
      </c>
      <c r="AB26" s="73"/>
      <c r="AC26" s="75">
        <v>1.1983410665334013E-2</v>
      </c>
      <c r="AD26" s="75">
        <v>2.0609423310661783E-2</v>
      </c>
      <c r="AE26" s="75"/>
      <c r="AF26" s="63">
        <v>3.8548273866823565E-2</v>
      </c>
      <c r="AG26" s="75"/>
      <c r="AH26" s="75">
        <v>9.0967551653340119E-3</v>
      </c>
      <c r="AI26" s="75">
        <v>1.6695054410661776E-2</v>
      </c>
      <c r="AJ26" s="75"/>
      <c r="AK26" s="75">
        <v>3.2258728166823562E-2</v>
      </c>
    </row>
    <row r="27" spans="2:37" x14ac:dyDescent="0.35">
      <c r="C27" s="122"/>
      <c r="D27" s="122"/>
      <c r="E27" s="122"/>
      <c r="F27" s="59"/>
      <c r="G27" s="59"/>
      <c r="H27" s="59"/>
      <c r="I27" s="59"/>
      <c r="J27" s="59"/>
      <c r="K27" s="67"/>
      <c r="L27" s="67"/>
      <c r="M27" s="67"/>
      <c r="N27" s="67"/>
      <c r="O27" s="67"/>
      <c r="P27" s="126"/>
      <c r="Q27" s="126"/>
      <c r="R27" s="126"/>
      <c r="S27" s="126"/>
      <c r="T27" s="134"/>
      <c r="V27" s="40"/>
      <c r="W27" s="40"/>
      <c r="X27" s="40"/>
      <c r="Y27" s="40"/>
      <c r="Z27" s="40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</row>
    <row r="28" spans="2:37" ht="15.5" x14ac:dyDescent="0.35">
      <c r="B28" s="121" t="s">
        <v>28</v>
      </c>
      <c r="C28" s="122"/>
      <c r="D28" s="122"/>
      <c r="E28" s="122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V28" s="40"/>
      <c r="W28" s="40"/>
      <c r="X28" s="40"/>
      <c r="Y28" s="40"/>
      <c r="Z28" s="40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</row>
    <row r="29" spans="2:37" x14ac:dyDescent="0.35">
      <c r="B29" s="84" t="s">
        <v>5</v>
      </c>
      <c r="C29" s="83" t="s">
        <v>6</v>
      </c>
      <c r="D29" s="83" t="s">
        <v>7</v>
      </c>
      <c r="E29" s="83" t="s">
        <v>8</v>
      </c>
      <c r="F29" s="82" t="s">
        <v>9</v>
      </c>
      <c r="G29" s="81" t="s">
        <v>10</v>
      </c>
      <c r="H29" s="81" t="s">
        <v>11</v>
      </c>
      <c r="I29" s="81" t="s">
        <v>12</v>
      </c>
      <c r="J29" s="80" t="s">
        <v>13</v>
      </c>
      <c r="K29" s="82" t="s">
        <v>9</v>
      </c>
      <c r="L29" s="81" t="s">
        <v>10</v>
      </c>
      <c r="M29" s="81" t="s">
        <v>11</v>
      </c>
      <c r="N29" s="81" t="s">
        <v>12</v>
      </c>
      <c r="O29" s="80" t="s">
        <v>13</v>
      </c>
      <c r="P29" s="69" t="s">
        <v>14</v>
      </c>
      <c r="Q29" s="57" t="s">
        <v>15</v>
      </c>
      <c r="R29" s="57" t="s">
        <v>16</v>
      </c>
      <c r="S29" s="57" t="s">
        <v>415</v>
      </c>
      <c r="T29" s="57" t="s">
        <v>18</v>
      </c>
      <c r="V29" s="109" t="s">
        <v>9</v>
      </c>
      <c r="W29" s="105" t="s">
        <v>10</v>
      </c>
      <c r="X29" s="105" t="s">
        <v>11</v>
      </c>
      <c r="Y29" s="105" t="s">
        <v>12</v>
      </c>
      <c r="Z29" s="110" t="s">
        <v>13</v>
      </c>
      <c r="AB29" s="82" t="s">
        <v>9</v>
      </c>
      <c r="AC29" s="81" t="s">
        <v>10</v>
      </c>
      <c r="AD29" s="81" t="s">
        <v>11</v>
      </c>
      <c r="AE29" s="81" t="s">
        <v>12</v>
      </c>
      <c r="AF29" s="80" t="s">
        <v>13</v>
      </c>
      <c r="AG29" s="82" t="s">
        <v>9</v>
      </c>
      <c r="AH29" s="81" t="s">
        <v>10</v>
      </c>
      <c r="AI29" s="81" t="s">
        <v>11</v>
      </c>
      <c r="AJ29" s="81" t="s">
        <v>12</v>
      </c>
      <c r="AK29" s="80" t="s">
        <v>13</v>
      </c>
    </row>
    <row r="30" spans="2:37" x14ac:dyDescent="0.35">
      <c r="B30" s="78" t="s">
        <v>416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6"/>
      <c r="P30" s="78"/>
      <c r="Q30" s="77"/>
      <c r="R30" s="77"/>
      <c r="S30" s="77"/>
      <c r="T30" s="76"/>
      <c r="V30" s="111"/>
      <c r="W30" s="106"/>
      <c r="X30" s="106"/>
      <c r="Y30" s="106"/>
      <c r="Z30" s="112"/>
      <c r="AB30" s="77"/>
      <c r="AC30" s="77"/>
      <c r="AD30" s="77"/>
      <c r="AE30" s="77"/>
      <c r="AF30" s="77"/>
      <c r="AG30" s="77"/>
      <c r="AH30" s="77"/>
      <c r="AI30" s="77"/>
      <c r="AJ30" s="77"/>
      <c r="AK30" s="77"/>
    </row>
    <row r="31" spans="2:37" x14ac:dyDescent="0.35">
      <c r="B31" s="55" t="s">
        <v>29</v>
      </c>
      <c r="C31" s="52" t="s">
        <v>30</v>
      </c>
      <c r="D31" s="52" t="s">
        <v>31</v>
      </c>
      <c r="E31" s="52" t="s">
        <v>417</v>
      </c>
      <c r="F31" s="88" t="str">
        <f>IF(ISNUMBER(AB31),AB31-((C$4-C$3)/V31),"")</f>
        <v/>
      </c>
      <c r="G31" s="59">
        <f>IF(ISNUMBER(AC31),AC31-((D$4-D$3)/W31),"")</f>
        <v>4.7650219797250367E-3</v>
      </c>
      <c r="H31" s="70">
        <f>IF(ISNUMBER(AD31),AD31-((E$4-E$3)/X31),"")</f>
        <v>1.006529366840072E-2</v>
      </c>
      <c r="I31" s="70">
        <f>IF(ISNUMBER(AE31),AE31-((F$4-F$3)/Y31),"")</f>
        <v>1.3146215906002895E-2</v>
      </c>
      <c r="J31" s="62">
        <f>IF(ISNUMBER(AF31),AF31-((G$4-G$3)/Z31),"")</f>
        <v>1.6206054962981626E-2</v>
      </c>
      <c r="K31" s="72" t="str">
        <f>IF(ISNUMBER(AG31),IF(AG31-((C$4-C$3)/V31)&lt;0,"",AG31-((C$4-C$3)/V31)),"")</f>
        <v/>
      </c>
      <c r="L31" s="59">
        <f>IF(ISNUMBER(AH31),IF(AH31-((D$4-D$3)/W31)&lt;0,"",AH31-((D$4-D$3)/W31)),"")</f>
        <v>1.6165740797250347E-3</v>
      </c>
      <c r="M31" s="70">
        <f>IF(ISNUMBER(AI31),IF(AI31-((E$4-E$3)/X31)&lt;0,"",AI31-((E$4-E$3)/X31)),"")</f>
        <v>5.8986167684007195E-3</v>
      </c>
      <c r="N31" s="70">
        <f>IF(ISNUMBER(AJ31),IF(AJ31-((F$4-F$3)/Y31)&lt;0,"",AJ31-((F$4-F$3)/Y31)),"")</f>
        <v>8.0872692060028929E-3</v>
      </c>
      <c r="O31" s="62">
        <f>IF(ISNUMBER(AK31),IF(AK31-((G$4-G$3)/Z31)&lt;0,"",AK31-((G$4-G$3)/Z31)),"")</f>
        <v>9.8555892629816275E-3</v>
      </c>
      <c r="P31" s="54" t="s">
        <v>418</v>
      </c>
      <c r="Q31" s="52" t="s">
        <v>419</v>
      </c>
      <c r="R31" s="93" t="s">
        <v>32</v>
      </c>
      <c r="S31" s="70">
        <v>1.5061150000000001E-2</v>
      </c>
      <c r="T31" s="62">
        <f>IF(S31="","",H31-S31)</f>
        <v>-4.9958563315992809E-3</v>
      </c>
      <c r="V31" s="113">
        <v>1.11043102</v>
      </c>
      <c r="W31" s="71">
        <v>2.8453996699999999</v>
      </c>
      <c r="X31" s="71">
        <v>4.3812186899999999</v>
      </c>
      <c r="Y31" s="71">
        <v>5.7088300900000002</v>
      </c>
      <c r="Z31" s="114">
        <v>7.3675040600000008</v>
      </c>
      <c r="AB31" s="74" t="s">
        <v>21</v>
      </c>
      <c r="AC31" s="70">
        <v>4.7650219797250367E-3</v>
      </c>
      <c r="AD31" s="70">
        <v>1.006529366840072E-2</v>
      </c>
      <c r="AE31" s="70">
        <v>1.3146215906002895E-2</v>
      </c>
      <c r="AF31" s="62">
        <v>1.6206054962981626E-2</v>
      </c>
      <c r="AG31" s="70" t="s">
        <v>21</v>
      </c>
      <c r="AH31" s="70">
        <v>1.6165740797250347E-3</v>
      </c>
      <c r="AI31" s="70">
        <v>5.8986167684007195E-3</v>
      </c>
      <c r="AJ31" s="70">
        <v>8.0872692060028929E-3</v>
      </c>
      <c r="AK31" s="70">
        <v>9.8555892629816275E-3</v>
      </c>
    </row>
    <row r="32" spans="2:37" x14ac:dyDescent="0.35">
      <c r="B32" s="54" t="s">
        <v>29</v>
      </c>
      <c r="C32" s="52" t="s">
        <v>33</v>
      </c>
      <c r="D32" s="52" t="s">
        <v>31</v>
      </c>
      <c r="E32" s="52" t="s">
        <v>34</v>
      </c>
      <c r="F32" s="72" t="str">
        <f t="shared" ref="F32:J89" si="4">IF(ISNUMBER(AB32),AB32-((C$4-C$3)/V32),"")</f>
        <v/>
      </c>
      <c r="G32" s="59">
        <f t="shared" si="4"/>
        <v>6.4347932690579498E-3</v>
      </c>
      <c r="H32" s="70">
        <f t="shared" si="4"/>
        <v>1.2953172297367997E-2</v>
      </c>
      <c r="I32" s="70">
        <f t="shared" si="4"/>
        <v>1.6833643168096147E-2</v>
      </c>
      <c r="J32" s="62">
        <f t="shared" si="4"/>
        <v>2.0267156658137202E-2</v>
      </c>
      <c r="K32" s="72" t="str">
        <f t="shared" ref="K32:O89" si="5">IF(ISNUMBER(AG32),IF(AG32-((C$4-C$3)/V32)&lt;0,"",AG32-((C$4-C$3)/V32)),"")</f>
        <v/>
      </c>
      <c r="L32" s="59">
        <f t="shared" si="5"/>
        <v>3.3939416690579507E-3</v>
      </c>
      <c r="M32" s="70">
        <f t="shared" si="5"/>
        <v>8.9120218973679985E-3</v>
      </c>
      <c r="N32" s="70">
        <f t="shared" si="5"/>
        <v>1.1899410168096151E-2</v>
      </c>
      <c r="O32" s="62">
        <f t="shared" si="5"/>
        <v>1.4056293558137204E-2</v>
      </c>
      <c r="P32" s="54" t="s">
        <v>21</v>
      </c>
      <c r="Q32" s="52" t="s">
        <v>21</v>
      </c>
      <c r="R32" s="93" t="s">
        <v>21</v>
      </c>
      <c r="S32" s="70">
        <v>0</v>
      </c>
      <c r="T32" s="62">
        <f t="shared" ref="T32:T110" si="6">IF(S32="","",H32-S32)</f>
        <v>1.2953172297367997E-2</v>
      </c>
      <c r="V32" s="113">
        <v>1.1097879399999999</v>
      </c>
      <c r="W32" s="71">
        <v>2.8336119200000001</v>
      </c>
      <c r="X32" s="71">
        <v>4.3367113999999995</v>
      </c>
      <c r="Y32" s="71">
        <v>5.6083161500000003</v>
      </c>
      <c r="Z32" s="114">
        <v>7.1581412600000007</v>
      </c>
      <c r="AB32" s="72" t="s">
        <v>21</v>
      </c>
      <c r="AC32" s="70">
        <v>6.4347932690579498E-3</v>
      </c>
      <c r="AD32" s="70">
        <v>1.2953172297367997E-2</v>
      </c>
      <c r="AE32" s="70">
        <v>1.6833643168096147E-2</v>
      </c>
      <c r="AF32" s="62">
        <v>2.0267156658137202E-2</v>
      </c>
      <c r="AG32" s="70" t="s">
        <v>21</v>
      </c>
      <c r="AH32" s="70">
        <v>3.3939416690579507E-3</v>
      </c>
      <c r="AI32" s="70">
        <v>8.9120218973679985E-3</v>
      </c>
      <c r="AJ32" s="70">
        <v>1.1899410168096151E-2</v>
      </c>
      <c r="AK32" s="70">
        <v>1.4056293558137204E-2</v>
      </c>
    </row>
    <row r="33" spans="2:37" x14ac:dyDescent="0.35">
      <c r="B33" s="56" t="s">
        <v>29</v>
      </c>
      <c r="C33" s="66" t="s">
        <v>35</v>
      </c>
      <c r="D33" s="66" t="s">
        <v>31</v>
      </c>
      <c r="E33" s="66" t="s">
        <v>338</v>
      </c>
      <c r="F33" s="73" t="str">
        <f t="shared" si="4"/>
        <v/>
      </c>
      <c r="G33" s="75">
        <f t="shared" si="4"/>
        <v>8.7256570889818683E-3</v>
      </c>
      <c r="H33" s="75">
        <f t="shared" si="4"/>
        <v>1.6747747579868934E-2</v>
      </c>
      <c r="I33" s="75">
        <f t="shared" si="4"/>
        <v>2.1763112609833872E-2</v>
      </c>
      <c r="J33" s="63">
        <f t="shared" si="4"/>
        <v>2.6299344885056374E-2</v>
      </c>
      <c r="K33" s="73" t="str">
        <f t="shared" si="5"/>
        <v/>
      </c>
      <c r="L33" s="75">
        <f t="shared" si="5"/>
        <v>5.7792673889818695E-3</v>
      </c>
      <c r="M33" s="75">
        <f t="shared" si="5"/>
        <v>1.2791604979868934E-2</v>
      </c>
      <c r="N33" s="75">
        <f t="shared" si="5"/>
        <v>1.6888943309833874E-2</v>
      </c>
      <c r="O33" s="63">
        <f t="shared" si="5"/>
        <v>2.0137525085056375E-2</v>
      </c>
      <c r="P33" s="54" t="s">
        <v>21</v>
      </c>
      <c r="Q33" s="52" t="s">
        <v>21</v>
      </c>
      <c r="R33" s="93" t="s">
        <v>21</v>
      </c>
      <c r="S33" s="70">
        <v>0</v>
      </c>
      <c r="T33" s="62">
        <f t="shared" si="6"/>
        <v>1.6747747579868934E-2</v>
      </c>
      <c r="V33" s="115">
        <v>1.10963246</v>
      </c>
      <c r="W33" s="107">
        <v>2.8294203699999998</v>
      </c>
      <c r="X33" s="107">
        <v>4.3208325600000004</v>
      </c>
      <c r="Y33" s="107">
        <v>5.5720105699999998</v>
      </c>
      <c r="Z33" s="116">
        <v>7.07750857</v>
      </c>
      <c r="AB33" s="73" t="s">
        <v>21</v>
      </c>
      <c r="AC33" s="75">
        <v>8.7256570889818683E-3</v>
      </c>
      <c r="AD33" s="75">
        <v>1.6747747579868934E-2</v>
      </c>
      <c r="AE33" s="75">
        <v>2.1763112609833872E-2</v>
      </c>
      <c r="AF33" s="63">
        <v>2.6299344885056374E-2</v>
      </c>
      <c r="AG33" s="70" t="s">
        <v>21</v>
      </c>
      <c r="AH33" s="70">
        <v>5.7792673889818695E-3</v>
      </c>
      <c r="AI33" s="70">
        <v>1.2791604979868934E-2</v>
      </c>
      <c r="AJ33" s="70">
        <v>1.6888943309833874E-2</v>
      </c>
      <c r="AK33" s="70">
        <v>2.0137525085056375E-2</v>
      </c>
    </row>
    <row r="34" spans="2:37" x14ac:dyDescent="0.35">
      <c r="B34" s="54" t="s">
        <v>37</v>
      </c>
      <c r="C34" s="52" t="s">
        <v>30</v>
      </c>
      <c r="D34" s="52" t="s">
        <v>31</v>
      </c>
      <c r="E34" s="52" t="s">
        <v>338</v>
      </c>
      <c r="F34" s="72" t="str">
        <f t="shared" si="4"/>
        <v/>
      </c>
      <c r="G34" s="59">
        <f t="shared" si="4"/>
        <v>5.6180672759115653E-3</v>
      </c>
      <c r="H34" s="70">
        <f t="shared" si="4"/>
        <v>1.0633612706321956E-2</v>
      </c>
      <c r="I34" s="70">
        <f t="shared" si="4"/>
        <v>1.3746342399817375E-2</v>
      </c>
      <c r="J34" s="62">
        <f t="shared" si="4"/>
        <v>1.6752130066103533E-2</v>
      </c>
      <c r="K34" s="72" t="str">
        <f t="shared" si="5"/>
        <v/>
      </c>
      <c r="L34" s="59">
        <f t="shared" si="5"/>
        <v>2.5311980759115658E-3</v>
      </c>
      <c r="M34" s="70">
        <f t="shared" si="5"/>
        <v>6.5006268063219595E-3</v>
      </c>
      <c r="N34" s="70">
        <f t="shared" si="5"/>
        <v>8.7168339998173801E-3</v>
      </c>
      <c r="O34" s="62">
        <f t="shared" si="5"/>
        <v>1.0428224466103534E-2</v>
      </c>
      <c r="P34" s="55" t="s">
        <v>21</v>
      </c>
      <c r="Q34" s="65" t="s">
        <v>21</v>
      </c>
      <c r="R34" s="99" t="s">
        <v>21</v>
      </c>
      <c r="S34" s="79">
        <v>0</v>
      </c>
      <c r="T34" s="61">
        <f t="shared" si="6"/>
        <v>1.0633612706321956E-2</v>
      </c>
      <c r="V34" s="113">
        <v>1.1095418399999999</v>
      </c>
      <c r="W34" s="71">
        <v>2.8383096800000001</v>
      </c>
      <c r="X34" s="71">
        <v>4.3661945500000003</v>
      </c>
      <c r="Y34" s="71">
        <v>5.6843327700000001</v>
      </c>
      <c r="Z34" s="114">
        <v>7.3274710399999998</v>
      </c>
      <c r="AB34" s="72" t="s">
        <v>21</v>
      </c>
      <c r="AC34" s="70">
        <v>5.6180672759115653E-3</v>
      </c>
      <c r="AD34" s="70">
        <v>1.0633612706321956E-2</v>
      </c>
      <c r="AE34" s="70">
        <v>1.3746342399817375E-2</v>
      </c>
      <c r="AF34" s="62">
        <v>1.6752130066103533E-2</v>
      </c>
      <c r="AG34" s="70" t="s">
        <v>21</v>
      </c>
      <c r="AH34" s="70">
        <v>2.5311980759115658E-3</v>
      </c>
      <c r="AI34" s="70">
        <v>6.5006268063219595E-3</v>
      </c>
      <c r="AJ34" s="70">
        <v>8.7168339998173801E-3</v>
      </c>
      <c r="AK34" s="70">
        <v>1.0428224466103534E-2</v>
      </c>
    </row>
    <row r="35" spans="2:37" x14ac:dyDescent="0.35">
      <c r="B35" s="54" t="s">
        <v>37</v>
      </c>
      <c r="C35" s="52" t="s">
        <v>33</v>
      </c>
      <c r="D35" s="52" t="s">
        <v>31</v>
      </c>
      <c r="E35" s="52" t="s">
        <v>38</v>
      </c>
      <c r="F35" s="72" t="str">
        <f t="shared" si="4"/>
        <v/>
      </c>
      <c r="G35" s="59">
        <f t="shared" si="4"/>
        <v>6.5463191448089323E-3</v>
      </c>
      <c r="H35" s="70">
        <f t="shared" si="4"/>
        <v>1.2987747602799915E-2</v>
      </c>
      <c r="I35" s="70">
        <f t="shared" si="4"/>
        <v>1.6772135306500256E-2</v>
      </c>
      <c r="J35" s="62">
        <f t="shared" si="4"/>
        <v>2.0311261195768735E-2</v>
      </c>
      <c r="K35" s="72" t="str">
        <f t="shared" si="5"/>
        <v/>
      </c>
      <c r="L35" s="59">
        <f t="shared" si="5"/>
        <v>3.5116422448089307E-3</v>
      </c>
      <c r="M35" s="70">
        <f t="shared" si="5"/>
        <v>8.9478744027999164E-3</v>
      </c>
      <c r="N35" s="70">
        <f t="shared" si="5"/>
        <v>1.1836954106500257E-2</v>
      </c>
      <c r="O35" s="62">
        <f t="shared" si="5"/>
        <v>1.4099888895768735E-2</v>
      </c>
      <c r="P35" s="54" t="s">
        <v>21</v>
      </c>
      <c r="Q35" s="52" t="s">
        <v>21</v>
      </c>
      <c r="R35" s="93" t="s">
        <v>21</v>
      </c>
      <c r="S35" s="70">
        <v>0</v>
      </c>
      <c r="T35" s="62">
        <f t="shared" si="6"/>
        <v>1.2987747602799915E-2</v>
      </c>
      <c r="V35" s="113">
        <v>1.1089810900000001</v>
      </c>
      <c r="W35" s="71">
        <v>2.8313806800000001</v>
      </c>
      <c r="X35" s="71">
        <v>4.33379973</v>
      </c>
      <c r="Y35" s="71">
        <v>5.6060647599999998</v>
      </c>
      <c r="Z35" s="114">
        <v>7.15558184</v>
      </c>
      <c r="AB35" s="72" t="s">
        <v>21</v>
      </c>
      <c r="AC35" s="70">
        <v>6.5463191448089323E-3</v>
      </c>
      <c r="AD35" s="70">
        <v>1.2987747602799915E-2</v>
      </c>
      <c r="AE35" s="70">
        <v>1.6772135306500256E-2</v>
      </c>
      <c r="AF35" s="62">
        <v>2.0311261195768735E-2</v>
      </c>
      <c r="AG35" s="70" t="s">
        <v>21</v>
      </c>
      <c r="AH35" s="70">
        <v>3.5116422448089307E-3</v>
      </c>
      <c r="AI35" s="70">
        <v>8.9478744027999164E-3</v>
      </c>
      <c r="AJ35" s="70">
        <v>1.1836954106500257E-2</v>
      </c>
      <c r="AK35" s="70">
        <v>1.4099888895768735E-2</v>
      </c>
    </row>
    <row r="36" spans="2:37" x14ac:dyDescent="0.35">
      <c r="B36" s="56" t="s">
        <v>37</v>
      </c>
      <c r="C36" s="66" t="s">
        <v>35</v>
      </c>
      <c r="D36" s="66" t="s">
        <v>31</v>
      </c>
      <c r="E36" s="66" t="s">
        <v>39</v>
      </c>
      <c r="F36" s="73" t="str">
        <f t="shared" si="4"/>
        <v/>
      </c>
      <c r="G36" s="75">
        <f t="shared" si="4"/>
        <v>8.8812238345245646E-3</v>
      </c>
      <c r="H36" s="75">
        <f t="shared" si="4"/>
        <v>1.6831633669181324E-2</v>
      </c>
      <c r="I36" s="75">
        <f t="shared" si="4"/>
        <v>2.1751491522060361E-2</v>
      </c>
      <c r="J36" s="63">
        <f t="shared" si="4"/>
        <v>2.6388646194416214E-2</v>
      </c>
      <c r="K36" s="73" t="str">
        <f t="shared" si="5"/>
        <v/>
      </c>
      <c r="L36" s="75">
        <f t="shared" si="5"/>
        <v>5.9406568345245631E-3</v>
      </c>
      <c r="M36" s="75">
        <f t="shared" si="5"/>
        <v>1.2877753269181327E-2</v>
      </c>
      <c r="N36" s="75">
        <f t="shared" si="5"/>
        <v>1.6878748022060359E-2</v>
      </c>
      <c r="O36" s="63">
        <f t="shared" si="5"/>
        <v>2.0226973594416213E-2</v>
      </c>
      <c r="P36" s="56" t="s">
        <v>21</v>
      </c>
      <c r="Q36" s="66" t="s">
        <v>21</v>
      </c>
      <c r="R36" s="95" t="s">
        <v>21</v>
      </c>
      <c r="S36" s="75">
        <v>0</v>
      </c>
      <c r="T36" s="63">
        <f t="shared" si="6"/>
        <v>1.6831633669181324E-2</v>
      </c>
      <c r="V36" s="115">
        <v>1.1095149</v>
      </c>
      <c r="W36" s="107">
        <v>2.82844739</v>
      </c>
      <c r="X36" s="107">
        <v>4.3188688099999997</v>
      </c>
      <c r="Y36" s="107">
        <v>5.5699351500000001</v>
      </c>
      <c r="Z36" s="116">
        <v>7.0742697300000001</v>
      </c>
      <c r="AB36" s="73" t="s">
        <v>21</v>
      </c>
      <c r="AC36" s="75">
        <v>8.8812238345245646E-3</v>
      </c>
      <c r="AD36" s="75">
        <v>1.6831633669181324E-2</v>
      </c>
      <c r="AE36" s="75">
        <v>2.1751491522060361E-2</v>
      </c>
      <c r="AF36" s="63">
        <v>2.6388646194416214E-2</v>
      </c>
      <c r="AG36" s="75" t="s">
        <v>21</v>
      </c>
      <c r="AH36" s="75">
        <v>5.9406568345245631E-3</v>
      </c>
      <c r="AI36" s="75">
        <v>1.2877753269181327E-2</v>
      </c>
      <c r="AJ36" s="75">
        <v>1.6878748022060359E-2</v>
      </c>
      <c r="AK36" s="75">
        <v>2.0226973594416213E-2</v>
      </c>
    </row>
    <row r="37" spans="2:37" x14ac:dyDescent="0.35">
      <c r="B37" s="54" t="s">
        <v>40</v>
      </c>
      <c r="C37" s="52" t="s">
        <v>30</v>
      </c>
      <c r="D37" s="52" t="s">
        <v>31</v>
      </c>
      <c r="E37" s="52" t="s">
        <v>21</v>
      </c>
      <c r="F37" s="72" t="str">
        <f t="shared" si="4"/>
        <v/>
      </c>
      <c r="G37" s="59">
        <f t="shared" si="4"/>
        <v>5.6944760553264079E-3</v>
      </c>
      <c r="H37" s="70">
        <f t="shared" si="4"/>
        <v>1.0980139647695196E-2</v>
      </c>
      <c r="I37" s="70">
        <f t="shared" si="4"/>
        <v>1.447720772322348E-2</v>
      </c>
      <c r="J37" s="62">
        <f t="shared" si="4"/>
        <v>1.7967940324651009E-2</v>
      </c>
      <c r="K37" s="72" t="str">
        <f t="shared" si="5"/>
        <v/>
      </c>
      <c r="L37" s="59">
        <f t="shared" si="5"/>
        <v>2.612649555326408E-3</v>
      </c>
      <c r="M37" s="70">
        <f t="shared" si="5"/>
        <v>6.8642486476951986E-3</v>
      </c>
      <c r="N37" s="70">
        <f t="shared" si="5"/>
        <v>9.4764029232234839E-3</v>
      </c>
      <c r="O37" s="62">
        <f t="shared" si="5"/>
        <v>1.1690482024651009E-2</v>
      </c>
      <c r="P37" s="54" t="s">
        <v>21</v>
      </c>
      <c r="Q37" s="52" t="s">
        <v>21</v>
      </c>
      <c r="R37" s="93" t="s">
        <v>21</v>
      </c>
      <c r="S37" s="70">
        <v>0</v>
      </c>
      <c r="T37" s="62">
        <f t="shared" si="6"/>
        <v>1.0980139647695196E-2</v>
      </c>
      <c r="V37" s="113">
        <v>1.10884972</v>
      </c>
      <c r="W37" s="71">
        <v>2.8365230599999998</v>
      </c>
      <c r="X37" s="71">
        <v>4.3607806599999996</v>
      </c>
      <c r="Y37" s="71">
        <v>5.6684513499999998</v>
      </c>
      <c r="Z37" s="114">
        <v>7.2812855800000005</v>
      </c>
      <c r="AB37" s="72" t="s">
        <v>21</v>
      </c>
      <c r="AC37" s="70">
        <v>5.6944760553264079E-3</v>
      </c>
      <c r="AD37" s="70">
        <v>1.0980139647695196E-2</v>
      </c>
      <c r="AE37" s="70">
        <v>1.447720772322348E-2</v>
      </c>
      <c r="AF37" s="62">
        <v>1.7967940324651009E-2</v>
      </c>
      <c r="AG37" s="70" t="s">
        <v>21</v>
      </c>
      <c r="AH37" s="70">
        <v>2.612649555326408E-3</v>
      </c>
      <c r="AI37" s="70">
        <v>6.8642486476951986E-3</v>
      </c>
      <c r="AJ37" s="70">
        <v>9.4764029232234839E-3</v>
      </c>
      <c r="AK37" s="70">
        <v>1.1690482024651009E-2</v>
      </c>
    </row>
    <row r="38" spans="2:37" x14ac:dyDescent="0.35">
      <c r="B38" s="54" t="s">
        <v>40</v>
      </c>
      <c r="C38" s="52" t="s">
        <v>33</v>
      </c>
      <c r="D38" s="52" t="s">
        <v>31</v>
      </c>
      <c r="E38" s="52" t="s">
        <v>41</v>
      </c>
      <c r="F38" s="72" t="str">
        <f t="shared" si="4"/>
        <v/>
      </c>
      <c r="G38" s="59">
        <f t="shared" si="4"/>
        <v>7.3263267526221445E-3</v>
      </c>
      <c r="H38" s="70">
        <f t="shared" si="4"/>
        <v>1.4274065545368525E-2</v>
      </c>
      <c r="I38" s="70">
        <f t="shared" si="4"/>
        <v>1.8582592436990956E-2</v>
      </c>
      <c r="J38" s="62">
        <f t="shared" si="4"/>
        <v>2.247375217048235E-2</v>
      </c>
      <c r="K38" s="72" t="str">
        <f t="shared" si="5"/>
        <v/>
      </c>
      <c r="L38" s="59">
        <f t="shared" si="5"/>
        <v>4.3254772526221449E-3</v>
      </c>
      <c r="M38" s="70">
        <f t="shared" si="5"/>
        <v>1.0264023345368523E-2</v>
      </c>
      <c r="N38" s="70">
        <f t="shared" si="5"/>
        <v>1.3670603036990954E-2</v>
      </c>
      <c r="O38" s="62">
        <f t="shared" si="5"/>
        <v>1.6289206670482351E-2</v>
      </c>
      <c r="P38" s="54" t="s">
        <v>420</v>
      </c>
      <c r="Q38" s="52" t="s">
        <v>421</v>
      </c>
      <c r="R38" s="93">
        <v>47729</v>
      </c>
      <c r="S38" s="70">
        <v>1.1991209999999999E-2</v>
      </c>
      <c r="T38" s="62">
        <f t="shared" si="6"/>
        <v>2.2828555453685267E-3</v>
      </c>
      <c r="V38" s="113">
        <v>1.1083197899999999</v>
      </c>
      <c r="W38" s="71">
        <v>2.8252333699999999</v>
      </c>
      <c r="X38" s="71">
        <v>4.3131804099999993</v>
      </c>
      <c r="Y38" s="71">
        <v>5.5590164699999995</v>
      </c>
      <c r="Z38" s="114">
        <v>7.0538344799999999</v>
      </c>
      <c r="AB38" s="72" t="s">
        <v>21</v>
      </c>
      <c r="AC38" s="70">
        <v>7.3263267526221445E-3</v>
      </c>
      <c r="AD38" s="70">
        <v>1.4274065545368525E-2</v>
      </c>
      <c r="AE38" s="70">
        <v>1.8582592436990956E-2</v>
      </c>
      <c r="AF38" s="62">
        <v>2.247375217048235E-2</v>
      </c>
      <c r="AG38" s="70" t="s">
        <v>21</v>
      </c>
      <c r="AH38" s="70">
        <v>4.3254772526221449E-3</v>
      </c>
      <c r="AI38" s="70">
        <v>1.0264023345368523E-2</v>
      </c>
      <c r="AJ38" s="70">
        <v>1.3670603036990954E-2</v>
      </c>
      <c r="AK38" s="70">
        <v>1.6289206670482351E-2</v>
      </c>
    </row>
    <row r="39" spans="2:37" x14ac:dyDescent="0.35">
      <c r="B39" s="56" t="s">
        <v>40</v>
      </c>
      <c r="C39" s="66" t="s">
        <v>35</v>
      </c>
      <c r="D39" s="66" t="s">
        <v>31</v>
      </c>
      <c r="E39" s="66" t="s">
        <v>21</v>
      </c>
      <c r="F39" s="73" t="str">
        <f t="shared" si="4"/>
        <v/>
      </c>
      <c r="G39" s="75">
        <f t="shared" si="4"/>
        <v>9.7928544906001995E-3</v>
      </c>
      <c r="H39" s="75">
        <f t="shared" si="4"/>
        <v>1.8470706160054653E-2</v>
      </c>
      <c r="I39" s="75">
        <f t="shared" si="4"/>
        <v>2.4227884802826293E-2</v>
      </c>
      <c r="J39" s="63">
        <f t="shared" si="4"/>
        <v>2.938615043756387E-2</v>
      </c>
      <c r="K39" s="73" t="str">
        <f t="shared" si="5"/>
        <v/>
      </c>
      <c r="L39" s="75">
        <f t="shared" si="5"/>
        <v>6.8733764906001998E-3</v>
      </c>
      <c r="M39" s="75">
        <f t="shared" si="5"/>
        <v>1.4525590460054656E-2</v>
      </c>
      <c r="N39" s="75">
        <f t="shared" si="5"/>
        <v>1.9343960502826295E-2</v>
      </c>
      <c r="O39" s="63">
        <f t="shared" si="5"/>
        <v>2.3205034437563873E-2</v>
      </c>
      <c r="P39" s="54" t="s">
        <v>21</v>
      </c>
      <c r="Q39" s="52" t="s">
        <v>21</v>
      </c>
      <c r="R39" s="93" t="s">
        <v>21</v>
      </c>
      <c r="S39" s="70"/>
      <c r="T39" s="62" t="str">
        <f t="shared" si="6"/>
        <v/>
      </c>
      <c r="V39" s="115">
        <v>1.1090115899999999</v>
      </c>
      <c r="W39" s="107">
        <v>2.82324091</v>
      </c>
      <c r="X39" s="107">
        <v>4.2998083200000004</v>
      </c>
      <c r="Y39" s="107">
        <v>5.5244038900000003</v>
      </c>
      <c r="Z39" s="116">
        <v>6.9735812699999995</v>
      </c>
      <c r="AB39" s="73" t="s">
        <v>21</v>
      </c>
      <c r="AC39" s="75">
        <v>9.7928544906001995E-3</v>
      </c>
      <c r="AD39" s="75">
        <v>1.8470706160054653E-2</v>
      </c>
      <c r="AE39" s="75">
        <v>2.4227884802826293E-2</v>
      </c>
      <c r="AF39" s="63">
        <v>2.938615043756387E-2</v>
      </c>
      <c r="AG39" s="70" t="s">
        <v>21</v>
      </c>
      <c r="AH39" s="70">
        <v>6.8733764906001998E-3</v>
      </c>
      <c r="AI39" s="70">
        <v>1.4525590460054656E-2</v>
      </c>
      <c r="AJ39" s="70">
        <v>1.9343960502826295E-2</v>
      </c>
      <c r="AK39" s="70">
        <v>2.3205034437563873E-2</v>
      </c>
    </row>
    <row r="40" spans="2:37" x14ac:dyDescent="0.35">
      <c r="B40" s="78" t="s">
        <v>422</v>
      </c>
      <c r="C40" s="77"/>
      <c r="D40" s="77"/>
      <c r="E40" s="77"/>
      <c r="F40" s="77" t="str">
        <f t="shared" si="4"/>
        <v/>
      </c>
      <c r="G40" s="77" t="str">
        <f t="shared" si="4"/>
        <v/>
      </c>
      <c r="H40" s="77" t="str">
        <f t="shared" si="4"/>
        <v/>
      </c>
      <c r="I40" s="77" t="str">
        <f t="shared" si="4"/>
        <v/>
      </c>
      <c r="J40" s="77" t="str">
        <f t="shared" si="4"/>
        <v/>
      </c>
      <c r="K40" s="77" t="str">
        <f t="shared" si="5"/>
        <v/>
      </c>
      <c r="L40" s="77" t="str">
        <f t="shared" si="5"/>
        <v/>
      </c>
      <c r="M40" s="77" t="str">
        <f t="shared" si="5"/>
        <v/>
      </c>
      <c r="N40" s="77" t="str">
        <f t="shared" si="5"/>
        <v/>
      </c>
      <c r="O40" s="76" t="str">
        <f t="shared" si="5"/>
        <v/>
      </c>
      <c r="P40" s="78"/>
      <c r="Q40" s="77"/>
      <c r="R40" s="94"/>
      <c r="S40" s="77"/>
      <c r="T40" s="76" t="str">
        <f t="shared" si="6"/>
        <v/>
      </c>
      <c r="V40" s="111"/>
      <c r="W40" s="106"/>
      <c r="X40" s="106"/>
      <c r="Y40" s="106"/>
      <c r="Z40" s="112"/>
      <c r="AB40" s="77"/>
      <c r="AC40" s="77"/>
      <c r="AD40" s="77"/>
      <c r="AE40" s="77"/>
      <c r="AF40" s="77"/>
      <c r="AG40" s="77"/>
      <c r="AH40" s="77"/>
      <c r="AI40" s="77"/>
      <c r="AJ40" s="77"/>
      <c r="AK40" s="77"/>
    </row>
    <row r="41" spans="2:37" x14ac:dyDescent="0.35">
      <c r="B41" s="54" t="s">
        <v>42</v>
      </c>
      <c r="C41" s="52" t="s">
        <v>30</v>
      </c>
      <c r="D41" s="52" t="s">
        <v>43</v>
      </c>
      <c r="E41" s="52" t="s">
        <v>423</v>
      </c>
      <c r="F41" s="72" t="str">
        <f t="shared" si="4"/>
        <v/>
      </c>
      <c r="G41" s="59">
        <f t="shared" si="4"/>
        <v>5.6229712324389683E-3</v>
      </c>
      <c r="H41" s="70">
        <f t="shared" si="4"/>
        <v>1.1245837269282693E-2</v>
      </c>
      <c r="I41" s="70">
        <f t="shared" si="4"/>
        <v>1.4673542226401647E-2</v>
      </c>
      <c r="J41" s="62">
        <f t="shared" si="4"/>
        <v>1.7906447653274295E-2</v>
      </c>
      <c r="K41" s="72" t="str">
        <f t="shared" si="5"/>
        <v/>
      </c>
      <c r="L41" s="59">
        <f t="shared" si="5"/>
        <v>2.5363495324389673E-3</v>
      </c>
      <c r="M41" s="70">
        <f t="shared" si="5"/>
        <v>7.1419631692826949E-3</v>
      </c>
      <c r="N41" s="70">
        <f t="shared" si="5"/>
        <v>9.6807578264016484E-3</v>
      </c>
      <c r="O41" s="62">
        <f t="shared" si="5"/>
        <v>1.1629693353274295E-2</v>
      </c>
      <c r="P41" s="54" t="s">
        <v>424</v>
      </c>
      <c r="Q41" s="52" t="s">
        <v>425</v>
      </c>
      <c r="R41" s="93" t="s">
        <v>32</v>
      </c>
      <c r="S41" s="70">
        <v>1.0255220000000001E-2</v>
      </c>
      <c r="T41" s="62">
        <f t="shared" si="6"/>
        <v>9.9061726928269256E-4</v>
      </c>
      <c r="V41" s="113">
        <v>1.1093638699999999</v>
      </c>
      <c r="W41" s="71">
        <v>2.8379474899999999</v>
      </c>
      <c r="X41" s="71">
        <v>4.3598256500000003</v>
      </c>
      <c r="Y41" s="71">
        <v>5.6641049399999996</v>
      </c>
      <c r="Z41" s="114">
        <v>7.2766864900000003</v>
      </c>
      <c r="AB41" s="72" t="s">
        <v>21</v>
      </c>
      <c r="AC41" s="70">
        <v>5.6229712324389683E-3</v>
      </c>
      <c r="AD41" s="70">
        <v>1.1245837269282693E-2</v>
      </c>
      <c r="AE41" s="70">
        <v>1.4673542226401647E-2</v>
      </c>
      <c r="AF41" s="62">
        <v>1.7906447653274295E-2</v>
      </c>
      <c r="AG41" s="70" t="s">
        <v>21</v>
      </c>
      <c r="AH41" s="70">
        <v>2.5363495324389673E-3</v>
      </c>
      <c r="AI41" s="70">
        <v>7.1419631692826949E-3</v>
      </c>
      <c r="AJ41" s="70">
        <v>9.6807578264016484E-3</v>
      </c>
      <c r="AK41" s="70">
        <v>1.1629693353274295E-2</v>
      </c>
    </row>
    <row r="42" spans="2:37" x14ac:dyDescent="0.35">
      <c r="B42" s="54" t="s">
        <v>42</v>
      </c>
      <c r="C42" s="52" t="s">
        <v>33</v>
      </c>
      <c r="D42" s="52" t="s">
        <v>43</v>
      </c>
      <c r="E42" s="52" t="s">
        <v>426</v>
      </c>
      <c r="F42" s="72" t="str">
        <f t="shared" si="4"/>
        <v/>
      </c>
      <c r="G42" s="59">
        <f t="shared" si="4"/>
        <v>7.4636999715468506E-3</v>
      </c>
      <c r="H42" s="70">
        <f t="shared" si="4"/>
        <v>1.4430800832378991E-2</v>
      </c>
      <c r="I42" s="70">
        <f t="shared" si="4"/>
        <v>1.8972539530562993E-2</v>
      </c>
      <c r="J42" s="62">
        <f t="shared" si="4"/>
        <v>2.2801679052375404E-2</v>
      </c>
      <c r="K42" s="72" t="str">
        <f t="shared" si="5"/>
        <v/>
      </c>
      <c r="L42" s="59">
        <f t="shared" si="5"/>
        <v>4.4685445715468494E-3</v>
      </c>
      <c r="M42" s="70">
        <f t="shared" si="5"/>
        <v>1.0424878032378992E-2</v>
      </c>
      <c r="N42" s="70">
        <f t="shared" si="5"/>
        <v>1.4064129030562993E-2</v>
      </c>
      <c r="O42" s="62">
        <f t="shared" si="5"/>
        <v>1.6621640752375405E-2</v>
      </c>
      <c r="P42" s="54" t="s">
        <v>427</v>
      </c>
      <c r="Q42" s="52" t="s">
        <v>428</v>
      </c>
      <c r="R42" s="93" t="s">
        <v>32</v>
      </c>
      <c r="S42" s="70">
        <v>1.4112990000000001E-2</v>
      </c>
      <c r="T42" s="62">
        <f t="shared" si="6"/>
        <v>3.1781083237899035E-4</v>
      </c>
      <c r="V42" s="113">
        <v>1.10954325</v>
      </c>
      <c r="W42" s="71">
        <v>2.8266416799999998</v>
      </c>
      <c r="X42" s="71">
        <v>4.3127058599999994</v>
      </c>
      <c r="Y42" s="71">
        <v>5.5532183699999997</v>
      </c>
      <c r="Z42" s="114">
        <v>7.0388597900000001</v>
      </c>
      <c r="AB42" s="72" t="s">
        <v>21</v>
      </c>
      <c r="AC42" s="70">
        <v>7.4636999715468506E-3</v>
      </c>
      <c r="AD42" s="70">
        <v>1.4430800832378991E-2</v>
      </c>
      <c r="AE42" s="70">
        <v>1.8972539530562993E-2</v>
      </c>
      <c r="AF42" s="62">
        <v>2.2801679052375404E-2</v>
      </c>
      <c r="AG42" s="70" t="s">
        <v>21</v>
      </c>
      <c r="AH42" s="70">
        <v>4.4685445715468494E-3</v>
      </c>
      <c r="AI42" s="70">
        <v>1.0424878032378992E-2</v>
      </c>
      <c r="AJ42" s="70">
        <v>1.4064129030562993E-2</v>
      </c>
      <c r="AK42" s="70">
        <v>1.6621640752375405E-2</v>
      </c>
    </row>
    <row r="43" spans="2:37" x14ac:dyDescent="0.35">
      <c r="B43" s="54" t="s">
        <v>42</v>
      </c>
      <c r="C43" s="52" t="s">
        <v>35</v>
      </c>
      <c r="D43" s="52" t="s">
        <v>43</v>
      </c>
      <c r="E43" s="52" t="s">
        <v>429</v>
      </c>
      <c r="F43" s="72" t="str">
        <f t="shared" si="4"/>
        <v/>
      </c>
      <c r="G43" s="59">
        <f t="shared" si="4"/>
        <v>1.0636445856678249E-2</v>
      </c>
      <c r="H43" s="70">
        <f t="shared" si="4"/>
        <v>1.9817016853044454E-2</v>
      </c>
      <c r="I43" s="70">
        <f t="shared" si="4"/>
        <v>2.5737048936724866E-2</v>
      </c>
      <c r="J43" s="62">
        <f t="shared" si="4"/>
        <v>3.1432994079464177E-2</v>
      </c>
      <c r="K43" s="72" t="str">
        <f t="shared" si="5"/>
        <v/>
      </c>
      <c r="L43" s="59">
        <f t="shared" si="5"/>
        <v>7.7310998566782491E-3</v>
      </c>
      <c r="M43" s="70">
        <f t="shared" si="5"/>
        <v>1.5870931753044454E-2</v>
      </c>
      <c r="N43" s="70">
        <f t="shared" si="5"/>
        <v>2.0838088536724864E-2</v>
      </c>
      <c r="O43" s="62">
        <f t="shared" si="5"/>
        <v>2.5223958879464166E-2</v>
      </c>
      <c r="P43" s="54" t="s">
        <v>21</v>
      </c>
      <c r="Q43" s="52" t="s">
        <v>21</v>
      </c>
      <c r="R43" s="93" t="s">
        <v>21</v>
      </c>
      <c r="S43" s="70">
        <v>0</v>
      </c>
      <c r="T43" s="62">
        <f t="shared" si="6"/>
        <v>1.9817016853044454E-2</v>
      </c>
      <c r="V43" s="113">
        <v>1.1085451200000001</v>
      </c>
      <c r="W43" s="71">
        <v>2.8184375899999998</v>
      </c>
      <c r="X43" s="71">
        <v>4.2835405499999997</v>
      </c>
      <c r="Y43" s="71">
        <v>5.4915049500000004</v>
      </c>
      <c r="Z43" s="114">
        <v>6.9051581200000003</v>
      </c>
      <c r="AB43" s="72" t="s">
        <v>21</v>
      </c>
      <c r="AC43" s="70">
        <v>1.0636445856678249E-2</v>
      </c>
      <c r="AD43" s="70">
        <v>1.9817016853044454E-2</v>
      </c>
      <c r="AE43" s="70">
        <v>2.5737048936724866E-2</v>
      </c>
      <c r="AF43" s="62">
        <v>3.1432994079464177E-2</v>
      </c>
      <c r="AG43" s="70" t="s">
        <v>21</v>
      </c>
      <c r="AH43" s="70">
        <v>7.7310998566782491E-3</v>
      </c>
      <c r="AI43" s="70">
        <v>1.5870931753044454E-2</v>
      </c>
      <c r="AJ43" s="70">
        <v>2.0838088536724864E-2</v>
      </c>
      <c r="AK43" s="70">
        <v>2.5223958879464166E-2</v>
      </c>
    </row>
    <row r="44" spans="2:37" x14ac:dyDescent="0.35">
      <c r="B44" s="78" t="s">
        <v>45</v>
      </c>
      <c r="C44" s="77"/>
      <c r="D44" s="77"/>
      <c r="E44" s="77"/>
      <c r="F44" s="77" t="str">
        <f t="shared" si="4"/>
        <v/>
      </c>
      <c r="G44" s="77" t="str">
        <f t="shared" si="4"/>
        <v/>
      </c>
      <c r="H44" s="77" t="str">
        <f t="shared" si="4"/>
        <v/>
      </c>
      <c r="I44" s="77" t="str">
        <f t="shared" si="4"/>
        <v/>
      </c>
      <c r="J44" s="77" t="str">
        <f t="shared" si="4"/>
        <v/>
      </c>
      <c r="K44" s="77" t="str">
        <f t="shared" si="5"/>
        <v/>
      </c>
      <c r="L44" s="77" t="str">
        <f t="shared" si="5"/>
        <v/>
      </c>
      <c r="M44" s="77" t="str">
        <f t="shared" si="5"/>
        <v/>
      </c>
      <c r="N44" s="77" t="str">
        <f t="shared" si="5"/>
        <v/>
      </c>
      <c r="O44" s="76" t="str">
        <f t="shared" si="5"/>
        <v/>
      </c>
      <c r="P44" s="78"/>
      <c r="Q44" s="77"/>
      <c r="R44" s="94"/>
      <c r="S44" s="77"/>
      <c r="T44" s="76" t="str">
        <f t="shared" si="6"/>
        <v/>
      </c>
      <c r="V44" s="111"/>
      <c r="W44" s="106"/>
      <c r="X44" s="106"/>
      <c r="Y44" s="106"/>
      <c r="Z44" s="112"/>
      <c r="AB44" s="77"/>
      <c r="AC44" s="77"/>
      <c r="AD44" s="77"/>
      <c r="AE44" s="77"/>
      <c r="AF44" s="77"/>
      <c r="AG44" s="77"/>
      <c r="AH44" s="77"/>
      <c r="AI44" s="77"/>
      <c r="AJ44" s="77"/>
      <c r="AK44" s="77"/>
    </row>
    <row r="45" spans="2:37" x14ac:dyDescent="0.35">
      <c r="B45" s="55" t="s">
        <v>46</v>
      </c>
      <c r="C45" s="65" t="s">
        <v>30</v>
      </c>
      <c r="D45" s="65" t="s">
        <v>47</v>
      </c>
      <c r="E45" s="65" t="s">
        <v>430</v>
      </c>
      <c r="F45" s="74" t="str">
        <f t="shared" si="4"/>
        <v/>
      </c>
      <c r="G45" s="79">
        <f t="shared" si="4"/>
        <v>5.376322906065871E-3</v>
      </c>
      <c r="H45" s="79">
        <f t="shared" si="4"/>
        <v>1.0913313023313425E-2</v>
      </c>
      <c r="I45" s="79">
        <f t="shared" si="4"/>
        <v>1.4703422216538873E-2</v>
      </c>
      <c r="J45" s="61">
        <f t="shared" si="4"/>
        <v>1.8376264648817729E-2</v>
      </c>
      <c r="K45" s="74" t="str">
        <f t="shared" si="5"/>
        <v/>
      </c>
      <c r="L45" s="79">
        <f t="shared" si="5"/>
        <v>2.2729530060658712E-3</v>
      </c>
      <c r="M45" s="79">
        <f t="shared" si="5"/>
        <v>6.7936942233134253E-3</v>
      </c>
      <c r="N45" s="79">
        <f t="shared" si="5"/>
        <v>9.7104187165388666E-3</v>
      </c>
      <c r="O45" s="61">
        <f t="shared" si="5"/>
        <v>1.2113273248817728E-2</v>
      </c>
      <c r="P45" s="54" t="s">
        <v>431</v>
      </c>
      <c r="Q45" s="52" t="s">
        <v>432</v>
      </c>
      <c r="R45" s="93" t="s">
        <v>32</v>
      </c>
      <c r="S45" s="70">
        <v>6.7610499999999994E-3</v>
      </c>
      <c r="T45" s="62">
        <f t="shared" si="6"/>
        <v>4.1522630233134256E-3</v>
      </c>
      <c r="V45" s="117">
        <v>1.1105376499999999</v>
      </c>
      <c r="W45" s="60">
        <v>2.84172512</v>
      </c>
      <c r="X45" s="60">
        <v>4.3675768900000005</v>
      </c>
      <c r="Y45" s="60">
        <v>5.6725720100000006</v>
      </c>
      <c r="Z45" s="118">
        <v>7.27520773</v>
      </c>
      <c r="AB45" s="74" t="s">
        <v>21</v>
      </c>
      <c r="AC45" s="79">
        <v>5.376322906065871E-3</v>
      </c>
      <c r="AD45" s="79">
        <v>1.0913313023313425E-2</v>
      </c>
      <c r="AE45" s="79">
        <v>1.4703422216538873E-2</v>
      </c>
      <c r="AF45" s="61">
        <v>1.8376264648817729E-2</v>
      </c>
      <c r="AG45" s="70" t="s">
        <v>21</v>
      </c>
      <c r="AH45" s="70">
        <v>2.2729530060658712E-3</v>
      </c>
      <c r="AI45" s="70">
        <v>6.7936942233134253E-3</v>
      </c>
      <c r="AJ45" s="70">
        <v>9.7104187165388666E-3</v>
      </c>
      <c r="AK45" s="70">
        <v>1.2113273248817728E-2</v>
      </c>
    </row>
    <row r="46" spans="2:37" x14ac:dyDescent="0.35">
      <c r="B46" s="54" t="s">
        <v>46</v>
      </c>
      <c r="C46" s="52" t="s">
        <v>33</v>
      </c>
      <c r="D46" s="52" t="s">
        <v>47</v>
      </c>
      <c r="E46" s="52" t="s">
        <v>433</v>
      </c>
      <c r="F46" s="72" t="str">
        <f t="shared" si="4"/>
        <v/>
      </c>
      <c r="G46" s="59">
        <f t="shared" si="4"/>
        <v>7.1430978841457264E-3</v>
      </c>
      <c r="H46" s="70">
        <f t="shared" si="4"/>
        <v>1.4241103152752609E-2</v>
      </c>
      <c r="I46" s="70">
        <f t="shared" si="4"/>
        <v>1.8545663318238509E-2</v>
      </c>
      <c r="J46" s="62">
        <f t="shared" si="4"/>
        <v>2.2140412101679805E-2</v>
      </c>
      <c r="K46" s="72" t="str">
        <f t="shared" si="5"/>
        <v/>
      </c>
      <c r="L46" s="59">
        <f t="shared" si="5"/>
        <v>4.1345771841457268E-3</v>
      </c>
      <c r="M46" s="70">
        <f t="shared" si="5"/>
        <v>1.0230331252752611E-2</v>
      </c>
      <c r="N46" s="70">
        <f t="shared" si="5"/>
        <v>1.3633849918238508E-2</v>
      </c>
      <c r="O46" s="62">
        <f t="shared" si="5"/>
        <v>1.5955973301679808E-2</v>
      </c>
      <c r="P46" s="54" t="s">
        <v>21</v>
      </c>
      <c r="Q46" s="52" t="s">
        <v>21</v>
      </c>
      <c r="R46" s="93" t="s">
        <v>21</v>
      </c>
      <c r="S46" s="70">
        <v>0</v>
      </c>
      <c r="T46" s="62">
        <f t="shared" si="6"/>
        <v>1.4241103152752609E-2</v>
      </c>
      <c r="V46" s="113">
        <v>1.1092487599999998</v>
      </c>
      <c r="W46" s="71">
        <v>2.8281324100000003</v>
      </c>
      <c r="X46" s="71">
        <v>4.3169025799999998</v>
      </c>
      <c r="Y46" s="71">
        <v>5.5632470000000005</v>
      </c>
      <c r="Z46" s="114">
        <v>7.0646227199999991</v>
      </c>
      <c r="AB46" s="72" t="s">
        <v>21</v>
      </c>
      <c r="AC46" s="70">
        <v>7.1430978841457264E-3</v>
      </c>
      <c r="AD46" s="70">
        <v>1.4241103152752609E-2</v>
      </c>
      <c r="AE46" s="70">
        <v>1.8545663318238509E-2</v>
      </c>
      <c r="AF46" s="62">
        <v>2.2140412101679805E-2</v>
      </c>
      <c r="AG46" s="70" t="s">
        <v>21</v>
      </c>
      <c r="AH46" s="70">
        <v>4.1345771841457268E-3</v>
      </c>
      <c r="AI46" s="70">
        <v>1.0230331252752611E-2</v>
      </c>
      <c r="AJ46" s="70">
        <v>1.3633849918238508E-2</v>
      </c>
      <c r="AK46" s="70">
        <v>1.5955973301679808E-2</v>
      </c>
    </row>
    <row r="47" spans="2:37" x14ac:dyDescent="0.35">
      <c r="B47" s="56" t="s">
        <v>46</v>
      </c>
      <c r="C47" s="66" t="s">
        <v>35</v>
      </c>
      <c r="D47" s="66" t="s">
        <v>47</v>
      </c>
      <c r="E47" s="66" t="s">
        <v>21</v>
      </c>
      <c r="F47" s="73" t="str">
        <f t="shared" si="4"/>
        <v/>
      </c>
      <c r="G47" s="75">
        <f t="shared" si="4"/>
        <v>9.79746508432041E-3</v>
      </c>
      <c r="H47" s="75">
        <f t="shared" si="4"/>
        <v>1.8677913032345735E-2</v>
      </c>
      <c r="I47" s="75">
        <f t="shared" si="4"/>
        <v>2.4239666564512076E-2</v>
      </c>
      <c r="J47" s="63">
        <f t="shared" si="4"/>
        <v>2.9408086597071947E-2</v>
      </c>
      <c r="K47" s="73" t="str">
        <f t="shared" si="5"/>
        <v/>
      </c>
      <c r="L47" s="75">
        <f t="shared" si="5"/>
        <v>6.8763985843204103E-3</v>
      </c>
      <c r="M47" s="75">
        <f t="shared" si="5"/>
        <v>1.4731519532345737E-2</v>
      </c>
      <c r="N47" s="75">
        <f t="shared" si="5"/>
        <v>1.9354785664512073E-2</v>
      </c>
      <c r="O47" s="63">
        <f t="shared" si="5"/>
        <v>2.3225440597071947E-2</v>
      </c>
      <c r="P47" s="54" t="s">
        <v>21</v>
      </c>
      <c r="Q47" s="52" t="s">
        <v>21</v>
      </c>
      <c r="R47" s="93" t="s">
        <v>21</v>
      </c>
      <c r="S47" s="70">
        <v>0</v>
      </c>
      <c r="T47" s="62">
        <f t="shared" si="6"/>
        <v>1.8677913032345735E-2</v>
      </c>
      <c r="V47" s="115">
        <v>1.1090434600000001</v>
      </c>
      <c r="W47" s="107">
        <v>2.8233031200000003</v>
      </c>
      <c r="X47" s="107">
        <v>4.2984048499999998</v>
      </c>
      <c r="Y47" s="107">
        <v>5.5224694900000006</v>
      </c>
      <c r="Z47" s="116">
        <v>6.9715148600000001</v>
      </c>
      <c r="AB47" s="73" t="s">
        <v>21</v>
      </c>
      <c r="AC47" s="75">
        <v>9.79746508432041E-3</v>
      </c>
      <c r="AD47" s="75">
        <v>1.8677913032345735E-2</v>
      </c>
      <c r="AE47" s="75">
        <v>2.4239666564512076E-2</v>
      </c>
      <c r="AF47" s="63">
        <v>2.9408086597071947E-2</v>
      </c>
      <c r="AG47" s="70" t="s">
        <v>21</v>
      </c>
      <c r="AH47" s="70">
        <v>6.8763985843204103E-3</v>
      </c>
      <c r="AI47" s="70">
        <v>1.4731519532345737E-2</v>
      </c>
      <c r="AJ47" s="70">
        <v>1.9354785664512073E-2</v>
      </c>
      <c r="AK47" s="70">
        <v>2.3225440597071947E-2</v>
      </c>
    </row>
    <row r="48" spans="2:37" x14ac:dyDescent="0.35">
      <c r="B48" s="54" t="s">
        <v>49</v>
      </c>
      <c r="C48" s="52" t="s">
        <v>30</v>
      </c>
      <c r="D48" s="52" t="s">
        <v>47</v>
      </c>
      <c r="E48" s="52" t="s">
        <v>356</v>
      </c>
      <c r="F48" s="72" t="str">
        <f t="shared" si="4"/>
        <v/>
      </c>
      <c r="G48" s="59">
        <f t="shared" si="4"/>
        <v>4.7746282727118387E-3</v>
      </c>
      <c r="H48" s="70">
        <f t="shared" si="4"/>
        <v>1.0225895976046954E-2</v>
      </c>
      <c r="I48" s="70">
        <f t="shared" si="4"/>
        <v>1.3446374284328929E-2</v>
      </c>
      <c r="J48" s="62">
        <f t="shared" si="4"/>
        <v>1.730613293467068E-2</v>
      </c>
      <c r="K48" s="72" t="str">
        <f t="shared" si="5"/>
        <v/>
      </c>
      <c r="L48" s="59">
        <f t="shared" si="5"/>
        <v>1.6265913727118394E-3</v>
      </c>
      <c r="M48" s="70">
        <f t="shared" si="5"/>
        <v>6.0686218760469535E-3</v>
      </c>
      <c r="N48" s="70">
        <f t="shared" si="5"/>
        <v>8.4022822843289255E-3</v>
      </c>
      <c r="O48" s="62">
        <f t="shared" si="5"/>
        <v>1.1001204734670682E-2</v>
      </c>
      <c r="P48" s="55" t="s">
        <v>434</v>
      </c>
      <c r="Q48" s="65" t="s">
        <v>435</v>
      </c>
      <c r="R48" s="99" t="s">
        <v>32</v>
      </c>
      <c r="S48" s="79">
        <v>9.2997800000000005E-3</v>
      </c>
      <c r="T48" s="61">
        <f t="shared" si="6"/>
        <v>9.2611597604695325E-4</v>
      </c>
      <c r="V48" s="113">
        <v>1.1109242800000001</v>
      </c>
      <c r="W48" s="71">
        <v>2.8462740899999996</v>
      </c>
      <c r="X48" s="71">
        <v>4.3805183400000001</v>
      </c>
      <c r="Y48" s="71">
        <v>5.7037563800000006</v>
      </c>
      <c r="Z48" s="114">
        <v>7.3377266999999993</v>
      </c>
      <c r="AB48" s="72" t="s">
        <v>21</v>
      </c>
      <c r="AC48" s="70">
        <v>4.7746282727118387E-3</v>
      </c>
      <c r="AD48" s="70">
        <v>1.0225895976046954E-2</v>
      </c>
      <c r="AE48" s="70">
        <v>1.3446374284328929E-2</v>
      </c>
      <c r="AF48" s="62">
        <v>1.730613293467068E-2</v>
      </c>
      <c r="AG48" s="70" t="s">
        <v>21</v>
      </c>
      <c r="AH48" s="70">
        <v>1.6265913727118394E-3</v>
      </c>
      <c r="AI48" s="70">
        <v>6.0686218760469535E-3</v>
      </c>
      <c r="AJ48" s="70">
        <v>8.4022822843289255E-3</v>
      </c>
      <c r="AK48" s="70">
        <v>1.1001204734670682E-2</v>
      </c>
    </row>
    <row r="49" spans="2:37" x14ac:dyDescent="0.35">
      <c r="B49" s="54" t="s">
        <v>49</v>
      </c>
      <c r="C49" s="52" t="s">
        <v>33</v>
      </c>
      <c r="D49" s="52" t="s">
        <v>47</v>
      </c>
      <c r="E49" s="52" t="s">
        <v>274</v>
      </c>
      <c r="F49" s="72" t="str">
        <f t="shared" si="4"/>
        <v/>
      </c>
      <c r="G49" s="59">
        <f t="shared" si="4"/>
        <v>6.6521087980232398E-3</v>
      </c>
      <c r="H49" s="70">
        <f t="shared" si="4"/>
        <v>1.3350830989608427E-2</v>
      </c>
      <c r="I49" s="70">
        <f t="shared" si="4"/>
        <v>1.7407084078877897E-2</v>
      </c>
      <c r="J49" s="62">
        <f t="shared" si="4"/>
        <v>2.1369481573409843E-2</v>
      </c>
      <c r="K49" s="72" t="str">
        <f t="shared" si="5"/>
        <v/>
      </c>
      <c r="L49" s="59">
        <f t="shared" si="5"/>
        <v>3.6224747980232413E-3</v>
      </c>
      <c r="M49" s="70">
        <f t="shared" si="5"/>
        <v>9.3212570896084347E-3</v>
      </c>
      <c r="N49" s="70">
        <f t="shared" si="5"/>
        <v>1.2483116578877896E-2</v>
      </c>
      <c r="O49" s="62">
        <f t="shared" si="5"/>
        <v>1.5174198573409844E-2</v>
      </c>
      <c r="P49" s="54" t="s">
        <v>436</v>
      </c>
      <c r="Q49" s="52" t="s">
        <v>437</v>
      </c>
      <c r="R49" s="93" t="s">
        <v>32</v>
      </c>
      <c r="S49" s="70">
        <v>1.3710979999999999E-2</v>
      </c>
      <c r="T49" s="62">
        <f t="shared" si="6"/>
        <v>-3.6014901039157186E-4</v>
      </c>
      <c r="V49" s="113">
        <v>1.1100973199999999</v>
      </c>
      <c r="W49" s="71">
        <v>2.83280121</v>
      </c>
      <c r="X49" s="71">
        <v>4.3314350799999994</v>
      </c>
      <c r="Y49" s="71">
        <v>5.5946016299999997</v>
      </c>
      <c r="Z49" s="114">
        <v>7.11873135</v>
      </c>
      <c r="AB49" s="72" t="s">
        <v>21</v>
      </c>
      <c r="AC49" s="70">
        <v>6.6521087980232398E-3</v>
      </c>
      <c r="AD49" s="70">
        <v>1.3350830989608427E-2</v>
      </c>
      <c r="AE49" s="70">
        <v>1.7407084078877897E-2</v>
      </c>
      <c r="AF49" s="62">
        <v>2.1369481573409843E-2</v>
      </c>
      <c r="AG49" s="70" t="s">
        <v>21</v>
      </c>
      <c r="AH49" s="70">
        <v>3.6224747980232413E-3</v>
      </c>
      <c r="AI49" s="70">
        <v>9.3212570896084347E-3</v>
      </c>
      <c r="AJ49" s="70">
        <v>1.2483116578877896E-2</v>
      </c>
      <c r="AK49" s="70">
        <v>1.5174198573409844E-2</v>
      </c>
    </row>
    <row r="50" spans="2:37" x14ac:dyDescent="0.35">
      <c r="B50" s="56" t="s">
        <v>49</v>
      </c>
      <c r="C50" s="66" t="s">
        <v>35</v>
      </c>
      <c r="D50" s="66" t="s">
        <v>47</v>
      </c>
      <c r="E50" s="66" t="s">
        <v>21</v>
      </c>
      <c r="F50" s="73" t="str">
        <f t="shared" si="4"/>
        <v/>
      </c>
      <c r="G50" s="75">
        <f t="shared" si="4"/>
        <v>8.9738628681286705E-3</v>
      </c>
      <c r="H50" s="75">
        <f t="shared" si="4"/>
        <v>1.733054462778328E-2</v>
      </c>
      <c r="I50" s="75">
        <f t="shared" si="4"/>
        <v>2.3108800514956826E-2</v>
      </c>
      <c r="J50" s="63">
        <f t="shared" si="4"/>
        <v>2.8186962293704845E-2</v>
      </c>
      <c r="K50" s="73" t="str">
        <f t="shared" si="5"/>
        <v/>
      </c>
      <c r="L50" s="75">
        <f t="shared" si="5"/>
        <v>6.0337900681286718E-3</v>
      </c>
      <c r="M50" s="75">
        <f t="shared" si="5"/>
        <v>1.337869042778328E-2</v>
      </c>
      <c r="N50" s="75">
        <f t="shared" si="5"/>
        <v>1.8229858814956826E-2</v>
      </c>
      <c r="O50" s="63">
        <f t="shared" si="5"/>
        <v>2.2015376693704843E-2</v>
      </c>
      <c r="P50" s="56" t="s">
        <v>21</v>
      </c>
      <c r="Q50" s="66" t="s">
        <v>21</v>
      </c>
      <c r="R50" s="95" t="s">
        <v>21</v>
      </c>
      <c r="S50" s="75">
        <v>0</v>
      </c>
      <c r="T50" s="63">
        <f t="shared" si="6"/>
        <v>1.733054462778328E-2</v>
      </c>
      <c r="V50" s="115">
        <v>1.1094874100000001</v>
      </c>
      <c r="W50" s="107">
        <v>2.82799098</v>
      </c>
      <c r="X50" s="107">
        <v>4.3146197800000001</v>
      </c>
      <c r="Y50" s="107">
        <v>5.5520282600000002</v>
      </c>
      <c r="Z50" s="116">
        <v>7.0233104300000004</v>
      </c>
      <c r="AB50" s="73" t="s">
        <v>21</v>
      </c>
      <c r="AC50" s="75">
        <v>8.9738628681286705E-3</v>
      </c>
      <c r="AD50" s="75">
        <v>1.733054462778328E-2</v>
      </c>
      <c r="AE50" s="75">
        <v>2.3108800514956826E-2</v>
      </c>
      <c r="AF50" s="63">
        <v>2.8186962293704845E-2</v>
      </c>
      <c r="AG50" s="75" t="s">
        <v>21</v>
      </c>
      <c r="AH50" s="75">
        <v>6.0337900681286718E-3</v>
      </c>
      <c r="AI50" s="75">
        <v>1.337869042778328E-2</v>
      </c>
      <c r="AJ50" s="75">
        <v>1.8229858814956826E-2</v>
      </c>
      <c r="AK50" s="75">
        <v>2.2015376693704843E-2</v>
      </c>
    </row>
    <row r="51" spans="2:37" x14ac:dyDescent="0.35">
      <c r="B51" s="55" t="s">
        <v>50</v>
      </c>
      <c r="C51" s="65" t="s">
        <v>30</v>
      </c>
      <c r="D51" s="65" t="s">
        <v>47</v>
      </c>
      <c r="E51" s="65" t="s">
        <v>179</v>
      </c>
      <c r="F51" s="74" t="str">
        <f t="shared" si="4"/>
        <v/>
      </c>
      <c r="G51" s="79">
        <f t="shared" si="4"/>
        <v>4.847644840629349E-3</v>
      </c>
      <c r="H51" s="79">
        <f t="shared" si="4"/>
        <v>1.0532912516338679E-2</v>
      </c>
      <c r="I51" s="79">
        <f t="shared" si="4"/>
        <v>1.4036210965472621E-2</v>
      </c>
      <c r="J51" s="61">
        <f t="shared" si="4"/>
        <v>1.7673562248585725E-2</v>
      </c>
      <c r="K51" s="74" t="str">
        <f t="shared" si="5"/>
        <v/>
      </c>
      <c r="L51" s="79">
        <f t="shared" si="5"/>
        <v>1.7054010406293459E-3</v>
      </c>
      <c r="M51" s="79">
        <f t="shared" si="5"/>
        <v>6.3929586163386821E-3</v>
      </c>
      <c r="N51" s="79">
        <f t="shared" si="5"/>
        <v>9.0183811654726172E-3</v>
      </c>
      <c r="O51" s="61">
        <f t="shared" si="5"/>
        <v>1.1386347148585729E-2</v>
      </c>
      <c r="P51" s="54" t="s">
        <v>438</v>
      </c>
      <c r="Q51" s="52" t="s">
        <v>439</v>
      </c>
      <c r="R51" s="93" t="s">
        <v>32</v>
      </c>
      <c r="S51" s="70">
        <v>8.2695300000000006E-3</v>
      </c>
      <c r="T51" s="62">
        <f t="shared" si="6"/>
        <v>2.263382516338678E-3</v>
      </c>
      <c r="V51" s="117">
        <v>1.1112368100000001</v>
      </c>
      <c r="W51" s="60">
        <v>2.8463955100000002</v>
      </c>
      <c r="X51" s="60">
        <v>4.3774240399999993</v>
      </c>
      <c r="Y51" s="60">
        <v>5.69208742</v>
      </c>
      <c r="Z51" s="118">
        <v>7.3138954600000003</v>
      </c>
      <c r="AB51" s="74" t="s">
        <v>21</v>
      </c>
      <c r="AC51" s="79">
        <v>4.847644840629349E-3</v>
      </c>
      <c r="AD51" s="79">
        <v>1.0532912516338679E-2</v>
      </c>
      <c r="AE51" s="79">
        <v>1.4036210965472621E-2</v>
      </c>
      <c r="AF51" s="61">
        <v>1.7673562248585725E-2</v>
      </c>
      <c r="AG51" s="70" t="s">
        <v>21</v>
      </c>
      <c r="AH51" s="70">
        <v>1.7054010406293459E-3</v>
      </c>
      <c r="AI51" s="70">
        <v>6.3929586163386821E-3</v>
      </c>
      <c r="AJ51" s="70">
        <v>9.0183811654726172E-3</v>
      </c>
      <c r="AK51" s="70">
        <v>1.1386347148585729E-2</v>
      </c>
    </row>
    <row r="52" spans="2:37" x14ac:dyDescent="0.35">
      <c r="B52" s="54" t="s">
        <v>50</v>
      </c>
      <c r="C52" s="52" t="s">
        <v>33</v>
      </c>
      <c r="D52" s="52" t="s">
        <v>47</v>
      </c>
      <c r="E52" s="52" t="s">
        <v>133</v>
      </c>
      <c r="F52" s="72" t="str">
        <f t="shared" si="4"/>
        <v/>
      </c>
      <c r="G52" s="59">
        <f t="shared" si="4"/>
        <v>6.8574750781405245E-3</v>
      </c>
      <c r="H52" s="70">
        <f t="shared" si="4"/>
        <v>1.3749283458630787E-2</v>
      </c>
      <c r="I52" s="70">
        <f t="shared" si="4"/>
        <v>1.817739009771005E-2</v>
      </c>
      <c r="J52" s="62">
        <f t="shared" si="4"/>
        <v>2.1774892497809603E-2</v>
      </c>
      <c r="K52" s="72" t="str">
        <f t="shared" si="5"/>
        <v/>
      </c>
      <c r="L52" s="59">
        <f t="shared" si="5"/>
        <v>3.8366744781405228E-3</v>
      </c>
      <c r="M52" s="70">
        <f t="shared" si="5"/>
        <v>9.7284778586307873E-3</v>
      </c>
      <c r="N52" s="70">
        <f t="shared" si="5"/>
        <v>1.3261557397710049E-2</v>
      </c>
      <c r="O52" s="62">
        <f t="shared" si="5"/>
        <v>1.5587024397809601E-2</v>
      </c>
      <c r="P52" s="54" t="s">
        <v>440</v>
      </c>
      <c r="Q52" s="52" t="s">
        <v>441</v>
      </c>
      <c r="R52" s="93" t="s">
        <v>32</v>
      </c>
      <c r="S52" s="70">
        <v>8.9405400000000003E-3</v>
      </c>
      <c r="T52" s="62">
        <f t="shared" si="6"/>
        <v>4.8087434586307869E-3</v>
      </c>
      <c r="V52" s="113">
        <v>1.1096997799999999</v>
      </c>
      <c r="W52" s="71">
        <v>2.8307782000000001</v>
      </c>
      <c r="X52" s="71">
        <v>4.3250523800000007</v>
      </c>
      <c r="Y52" s="71">
        <v>5.5774435900000006</v>
      </c>
      <c r="Z52" s="114">
        <v>7.0881592699999993</v>
      </c>
      <c r="AB52" s="72" t="s">
        <v>21</v>
      </c>
      <c r="AC52" s="70">
        <v>6.8574750781405245E-3</v>
      </c>
      <c r="AD52" s="70">
        <v>1.3749283458630787E-2</v>
      </c>
      <c r="AE52" s="70">
        <v>1.817739009771005E-2</v>
      </c>
      <c r="AF52" s="62">
        <v>2.1774892497809603E-2</v>
      </c>
      <c r="AG52" s="70" t="s">
        <v>21</v>
      </c>
      <c r="AH52" s="70">
        <v>3.8366744781405228E-3</v>
      </c>
      <c r="AI52" s="70">
        <v>9.7284778586307873E-3</v>
      </c>
      <c r="AJ52" s="70">
        <v>1.3261557397710049E-2</v>
      </c>
      <c r="AK52" s="70">
        <v>1.5587024397809601E-2</v>
      </c>
    </row>
    <row r="53" spans="2:37" x14ac:dyDescent="0.35">
      <c r="B53" s="56" t="s">
        <v>50</v>
      </c>
      <c r="C53" s="66" t="s">
        <v>35</v>
      </c>
      <c r="D53" s="66" t="s">
        <v>47</v>
      </c>
      <c r="E53" s="66" t="s">
        <v>21</v>
      </c>
      <c r="F53" s="73" t="str">
        <f t="shared" si="4"/>
        <v/>
      </c>
      <c r="G53" s="75">
        <f t="shared" si="4"/>
        <v>9.7374840491900143E-3</v>
      </c>
      <c r="H53" s="75">
        <f t="shared" si="4"/>
        <v>1.8578390611082622E-2</v>
      </c>
      <c r="I53" s="75">
        <f t="shared" si="4"/>
        <v>2.4329683429346043E-2</v>
      </c>
      <c r="J53" s="63">
        <f t="shared" si="4"/>
        <v>2.9389085389935208E-2</v>
      </c>
      <c r="K53" s="73" t="str">
        <f t="shared" si="5"/>
        <v/>
      </c>
      <c r="L53" s="75">
        <f t="shared" si="5"/>
        <v>6.8152794491900155E-3</v>
      </c>
      <c r="M53" s="75">
        <f t="shared" si="5"/>
        <v>1.4631883711082623E-2</v>
      </c>
      <c r="N53" s="75">
        <f t="shared" si="5"/>
        <v>1.9443694529346044E-2</v>
      </c>
      <c r="O53" s="63">
        <f t="shared" si="5"/>
        <v>2.3207347989935206E-2</v>
      </c>
      <c r="P53" s="54" t="s">
        <v>21</v>
      </c>
      <c r="Q53" s="52" t="s">
        <v>21</v>
      </c>
      <c r="R53" s="93" t="s">
        <v>21</v>
      </c>
      <c r="S53" s="70"/>
      <c r="T53" s="62" t="str">
        <f t="shared" si="6"/>
        <v/>
      </c>
      <c r="V53" s="115">
        <v>1.1090072399999999</v>
      </c>
      <c r="W53" s="107">
        <v>2.82351537</v>
      </c>
      <c r="X53" s="107">
        <v>4.29945924</v>
      </c>
      <c r="Y53" s="107">
        <v>5.5229099399999999</v>
      </c>
      <c r="Z53" s="116">
        <v>6.97161221</v>
      </c>
      <c r="AB53" s="73" t="s">
        <v>21</v>
      </c>
      <c r="AC53" s="75">
        <v>9.7374840491900143E-3</v>
      </c>
      <c r="AD53" s="75">
        <v>1.8578390611082622E-2</v>
      </c>
      <c r="AE53" s="75">
        <v>2.4329683429346043E-2</v>
      </c>
      <c r="AF53" s="63">
        <v>2.9389085389935208E-2</v>
      </c>
      <c r="AG53" s="70" t="s">
        <v>21</v>
      </c>
      <c r="AH53" s="70">
        <v>6.8152794491900155E-3</v>
      </c>
      <c r="AI53" s="70">
        <v>1.4631883711082623E-2</v>
      </c>
      <c r="AJ53" s="70">
        <v>1.9443694529346044E-2</v>
      </c>
      <c r="AK53" s="70">
        <v>2.3207347989935206E-2</v>
      </c>
    </row>
    <row r="54" spans="2:37" x14ac:dyDescent="0.35">
      <c r="B54" s="78" t="s">
        <v>51</v>
      </c>
      <c r="C54" s="77"/>
      <c r="D54" s="77"/>
      <c r="E54" s="77"/>
      <c r="F54" s="77" t="str">
        <f t="shared" si="4"/>
        <v/>
      </c>
      <c r="G54" s="77" t="str">
        <f t="shared" si="4"/>
        <v/>
      </c>
      <c r="H54" s="77" t="str">
        <f t="shared" si="4"/>
        <v/>
      </c>
      <c r="I54" s="77" t="str">
        <f t="shared" si="4"/>
        <v/>
      </c>
      <c r="J54" s="77" t="str">
        <f t="shared" si="4"/>
        <v/>
      </c>
      <c r="K54" s="77" t="str">
        <f t="shared" si="5"/>
        <v/>
      </c>
      <c r="L54" s="77" t="str">
        <f t="shared" si="5"/>
        <v/>
      </c>
      <c r="M54" s="77" t="str">
        <f t="shared" si="5"/>
        <v/>
      </c>
      <c r="N54" s="77" t="str">
        <f t="shared" si="5"/>
        <v/>
      </c>
      <c r="O54" s="76" t="str">
        <f t="shared" si="5"/>
        <v/>
      </c>
      <c r="P54" s="78"/>
      <c r="Q54" s="77"/>
      <c r="R54" s="94"/>
      <c r="S54" s="77"/>
      <c r="T54" s="76" t="str">
        <f t="shared" si="6"/>
        <v/>
      </c>
      <c r="V54" s="111"/>
      <c r="W54" s="106"/>
      <c r="X54" s="106"/>
      <c r="Y54" s="106"/>
      <c r="Z54" s="112"/>
      <c r="AB54" s="77"/>
      <c r="AC54" s="77"/>
      <c r="AD54" s="77"/>
      <c r="AE54" s="77"/>
      <c r="AF54" s="77"/>
      <c r="AG54" s="77"/>
      <c r="AH54" s="77"/>
      <c r="AI54" s="77"/>
      <c r="AJ54" s="77"/>
      <c r="AK54" s="77"/>
    </row>
    <row r="55" spans="2:37" x14ac:dyDescent="0.35">
      <c r="B55" s="55" t="s">
        <v>52</v>
      </c>
      <c r="C55" s="65" t="s">
        <v>30</v>
      </c>
      <c r="D55" s="65" t="s">
        <v>53</v>
      </c>
      <c r="E55" s="65" t="s">
        <v>57</v>
      </c>
      <c r="F55" s="74" t="str">
        <f t="shared" si="4"/>
        <v/>
      </c>
      <c r="G55" s="79">
        <f t="shared" si="4"/>
        <v>5.5065167890240609E-3</v>
      </c>
      <c r="H55" s="79">
        <f t="shared" si="4"/>
        <v>1.0635173673019613E-2</v>
      </c>
      <c r="I55" s="79">
        <f t="shared" si="4"/>
        <v>1.3847801741248618E-2</v>
      </c>
      <c r="J55" s="61">
        <f t="shared" si="4"/>
        <v>1.7153670767216422E-2</v>
      </c>
      <c r="K55" s="74" t="str">
        <f t="shared" si="5"/>
        <v/>
      </c>
      <c r="L55" s="79">
        <f t="shared" si="5"/>
        <v>2.412405689024059E-3</v>
      </c>
      <c r="M55" s="79">
        <f t="shared" si="5"/>
        <v>6.5017064730196151E-3</v>
      </c>
      <c r="N55" s="79">
        <f t="shared" si="5"/>
        <v>8.8220630412486206E-3</v>
      </c>
      <c r="O55" s="61">
        <f t="shared" si="5"/>
        <v>1.0845145467216419E-2</v>
      </c>
      <c r="P55" s="54" t="s">
        <v>442</v>
      </c>
      <c r="Q55" s="52" t="s">
        <v>443</v>
      </c>
      <c r="R55" s="93" t="s">
        <v>32</v>
      </c>
      <c r="S55" s="70">
        <v>7.8179600000000005E-3</v>
      </c>
      <c r="T55" s="62">
        <f t="shared" si="6"/>
        <v>2.817213673019613E-3</v>
      </c>
      <c r="V55" s="117">
        <v>1.10920953</v>
      </c>
      <c r="W55" s="60">
        <v>2.83839598</v>
      </c>
      <c r="X55" s="60">
        <v>4.3665662100000002</v>
      </c>
      <c r="Y55" s="60">
        <v>5.6833902600000004</v>
      </c>
      <c r="Z55" s="118">
        <v>7.3175604199999995</v>
      </c>
      <c r="AB55" s="74" t="s">
        <v>21</v>
      </c>
      <c r="AC55" s="79">
        <v>5.5065167890240609E-3</v>
      </c>
      <c r="AD55" s="79">
        <v>1.0635173673019613E-2</v>
      </c>
      <c r="AE55" s="79">
        <v>1.3847801741248618E-2</v>
      </c>
      <c r="AF55" s="61">
        <v>1.7153670767216422E-2</v>
      </c>
      <c r="AG55" s="70" t="s">
        <v>21</v>
      </c>
      <c r="AH55" s="70">
        <v>2.412405689024059E-3</v>
      </c>
      <c r="AI55" s="70">
        <v>6.5017064730196151E-3</v>
      </c>
      <c r="AJ55" s="70">
        <v>8.8220630412486206E-3</v>
      </c>
      <c r="AK55" s="70">
        <v>1.0845145467216419E-2</v>
      </c>
    </row>
    <row r="56" spans="2:37" x14ac:dyDescent="0.35">
      <c r="B56" s="54" t="s">
        <v>52</v>
      </c>
      <c r="C56" s="52" t="s">
        <v>33</v>
      </c>
      <c r="D56" s="52" t="s">
        <v>53</v>
      </c>
      <c r="E56" s="52" t="s">
        <v>58</v>
      </c>
      <c r="F56" s="72" t="str">
        <f t="shared" si="4"/>
        <v/>
      </c>
      <c r="G56" s="59">
        <f t="shared" si="4"/>
        <v>6.890056082479226E-3</v>
      </c>
      <c r="H56" s="70">
        <f t="shared" si="4"/>
        <v>1.3632540086585689E-2</v>
      </c>
      <c r="I56" s="70">
        <f t="shared" si="4"/>
        <v>1.7581023280481434E-2</v>
      </c>
      <c r="J56" s="62">
        <f t="shared" si="4"/>
        <v>2.1201954695154266E-2</v>
      </c>
      <c r="K56" s="72" t="str">
        <f t="shared" si="5"/>
        <v/>
      </c>
      <c r="L56" s="59">
        <f t="shared" si="5"/>
        <v>3.870973682479224E-3</v>
      </c>
      <c r="M56" s="70">
        <f t="shared" si="5"/>
        <v>9.6087287865856894E-3</v>
      </c>
      <c r="N56" s="70">
        <f t="shared" si="5"/>
        <v>1.2658553480481435E-2</v>
      </c>
      <c r="O56" s="62">
        <f t="shared" si="5"/>
        <v>1.5004751795154266E-2</v>
      </c>
      <c r="P56" s="54" t="s">
        <v>444</v>
      </c>
      <c r="Q56" s="52" t="s">
        <v>445</v>
      </c>
      <c r="R56" s="93" t="s">
        <v>32</v>
      </c>
      <c r="S56" s="70">
        <v>9.6272400000000004E-3</v>
      </c>
      <c r="T56" s="62">
        <f t="shared" si="6"/>
        <v>4.0053000865856881E-3</v>
      </c>
      <c r="V56" s="113">
        <v>1.10844561</v>
      </c>
      <c r="W56" s="71">
        <v>2.8282210499999998</v>
      </c>
      <c r="X56" s="71">
        <v>4.32351025</v>
      </c>
      <c r="Y56" s="71">
        <v>5.5837106900000002</v>
      </c>
      <c r="Z56" s="114">
        <v>7.1101627499999998</v>
      </c>
      <c r="AB56" s="72" t="s">
        <v>21</v>
      </c>
      <c r="AC56" s="70">
        <v>6.890056082479226E-3</v>
      </c>
      <c r="AD56" s="70">
        <v>1.3632540086585689E-2</v>
      </c>
      <c r="AE56" s="70">
        <v>1.7581023280481434E-2</v>
      </c>
      <c r="AF56" s="62">
        <v>2.1201954695154266E-2</v>
      </c>
      <c r="AG56" s="70" t="s">
        <v>21</v>
      </c>
      <c r="AH56" s="70">
        <v>3.870973682479224E-3</v>
      </c>
      <c r="AI56" s="70">
        <v>9.6087287865856894E-3</v>
      </c>
      <c r="AJ56" s="70">
        <v>1.2658553480481435E-2</v>
      </c>
      <c r="AK56" s="70">
        <v>1.5004751795154266E-2</v>
      </c>
    </row>
    <row r="57" spans="2:37" x14ac:dyDescent="0.35">
      <c r="B57" s="56" t="s">
        <v>52</v>
      </c>
      <c r="C57" s="66" t="s">
        <v>35</v>
      </c>
      <c r="D57" s="66" t="s">
        <v>53</v>
      </c>
      <c r="E57" s="66" t="s">
        <v>351</v>
      </c>
      <c r="F57" s="73" t="str">
        <f t="shared" si="4"/>
        <v/>
      </c>
      <c r="G57" s="75">
        <f t="shared" si="4"/>
        <v>9.8041049409589402E-3</v>
      </c>
      <c r="H57" s="75">
        <f t="shared" si="4"/>
        <v>1.8477974318084386E-2</v>
      </c>
      <c r="I57" s="75">
        <f t="shared" si="4"/>
        <v>2.4233455684698427E-2</v>
      </c>
      <c r="J57" s="63">
        <f t="shared" si="4"/>
        <v>2.9009917443641651E-2</v>
      </c>
      <c r="K57" s="73" t="str">
        <f t="shared" si="5"/>
        <v/>
      </c>
      <c r="L57" s="75">
        <f t="shared" si="5"/>
        <v>6.8834035409589406E-3</v>
      </c>
      <c r="M57" s="75">
        <f t="shared" si="5"/>
        <v>1.4531526818084386E-2</v>
      </c>
      <c r="N57" s="75">
        <f t="shared" si="5"/>
        <v>1.9348202484698429E-2</v>
      </c>
      <c r="O57" s="63">
        <f t="shared" si="5"/>
        <v>2.2832864043641654E-2</v>
      </c>
      <c r="P57" s="54" t="s">
        <v>21</v>
      </c>
      <c r="Q57" s="52" t="s">
        <v>21</v>
      </c>
      <c r="R57" s="93" t="s">
        <v>21</v>
      </c>
      <c r="S57" s="70">
        <v>0</v>
      </c>
      <c r="T57" s="62">
        <f t="shared" si="6"/>
        <v>1.8477974318084386E-2</v>
      </c>
      <c r="V57" s="115">
        <v>1.10896996</v>
      </c>
      <c r="W57" s="107">
        <v>2.82313188</v>
      </c>
      <c r="X57" s="107">
        <v>4.2996863799999998</v>
      </c>
      <c r="Y57" s="107">
        <v>5.5242707500000003</v>
      </c>
      <c r="Z57" s="116">
        <v>6.9788281300000001</v>
      </c>
      <c r="AB57" s="73" t="s">
        <v>21</v>
      </c>
      <c r="AC57" s="75">
        <v>9.8041049409589402E-3</v>
      </c>
      <c r="AD57" s="75">
        <v>1.8477974318084386E-2</v>
      </c>
      <c r="AE57" s="75">
        <v>2.4233455684698427E-2</v>
      </c>
      <c r="AF57" s="63">
        <v>2.9009917443641651E-2</v>
      </c>
      <c r="AG57" s="70" t="s">
        <v>21</v>
      </c>
      <c r="AH57" s="70">
        <v>6.8834035409589406E-3</v>
      </c>
      <c r="AI57" s="70">
        <v>1.4531526818084386E-2</v>
      </c>
      <c r="AJ57" s="70">
        <v>1.9348202484698429E-2</v>
      </c>
      <c r="AK57" s="70">
        <v>2.2832864043641654E-2</v>
      </c>
    </row>
    <row r="58" spans="2:37" x14ac:dyDescent="0.35">
      <c r="B58" s="54" t="s">
        <v>56</v>
      </c>
      <c r="C58" s="52" t="s">
        <v>30</v>
      </c>
      <c r="D58" s="52" t="s">
        <v>53</v>
      </c>
      <c r="E58" s="52" t="s">
        <v>446</v>
      </c>
      <c r="F58" s="72" t="str">
        <f t="shared" si="4"/>
        <v/>
      </c>
      <c r="G58" s="59">
        <f t="shared" si="4"/>
        <v>5.4657597644504913E-3</v>
      </c>
      <c r="H58" s="70">
        <f t="shared" si="4"/>
        <v>1.0645148037877153E-2</v>
      </c>
      <c r="I58" s="70">
        <f t="shared" si="4"/>
        <v>1.4055058872095884E-2</v>
      </c>
      <c r="J58" s="62">
        <f t="shared" si="4"/>
        <v>1.7147735727214841E-2</v>
      </c>
      <c r="K58" s="72" t="str">
        <f t="shared" si="5"/>
        <v/>
      </c>
      <c r="L58" s="59">
        <f t="shared" si="5"/>
        <v>2.3687374644504921E-3</v>
      </c>
      <c r="M58" s="70">
        <f t="shared" si="5"/>
        <v>6.5123093378771507E-3</v>
      </c>
      <c r="N58" s="70">
        <f t="shared" si="5"/>
        <v>9.0378084720958863E-3</v>
      </c>
      <c r="O58" s="62">
        <f t="shared" si="5"/>
        <v>1.084155122721484E-2</v>
      </c>
      <c r="P58" s="55" t="s">
        <v>447</v>
      </c>
      <c r="Q58" s="65" t="s">
        <v>448</v>
      </c>
      <c r="R58" s="99" t="s">
        <v>32</v>
      </c>
      <c r="S58" s="79">
        <v>1.4803569999999999E-2</v>
      </c>
      <c r="T58" s="61">
        <f t="shared" si="6"/>
        <v>-4.1584219621228456E-3</v>
      </c>
      <c r="V58" s="113">
        <v>1.10988693</v>
      </c>
      <c r="W58" s="71">
        <v>2.83992917</v>
      </c>
      <c r="X58" s="71">
        <v>4.3681367599999996</v>
      </c>
      <c r="Y58" s="71">
        <v>5.6822903399999998</v>
      </c>
      <c r="Z58" s="114">
        <v>7.31482016</v>
      </c>
      <c r="AB58" s="72" t="s">
        <v>21</v>
      </c>
      <c r="AC58" s="70">
        <v>5.4657597644504913E-3</v>
      </c>
      <c r="AD58" s="70">
        <v>1.0645148037877153E-2</v>
      </c>
      <c r="AE58" s="70">
        <v>1.4055058872095884E-2</v>
      </c>
      <c r="AF58" s="62">
        <v>1.7147735727214841E-2</v>
      </c>
      <c r="AG58" s="70" t="s">
        <v>21</v>
      </c>
      <c r="AH58" s="70">
        <v>2.3687374644504921E-3</v>
      </c>
      <c r="AI58" s="70">
        <v>6.5123093378771507E-3</v>
      </c>
      <c r="AJ58" s="70">
        <v>9.0378084720958863E-3</v>
      </c>
      <c r="AK58" s="70">
        <v>1.084155122721484E-2</v>
      </c>
    </row>
    <row r="59" spans="2:37" x14ac:dyDescent="0.35">
      <c r="B59" s="54" t="s">
        <v>56</v>
      </c>
      <c r="C59" s="52" t="s">
        <v>33</v>
      </c>
      <c r="D59" s="52" t="s">
        <v>53</v>
      </c>
      <c r="E59" s="52" t="s">
        <v>449</v>
      </c>
      <c r="F59" s="72" t="str">
        <f t="shared" si="4"/>
        <v/>
      </c>
      <c r="G59" s="59">
        <f t="shared" si="4"/>
        <v>6.772823799612273E-3</v>
      </c>
      <c r="H59" s="70">
        <f t="shared" si="4"/>
        <v>1.3334654354874336E-2</v>
      </c>
      <c r="I59" s="70">
        <f t="shared" si="4"/>
        <v>1.7150989629948245E-2</v>
      </c>
      <c r="J59" s="62">
        <f t="shared" si="4"/>
        <v>2.0683298823689054E-2</v>
      </c>
      <c r="K59" s="72" t="str">
        <f t="shared" si="5"/>
        <v/>
      </c>
      <c r="L59" s="59">
        <f t="shared" si="5"/>
        <v>3.7483409996122742E-3</v>
      </c>
      <c r="M59" s="70">
        <f t="shared" si="5"/>
        <v>9.3035962548743342E-3</v>
      </c>
      <c r="N59" s="70">
        <f t="shared" si="5"/>
        <v>1.2222104329948242E-2</v>
      </c>
      <c r="O59" s="62">
        <f t="shared" si="5"/>
        <v>1.4478224023689056E-2</v>
      </c>
      <c r="P59" s="54" t="s">
        <v>450</v>
      </c>
      <c r="Q59" s="52" t="s">
        <v>451</v>
      </c>
      <c r="R59" s="93" t="s">
        <v>32</v>
      </c>
      <c r="S59" s="70">
        <v>1.0695420000000001E-2</v>
      </c>
      <c r="T59" s="62">
        <f t="shared" si="6"/>
        <v>2.6392343548743355E-3</v>
      </c>
      <c r="V59" s="113">
        <v>1.10860413</v>
      </c>
      <c r="W59" s="71">
        <v>2.8292603199999999</v>
      </c>
      <c r="X59" s="71">
        <v>4.3277508100000004</v>
      </c>
      <c r="Y59" s="71">
        <v>5.5942480200000002</v>
      </c>
      <c r="Z59" s="114">
        <v>7.1339035900000001</v>
      </c>
      <c r="AB59" s="72" t="s">
        <v>21</v>
      </c>
      <c r="AC59" s="70">
        <v>6.772823799612273E-3</v>
      </c>
      <c r="AD59" s="70">
        <v>1.3334654354874336E-2</v>
      </c>
      <c r="AE59" s="70">
        <v>1.7150989629948245E-2</v>
      </c>
      <c r="AF59" s="62">
        <v>2.0683298823689054E-2</v>
      </c>
      <c r="AG59" s="70" t="s">
        <v>21</v>
      </c>
      <c r="AH59" s="70">
        <v>3.7483409996122742E-3</v>
      </c>
      <c r="AI59" s="70">
        <v>9.3035962548743342E-3</v>
      </c>
      <c r="AJ59" s="70">
        <v>1.2222104329948242E-2</v>
      </c>
      <c r="AK59" s="70">
        <v>1.4478224023689056E-2</v>
      </c>
    </row>
    <row r="60" spans="2:37" x14ac:dyDescent="0.35">
      <c r="B60" s="54" t="s">
        <v>56</v>
      </c>
      <c r="C60" s="52" t="s">
        <v>35</v>
      </c>
      <c r="D60" s="52" t="s">
        <v>53</v>
      </c>
      <c r="E60" s="52" t="s">
        <v>54</v>
      </c>
      <c r="F60" s="72" t="str">
        <f t="shared" si="4"/>
        <v/>
      </c>
      <c r="G60" s="59">
        <f t="shared" si="4"/>
        <v>9.023912289723466E-3</v>
      </c>
      <c r="H60" s="70">
        <f t="shared" si="4"/>
        <v>1.722786964353511E-2</v>
      </c>
      <c r="I60" s="70">
        <f t="shared" si="4"/>
        <v>2.2719896643011318E-2</v>
      </c>
      <c r="J60" s="62">
        <f t="shared" si="4"/>
        <v>2.7618996828926563E-2</v>
      </c>
      <c r="K60" s="72" t="str">
        <f t="shared" si="5"/>
        <v/>
      </c>
      <c r="L60" s="59">
        <f t="shared" si="5"/>
        <v>6.0856656897234672E-3</v>
      </c>
      <c r="M60" s="70">
        <f t="shared" si="5"/>
        <v>1.3275868843535113E-2</v>
      </c>
      <c r="N60" s="70">
        <f t="shared" si="5"/>
        <v>1.7843362543011318E-2</v>
      </c>
      <c r="O60" s="62">
        <f t="shared" si="5"/>
        <v>2.1451495128926561E-2</v>
      </c>
      <c r="P60" s="56" t="s">
        <v>452</v>
      </c>
      <c r="Q60" s="66" t="s">
        <v>453</v>
      </c>
      <c r="R60" s="95" t="s">
        <v>32</v>
      </c>
      <c r="S60" s="75">
        <v>1.426287E-2</v>
      </c>
      <c r="T60" s="63">
        <f t="shared" si="6"/>
        <v>2.96499964353511E-3</v>
      </c>
      <c r="V60" s="113">
        <v>1.10944687</v>
      </c>
      <c r="W60" s="71">
        <v>2.8276726600000002</v>
      </c>
      <c r="X60" s="71">
        <v>4.3149447600000004</v>
      </c>
      <c r="Y60" s="71">
        <v>5.5561870100000004</v>
      </c>
      <c r="Z60" s="114">
        <v>7.03772077</v>
      </c>
      <c r="AB60" s="72" t="s">
        <v>21</v>
      </c>
      <c r="AC60" s="70">
        <v>9.023912289723466E-3</v>
      </c>
      <c r="AD60" s="70">
        <v>1.722786964353511E-2</v>
      </c>
      <c r="AE60" s="70">
        <v>2.2719896643011318E-2</v>
      </c>
      <c r="AF60" s="62">
        <v>2.7618996828926563E-2</v>
      </c>
      <c r="AG60" s="70" t="s">
        <v>21</v>
      </c>
      <c r="AH60" s="70">
        <v>6.0856656897234672E-3</v>
      </c>
      <c r="AI60" s="70">
        <v>1.3275868843535113E-2</v>
      </c>
      <c r="AJ60" s="70">
        <v>1.7843362543011318E-2</v>
      </c>
      <c r="AK60" s="70">
        <v>2.1451495128926561E-2</v>
      </c>
    </row>
    <row r="61" spans="2:37" x14ac:dyDescent="0.35">
      <c r="B61" s="78" t="s">
        <v>59</v>
      </c>
      <c r="C61" s="77"/>
      <c r="D61" s="77"/>
      <c r="E61" s="77"/>
      <c r="F61" s="77" t="str">
        <f t="shared" si="4"/>
        <v/>
      </c>
      <c r="G61" s="77" t="str">
        <f t="shared" si="4"/>
        <v/>
      </c>
      <c r="H61" s="77" t="str">
        <f t="shared" si="4"/>
        <v/>
      </c>
      <c r="I61" s="77" t="str">
        <f t="shared" si="4"/>
        <v/>
      </c>
      <c r="J61" s="77" t="str">
        <f t="shared" si="4"/>
        <v/>
      </c>
      <c r="K61" s="77" t="str">
        <f t="shared" si="5"/>
        <v/>
      </c>
      <c r="L61" s="77" t="str">
        <f t="shared" si="5"/>
        <v/>
      </c>
      <c r="M61" s="77" t="str">
        <f t="shared" si="5"/>
        <v/>
      </c>
      <c r="N61" s="77" t="str">
        <f t="shared" si="5"/>
        <v/>
      </c>
      <c r="O61" s="76" t="str">
        <f t="shared" si="5"/>
        <v/>
      </c>
      <c r="P61" s="78"/>
      <c r="Q61" s="77"/>
      <c r="R61" s="94"/>
      <c r="S61" s="77"/>
      <c r="T61" s="76" t="str">
        <f t="shared" si="6"/>
        <v/>
      </c>
      <c r="V61" s="111"/>
      <c r="W61" s="106"/>
      <c r="X61" s="106"/>
      <c r="Y61" s="106"/>
      <c r="Z61" s="112"/>
      <c r="AB61" s="77"/>
      <c r="AC61" s="77"/>
      <c r="AD61" s="77"/>
      <c r="AE61" s="77"/>
      <c r="AF61" s="77"/>
      <c r="AG61" s="77"/>
      <c r="AH61" s="77"/>
      <c r="AI61" s="77"/>
      <c r="AJ61" s="77"/>
      <c r="AK61" s="77"/>
    </row>
    <row r="62" spans="2:37" x14ac:dyDescent="0.35">
      <c r="B62" s="55" t="s">
        <v>60</v>
      </c>
      <c r="C62" s="65" t="s">
        <v>61</v>
      </c>
      <c r="D62" s="65" t="s">
        <v>62</v>
      </c>
      <c r="E62" s="65" t="s">
        <v>179</v>
      </c>
      <c r="F62" s="74" t="str">
        <f t="shared" si="4"/>
        <v/>
      </c>
      <c r="G62" s="79">
        <f t="shared" si="4"/>
        <v>5.8145138461493436E-3</v>
      </c>
      <c r="H62" s="79">
        <f t="shared" si="4"/>
        <v>1.112209293755869E-2</v>
      </c>
      <c r="I62" s="79">
        <f t="shared" si="4"/>
        <v>1.4162656254498581E-2</v>
      </c>
      <c r="J62" s="61">
        <f t="shared" si="4"/>
        <v>1.7418949277050202E-2</v>
      </c>
      <c r="K62" s="74" t="str">
        <f t="shared" si="5"/>
        <v/>
      </c>
      <c r="L62" s="79">
        <f t="shared" si="5"/>
        <v>2.7403608461493436E-3</v>
      </c>
      <c r="M62" s="79">
        <f t="shared" si="5"/>
        <v>7.0131454375586917E-3</v>
      </c>
      <c r="N62" s="79">
        <f t="shared" si="5"/>
        <v>9.1514772544985818E-3</v>
      </c>
      <c r="O62" s="61">
        <f t="shared" si="5"/>
        <v>1.1121806477050203E-2</v>
      </c>
      <c r="P62" s="54" t="s">
        <v>454</v>
      </c>
      <c r="Q62" s="52" t="s">
        <v>455</v>
      </c>
      <c r="R62" s="93" t="s">
        <v>32</v>
      </c>
      <c r="S62" s="70">
        <v>0</v>
      </c>
      <c r="T62" s="62">
        <f t="shared" si="6"/>
        <v>1.112209293755869E-2</v>
      </c>
      <c r="V62" s="117">
        <v>1.1084212099999999</v>
      </c>
      <c r="W62" s="60">
        <v>2.83495119</v>
      </c>
      <c r="X62" s="60">
        <v>4.3574668499999998</v>
      </c>
      <c r="Y62" s="60">
        <v>5.6686516300000003</v>
      </c>
      <c r="Z62" s="118">
        <v>7.2952288300000001</v>
      </c>
      <c r="AB62" s="74" t="s">
        <v>21</v>
      </c>
      <c r="AC62" s="79">
        <v>5.8145138461493436E-3</v>
      </c>
      <c r="AD62" s="79">
        <v>1.112209293755869E-2</v>
      </c>
      <c r="AE62" s="79">
        <v>1.4162656254498581E-2</v>
      </c>
      <c r="AF62" s="61">
        <v>1.7418949277050202E-2</v>
      </c>
      <c r="AG62" s="70" t="s">
        <v>21</v>
      </c>
      <c r="AH62" s="70">
        <v>2.7403608461493436E-3</v>
      </c>
      <c r="AI62" s="70">
        <v>7.0131454375586917E-3</v>
      </c>
      <c r="AJ62" s="70">
        <v>9.1514772544985818E-3</v>
      </c>
      <c r="AK62" s="70">
        <v>1.1121806477050203E-2</v>
      </c>
    </row>
    <row r="63" spans="2:37" x14ac:dyDescent="0.35">
      <c r="B63" s="56" t="s">
        <v>60</v>
      </c>
      <c r="C63" s="66" t="s">
        <v>63</v>
      </c>
      <c r="D63" s="66" t="s">
        <v>62</v>
      </c>
      <c r="E63" s="66" t="s">
        <v>21</v>
      </c>
      <c r="F63" s="73">
        <f t="shared" si="4"/>
        <v>3.9645562837902718E-4</v>
      </c>
      <c r="G63" s="75">
        <f t="shared" si="4"/>
        <v>9.0260224197499447E-3</v>
      </c>
      <c r="H63" s="75">
        <f t="shared" si="4"/>
        <v>1.5864882148322667E-2</v>
      </c>
      <c r="I63" s="75">
        <f t="shared" si="4"/>
        <v>1.9996115581930672E-2</v>
      </c>
      <c r="J63" s="63">
        <f t="shared" si="4"/>
        <v>2.3496265912965109E-2</v>
      </c>
      <c r="K63" s="73" t="str">
        <f t="shared" si="5"/>
        <v/>
      </c>
      <c r="L63" s="75">
        <f t="shared" si="5"/>
        <v>6.0911899197499467E-3</v>
      </c>
      <c r="M63" s="75">
        <f t="shared" si="5"/>
        <v>1.1901056448322667E-2</v>
      </c>
      <c r="N63" s="75">
        <f t="shared" si="5"/>
        <v>1.511841048193067E-2</v>
      </c>
      <c r="O63" s="63">
        <f t="shared" si="5"/>
        <v>1.732869501296511E-2</v>
      </c>
      <c r="P63" s="54" t="s">
        <v>21</v>
      </c>
      <c r="Q63" s="52" t="s">
        <v>21</v>
      </c>
      <c r="R63" s="93" t="s">
        <v>21</v>
      </c>
      <c r="S63" s="70">
        <v>0</v>
      </c>
      <c r="T63" s="62">
        <f t="shared" si="6"/>
        <v>1.5864882148322667E-2</v>
      </c>
      <c r="V63" s="115">
        <v>1.10703212</v>
      </c>
      <c r="W63" s="107">
        <v>2.8233439200000001</v>
      </c>
      <c r="X63" s="107">
        <v>4.3204094300000007</v>
      </c>
      <c r="Y63" s="107">
        <v>5.5901705499999998</v>
      </c>
      <c r="Z63" s="116">
        <v>7.1461837299999997</v>
      </c>
      <c r="AB63" s="73">
        <v>3.9645562837902718E-4</v>
      </c>
      <c r="AC63" s="75">
        <v>9.0260224197499447E-3</v>
      </c>
      <c r="AD63" s="75">
        <v>1.5864882148322667E-2</v>
      </c>
      <c r="AE63" s="75">
        <v>1.9996115581930672E-2</v>
      </c>
      <c r="AF63" s="63">
        <v>2.3496265912965109E-2</v>
      </c>
      <c r="AG63" s="70" t="s">
        <v>21</v>
      </c>
      <c r="AH63" s="70">
        <v>6.0911899197499467E-3</v>
      </c>
      <c r="AI63" s="70">
        <v>1.1901056448322667E-2</v>
      </c>
      <c r="AJ63" s="70">
        <v>1.511841048193067E-2</v>
      </c>
      <c r="AK63" s="70">
        <v>1.732869501296511E-2</v>
      </c>
    </row>
    <row r="64" spans="2:37" x14ac:dyDescent="0.35">
      <c r="B64" s="55" t="s">
        <v>64</v>
      </c>
      <c r="C64" s="65" t="s">
        <v>65</v>
      </c>
      <c r="D64" s="65" t="s">
        <v>62</v>
      </c>
      <c r="E64" s="65" t="s">
        <v>179</v>
      </c>
      <c r="F64" s="74" t="str">
        <f t="shared" si="4"/>
        <v/>
      </c>
      <c r="G64" s="79">
        <f t="shared" si="4"/>
        <v>6.0796243520442605E-3</v>
      </c>
      <c r="H64" s="79">
        <f t="shared" si="4"/>
        <v>1.2408446315395534E-2</v>
      </c>
      <c r="I64" s="79">
        <f t="shared" si="4"/>
        <v>1.5969714614086191E-2</v>
      </c>
      <c r="J64" s="61">
        <f t="shared" si="4"/>
        <v>1.9124273665815442E-2</v>
      </c>
      <c r="K64" s="74" t="str">
        <f t="shared" si="5"/>
        <v/>
      </c>
      <c r="L64" s="79">
        <f t="shared" si="5"/>
        <v>3.0197430520442596E-3</v>
      </c>
      <c r="M64" s="79">
        <f t="shared" si="5"/>
        <v>8.3499708153955358E-3</v>
      </c>
      <c r="N64" s="79">
        <f t="shared" si="5"/>
        <v>1.1017064114086192E-2</v>
      </c>
      <c r="O64" s="61">
        <f t="shared" si="5"/>
        <v>1.2888183665815442E-2</v>
      </c>
      <c r="P64" s="55" t="s">
        <v>21</v>
      </c>
      <c r="Q64" s="65" t="s">
        <v>21</v>
      </c>
      <c r="R64" s="99" t="s">
        <v>21</v>
      </c>
      <c r="S64" s="79">
        <v>0</v>
      </c>
      <c r="T64" s="61">
        <f t="shared" si="6"/>
        <v>1.2408446315395534E-2</v>
      </c>
      <c r="V64" s="117">
        <v>1.10981785</v>
      </c>
      <c r="W64" s="60">
        <v>2.8359190299999999</v>
      </c>
      <c r="X64" s="60">
        <v>4.3452668799999996</v>
      </c>
      <c r="Y64" s="60">
        <v>5.6294197600000002</v>
      </c>
      <c r="Z64" s="118">
        <v>7.2081384400000008</v>
      </c>
      <c r="AB64" s="74" t="s">
        <v>21</v>
      </c>
      <c r="AC64" s="79">
        <v>6.0796243520442605E-3</v>
      </c>
      <c r="AD64" s="79">
        <v>1.2408446315395534E-2</v>
      </c>
      <c r="AE64" s="79">
        <v>1.5969714614086191E-2</v>
      </c>
      <c r="AF64" s="61">
        <v>1.9124273665815442E-2</v>
      </c>
      <c r="AG64" s="79" t="s">
        <v>21</v>
      </c>
      <c r="AH64" s="79">
        <v>3.0197430520442596E-3</v>
      </c>
      <c r="AI64" s="79">
        <v>8.3499708153955358E-3</v>
      </c>
      <c r="AJ64" s="79">
        <v>1.1017064114086192E-2</v>
      </c>
      <c r="AK64" s="79">
        <v>1.2888183665815442E-2</v>
      </c>
    </row>
    <row r="65" spans="2:37" x14ac:dyDescent="0.35">
      <c r="B65" s="56" t="s">
        <v>64</v>
      </c>
      <c r="C65" s="66" t="s">
        <v>66</v>
      </c>
      <c r="D65" s="66" t="s">
        <v>62</v>
      </c>
      <c r="E65" s="66" t="s">
        <v>21</v>
      </c>
      <c r="F65" s="73" t="str">
        <f t="shared" si="4"/>
        <v/>
      </c>
      <c r="G65" s="75">
        <f t="shared" si="4"/>
        <v>8.5891309876473271E-3</v>
      </c>
      <c r="H65" s="75">
        <f t="shared" si="4"/>
        <v>1.6546100280982044E-2</v>
      </c>
      <c r="I65" s="75">
        <f t="shared" si="4"/>
        <v>2.0590060770025724E-2</v>
      </c>
      <c r="J65" s="63">
        <f t="shared" si="4"/>
        <v>2.4968090339475606E-2</v>
      </c>
      <c r="K65" s="73" t="str">
        <f t="shared" si="5"/>
        <v/>
      </c>
      <c r="L65" s="75">
        <f t="shared" si="5"/>
        <v>5.6395984876473296E-3</v>
      </c>
      <c r="M65" s="75">
        <f t="shared" si="5"/>
        <v>1.2588375480982046E-2</v>
      </c>
      <c r="N65" s="75">
        <f t="shared" si="5"/>
        <v>1.5715915970025723E-2</v>
      </c>
      <c r="O65" s="63">
        <f t="shared" si="5"/>
        <v>1.8805454439475604E-2</v>
      </c>
      <c r="P65" s="56" t="s">
        <v>21</v>
      </c>
      <c r="Q65" s="66" t="s">
        <v>21</v>
      </c>
      <c r="R65" s="95" t="s">
        <v>21</v>
      </c>
      <c r="S65" s="75"/>
      <c r="T65" s="63" t="str">
        <f t="shared" si="6"/>
        <v/>
      </c>
      <c r="V65" s="115">
        <v>1.10924848</v>
      </c>
      <c r="W65" s="107">
        <v>2.82933799</v>
      </c>
      <c r="X65" s="107">
        <v>4.3224754499999998</v>
      </c>
      <c r="Y65" s="107">
        <v>5.5849847699999993</v>
      </c>
      <c r="Z65" s="116">
        <v>7.1163637900000003</v>
      </c>
      <c r="AB65" s="73" t="s">
        <v>21</v>
      </c>
      <c r="AC65" s="75">
        <v>8.5891309876473271E-3</v>
      </c>
      <c r="AD65" s="75">
        <v>1.6546100280982044E-2</v>
      </c>
      <c r="AE65" s="75">
        <v>2.0590060770025724E-2</v>
      </c>
      <c r="AF65" s="63">
        <v>2.4968090339475606E-2</v>
      </c>
      <c r="AG65" s="75" t="s">
        <v>21</v>
      </c>
      <c r="AH65" s="75">
        <v>5.6395984876473296E-3</v>
      </c>
      <c r="AI65" s="75">
        <v>1.2588375480982046E-2</v>
      </c>
      <c r="AJ65" s="75">
        <v>1.5715915970025723E-2</v>
      </c>
      <c r="AK65" s="75">
        <v>1.8805454439475604E-2</v>
      </c>
    </row>
    <row r="66" spans="2:37" x14ac:dyDescent="0.35">
      <c r="B66" s="78" t="s">
        <v>226</v>
      </c>
      <c r="C66" s="77"/>
      <c r="D66" s="77"/>
      <c r="E66" s="77"/>
      <c r="F66" s="77" t="str">
        <f t="shared" si="4"/>
        <v/>
      </c>
      <c r="G66" s="77" t="str">
        <f t="shared" si="4"/>
        <v/>
      </c>
      <c r="H66" s="77" t="str">
        <f t="shared" si="4"/>
        <v/>
      </c>
      <c r="I66" s="77" t="str">
        <f t="shared" si="4"/>
        <v/>
      </c>
      <c r="J66" s="77" t="str">
        <f t="shared" si="4"/>
        <v/>
      </c>
      <c r="K66" s="77" t="str">
        <f t="shared" si="5"/>
        <v/>
      </c>
      <c r="L66" s="77" t="str">
        <f t="shared" si="5"/>
        <v/>
      </c>
      <c r="M66" s="77" t="str">
        <f t="shared" si="5"/>
        <v/>
      </c>
      <c r="N66" s="77" t="str">
        <f t="shared" si="5"/>
        <v/>
      </c>
      <c r="O66" s="76" t="str">
        <f t="shared" si="5"/>
        <v/>
      </c>
      <c r="P66" s="78"/>
      <c r="Q66" s="77"/>
      <c r="R66" s="94"/>
      <c r="S66" s="77"/>
      <c r="T66" s="76" t="str">
        <f t="shared" si="6"/>
        <v/>
      </c>
      <c r="V66" s="111"/>
      <c r="W66" s="106"/>
      <c r="X66" s="106"/>
      <c r="Y66" s="106"/>
      <c r="Z66" s="112"/>
      <c r="AB66" s="77"/>
      <c r="AC66" s="77"/>
      <c r="AD66" s="77"/>
      <c r="AE66" s="77"/>
      <c r="AF66" s="77"/>
      <c r="AG66" s="77"/>
      <c r="AH66" s="77"/>
      <c r="AI66" s="77"/>
      <c r="AJ66" s="77"/>
      <c r="AK66" s="77"/>
    </row>
    <row r="67" spans="2:37" x14ac:dyDescent="0.35">
      <c r="B67" s="55" t="s">
        <v>227</v>
      </c>
      <c r="C67" s="65" t="s">
        <v>61</v>
      </c>
      <c r="D67" s="65" t="s">
        <v>97</v>
      </c>
      <c r="E67" s="65" t="s">
        <v>21</v>
      </c>
      <c r="F67" s="74" t="str">
        <f t="shared" si="4"/>
        <v/>
      </c>
      <c r="G67" s="79">
        <f t="shared" si="4"/>
        <v>4.1095526580470967E-3</v>
      </c>
      <c r="H67" s="79">
        <f t="shared" si="4"/>
        <v>8.8769623876239108E-3</v>
      </c>
      <c r="I67" s="79">
        <f t="shared" si="4"/>
        <v>1.1558920272184629E-2</v>
      </c>
      <c r="J67" s="61">
        <f t="shared" si="4"/>
        <v>1.3982455301438173E-2</v>
      </c>
      <c r="K67" s="74" t="str">
        <f t="shared" si="5"/>
        <v/>
      </c>
      <c r="L67" s="79">
        <f t="shared" si="5"/>
        <v>9.0226775804709992E-4</v>
      </c>
      <c r="M67" s="79">
        <f t="shared" si="5"/>
        <v>4.6267006876239102E-3</v>
      </c>
      <c r="N67" s="79">
        <f t="shared" si="5"/>
        <v>6.4011048721846304E-3</v>
      </c>
      <c r="O67" s="61">
        <f t="shared" si="5"/>
        <v>7.4914069014381732E-3</v>
      </c>
      <c r="P67" s="54" t="s">
        <v>21</v>
      </c>
      <c r="Q67" s="52" t="s">
        <v>21</v>
      </c>
      <c r="R67" s="93" t="s">
        <v>21</v>
      </c>
      <c r="S67" s="70"/>
      <c r="T67" s="62" t="str">
        <f t="shared" si="6"/>
        <v/>
      </c>
      <c r="V67" s="117">
        <v>1.1114587899999999</v>
      </c>
      <c r="W67" s="60">
        <v>2.8515228100000001</v>
      </c>
      <c r="X67" s="60">
        <v>4.4009446099999998</v>
      </c>
      <c r="Y67" s="60">
        <v>5.7530780500000001</v>
      </c>
      <c r="Z67" s="118">
        <v>7.4703025800000002</v>
      </c>
      <c r="AB67" s="74" t="s">
        <v>21</v>
      </c>
      <c r="AC67" s="79">
        <v>4.1095526580470967E-3</v>
      </c>
      <c r="AD67" s="79">
        <v>8.8769623876239108E-3</v>
      </c>
      <c r="AE67" s="79">
        <v>1.1558920272184629E-2</v>
      </c>
      <c r="AF67" s="61">
        <v>1.3982455301438173E-2</v>
      </c>
      <c r="AG67" s="70" t="s">
        <v>21</v>
      </c>
      <c r="AH67" s="70">
        <v>9.0226775804709992E-4</v>
      </c>
      <c r="AI67" s="70">
        <v>4.6267006876239102E-3</v>
      </c>
      <c r="AJ67" s="70">
        <v>6.4011048721846304E-3</v>
      </c>
      <c r="AK67" s="70">
        <v>7.4914069014381732E-3</v>
      </c>
    </row>
    <row r="68" spans="2:37" x14ac:dyDescent="0.35">
      <c r="B68" s="56" t="s">
        <v>227</v>
      </c>
      <c r="C68" s="66" t="s">
        <v>63</v>
      </c>
      <c r="D68" s="66" t="s">
        <v>97</v>
      </c>
      <c r="E68" s="66" t="s">
        <v>21</v>
      </c>
      <c r="F68" s="73" t="str">
        <f t="shared" si="4"/>
        <v/>
      </c>
      <c r="G68" s="75">
        <f t="shared" si="4"/>
        <v>6.8225141116102749E-3</v>
      </c>
      <c r="H68" s="75">
        <f t="shared" si="4"/>
        <v>1.3005429574177737E-2</v>
      </c>
      <c r="I68" s="75">
        <f t="shared" si="4"/>
        <v>1.6860037208870648E-2</v>
      </c>
      <c r="J68" s="63">
        <f t="shared" si="4"/>
        <v>1.9934315009835675E-2</v>
      </c>
      <c r="K68" s="73" t="str">
        <f t="shared" si="5"/>
        <v/>
      </c>
      <c r="L68" s="75">
        <f t="shared" si="5"/>
        <v>3.8060851116102725E-3</v>
      </c>
      <c r="M68" s="75">
        <f t="shared" si="5"/>
        <v>8.9766338741777418E-3</v>
      </c>
      <c r="N68" s="75">
        <f t="shared" si="5"/>
        <v>1.1937038508870648E-2</v>
      </c>
      <c r="O68" s="63">
        <f t="shared" si="5"/>
        <v>1.3712789609835675E-2</v>
      </c>
      <c r="P68" s="54" t="s">
        <v>21</v>
      </c>
      <c r="Q68" s="52" t="s">
        <v>21</v>
      </c>
      <c r="R68" s="93" t="s">
        <v>21</v>
      </c>
      <c r="S68" s="70"/>
      <c r="T68" s="62" t="str">
        <f t="shared" si="6"/>
        <v/>
      </c>
      <c r="V68" s="115">
        <v>1.10998277</v>
      </c>
      <c r="W68" s="107">
        <v>2.8390301299999998</v>
      </c>
      <c r="X68" s="107">
        <v>4.3609758699999999</v>
      </c>
      <c r="Y68" s="107">
        <v>5.6667946100000002</v>
      </c>
      <c r="Z68" s="114">
        <v>7.2921972000000004</v>
      </c>
      <c r="AB68" s="73" t="s">
        <v>21</v>
      </c>
      <c r="AC68" s="75">
        <v>6.8225141116102749E-3</v>
      </c>
      <c r="AD68" s="75">
        <v>1.3005429574177737E-2</v>
      </c>
      <c r="AE68" s="75">
        <v>1.6860037208870648E-2</v>
      </c>
      <c r="AF68" s="63">
        <v>1.9934315009835675E-2</v>
      </c>
      <c r="AG68" s="70" t="s">
        <v>21</v>
      </c>
      <c r="AH68" s="70">
        <v>3.8060851116102725E-3</v>
      </c>
      <c r="AI68" s="70">
        <v>8.9766338741777418E-3</v>
      </c>
      <c r="AJ68" s="70">
        <v>1.1937038508870648E-2</v>
      </c>
      <c r="AK68" s="70">
        <v>1.3712789609835675E-2</v>
      </c>
    </row>
    <row r="69" spans="2:37" x14ac:dyDescent="0.35">
      <c r="B69" s="55" t="s">
        <v>228</v>
      </c>
      <c r="C69" s="65" t="s">
        <v>65</v>
      </c>
      <c r="D69" s="65" t="s">
        <v>97</v>
      </c>
      <c r="E69" s="65" t="s">
        <v>21</v>
      </c>
      <c r="F69" s="74" t="str">
        <f t="shared" si="4"/>
        <v/>
      </c>
      <c r="G69" s="79">
        <f t="shared" si="4"/>
        <v>6.0842720080142966E-3</v>
      </c>
      <c r="H69" s="79">
        <f t="shared" si="4"/>
        <v>1.2460418420407139E-2</v>
      </c>
      <c r="I69" s="79">
        <f t="shared" si="4"/>
        <v>1.5968404655772407E-2</v>
      </c>
      <c r="J69" s="61">
        <f t="shared" si="4"/>
        <v>1.9523015208309503E-2</v>
      </c>
      <c r="K69" s="74" t="str">
        <f t="shared" si="5"/>
        <v/>
      </c>
      <c r="L69" s="79">
        <f t="shared" si="5"/>
        <v>3.0247965080142979E-3</v>
      </c>
      <c r="M69" s="79">
        <f t="shared" si="5"/>
        <v>8.403912520407144E-3</v>
      </c>
      <c r="N69" s="79">
        <f t="shared" si="5"/>
        <v>1.101629805577241E-2</v>
      </c>
      <c r="O69" s="61">
        <f t="shared" si="5"/>
        <v>1.3294494108309501E-2</v>
      </c>
      <c r="P69" s="55" t="s">
        <v>21</v>
      </c>
      <c r="Q69" s="65" t="s">
        <v>21</v>
      </c>
      <c r="R69" s="99" t="s">
        <v>21</v>
      </c>
      <c r="S69" s="79">
        <v>0</v>
      </c>
      <c r="T69" s="61">
        <f t="shared" si="6"/>
        <v>1.2460418420407139E-2</v>
      </c>
      <c r="V69" s="117">
        <v>1.11004952</v>
      </c>
      <c r="W69" s="60">
        <v>2.83631879</v>
      </c>
      <c r="X69" s="60">
        <v>4.3451400100000006</v>
      </c>
      <c r="Y69" s="60">
        <v>5.6291261299999995</v>
      </c>
      <c r="Z69" s="118">
        <v>7.2000116099999998</v>
      </c>
      <c r="AB69" s="74" t="s">
        <v>21</v>
      </c>
      <c r="AC69" s="79">
        <v>6.0842720080142966E-3</v>
      </c>
      <c r="AD69" s="79">
        <v>1.2460418420407139E-2</v>
      </c>
      <c r="AE69" s="79">
        <v>1.5968404655772407E-2</v>
      </c>
      <c r="AF69" s="61">
        <v>1.9523015208309503E-2</v>
      </c>
      <c r="AG69" s="79" t="s">
        <v>21</v>
      </c>
      <c r="AH69" s="79">
        <v>3.0247965080142979E-3</v>
      </c>
      <c r="AI69" s="79">
        <v>8.403912520407144E-3</v>
      </c>
      <c r="AJ69" s="79">
        <v>1.101629805577241E-2</v>
      </c>
      <c r="AK69" s="79">
        <v>1.3294494108309501E-2</v>
      </c>
    </row>
    <row r="70" spans="2:37" x14ac:dyDescent="0.35">
      <c r="B70" s="56" t="s">
        <v>228</v>
      </c>
      <c r="C70" s="66" t="s">
        <v>66</v>
      </c>
      <c r="D70" s="66" t="s">
        <v>97</v>
      </c>
      <c r="E70" s="66" t="s">
        <v>21</v>
      </c>
      <c r="F70" s="73" t="str">
        <f t="shared" si="4"/>
        <v/>
      </c>
      <c r="G70" s="75">
        <f t="shared" si="4"/>
        <v>9.1401467169568689E-3</v>
      </c>
      <c r="H70" s="75">
        <f t="shared" si="4"/>
        <v>1.7417917415012724E-2</v>
      </c>
      <c r="I70" s="75">
        <f t="shared" si="4"/>
        <v>2.2517988074070995E-2</v>
      </c>
      <c r="J70" s="63">
        <f t="shared" si="4"/>
        <v>2.6849581678562995E-2</v>
      </c>
      <c r="K70" s="73" t="str">
        <f t="shared" si="5"/>
        <v/>
      </c>
      <c r="L70" s="75">
        <f t="shared" si="5"/>
        <v>6.2052255169568696E-3</v>
      </c>
      <c r="M70" s="75">
        <f t="shared" si="5"/>
        <v>1.3467573815012724E-2</v>
      </c>
      <c r="N70" s="75">
        <f t="shared" si="5"/>
        <v>1.7643261074070993E-2</v>
      </c>
      <c r="O70" s="63">
        <f t="shared" si="5"/>
        <v>2.0687741778562991E-2</v>
      </c>
      <c r="P70" s="56" t="s">
        <v>21</v>
      </c>
      <c r="Q70" s="66" t="s">
        <v>21</v>
      </c>
      <c r="R70" s="95" t="s">
        <v>21</v>
      </c>
      <c r="S70" s="75">
        <v>0</v>
      </c>
      <c r="T70" s="63">
        <f t="shared" si="6"/>
        <v>1.7417917415012724E-2</v>
      </c>
      <c r="V70" s="113">
        <v>1.1093690999999999</v>
      </c>
      <c r="W70" s="71">
        <v>2.8269767299999997</v>
      </c>
      <c r="X70" s="71">
        <v>4.3126008999999996</v>
      </c>
      <c r="Y70" s="107">
        <v>5.5552735800000006</v>
      </c>
      <c r="Z70" s="116">
        <v>7.0491719800000006</v>
      </c>
      <c r="AB70" s="73" t="s">
        <v>21</v>
      </c>
      <c r="AC70" s="75">
        <v>9.1401467169568689E-3</v>
      </c>
      <c r="AD70" s="75">
        <v>1.7417917415012724E-2</v>
      </c>
      <c r="AE70" s="75">
        <v>2.2517988074070995E-2</v>
      </c>
      <c r="AF70" s="63">
        <v>2.6849581678562995E-2</v>
      </c>
      <c r="AG70" s="75" t="s">
        <v>21</v>
      </c>
      <c r="AH70" s="75">
        <v>6.2052255169568696E-3</v>
      </c>
      <c r="AI70" s="75">
        <v>1.3467573815012724E-2</v>
      </c>
      <c r="AJ70" s="75">
        <v>1.7643261074070993E-2</v>
      </c>
      <c r="AK70" s="75">
        <v>2.0687741778562991E-2</v>
      </c>
    </row>
    <row r="71" spans="2:37" x14ac:dyDescent="0.35">
      <c r="B71" s="56" t="s">
        <v>306</v>
      </c>
      <c r="C71" s="66" t="s">
        <v>61</v>
      </c>
      <c r="D71" s="66" t="s">
        <v>97</v>
      </c>
      <c r="E71" s="66" t="s">
        <v>21</v>
      </c>
      <c r="F71" s="73" t="str">
        <f t="shared" si="4"/>
        <v/>
      </c>
      <c r="G71" s="75">
        <f t="shared" si="4"/>
        <v>3.9225319288413787E-3</v>
      </c>
      <c r="H71" s="75">
        <f t="shared" si="4"/>
        <v>8.6849745069161911E-3</v>
      </c>
      <c r="I71" s="75">
        <f t="shared" si="4"/>
        <v>1.1475569859644891E-2</v>
      </c>
      <c r="J71" s="63">
        <f t="shared" si="4"/>
        <v>1.4206260747561678E-2</v>
      </c>
      <c r="K71" s="73" t="str">
        <f t="shared" si="5"/>
        <v/>
      </c>
      <c r="L71" s="75">
        <f t="shared" si="5"/>
        <v>6.9642932884137658E-4</v>
      </c>
      <c r="M71" s="75">
        <f t="shared" si="5"/>
        <v>4.418808706916192E-3</v>
      </c>
      <c r="N71" s="75">
        <f t="shared" si="5"/>
        <v>6.3109266596448887E-3</v>
      </c>
      <c r="O71" s="63">
        <f t="shared" si="5"/>
        <v>7.7299972475616766E-3</v>
      </c>
      <c r="P71" s="56" t="s">
        <v>21</v>
      </c>
      <c r="Q71" s="66" t="s">
        <v>21</v>
      </c>
      <c r="R71" s="95" t="s">
        <v>21</v>
      </c>
      <c r="S71" s="75">
        <v>0</v>
      </c>
      <c r="T71" s="63">
        <f t="shared" si="6"/>
        <v>8.6849745069161911E-3</v>
      </c>
      <c r="V71" s="117">
        <v>1.11194927</v>
      </c>
      <c r="W71" s="60">
        <v>2.8536390099999998</v>
      </c>
      <c r="X71" s="60">
        <v>4.4054945200000004</v>
      </c>
      <c r="Y71" s="60">
        <v>5.7593668100000004</v>
      </c>
      <c r="Z71" s="118">
        <v>7.4725737099999998</v>
      </c>
      <c r="AB71" s="73" t="s">
        <v>21</v>
      </c>
      <c r="AC71" s="75">
        <v>3.9225319288413787E-3</v>
      </c>
      <c r="AD71" s="75">
        <v>8.6849745069161911E-3</v>
      </c>
      <c r="AE71" s="75">
        <v>1.1475569859644891E-2</v>
      </c>
      <c r="AF71" s="63">
        <v>1.4206260747561678E-2</v>
      </c>
      <c r="AG71" s="75" t="s">
        <v>21</v>
      </c>
      <c r="AH71" s="75">
        <v>6.9642932884137658E-4</v>
      </c>
      <c r="AI71" s="75">
        <v>4.418808706916192E-3</v>
      </c>
      <c r="AJ71" s="75">
        <v>6.3109266596448887E-3</v>
      </c>
      <c r="AK71" s="75">
        <v>7.7299972475616766E-3</v>
      </c>
    </row>
    <row r="72" spans="2:37" x14ac:dyDescent="0.35">
      <c r="B72" s="78" t="s">
        <v>301</v>
      </c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6"/>
      <c r="P72" s="78"/>
      <c r="Q72" s="77"/>
      <c r="R72" s="94"/>
      <c r="S72" s="77"/>
      <c r="T72" s="76"/>
      <c r="V72" s="111"/>
      <c r="W72" s="106"/>
      <c r="X72" s="106"/>
      <c r="Y72" s="106"/>
      <c r="Z72" s="112"/>
      <c r="AB72" s="77"/>
      <c r="AC72" s="77"/>
      <c r="AD72" s="77"/>
      <c r="AE72" s="77"/>
      <c r="AF72" s="77"/>
      <c r="AG72" s="77"/>
      <c r="AH72" s="77"/>
      <c r="AI72" s="77"/>
      <c r="AJ72" s="77"/>
      <c r="AK72" s="77"/>
    </row>
    <row r="73" spans="2:37" s="136" customFormat="1" x14ac:dyDescent="0.35">
      <c r="B73" s="55" t="s">
        <v>303</v>
      </c>
      <c r="C73" s="65" t="s">
        <v>30</v>
      </c>
      <c r="D73" s="65" t="s">
        <v>304</v>
      </c>
      <c r="E73" s="65" t="s">
        <v>21</v>
      </c>
      <c r="F73" s="74" t="str">
        <f t="shared" ref="F73:J75" si="7">IF(ISNUMBER(AB73),AB73-((C$4-C$3)/V73),"")</f>
        <v/>
      </c>
      <c r="G73" s="79">
        <f t="shared" si="7"/>
        <v>4.5166209780436234E-3</v>
      </c>
      <c r="H73" s="79">
        <f t="shared" si="7"/>
        <v>9.4726931515534511E-3</v>
      </c>
      <c r="I73" s="79">
        <f t="shared" si="7"/>
        <v>1.2784117671860688E-2</v>
      </c>
      <c r="J73" s="61">
        <f t="shared" si="7"/>
        <v>1.6047247764320371E-2</v>
      </c>
      <c r="K73" s="74" t="str">
        <f t="shared" ref="K73:O75" si="8">IF(ISNUMBER(AG73),IF(AG73-((C$4-C$3)/V73)&lt;0,"",AG73-((C$4-C$3)/V73)),"")</f>
        <v/>
      </c>
      <c r="L73" s="79">
        <f t="shared" si="8"/>
        <v>1.3468442780436235E-3</v>
      </c>
      <c r="M73" s="79">
        <f t="shared" si="8"/>
        <v>5.2675525515534505E-3</v>
      </c>
      <c r="N73" s="79">
        <f t="shared" si="8"/>
        <v>7.7039227718606901E-3</v>
      </c>
      <c r="O73" s="61">
        <f t="shared" si="8"/>
        <v>9.6864255643203702E-3</v>
      </c>
      <c r="P73" s="54" t="s">
        <v>21</v>
      </c>
      <c r="Q73" s="52" t="s">
        <v>21</v>
      </c>
      <c r="R73" s="93" t="s">
        <v>21</v>
      </c>
      <c r="S73" s="70">
        <v>0</v>
      </c>
      <c r="T73" s="62">
        <f t="shared" si="6"/>
        <v>9.4726931515534511E-3</v>
      </c>
      <c r="U73" s="54"/>
      <c r="V73" s="117">
        <v>1.1112823599999999</v>
      </c>
      <c r="W73" s="60">
        <v>2.84859273</v>
      </c>
      <c r="X73" s="60">
        <v>4.3909862899999998</v>
      </c>
      <c r="Y73" s="60">
        <v>5.7252908700000003</v>
      </c>
      <c r="Z73" s="118">
        <v>7.3899103400000001</v>
      </c>
      <c r="AB73" s="74" t="s">
        <v>21</v>
      </c>
      <c r="AC73" s="79">
        <v>4.5166209780436234E-3</v>
      </c>
      <c r="AD73" s="79">
        <v>9.4726931515534511E-3</v>
      </c>
      <c r="AE73" s="79">
        <v>1.2784117671860688E-2</v>
      </c>
      <c r="AF73" s="61">
        <v>1.6047247764320371E-2</v>
      </c>
      <c r="AG73" s="70" t="s">
        <v>21</v>
      </c>
      <c r="AH73" s="70">
        <v>1.3468442780436235E-3</v>
      </c>
      <c r="AI73" s="70">
        <v>5.2675525515534505E-3</v>
      </c>
      <c r="AJ73" s="70">
        <v>7.7039227718606901E-3</v>
      </c>
      <c r="AK73" s="70">
        <v>9.6864255643203702E-3</v>
      </c>
    </row>
    <row r="74" spans="2:37" s="136" customFormat="1" x14ac:dyDescent="0.35">
      <c r="B74" s="54" t="s">
        <v>303</v>
      </c>
      <c r="C74" s="66" t="s">
        <v>35</v>
      </c>
      <c r="D74" s="52" t="s">
        <v>304</v>
      </c>
      <c r="E74" s="52" t="s">
        <v>21</v>
      </c>
      <c r="F74" s="72" t="str">
        <f t="shared" si="7"/>
        <v/>
      </c>
      <c r="G74" s="59">
        <f t="shared" si="7"/>
        <v>9.7455865064777613E-3</v>
      </c>
      <c r="H74" s="70">
        <f t="shared" si="7"/>
        <v>1.8382816290098445E-2</v>
      </c>
      <c r="I74" s="70">
        <f t="shared" si="7"/>
        <v>2.385027421834085E-2</v>
      </c>
      <c r="J74" s="62">
        <f t="shared" si="7"/>
        <v>2.7773995574774613E-2</v>
      </c>
      <c r="K74" s="72" t="str">
        <f t="shared" si="8"/>
        <v/>
      </c>
      <c r="L74" s="59">
        <f t="shared" si="8"/>
        <v>6.8235479064777619E-3</v>
      </c>
      <c r="M74" s="70">
        <f t="shared" si="8"/>
        <v>1.4436014790098442E-2</v>
      </c>
      <c r="N74" s="70">
        <f t="shared" si="8"/>
        <v>1.8968200918340852E-2</v>
      </c>
      <c r="O74" s="62">
        <f t="shared" si="8"/>
        <v>2.1609499474774606E-2</v>
      </c>
      <c r="P74" s="54" t="s">
        <v>21</v>
      </c>
      <c r="Q74" s="52" t="s">
        <v>21</v>
      </c>
      <c r="R74" s="93" t="s">
        <v>21</v>
      </c>
      <c r="S74" s="70">
        <v>0</v>
      </c>
      <c r="T74" s="62">
        <f t="shared" si="6"/>
        <v>1.8382816290098445E-2</v>
      </c>
      <c r="U74" s="54"/>
      <c r="V74" s="113">
        <v>1.10900836</v>
      </c>
      <c r="W74" s="71">
        <v>2.8234794700000001</v>
      </c>
      <c r="X74" s="71">
        <v>4.3008532700000002</v>
      </c>
      <c r="Y74" s="71">
        <v>5.5291671899999999</v>
      </c>
      <c r="Z74" s="114">
        <v>7.00332972</v>
      </c>
      <c r="AB74" s="72" t="s">
        <v>21</v>
      </c>
      <c r="AC74" s="70">
        <v>9.7455865064777613E-3</v>
      </c>
      <c r="AD74" s="70">
        <v>1.8382816290098445E-2</v>
      </c>
      <c r="AE74" s="70">
        <v>2.385027421834085E-2</v>
      </c>
      <c r="AF74" s="62">
        <v>2.7773995574774613E-2</v>
      </c>
      <c r="AG74" s="70" t="s">
        <v>21</v>
      </c>
      <c r="AH74" s="70">
        <v>6.8235479064777619E-3</v>
      </c>
      <c r="AI74" s="70">
        <v>1.4436014790098442E-2</v>
      </c>
      <c r="AJ74" s="70">
        <v>1.8968200918340852E-2</v>
      </c>
      <c r="AK74" s="70">
        <v>2.1609499474774606E-2</v>
      </c>
    </row>
    <row r="75" spans="2:37" s="136" customFormat="1" x14ac:dyDescent="0.35">
      <c r="B75" s="56" t="s">
        <v>303</v>
      </c>
      <c r="C75" s="52" t="s">
        <v>33</v>
      </c>
      <c r="D75" s="66" t="s">
        <v>304</v>
      </c>
      <c r="E75" s="53" t="s">
        <v>21</v>
      </c>
      <c r="F75" s="73" t="str">
        <f t="shared" si="7"/>
        <v/>
      </c>
      <c r="G75" s="75">
        <f t="shared" si="7"/>
        <v>6.7279212214562357E-3</v>
      </c>
      <c r="H75" s="75">
        <f t="shared" si="7"/>
        <v>1.3347803403848928E-2</v>
      </c>
      <c r="I75" s="75">
        <f t="shared" si="7"/>
        <v>1.7356230746665351E-2</v>
      </c>
      <c r="J75" s="63">
        <f t="shared" si="7"/>
        <v>2.0976755776625833E-2</v>
      </c>
      <c r="K75" s="73" t="str">
        <f t="shared" si="8"/>
        <v/>
      </c>
      <c r="L75" s="75">
        <f t="shared" si="8"/>
        <v>3.7016681214562348E-3</v>
      </c>
      <c r="M75" s="75">
        <f t="shared" si="8"/>
        <v>9.3180647038489314E-3</v>
      </c>
      <c r="N75" s="75">
        <f t="shared" si="8"/>
        <v>1.2431350846665348E-2</v>
      </c>
      <c r="O75" s="63">
        <f t="shared" si="8"/>
        <v>1.4777700076625837E-2</v>
      </c>
      <c r="P75" s="54" t="s">
        <v>21</v>
      </c>
      <c r="Q75" s="52" t="s">
        <v>21</v>
      </c>
      <c r="R75" s="93" t="s">
        <v>21</v>
      </c>
      <c r="S75" s="70">
        <v>0</v>
      </c>
      <c r="T75" s="62">
        <f t="shared" si="6"/>
        <v>1.3347803403848928E-2</v>
      </c>
      <c r="U75" s="54"/>
      <c r="V75" s="115">
        <v>1.10994723</v>
      </c>
      <c r="W75" s="107">
        <v>2.8320466200000003</v>
      </c>
      <c r="X75" s="107">
        <v>4.3305218999999999</v>
      </c>
      <c r="Y75" s="107">
        <v>5.5943672299999996</v>
      </c>
      <c r="Z75" s="114">
        <v>7.1265925499999998</v>
      </c>
      <c r="AB75" s="73" t="s">
        <v>21</v>
      </c>
      <c r="AC75" s="75">
        <v>6.7279212214562357E-3</v>
      </c>
      <c r="AD75" s="75">
        <v>1.3347803403848928E-2</v>
      </c>
      <c r="AE75" s="75">
        <v>1.7356230746665351E-2</v>
      </c>
      <c r="AF75" s="63">
        <v>2.0976755776625833E-2</v>
      </c>
      <c r="AG75" s="70" t="s">
        <v>21</v>
      </c>
      <c r="AH75" s="70">
        <v>3.7016681214562348E-3</v>
      </c>
      <c r="AI75" s="70">
        <v>9.3180647038489314E-3</v>
      </c>
      <c r="AJ75" s="70">
        <v>1.2431350846665348E-2</v>
      </c>
      <c r="AK75" s="70">
        <v>1.4777700076625837E-2</v>
      </c>
    </row>
    <row r="76" spans="2:37" s="136" customFormat="1" x14ac:dyDescent="0.35">
      <c r="B76" s="78" t="s">
        <v>302</v>
      </c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8"/>
      <c r="Q76" s="77"/>
      <c r="R76" s="94"/>
      <c r="S76" s="77"/>
      <c r="T76" s="77"/>
      <c r="U76" s="54"/>
      <c r="V76" s="111"/>
      <c r="W76" s="106"/>
      <c r="X76" s="106"/>
      <c r="Y76" s="106"/>
      <c r="Z76" s="112"/>
      <c r="AB76" s="77"/>
      <c r="AC76" s="77"/>
      <c r="AD76" s="77"/>
      <c r="AE76" s="77"/>
      <c r="AF76" s="77"/>
      <c r="AG76" s="77"/>
      <c r="AH76" s="77"/>
      <c r="AI76" s="77"/>
      <c r="AJ76" s="77"/>
      <c r="AK76" s="77"/>
    </row>
    <row r="77" spans="2:37" s="136" customFormat="1" x14ac:dyDescent="0.35">
      <c r="B77" s="55" t="s">
        <v>305</v>
      </c>
      <c r="C77" s="65" t="s">
        <v>30</v>
      </c>
      <c r="D77" s="65" t="s">
        <v>131</v>
      </c>
      <c r="E77" s="65" t="s">
        <v>21</v>
      </c>
      <c r="F77" s="74" t="str">
        <f t="shared" ref="F77:J78" si="9">IF(ISNUMBER(AB77),AB77-((C$4-C$3)/V77),"")</f>
        <v/>
      </c>
      <c r="G77" s="79">
        <f t="shared" si="9"/>
        <v>4.5220334229446662E-3</v>
      </c>
      <c r="H77" s="79">
        <f t="shared" si="9"/>
        <v>9.521325103152397E-3</v>
      </c>
      <c r="I77" s="79">
        <f t="shared" si="9"/>
        <v>1.2578042322145806E-2</v>
      </c>
      <c r="J77" s="61">
        <f t="shared" si="9"/>
        <v>1.5390891404302548E-2</v>
      </c>
      <c r="K77" s="74" t="str">
        <f t="shared" ref="K77:O78" si="10">IF(ISNUMBER(AG77),IF(AG77-((C$4-C$3)/V77)&lt;0,"",AG77-((C$4-C$3)/V77)),"")</f>
        <v/>
      </c>
      <c r="L77" s="79">
        <f t="shared" si="10"/>
        <v>1.3528341229446664E-3</v>
      </c>
      <c r="M77" s="79">
        <f t="shared" si="10"/>
        <v>5.3194818031523962E-3</v>
      </c>
      <c r="N77" s="79">
        <f t="shared" si="10"/>
        <v>7.4870665221458046E-3</v>
      </c>
      <c r="O77" s="61">
        <f t="shared" si="10"/>
        <v>8.9960405043025479E-3</v>
      </c>
      <c r="P77" s="55" t="s">
        <v>21</v>
      </c>
      <c r="Q77" s="65" t="s">
        <v>21</v>
      </c>
      <c r="R77" s="99" t="s">
        <v>21</v>
      </c>
      <c r="S77" s="79">
        <v>0</v>
      </c>
      <c r="T77" s="61">
        <f t="shared" si="6"/>
        <v>9.521325103152397E-3</v>
      </c>
      <c r="U77" s="54"/>
      <c r="V77" s="117">
        <v>1.11110796</v>
      </c>
      <c r="W77" s="60">
        <v>2.84822811</v>
      </c>
      <c r="X77" s="60">
        <v>4.3901165399999993</v>
      </c>
      <c r="Y77" s="60">
        <v>5.7268928099999998</v>
      </c>
      <c r="Z77" s="118">
        <v>7.4066965900000001</v>
      </c>
      <c r="AB77" s="74" t="s">
        <v>21</v>
      </c>
      <c r="AC77" s="79">
        <v>4.5220334229446662E-3</v>
      </c>
      <c r="AD77" s="79">
        <v>9.521325103152397E-3</v>
      </c>
      <c r="AE77" s="79">
        <v>1.2578042322145806E-2</v>
      </c>
      <c r="AF77" s="61">
        <v>1.5390891404302548E-2</v>
      </c>
      <c r="AG77" s="79" t="s">
        <v>21</v>
      </c>
      <c r="AH77" s="79">
        <v>1.3528341229446664E-3</v>
      </c>
      <c r="AI77" s="79">
        <v>5.3194818031523962E-3</v>
      </c>
      <c r="AJ77" s="79">
        <v>7.4870665221458046E-3</v>
      </c>
      <c r="AK77" s="79">
        <v>8.9960405043025479E-3</v>
      </c>
    </row>
    <row r="78" spans="2:37" s="136" customFormat="1" x14ac:dyDescent="0.35">
      <c r="B78" s="56" t="s">
        <v>305</v>
      </c>
      <c r="C78" s="66" t="s">
        <v>35</v>
      </c>
      <c r="D78" s="66" t="s">
        <v>131</v>
      </c>
      <c r="E78" s="66" t="s">
        <v>21</v>
      </c>
      <c r="F78" s="73" t="str">
        <f t="shared" si="9"/>
        <v/>
      </c>
      <c r="G78" s="75">
        <f t="shared" si="9"/>
        <v>9.7511605083358717E-3</v>
      </c>
      <c r="H78" s="75">
        <f t="shared" si="9"/>
        <v>1.8386329796178776E-2</v>
      </c>
      <c r="I78" s="75">
        <f t="shared" si="9"/>
        <v>2.3852918686618721E-2</v>
      </c>
      <c r="J78" s="63">
        <f t="shared" si="9"/>
        <v>2.8160137090734484E-2</v>
      </c>
      <c r="K78" s="73" t="str">
        <f t="shared" si="10"/>
        <v/>
      </c>
      <c r="L78" s="75">
        <f t="shared" si="10"/>
        <v>6.8285875083358705E-3</v>
      </c>
      <c r="M78" s="75">
        <f t="shared" si="10"/>
        <v>1.4438948796178776E-2</v>
      </c>
      <c r="N78" s="75">
        <f t="shared" si="10"/>
        <v>1.8970277686618721E-2</v>
      </c>
      <c r="O78" s="63">
        <f t="shared" si="10"/>
        <v>2.1990982990734487E-2</v>
      </c>
      <c r="P78" s="56" t="s">
        <v>21</v>
      </c>
      <c r="Q78" s="66" t="s">
        <v>21</v>
      </c>
      <c r="R78" s="95" t="s">
        <v>21</v>
      </c>
      <c r="S78" s="75">
        <v>0</v>
      </c>
      <c r="T78" s="63">
        <f t="shared" si="6"/>
        <v>1.8386329796178776E-2</v>
      </c>
      <c r="U78" s="54"/>
      <c r="V78" s="113">
        <v>1.10901479</v>
      </c>
      <c r="W78" s="71">
        <v>2.8234745499999998</v>
      </c>
      <c r="X78" s="71">
        <v>4.3008395400000001</v>
      </c>
      <c r="Y78" s="107">
        <v>5.5291458100000002</v>
      </c>
      <c r="Z78" s="116">
        <v>6.9978351400000003</v>
      </c>
      <c r="AB78" s="73" t="s">
        <v>21</v>
      </c>
      <c r="AC78" s="75">
        <v>9.7511605083358717E-3</v>
      </c>
      <c r="AD78" s="75">
        <v>1.8386329796178776E-2</v>
      </c>
      <c r="AE78" s="75">
        <v>2.3852918686618721E-2</v>
      </c>
      <c r="AF78" s="63">
        <v>2.8160137090734484E-2</v>
      </c>
      <c r="AG78" s="75" t="s">
        <v>21</v>
      </c>
      <c r="AH78" s="75">
        <v>6.8285875083358705E-3</v>
      </c>
      <c r="AI78" s="75">
        <v>1.4438948796178776E-2</v>
      </c>
      <c r="AJ78" s="75">
        <v>1.8970277686618721E-2</v>
      </c>
      <c r="AK78" s="75">
        <v>2.1990982990734487E-2</v>
      </c>
    </row>
    <row r="79" spans="2:37" x14ac:dyDescent="0.35">
      <c r="B79" s="78" t="s">
        <v>67</v>
      </c>
      <c r="C79" s="77"/>
      <c r="D79" s="77"/>
      <c r="E79" s="77"/>
      <c r="F79" s="77" t="str">
        <f t="shared" si="4"/>
        <v/>
      </c>
      <c r="G79" s="77" t="str">
        <f t="shared" si="4"/>
        <v/>
      </c>
      <c r="H79" s="77" t="str">
        <f t="shared" si="4"/>
        <v/>
      </c>
      <c r="I79" s="77" t="str">
        <f t="shared" si="4"/>
        <v/>
      </c>
      <c r="J79" s="77" t="str">
        <f t="shared" si="4"/>
        <v/>
      </c>
      <c r="K79" s="77" t="str">
        <f t="shared" si="5"/>
        <v/>
      </c>
      <c r="L79" s="77" t="str">
        <f t="shared" si="5"/>
        <v/>
      </c>
      <c r="M79" s="77" t="str">
        <f t="shared" si="5"/>
        <v/>
      </c>
      <c r="N79" s="77" t="str">
        <f t="shared" si="5"/>
        <v/>
      </c>
      <c r="O79" s="76" t="str">
        <f t="shared" si="5"/>
        <v/>
      </c>
      <c r="P79" s="78"/>
      <c r="Q79" s="77"/>
      <c r="R79" s="94"/>
      <c r="S79" s="77"/>
      <c r="T79" s="76" t="str">
        <f t="shared" si="6"/>
        <v/>
      </c>
      <c r="V79" s="111"/>
      <c r="W79" s="106"/>
      <c r="X79" s="106"/>
      <c r="Y79" s="106"/>
      <c r="Z79" s="112"/>
      <c r="AB79" s="77"/>
      <c r="AC79" s="77"/>
      <c r="AD79" s="77"/>
      <c r="AE79" s="77"/>
      <c r="AF79" s="77"/>
      <c r="AG79" s="77"/>
      <c r="AH79" s="77"/>
      <c r="AI79" s="77"/>
      <c r="AJ79" s="77"/>
      <c r="AK79" s="77"/>
    </row>
    <row r="80" spans="2:37" x14ac:dyDescent="0.35">
      <c r="B80" s="55" t="s">
        <v>68</v>
      </c>
      <c r="C80" s="65" t="s">
        <v>61</v>
      </c>
      <c r="D80" s="65" t="s">
        <v>69</v>
      </c>
      <c r="E80" s="65" t="s">
        <v>21</v>
      </c>
      <c r="F80" s="74" t="str">
        <f t="shared" si="4"/>
        <v/>
      </c>
      <c r="G80" s="79">
        <f t="shared" si="4"/>
        <v>7.1418976982096597E-3</v>
      </c>
      <c r="H80" s="79">
        <f t="shared" si="4"/>
        <v>1.2886937822359178E-2</v>
      </c>
      <c r="I80" s="79">
        <f t="shared" si="4"/>
        <v>1.6147968816729662E-2</v>
      </c>
      <c r="J80" s="61">
        <f t="shared" si="4"/>
        <v>1.9322243567540885E-2</v>
      </c>
      <c r="K80" s="74" t="str">
        <f t="shared" si="5"/>
        <v/>
      </c>
      <c r="L80" s="79">
        <f t="shared" si="5"/>
        <v>4.134132498209658E-3</v>
      </c>
      <c r="M80" s="79">
        <f t="shared" si="5"/>
        <v>8.8443186223591819E-3</v>
      </c>
      <c r="N80" s="79">
        <f t="shared" si="5"/>
        <v>1.1199327316729662E-2</v>
      </c>
      <c r="O80" s="61">
        <f t="shared" si="5"/>
        <v>1.3087242867540887E-2</v>
      </c>
      <c r="P80" s="55" t="s">
        <v>21</v>
      </c>
      <c r="Q80" s="65" t="s">
        <v>21</v>
      </c>
      <c r="R80" s="99" t="s">
        <v>21</v>
      </c>
      <c r="S80" s="79">
        <v>0</v>
      </c>
      <c r="T80" s="61">
        <f t="shared" si="6"/>
        <v>1.2886937822359178E-2</v>
      </c>
      <c r="V80" s="117">
        <v>1.10637074</v>
      </c>
      <c r="W80" s="60">
        <v>2.8227413800000001</v>
      </c>
      <c r="X80" s="60">
        <v>4.3245248600000004</v>
      </c>
      <c r="Y80" s="60">
        <v>5.60509871</v>
      </c>
      <c r="Z80" s="118">
        <v>7.1792928699999994</v>
      </c>
      <c r="AB80" s="74" t="s">
        <v>21</v>
      </c>
      <c r="AC80" s="79">
        <v>7.1418976982096597E-3</v>
      </c>
      <c r="AD80" s="79">
        <v>1.2886937822359178E-2</v>
      </c>
      <c r="AE80" s="79">
        <v>1.6147968816729662E-2</v>
      </c>
      <c r="AF80" s="61">
        <v>1.9322243567540885E-2</v>
      </c>
      <c r="AG80" s="79" t="s">
        <v>21</v>
      </c>
      <c r="AH80" s="79">
        <v>4.134132498209658E-3</v>
      </c>
      <c r="AI80" s="79">
        <v>8.8443186223591819E-3</v>
      </c>
      <c r="AJ80" s="79">
        <v>1.1199327316729662E-2</v>
      </c>
      <c r="AK80" s="79">
        <v>1.3087242867540887E-2</v>
      </c>
    </row>
    <row r="81" spans="2:37" x14ac:dyDescent="0.35">
      <c r="B81" s="56" t="s">
        <v>68</v>
      </c>
      <c r="C81" s="66" t="s">
        <v>63</v>
      </c>
      <c r="D81" s="66" t="s">
        <v>69</v>
      </c>
      <c r="E81" s="66" t="s">
        <v>81</v>
      </c>
      <c r="F81" s="73">
        <f t="shared" si="4"/>
        <v>1.1986801269405715E-3</v>
      </c>
      <c r="G81" s="75">
        <f t="shared" si="4"/>
        <v>9.6850378056268852E-3</v>
      </c>
      <c r="H81" s="75">
        <f t="shared" si="4"/>
        <v>1.6269161919100543E-2</v>
      </c>
      <c r="I81" s="75">
        <f t="shared" si="4"/>
        <v>1.9989227394765136E-2</v>
      </c>
      <c r="J81" s="63">
        <f t="shared" si="4"/>
        <v>2.3179057771614241E-2</v>
      </c>
      <c r="K81" s="73" t="str">
        <f t="shared" si="5"/>
        <v/>
      </c>
      <c r="L81" s="75">
        <f t="shared" si="5"/>
        <v>6.7635344056268835E-3</v>
      </c>
      <c r="M81" s="75">
        <f t="shared" si="5"/>
        <v>1.2308572319100547E-2</v>
      </c>
      <c r="N81" s="75">
        <f t="shared" si="5"/>
        <v>1.5109940694765137E-2</v>
      </c>
      <c r="O81" s="63">
        <f t="shared" si="5"/>
        <v>1.7006842171614241E-2</v>
      </c>
      <c r="P81" s="56" t="s">
        <v>21</v>
      </c>
      <c r="Q81" s="66" t="s">
        <v>21</v>
      </c>
      <c r="R81" s="95" t="s">
        <v>21</v>
      </c>
      <c r="S81" s="75">
        <v>0</v>
      </c>
      <c r="T81" s="63">
        <f t="shared" si="6"/>
        <v>1.6269161919100543E-2</v>
      </c>
      <c r="V81" s="115">
        <v>1.1056031200000001</v>
      </c>
      <c r="W81" s="107">
        <v>2.81745395</v>
      </c>
      <c r="X81" s="107">
        <v>4.3106718000000006</v>
      </c>
      <c r="Y81" s="107">
        <v>5.5797575899999998</v>
      </c>
      <c r="Z81" s="116">
        <v>7.1410974399999994</v>
      </c>
      <c r="AB81" s="73">
        <v>1.1986801269405715E-3</v>
      </c>
      <c r="AC81" s="75">
        <v>9.6850378056268852E-3</v>
      </c>
      <c r="AD81" s="75">
        <v>1.6269161919100543E-2</v>
      </c>
      <c r="AE81" s="75">
        <v>1.9989227394765136E-2</v>
      </c>
      <c r="AF81" s="63">
        <v>2.3179057771614241E-2</v>
      </c>
      <c r="AG81" s="75" t="s">
        <v>21</v>
      </c>
      <c r="AH81" s="75">
        <v>6.7635344056268835E-3</v>
      </c>
      <c r="AI81" s="75">
        <v>1.2308572319100547E-2</v>
      </c>
      <c r="AJ81" s="75">
        <v>1.5109940694765137E-2</v>
      </c>
      <c r="AK81" s="75">
        <v>1.7006842171614241E-2</v>
      </c>
    </row>
    <row r="82" spans="2:37" x14ac:dyDescent="0.35">
      <c r="B82" s="55" t="s">
        <v>70</v>
      </c>
      <c r="C82" s="65" t="s">
        <v>65</v>
      </c>
      <c r="D82" s="65" t="s">
        <v>69</v>
      </c>
      <c r="E82" s="65" t="s">
        <v>229</v>
      </c>
      <c r="F82" s="74" t="str">
        <f t="shared" si="4"/>
        <v/>
      </c>
      <c r="G82" s="79">
        <f t="shared" si="4"/>
        <v>7.8173938619700376E-3</v>
      </c>
      <c r="H82" s="79">
        <f t="shared" si="4"/>
        <v>1.3770343434706617E-2</v>
      </c>
      <c r="I82" s="79">
        <f t="shared" si="4"/>
        <v>1.753524294901377E-2</v>
      </c>
      <c r="J82" s="61">
        <f t="shared" si="4"/>
        <v>2.0977617628969478E-2</v>
      </c>
      <c r="K82" s="74" t="str">
        <f t="shared" si="5"/>
        <v/>
      </c>
      <c r="L82" s="79">
        <f t="shared" si="5"/>
        <v>4.835082061970036E-3</v>
      </c>
      <c r="M82" s="79">
        <f t="shared" si="5"/>
        <v>9.750955134706616E-3</v>
      </c>
      <c r="N82" s="79">
        <f t="shared" si="5"/>
        <v>1.261152954901377E-2</v>
      </c>
      <c r="O82" s="61">
        <f t="shared" si="5"/>
        <v>1.4774880328969479E-2</v>
      </c>
      <c r="P82" s="54" t="s">
        <v>456</v>
      </c>
      <c r="Q82" s="52" t="s">
        <v>457</v>
      </c>
      <c r="R82" s="93">
        <v>47371</v>
      </c>
      <c r="S82" s="70">
        <v>1.0949869999999999E-2</v>
      </c>
      <c r="T82" s="62">
        <f t="shared" si="6"/>
        <v>2.8204734347066183E-3</v>
      </c>
      <c r="V82" s="117">
        <v>1.1058614099999999</v>
      </c>
      <c r="W82" s="60">
        <v>2.8175357299999999</v>
      </c>
      <c r="X82" s="60">
        <v>4.3089870399999999</v>
      </c>
      <c r="Y82" s="60">
        <v>5.56955504</v>
      </c>
      <c r="Z82" s="118">
        <v>7.1013000599999998</v>
      </c>
      <c r="AB82" s="74" t="s">
        <v>21</v>
      </c>
      <c r="AC82" s="79">
        <v>7.8173938619700376E-3</v>
      </c>
      <c r="AD82" s="79">
        <v>1.3770343434706617E-2</v>
      </c>
      <c r="AE82" s="79">
        <v>1.753524294901377E-2</v>
      </c>
      <c r="AF82" s="61">
        <v>2.0977617628969478E-2</v>
      </c>
      <c r="AG82" s="70" t="s">
        <v>21</v>
      </c>
      <c r="AH82" s="70">
        <v>4.835082061970036E-3</v>
      </c>
      <c r="AI82" s="70">
        <v>9.750955134706616E-3</v>
      </c>
      <c r="AJ82" s="70">
        <v>1.261152954901377E-2</v>
      </c>
      <c r="AK82" s="70">
        <v>1.4774880328969479E-2</v>
      </c>
    </row>
    <row r="83" spans="2:37" x14ac:dyDescent="0.35">
      <c r="B83" s="54" t="s">
        <v>70</v>
      </c>
      <c r="C83" s="52" t="s">
        <v>66</v>
      </c>
      <c r="D83" s="52" t="s">
        <v>69</v>
      </c>
      <c r="E83" s="52" t="s">
        <v>81</v>
      </c>
      <c r="F83" s="72">
        <f t="shared" si="4"/>
        <v>1.2161339669990974E-3</v>
      </c>
      <c r="G83" s="59">
        <f t="shared" si="4"/>
        <v>1.0792812786008743E-2</v>
      </c>
      <c r="H83" s="59">
        <f t="shared" si="4"/>
        <v>1.8808737341816151E-2</v>
      </c>
      <c r="I83" s="59">
        <f t="shared" si="4"/>
        <v>2.4193699643873565E-2</v>
      </c>
      <c r="J83" s="62">
        <f t="shared" si="4"/>
        <v>2.8319318204737765E-2</v>
      </c>
      <c r="K83" s="72" t="str">
        <f t="shared" si="5"/>
        <v/>
      </c>
      <c r="L83" s="59">
        <f t="shared" si="5"/>
        <v>7.8892997860087431E-3</v>
      </c>
      <c r="M83" s="59">
        <f t="shared" si="5"/>
        <v>1.4862463841816153E-2</v>
      </c>
      <c r="N83" s="59">
        <f t="shared" si="5"/>
        <v>1.9307410543873568E-2</v>
      </c>
      <c r="O83" s="62">
        <f t="shared" si="5"/>
        <v>2.2146602804737764E-2</v>
      </c>
      <c r="P83" s="54" t="s">
        <v>21</v>
      </c>
      <c r="Q83" s="52" t="s">
        <v>21</v>
      </c>
      <c r="R83" s="93" t="s">
        <v>21</v>
      </c>
      <c r="S83" s="70">
        <v>0</v>
      </c>
      <c r="T83" s="62">
        <f t="shared" si="6"/>
        <v>1.8808737341816151E-2</v>
      </c>
      <c r="V83" s="115">
        <v>1.1056250599999999</v>
      </c>
      <c r="W83" s="107">
        <v>2.8123171499999997</v>
      </c>
      <c r="X83" s="107">
        <v>4.2845837800000002</v>
      </c>
      <c r="Y83" s="107">
        <v>5.5091348999999994</v>
      </c>
      <c r="Z83" s="116">
        <v>6.9746012299999993</v>
      </c>
      <c r="AB83" s="72">
        <v>1.2161339669990974E-3</v>
      </c>
      <c r="AC83" s="70">
        <v>1.0792812786008743E-2</v>
      </c>
      <c r="AD83" s="70">
        <v>1.8808737341816151E-2</v>
      </c>
      <c r="AE83" s="70">
        <v>2.4193699643873565E-2</v>
      </c>
      <c r="AF83" s="62">
        <v>2.8319318204737765E-2</v>
      </c>
      <c r="AG83" s="70" t="s">
        <v>21</v>
      </c>
      <c r="AH83" s="70">
        <v>7.8892997860087431E-3</v>
      </c>
      <c r="AI83" s="70">
        <v>1.4862463841816153E-2</v>
      </c>
      <c r="AJ83" s="70">
        <v>1.9307410543873568E-2</v>
      </c>
      <c r="AK83" s="70">
        <v>2.2146602804737764E-2</v>
      </c>
    </row>
    <row r="84" spans="2:37" x14ac:dyDescent="0.35">
      <c r="B84" s="55" t="s">
        <v>71</v>
      </c>
      <c r="C84" s="65" t="s">
        <v>61</v>
      </c>
      <c r="D84" s="65" t="s">
        <v>69</v>
      </c>
      <c r="E84" s="65" t="s">
        <v>21</v>
      </c>
      <c r="F84" s="74" t="str">
        <f t="shared" si="4"/>
        <v/>
      </c>
      <c r="G84" s="79">
        <f t="shared" si="4"/>
        <v>4.9858520065438703E-3</v>
      </c>
      <c r="H84" s="79">
        <f t="shared" si="4"/>
        <v>9.7382188730154549E-3</v>
      </c>
      <c r="I84" s="79">
        <f t="shared" si="4"/>
        <v>1.2642520571815603E-2</v>
      </c>
      <c r="J84" s="61">
        <f t="shared" si="4"/>
        <v>1.5363176646598751E-2</v>
      </c>
      <c r="K84" s="74" t="str">
        <f t="shared" si="5"/>
        <v/>
      </c>
      <c r="L84" s="79">
        <f t="shared" si="5"/>
        <v>1.8552188065438704E-3</v>
      </c>
      <c r="M84" s="79">
        <f t="shared" si="5"/>
        <v>5.5521002730154548E-3</v>
      </c>
      <c r="N84" s="79">
        <f t="shared" si="5"/>
        <v>7.5561334718156053E-3</v>
      </c>
      <c r="O84" s="61">
        <f t="shared" si="5"/>
        <v>8.9664139465987468E-3</v>
      </c>
      <c r="P84" s="55" t="s">
        <v>21</v>
      </c>
      <c r="Q84" s="65" t="s">
        <v>21</v>
      </c>
      <c r="R84" s="99" t="s">
        <v>21</v>
      </c>
      <c r="S84" s="79">
        <v>0</v>
      </c>
      <c r="T84" s="61">
        <f t="shared" si="6"/>
        <v>9.7382188730154549E-3</v>
      </c>
      <c r="V84" s="117">
        <v>1.1097979099999999</v>
      </c>
      <c r="W84" s="60">
        <v>2.84279343</v>
      </c>
      <c r="X84" s="60">
        <v>4.3811820799999994</v>
      </c>
      <c r="Y84" s="60">
        <v>5.7163921599999998</v>
      </c>
      <c r="Z84" s="118">
        <v>7.3964060799999993</v>
      </c>
      <c r="AB84" s="74" t="s">
        <v>21</v>
      </c>
      <c r="AC84" s="79">
        <v>4.9858520065438703E-3</v>
      </c>
      <c r="AD84" s="79">
        <v>9.7382188730154549E-3</v>
      </c>
      <c r="AE84" s="79">
        <v>1.2642520571815603E-2</v>
      </c>
      <c r="AF84" s="61">
        <v>1.5363176646598751E-2</v>
      </c>
      <c r="AG84" s="79" t="s">
        <v>21</v>
      </c>
      <c r="AH84" s="79">
        <v>1.8552188065438704E-3</v>
      </c>
      <c r="AI84" s="79">
        <v>5.5521002730154548E-3</v>
      </c>
      <c r="AJ84" s="79">
        <v>7.5561334718156053E-3</v>
      </c>
      <c r="AK84" s="79">
        <v>8.9664139465987468E-3</v>
      </c>
    </row>
    <row r="85" spans="2:37" x14ac:dyDescent="0.35">
      <c r="B85" s="56" t="s">
        <v>71</v>
      </c>
      <c r="C85" s="66" t="s">
        <v>63</v>
      </c>
      <c r="D85" s="66" t="s">
        <v>69</v>
      </c>
      <c r="E85" s="66" t="s">
        <v>21</v>
      </c>
      <c r="F85" s="73" t="str">
        <f t="shared" si="4"/>
        <v/>
      </c>
      <c r="G85" s="75">
        <f t="shared" si="4"/>
        <v>7.4152954766774359E-3</v>
      </c>
      <c r="H85" s="75">
        <f t="shared" si="4"/>
        <v>1.3007309974719541E-2</v>
      </c>
      <c r="I85" s="75">
        <f t="shared" si="4"/>
        <v>1.6505077819226961E-2</v>
      </c>
      <c r="J85" s="63">
        <f t="shared" si="4"/>
        <v>1.9429502174495641E-2</v>
      </c>
      <c r="K85" s="73" t="str">
        <f t="shared" si="5"/>
        <v/>
      </c>
      <c r="L85" s="75">
        <f t="shared" si="5"/>
        <v>4.4258205766774354E-3</v>
      </c>
      <c r="M85" s="75">
        <f t="shared" si="5"/>
        <v>8.9791190747195403E-3</v>
      </c>
      <c r="N85" s="75">
        <f t="shared" si="5"/>
        <v>1.1573934919226963E-2</v>
      </c>
      <c r="O85" s="63">
        <f t="shared" si="5"/>
        <v>1.3193675674495644E-2</v>
      </c>
      <c r="P85" s="56" t="s">
        <v>21</v>
      </c>
      <c r="Q85" s="66" t="s">
        <v>21</v>
      </c>
      <c r="R85" s="95" t="s">
        <v>21</v>
      </c>
      <c r="S85" s="75">
        <v>0</v>
      </c>
      <c r="T85" s="63">
        <f t="shared" si="6"/>
        <v>1.3007309974719541E-2</v>
      </c>
      <c r="V85" s="115">
        <v>1.1085961</v>
      </c>
      <c r="W85" s="107">
        <v>2.8338574400000001</v>
      </c>
      <c r="X85" s="107">
        <v>4.3551785000000001</v>
      </c>
      <c r="Y85" s="107">
        <v>5.6644309799999997</v>
      </c>
      <c r="Z85" s="116">
        <v>7.2997627700000001</v>
      </c>
      <c r="AB85" s="73" t="s">
        <v>21</v>
      </c>
      <c r="AC85" s="75">
        <v>7.4152954766774359E-3</v>
      </c>
      <c r="AD85" s="75">
        <v>1.3007309974719541E-2</v>
      </c>
      <c r="AE85" s="75">
        <v>1.6505077819226961E-2</v>
      </c>
      <c r="AF85" s="63">
        <v>1.9429502174495641E-2</v>
      </c>
      <c r="AG85" s="75" t="s">
        <v>21</v>
      </c>
      <c r="AH85" s="75">
        <v>4.4258205766774354E-3</v>
      </c>
      <c r="AI85" s="75">
        <v>8.9791190747195403E-3</v>
      </c>
      <c r="AJ85" s="75">
        <v>1.1573934919226963E-2</v>
      </c>
      <c r="AK85" s="75">
        <v>1.3193675674495644E-2</v>
      </c>
    </row>
    <row r="86" spans="2:37" x14ac:dyDescent="0.35">
      <c r="B86" s="54" t="s">
        <v>72</v>
      </c>
      <c r="C86" s="52" t="s">
        <v>65</v>
      </c>
      <c r="D86" s="52" t="s">
        <v>69</v>
      </c>
      <c r="E86" s="52" t="s">
        <v>34</v>
      </c>
      <c r="F86" s="72" t="str">
        <f t="shared" si="4"/>
        <v/>
      </c>
      <c r="G86" s="59">
        <f t="shared" si="4"/>
        <v>5.6774577603306486E-3</v>
      </c>
      <c r="H86" s="59">
        <f t="shared" si="4"/>
        <v>1.1763899508648642E-2</v>
      </c>
      <c r="I86" s="59">
        <f t="shared" si="4"/>
        <v>1.5258126753280456E-2</v>
      </c>
      <c r="J86" s="62">
        <f t="shared" si="4"/>
        <v>1.8876053332213219E-2</v>
      </c>
      <c r="K86" s="72" t="str">
        <f t="shared" si="5"/>
        <v/>
      </c>
      <c r="L86" s="59">
        <f t="shared" si="5"/>
        <v>2.5938297603306454E-3</v>
      </c>
      <c r="M86" s="59">
        <f t="shared" si="5"/>
        <v>7.6817077086486435E-3</v>
      </c>
      <c r="N86" s="59">
        <f t="shared" si="5"/>
        <v>1.0285418853280454E-2</v>
      </c>
      <c r="O86" s="62">
        <f t="shared" si="5"/>
        <v>1.262920793221322E-2</v>
      </c>
      <c r="P86" s="54" t="s">
        <v>21</v>
      </c>
      <c r="Q86" s="52" t="s">
        <v>21</v>
      </c>
      <c r="R86" s="93" t="s">
        <v>21</v>
      </c>
      <c r="S86" s="70">
        <v>0</v>
      </c>
      <c r="T86" s="62">
        <f t="shared" si="6"/>
        <v>1.1763899508648642E-2</v>
      </c>
      <c r="V86" s="117">
        <v>1.1100627199999999</v>
      </c>
      <c r="W86" s="60">
        <v>2.8389235099999999</v>
      </c>
      <c r="X86" s="60">
        <v>4.3556295</v>
      </c>
      <c r="Y86" s="60">
        <v>5.6507980800000004</v>
      </c>
      <c r="Z86" s="118">
        <v>7.2396202699999996</v>
      </c>
      <c r="AB86" s="72" t="s">
        <v>21</v>
      </c>
      <c r="AC86" s="70">
        <v>5.6774577603306486E-3</v>
      </c>
      <c r="AD86" s="70">
        <v>1.1763899508648642E-2</v>
      </c>
      <c r="AE86" s="70">
        <v>1.5258126753280456E-2</v>
      </c>
      <c r="AF86" s="62">
        <v>1.8876053332213219E-2</v>
      </c>
      <c r="AG86" s="70" t="s">
        <v>21</v>
      </c>
      <c r="AH86" s="70">
        <v>2.5938297603306454E-3</v>
      </c>
      <c r="AI86" s="70">
        <v>7.6817077086486435E-3</v>
      </c>
      <c r="AJ86" s="70">
        <v>1.0285418853280454E-2</v>
      </c>
      <c r="AK86" s="70">
        <v>1.262920793221322E-2</v>
      </c>
    </row>
    <row r="87" spans="2:37" x14ac:dyDescent="0.35">
      <c r="B87" s="56" t="s">
        <v>72</v>
      </c>
      <c r="C87" s="66" t="s">
        <v>66</v>
      </c>
      <c r="D87" s="66" t="s">
        <v>69</v>
      </c>
      <c r="E87" s="66" t="s">
        <v>36</v>
      </c>
      <c r="F87" s="73" t="str">
        <f t="shared" si="4"/>
        <v/>
      </c>
      <c r="G87" s="75">
        <f t="shared" si="4"/>
        <v>8.7656036942572284E-3</v>
      </c>
      <c r="H87" s="75">
        <f t="shared" si="4"/>
        <v>1.6643229773901709E-2</v>
      </c>
      <c r="I87" s="75">
        <f t="shared" si="4"/>
        <v>2.1614683671360109E-2</v>
      </c>
      <c r="J87" s="63">
        <f t="shared" si="4"/>
        <v>2.5622342634639333E-2</v>
      </c>
      <c r="K87" s="73" t="str">
        <f t="shared" si="5"/>
        <v/>
      </c>
      <c r="L87" s="75">
        <f t="shared" si="5"/>
        <v>5.821119794257229E-3</v>
      </c>
      <c r="M87" s="75">
        <f t="shared" si="5"/>
        <v>1.2686846173901712E-2</v>
      </c>
      <c r="N87" s="75">
        <f t="shared" si="5"/>
        <v>1.6741084471360107E-2</v>
      </c>
      <c r="O87" s="63">
        <f t="shared" si="5"/>
        <v>1.9463620834639331E-2</v>
      </c>
      <c r="P87" s="56" t="s">
        <v>21</v>
      </c>
      <c r="Q87" s="66" t="s">
        <v>21</v>
      </c>
      <c r="R87" s="95" t="s">
        <v>21</v>
      </c>
      <c r="S87" s="75">
        <v>0</v>
      </c>
      <c r="T87" s="63">
        <f t="shared" si="6"/>
        <v>1.6643229773901709E-2</v>
      </c>
      <c r="V87" s="115">
        <v>1.1095622199999999</v>
      </c>
      <c r="W87" s="107">
        <v>2.8290901100000001</v>
      </c>
      <c r="X87" s="107">
        <v>4.3211671300000001</v>
      </c>
      <c r="Y87" s="107">
        <v>5.5739569800000002</v>
      </c>
      <c r="Z87" s="116">
        <v>7.0899993600000002</v>
      </c>
      <c r="AB87" s="73" t="s">
        <v>21</v>
      </c>
      <c r="AC87" s="75">
        <v>8.7656036942572284E-3</v>
      </c>
      <c r="AD87" s="75">
        <v>1.6643229773901709E-2</v>
      </c>
      <c r="AE87" s="75">
        <v>2.1614683671360109E-2</v>
      </c>
      <c r="AF87" s="63">
        <v>2.5622342634639333E-2</v>
      </c>
      <c r="AG87" s="75" t="s">
        <v>21</v>
      </c>
      <c r="AH87" s="75">
        <v>5.821119794257229E-3</v>
      </c>
      <c r="AI87" s="75">
        <v>1.2686846173901712E-2</v>
      </c>
      <c r="AJ87" s="75">
        <v>1.6741084471360107E-2</v>
      </c>
      <c r="AK87" s="75">
        <v>1.9463620834639331E-2</v>
      </c>
    </row>
    <row r="88" spans="2:37" x14ac:dyDescent="0.35">
      <c r="B88" s="56" t="s">
        <v>74</v>
      </c>
      <c r="C88" s="66" t="s">
        <v>61</v>
      </c>
      <c r="D88" s="66" t="s">
        <v>69</v>
      </c>
      <c r="E88" s="66" t="s">
        <v>312</v>
      </c>
      <c r="F88" s="73" t="str">
        <f t="shared" si="4"/>
        <v/>
      </c>
      <c r="G88" s="75">
        <f t="shared" si="4"/>
        <v>6.4452237995794893E-3</v>
      </c>
      <c r="H88" s="75">
        <f t="shared" si="4"/>
        <v>1.211753709122595E-2</v>
      </c>
      <c r="I88" s="75">
        <f t="shared" si="4"/>
        <v>1.5608263320795054E-2</v>
      </c>
      <c r="J88" s="63">
        <f t="shared" si="4"/>
        <v>1.8880320048563791E-2</v>
      </c>
      <c r="K88" s="73" t="str">
        <f t="shared" si="5"/>
        <v/>
      </c>
      <c r="L88" s="75">
        <f t="shared" si="5"/>
        <v>3.4056863995794895E-3</v>
      </c>
      <c r="M88" s="75">
        <f t="shared" si="5"/>
        <v>8.0500121912259557E-3</v>
      </c>
      <c r="N88" s="75">
        <f t="shared" si="5"/>
        <v>1.0645464220795056E-2</v>
      </c>
      <c r="O88" s="63">
        <f t="shared" si="5"/>
        <v>1.2634382548563786E-2</v>
      </c>
      <c r="P88" s="56" t="s">
        <v>21</v>
      </c>
      <c r="Q88" s="66" t="s">
        <v>21</v>
      </c>
      <c r="R88" s="95" t="s">
        <v>21</v>
      </c>
      <c r="S88" s="75">
        <v>0</v>
      </c>
      <c r="T88" s="63">
        <f t="shared" si="6"/>
        <v>1.211753709122595E-2</v>
      </c>
      <c r="V88" s="117">
        <v>1.10822775</v>
      </c>
      <c r="W88" s="60">
        <v>2.8306059599999998</v>
      </c>
      <c r="X88" s="60">
        <v>4.3417309900000003</v>
      </c>
      <c r="Y88" s="60">
        <v>5.63144578</v>
      </c>
      <c r="Z88" s="118">
        <v>7.2178638800000003</v>
      </c>
      <c r="AB88" s="73" t="s">
        <v>21</v>
      </c>
      <c r="AC88" s="75">
        <v>6.4452237995794893E-3</v>
      </c>
      <c r="AD88" s="75">
        <v>1.211753709122595E-2</v>
      </c>
      <c r="AE88" s="75">
        <v>1.5608263320795054E-2</v>
      </c>
      <c r="AF88" s="63">
        <v>1.8880320048563791E-2</v>
      </c>
      <c r="AG88" s="75" t="s">
        <v>21</v>
      </c>
      <c r="AH88" s="75">
        <v>3.4056863995794895E-3</v>
      </c>
      <c r="AI88" s="75">
        <v>8.0500121912259557E-3</v>
      </c>
      <c r="AJ88" s="75">
        <v>1.0645464220795056E-2</v>
      </c>
      <c r="AK88" s="75">
        <v>1.2634382548563786E-2</v>
      </c>
    </row>
    <row r="89" spans="2:37" x14ac:dyDescent="0.35">
      <c r="B89" s="54" t="s">
        <v>76</v>
      </c>
      <c r="C89" s="52" t="s">
        <v>65</v>
      </c>
      <c r="D89" s="52" t="s">
        <v>69</v>
      </c>
      <c r="E89" s="52" t="s">
        <v>34</v>
      </c>
      <c r="F89" s="72" t="str">
        <f t="shared" si="4"/>
        <v/>
      </c>
      <c r="G89" s="59">
        <f t="shared" si="4"/>
        <v>6.8279982155399523E-3</v>
      </c>
      <c r="H89" s="59">
        <f t="shared" si="4"/>
        <v>1.3526557824373396E-2</v>
      </c>
      <c r="I89" s="59">
        <f t="shared" si="4"/>
        <v>1.7284997811454386E-2</v>
      </c>
      <c r="J89" s="62">
        <f t="shared" si="4"/>
        <v>2.0718558155538927E-2</v>
      </c>
      <c r="K89" s="72" t="str">
        <f t="shared" si="5"/>
        <v/>
      </c>
      <c r="L89" s="59">
        <f t="shared" si="5"/>
        <v>3.806745415539953E-3</v>
      </c>
      <c r="M89" s="59">
        <f t="shared" si="5"/>
        <v>9.5005694243733944E-3</v>
      </c>
      <c r="N89" s="59">
        <f t="shared" si="5"/>
        <v>1.2358928711454387E-2</v>
      </c>
      <c r="O89" s="62">
        <f t="shared" si="5"/>
        <v>1.4515028855538929E-2</v>
      </c>
      <c r="P89" s="54" t="s">
        <v>21</v>
      </c>
      <c r="Q89" s="52" t="s">
        <v>21</v>
      </c>
      <c r="R89" s="93" t="s">
        <v>21</v>
      </c>
      <c r="S89" s="70">
        <v>0</v>
      </c>
      <c r="T89" s="62">
        <f t="shared" si="6"/>
        <v>1.3526557824373396E-2</v>
      </c>
      <c r="V89" s="117">
        <v>1.1081504400000002</v>
      </c>
      <c r="W89" s="60">
        <v>2.8280445899999997</v>
      </c>
      <c r="X89" s="60">
        <v>4.3244797699999999</v>
      </c>
      <c r="Y89" s="60">
        <v>5.5886629799999996</v>
      </c>
      <c r="Z89" s="118">
        <v>7.1267094899999996</v>
      </c>
      <c r="AB89" s="72" t="s">
        <v>21</v>
      </c>
      <c r="AC89" s="70">
        <v>6.8279982155399523E-3</v>
      </c>
      <c r="AD89" s="70">
        <v>1.3526557824373396E-2</v>
      </c>
      <c r="AE89" s="70">
        <v>1.7284997811454386E-2</v>
      </c>
      <c r="AF89" s="62">
        <v>2.0718558155538927E-2</v>
      </c>
      <c r="AG89" s="70" t="s">
        <v>21</v>
      </c>
      <c r="AH89" s="70">
        <v>3.806745415539953E-3</v>
      </c>
      <c r="AI89" s="70">
        <v>9.5005694243733944E-3</v>
      </c>
      <c r="AJ89" s="70">
        <v>1.2358928711454387E-2</v>
      </c>
      <c r="AK89" s="70">
        <v>1.4515028855538929E-2</v>
      </c>
    </row>
    <row r="90" spans="2:37" x14ac:dyDescent="0.35">
      <c r="B90" s="56" t="s">
        <v>76</v>
      </c>
      <c r="C90" s="66" t="s">
        <v>66</v>
      </c>
      <c r="D90" s="66" t="s">
        <v>69</v>
      </c>
      <c r="E90" s="66" t="s">
        <v>21</v>
      </c>
      <c r="F90" s="73" t="str">
        <f t="shared" ref="F90:J110" si="11">IF(ISNUMBER(AB90),AB90-((C$4-C$3)/V90),"")</f>
        <v/>
      </c>
      <c r="G90" s="75">
        <f t="shared" si="11"/>
        <v>1.0067675338543317E-2</v>
      </c>
      <c r="H90" s="75">
        <f t="shared" si="11"/>
        <v>1.8937519348712163E-2</v>
      </c>
      <c r="I90" s="75">
        <f t="shared" si="11"/>
        <v>2.4109688543882239E-2</v>
      </c>
      <c r="J90" s="63">
        <f t="shared" si="11"/>
        <v>2.7942580436896639E-2</v>
      </c>
      <c r="K90" s="73" t="str">
        <f t="shared" ref="K90:O110" si="12">IF(ISNUMBER(AG90),IF(AG90-((C$4-C$3)/V90)&lt;0,"",AG90-((C$4-C$3)/V90)),"")</f>
        <v/>
      </c>
      <c r="L90" s="75">
        <f t="shared" si="12"/>
        <v>7.154514038543322E-3</v>
      </c>
      <c r="M90" s="75">
        <f t="shared" si="12"/>
        <v>1.4993518648712165E-2</v>
      </c>
      <c r="N90" s="75">
        <f t="shared" si="12"/>
        <v>1.9228309643882238E-2</v>
      </c>
      <c r="O90" s="63">
        <f t="shared" si="12"/>
        <v>2.1778334836896632E-2</v>
      </c>
      <c r="P90" s="56" t="s">
        <v>21</v>
      </c>
      <c r="Q90" s="66" t="s">
        <v>21</v>
      </c>
      <c r="R90" s="95" t="s">
        <v>21</v>
      </c>
      <c r="S90" s="75">
        <v>0</v>
      </c>
      <c r="T90" s="63">
        <f t="shared" si="6"/>
        <v>1.8937519348712163E-2</v>
      </c>
      <c r="V90" s="115">
        <v>1.10806644</v>
      </c>
      <c r="W90" s="107">
        <v>2.8201902899999998</v>
      </c>
      <c r="X90" s="107">
        <v>4.2927616999999998</v>
      </c>
      <c r="Y90" s="107">
        <v>5.5174210199999996</v>
      </c>
      <c r="Z90" s="116">
        <v>6.98823638</v>
      </c>
      <c r="AB90" s="73" t="s">
        <v>21</v>
      </c>
      <c r="AC90" s="75">
        <v>1.0067675338543317E-2</v>
      </c>
      <c r="AD90" s="75">
        <v>1.8937519348712163E-2</v>
      </c>
      <c r="AE90" s="75">
        <v>2.4109688543882239E-2</v>
      </c>
      <c r="AF90" s="63">
        <v>2.7942580436896639E-2</v>
      </c>
      <c r="AG90" s="75" t="s">
        <v>21</v>
      </c>
      <c r="AH90" s="75">
        <v>7.154514038543322E-3</v>
      </c>
      <c r="AI90" s="75">
        <v>1.4993518648712165E-2</v>
      </c>
      <c r="AJ90" s="75">
        <v>1.9228309643882238E-2</v>
      </c>
      <c r="AK90" s="75">
        <v>2.1778334836896632E-2</v>
      </c>
    </row>
    <row r="91" spans="2:37" x14ac:dyDescent="0.35">
      <c r="B91" s="54" t="s">
        <v>77</v>
      </c>
      <c r="C91" s="52" t="s">
        <v>61</v>
      </c>
      <c r="D91" s="52" t="s">
        <v>69</v>
      </c>
      <c r="E91" s="52" t="s">
        <v>21</v>
      </c>
      <c r="F91" s="72" t="str">
        <f t="shared" si="11"/>
        <v/>
      </c>
      <c r="G91" s="59">
        <f t="shared" si="11"/>
        <v>5.2491636991857677E-3</v>
      </c>
      <c r="H91" s="59">
        <f t="shared" si="11"/>
        <v>1.0138086706538539E-2</v>
      </c>
      <c r="I91" s="59">
        <f t="shared" si="11"/>
        <v>1.3274832150968379E-2</v>
      </c>
      <c r="J91" s="62">
        <f t="shared" si="11"/>
        <v>1.5980487176525459E-2</v>
      </c>
      <c r="K91" s="72" t="str">
        <f t="shared" si="12"/>
        <v/>
      </c>
      <c r="L91" s="59">
        <f t="shared" si="12"/>
        <v>2.1374941991857722E-3</v>
      </c>
      <c r="M91" s="59">
        <f t="shared" si="12"/>
        <v>5.9768434065385363E-3</v>
      </c>
      <c r="N91" s="59">
        <f t="shared" si="12"/>
        <v>8.2219715509683784E-3</v>
      </c>
      <c r="O91" s="62">
        <f t="shared" si="12"/>
        <v>9.6199110765254562E-3</v>
      </c>
      <c r="P91" s="54" t="s">
        <v>21</v>
      </c>
      <c r="Q91" s="52" t="s">
        <v>21</v>
      </c>
      <c r="R91" s="93" t="s">
        <v>21</v>
      </c>
      <c r="S91" s="70">
        <v>0</v>
      </c>
      <c r="T91" s="62">
        <f t="shared" si="6"/>
        <v>1.0138086706538539E-2</v>
      </c>
      <c r="V91" s="117">
        <v>1.1096289100000001</v>
      </c>
      <c r="W91" s="60">
        <v>2.8408150600000002</v>
      </c>
      <c r="X91" s="60">
        <v>4.3745732000000004</v>
      </c>
      <c r="Y91" s="60">
        <v>5.70036889</v>
      </c>
      <c r="Z91" s="118">
        <v>7.3627136800000006</v>
      </c>
      <c r="AB91" s="72" t="s">
        <v>21</v>
      </c>
      <c r="AC91" s="70">
        <v>5.2491636991857677E-3</v>
      </c>
      <c r="AD91" s="70">
        <v>1.0138086706538539E-2</v>
      </c>
      <c r="AE91" s="70">
        <v>1.3274832150968379E-2</v>
      </c>
      <c r="AF91" s="62">
        <v>1.5980487176525459E-2</v>
      </c>
      <c r="AG91" s="70" t="s">
        <v>21</v>
      </c>
      <c r="AH91" s="70">
        <v>2.1374941991857722E-3</v>
      </c>
      <c r="AI91" s="70">
        <v>5.9768434065385363E-3</v>
      </c>
      <c r="AJ91" s="70">
        <v>8.2219715509683784E-3</v>
      </c>
      <c r="AK91" s="70">
        <v>9.6199110765254562E-3</v>
      </c>
    </row>
    <row r="92" spans="2:37" x14ac:dyDescent="0.35">
      <c r="B92" s="56" t="s">
        <v>77</v>
      </c>
      <c r="C92" s="66" t="s">
        <v>63</v>
      </c>
      <c r="D92" s="66" t="s">
        <v>69</v>
      </c>
      <c r="E92" s="66" t="s">
        <v>21</v>
      </c>
      <c r="F92" s="73" t="str">
        <f t="shared" si="11"/>
        <v/>
      </c>
      <c r="G92" s="75">
        <f t="shared" si="11"/>
        <v>7.8894024460087128E-3</v>
      </c>
      <c r="H92" s="75">
        <f t="shared" si="11"/>
        <v>1.36649869579781E-2</v>
      </c>
      <c r="I92" s="75">
        <f t="shared" si="11"/>
        <v>1.6805557346338259E-2</v>
      </c>
      <c r="J92" s="63">
        <f t="shared" si="11"/>
        <v>1.9571330809926273E-2</v>
      </c>
      <c r="K92" s="73" t="str">
        <f t="shared" si="12"/>
        <v/>
      </c>
      <c r="L92" s="75">
        <f t="shared" si="12"/>
        <v>4.9178992460087141E-3</v>
      </c>
      <c r="M92" s="75">
        <f t="shared" si="12"/>
        <v>9.6561395579781023E-3</v>
      </c>
      <c r="N92" s="75">
        <f t="shared" si="12"/>
        <v>1.1882604446338256E-2</v>
      </c>
      <c r="O92" s="63">
        <f t="shared" si="12"/>
        <v>1.3339546609926272E-2</v>
      </c>
      <c r="P92" s="56" t="s">
        <v>21</v>
      </c>
      <c r="Q92" s="66" t="s">
        <v>21</v>
      </c>
      <c r="R92" s="95" t="s">
        <v>21</v>
      </c>
      <c r="S92" s="75">
        <v>0</v>
      </c>
      <c r="T92" s="63">
        <f t="shared" si="6"/>
        <v>1.36649869579781E-2</v>
      </c>
      <c r="V92" s="115">
        <v>1.10812266</v>
      </c>
      <c r="W92" s="107">
        <v>2.8307067099999998</v>
      </c>
      <c r="X92" s="107">
        <v>4.3459394800000002</v>
      </c>
      <c r="Y92" s="107">
        <v>5.6508253899999996</v>
      </c>
      <c r="Z92" s="116">
        <v>7.2826874200000002</v>
      </c>
      <c r="AB92" s="73" t="s">
        <v>21</v>
      </c>
      <c r="AC92" s="75">
        <v>7.8894024460087128E-3</v>
      </c>
      <c r="AD92" s="75">
        <v>1.36649869579781E-2</v>
      </c>
      <c r="AE92" s="75">
        <v>1.6805557346338259E-2</v>
      </c>
      <c r="AF92" s="63">
        <v>1.9571330809926273E-2</v>
      </c>
      <c r="AG92" s="75" t="s">
        <v>21</v>
      </c>
      <c r="AH92" s="75">
        <v>4.9178992460087141E-3</v>
      </c>
      <c r="AI92" s="75">
        <v>9.6561395579781023E-3</v>
      </c>
      <c r="AJ92" s="75">
        <v>1.1882604446338256E-2</v>
      </c>
      <c r="AK92" s="75">
        <v>1.3339546609926272E-2</v>
      </c>
    </row>
    <row r="93" spans="2:37" x14ac:dyDescent="0.35">
      <c r="B93" s="54" t="s">
        <v>78</v>
      </c>
      <c r="C93" s="52" t="s">
        <v>65</v>
      </c>
      <c r="D93" s="52" t="s">
        <v>69</v>
      </c>
      <c r="E93" s="52" t="s">
        <v>79</v>
      </c>
      <c r="F93" s="72" t="str">
        <f t="shared" si="11"/>
        <v/>
      </c>
      <c r="G93" s="59">
        <f t="shared" si="11"/>
        <v>6.2791007962926665E-3</v>
      </c>
      <c r="H93" s="59">
        <f t="shared" si="11"/>
        <v>1.2749554196235989E-2</v>
      </c>
      <c r="I93" s="59">
        <f t="shared" si="11"/>
        <v>1.6443758614310553E-2</v>
      </c>
      <c r="J93" s="62">
        <f t="shared" si="11"/>
        <v>1.9987990708361953E-2</v>
      </c>
      <c r="K93" s="72" t="str">
        <f t="shared" si="12"/>
        <v/>
      </c>
      <c r="L93" s="59">
        <f t="shared" si="12"/>
        <v>3.2307489962926659E-3</v>
      </c>
      <c r="M93" s="59">
        <f t="shared" si="12"/>
        <v>8.7025599962359881E-3</v>
      </c>
      <c r="N93" s="59">
        <f t="shared" si="12"/>
        <v>1.1502362014310555E-2</v>
      </c>
      <c r="O93" s="62">
        <f t="shared" si="12"/>
        <v>1.3770453008361955E-2</v>
      </c>
      <c r="P93" s="54" t="s">
        <v>21</v>
      </c>
      <c r="Q93" s="52" t="s">
        <v>21</v>
      </c>
      <c r="R93" s="93" t="s">
        <v>21</v>
      </c>
      <c r="S93" s="70">
        <v>0</v>
      </c>
      <c r="T93" s="62">
        <f t="shared" si="6"/>
        <v>1.2749554196235989E-2</v>
      </c>
      <c r="V93" s="117">
        <v>1.10953729</v>
      </c>
      <c r="W93" s="60">
        <v>2.8341121600000001</v>
      </c>
      <c r="X93" s="60">
        <v>4.33956125</v>
      </c>
      <c r="Y93" s="60">
        <v>5.6166474800000001</v>
      </c>
      <c r="Z93" s="118">
        <v>7.1748198599999995</v>
      </c>
      <c r="AB93" s="72" t="s">
        <v>21</v>
      </c>
      <c r="AC93" s="70">
        <v>6.2791007962926665E-3</v>
      </c>
      <c r="AD93" s="70">
        <v>1.2749554196235989E-2</v>
      </c>
      <c r="AE93" s="70">
        <v>1.6443758614310553E-2</v>
      </c>
      <c r="AF93" s="62">
        <v>1.9987990708361953E-2</v>
      </c>
      <c r="AG93" s="70" t="s">
        <v>21</v>
      </c>
      <c r="AH93" s="70">
        <v>3.2307489962926659E-3</v>
      </c>
      <c r="AI93" s="70">
        <v>8.7025599962359881E-3</v>
      </c>
      <c r="AJ93" s="70">
        <v>1.1502362014310555E-2</v>
      </c>
      <c r="AK93" s="70">
        <v>1.3770453008361955E-2</v>
      </c>
    </row>
    <row r="94" spans="2:37" x14ac:dyDescent="0.35">
      <c r="B94" s="56" t="s">
        <v>78</v>
      </c>
      <c r="C94" s="66" t="s">
        <v>66</v>
      </c>
      <c r="D94" s="66" t="s">
        <v>69</v>
      </c>
      <c r="E94" s="66" t="s">
        <v>133</v>
      </c>
      <c r="F94" s="73" t="str">
        <f t="shared" si="11"/>
        <v/>
      </c>
      <c r="G94" s="75">
        <f t="shared" si="11"/>
        <v>9.7916905529299401E-3</v>
      </c>
      <c r="H94" s="75">
        <f t="shared" si="11"/>
        <v>1.8671678780631487E-2</v>
      </c>
      <c r="I94" s="75">
        <f t="shared" si="11"/>
        <v>2.3842076734067331E-2</v>
      </c>
      <c r="J94" s="63">
        <f t="shared" si="11"/>
        <v>2.8058015144115524E-2</v>
      </c>
      <c r="K94" s="73" t="str">
        <f t="shared" si="12"/>
        <v/>
      </c>
      <c r="L94" s="75">
        <f t="shared" si="12"/>
        <v>6.8709458529299453E-3</v>
      </c>
      <c r="M94" s="75">
        <f t="shared" si="12"/>
        <v>1.4725602080631488E-2</v>
      </c>
      <c r="N94" s="75">
        <f t="shared" si="12"/>
        <v>1.8961125634067329E-2</v>
      </c>
      <c r="O94" s="63">
        <f t="shared" si="12"/>
        <v>2.1890513644115525E-2</v>
      </c>
      <c r="P94" s="56" t="s">
        <v>21</v>
      </c>
      <c r="Q94" s="66" t="s">
        <v>21</v>
      </c>
      <c r="R94" s="95" t="s">
        <v>21</v>
      </c>
      <c r="S94" s="75">
        <v>0</v>
      </c>
      <c r="T94" s="63">
        <f t="shared" si="6"/>
        <v>1.8671678780631487E-2</v>
      </c>
      <c r="V94" s="115">
        <v>1.10889419</v>
      </c>
      <c r="W94" s="107">
        <v>2.8230468599999998</v>
      </c>
      <c r="X94" s="107">
        <v>4.2981855200000005</v>
      </c>
      <c r="Y94" s="107">
        <v>5.5258980500000003</v>
      </c>
      <c r="Z94" s="116">
        <v>6.9963004699999995</v>
      </c>
      <c r="AB94" s="73" t="s">
        <v>21</v>
      </c>
      <c r="AC94" s="75">
        <v>9.7916905529299401E-3</v>
      </c>
      <c r="AD94" s="75">
        <v>1.8671678780631487E-2</v>
      </c>
      <c r="AE94" s="75">
        <v>2.3842076734067331E-2</v>
      </c>
      <c r="AF94" s="63">
        <v>2.8058015144115524E-2</v>
      </c>
      <c r="AG94" s="75" t="s">
        <v>21</v>
      </c>
      <c r="AH94" s="75">
        <v>6.8709458529299453E-3</v>
      </c>
      <c r="AI94" s="75">
        <v>1.4725602080631488E-2</v>
      </c>
      <c r="AJ94" s="75">
        <v>1.8961125634067329E-2</v>
      </c>
      <c r="AK94" s="75">
        <v>2.1890513644115525E-2</v>
      </c>
    </row>
    <row r="95" spans="2:37" x14ac:dyDescent="0.35">
      <c r="B95" s="54" t="s">
        <v>80</v>
      </c>
      <c r="C95" s="52" t="s">
        <v>61</v>
      </c>
      <c r="D95" s="52" t="s">
        <v>69</v>
      </c>
      <c r="E95" s="52" t="s">
        <v>21</v>
      </c>
      <c r="F95" s="72" t="str">
        <f t="shared" si="11"/>
        <v/>
      </c>
      <c r="G95" s="59">
        <f t="shared" si="11"/>
        <v>5.1413145623907773E-3</v>
      </c>
      <c r="H95" s="70">
        <f t="shared" si="11"/>
        <v>1.0863349202561837E-2</v>
      </c>
      <c r="I95" s="70">
        <f t="shared" si="11"/>
        <v>1.3903645588658146E-2</v>
      </c>
      <c r="J95" s="62">
        <f t="shared" si="11"/>
        <v>1.7002391849253937E-2</v>
      </c>
      <c r="K95" s="72" t="str">
        <f t="shared" si="12"/>
        <v/>
      </c>
      <c r="L95" s="59">
        <f t="shared" si="12"/>
        <v>2.0220814623907826E-3</v>
      </c>
      <c r="M95" s="70">
        <f t="shared" si="12"/>
        <v>6.7410166025618388E-3</v>
      </c>
      <c r="N95" s="70">
        <f t="shared" si="12"/>
        <v>8.882210588658148E-3</v>
      </c>
      <c r="O95" s="62">
        <f t="shared" si="12"/>
        <v>1.0690952149253939E-2</v>
      </c>
      <c r="P95" s="54" t="s">
        <v>21</v>
      </c>
      <c r="Q95" s="52" t="s">
        <v>21</v>
      </c>
      <c r="R95" s="93" t="s">
        <v>21</v>
      </c>
      <c r="S95" s="70">
        <v>0</v>
      </c>
      <c r="T95" s="62">
        <f t="shared" si="6"/>
        <v>1.0863349202561837E-2</v>
      </c>
      <c r="V95" s="117">
        <v>1.11019158</v>
      </c>
      <c r="W95" s="60">
        <v>2.84254775</v>
      </c>
      <c r="X95" s="60">
        <v>4.3694682299999998</v>
      </c>
      <c r="Y95" s="60">
        <v>5.6847078699999996</v>
      </c>
      <c r="Z95" s="118">
        <v>7.3214180799999999</v>
      </c>
      <c r="AB95" s="72" t="s">
        <v>21</v>
      </c>
      <c r="AC95" s="70">
        <v>5.1413145623907773E-3</v>
      </c>
      <c r="AD95" s="70">
        <v>1.0863349202561837E-2</v>
      </c>
      <c r="AE95" s="70">
        <v>1.3903645588658146E-2</v>
      </c>
      <c r="AF95" s="62">
        <v>1.7002391849253937E-2</v>
      </c>
      <c r="AG95" s="70" t="s">
        <v>21</v>
      </c>
      <c r="AH95" s="70">
        <v>2.0220814623907826E-3</v>
      </c>
      <c r="AI95" s="70">
        <v>6.7410166025618388E-3</v>
      </c>
      <c r="AJ95" s="70">
        <v>8.882210588658148E-3</v>
      </c>
      <c r="AK95" s="70">
        <v>1.0690952149253939E-2</v>
      </c>
    </row>
    <row r="96" spans="2:37" x14ac:dyDescent="0.35">
      <c r="B96" s="54" t="s">
        <v>80</v>
      </c>
      <c r="C96" s="52" t="s">
        <v>63</v>
      </c>
      <c r="D96" s="52" t="s">
        <v>69</v>
      </c>
      <c r="E96" s="52" t="s">
        <v>36</v>
      </c>
      <c r="F96" s="72" t="str">
        <f t="shared" si="11"/>
        <v/>
      </c>
      <c r="G96" s="59">
        <f t="shared" si="11"/>
        <v>7.7939966991463321E-3</v>
      </c>
      <c r="H96" s="70">
        <f t="shared" si="11"/>
        <v>1.3683100858224134E-2</v>
      </c>
      <c r="I96" s="70">
        <f t="shared" si="11"/>
        <v>1.7536304171782684E-2</v>
      </c>
      <c r="J96" s="62">
        <f t="shared" si="11"/>
        <v>2.1018642912226781E-2</v>
      </c>
      <c r="K96" s="72" t="str">
        <f t="shared" si="12"/>
        <v/>
      </c>
      <c r="L96" s="59">
        <f t="shared" si="12"/>
        <v>4.8188511991463304E-3</v>
      </c>
      <c r="M96" s="70">
        <f t="shared" si="12"/>
        <v>9.6741620582241339E-3</v>
      </c>
      <c r="N96" s="70">
        <f t="shared" si="12"/>
        <v>1.2626651571782683E-2</v>
      </c>
      <c r="O96" s="62">
        <f t="shared" si="12"/>
        <v>1.4817081812226782E-2</v>
      </c>
      <c r="P96" s="54" t="s">
        <v>21</v>
      </c>
      <c r="Q96" s="52" t="s">
        <v>21</v>
      </c>
      <c r="R96" s="93" t="s">
        <v>21</v>
      </c>
      <c r="S96" s="70">
        <v>0</v>
      </c>
      <c r="T96" s="62">
        <f t="shared" si="6"/>
        <v>1.3683100858224134E-2</v>
      </c>
      <c r="V96" s="115">
        <v>1.1084732099999999</v>
      </c>
      <c r="W96" s="107">
        <v>2.8315330199999997</v>
      </c>
      <c r="X96" s="107">
        <v>4.3475858999999994</v>
      </c>
      <c r="Y96" s="107">
        <v>5.6455002299999997</v>
      </c>
      <c r="Z96" s="116">
        <v>7.2512090499999999</v>
      </c>
      <c r="AB96" s="72" t="s">
        <v>21</v>
      </c>
      <c r="AC96" s="70">
        <v>7.7939966991463321E-3</v>
      </c>
      <c r="AD96" s="70">
        <v>1.3683100858224134E-2</v>
      </c>
      <c r="AE96" s="70">
        <v>1.7536304171782684E-2</v>
      </c>
      <c r="AF96" s="62">
        <v>2.1018642912226781E-2</v>
      </c>
      <c r="AG96" s="70" t="s">
        <v>21</v>
      </c>
      <c r="AH96" s="70">
        <v>4.8188511991463304E-3</v>
      </c>
      <c r="AI96" s="70">
        <v>9.6741620582241339E-3</v>
      </c>
      <c r="AJ96" s="70">
        <v>1.2626651571782683E-2</v>
      </c>
      <c r="AK96" s="70">
        <v>1.4817081812226782E-2</v>
      </c>
    </row>
    <row r="97" spans="2:37" x14ac:dyDescent="0.35">
      <c r="B97" s="55" t="s">
        <v>82</v>
      </c>
      <c r="C97" s="65" t="s">
        <v>65</v>
      </c>
      <c r="D97" s="65" t="s">
        <v>69</v>
      </c>
      <c r="E97" s="65" t="s">
        <v>34</v>
      </c>
      <c r="F97" s="74" t="str">
        <f t="shared" si="11"/>
        <v/>
      </c>
      <c r="G97" s="79">
        <f t="shared" si="11"/>
        <v>6.7649705491548756E-3</v>
      </c>
      <c r="H97" s="79">
        <f t="shared" si="11"/>
        <v>1.3538586213245236E-2</v>
      </c>
      <c r="I97" s="79">
        <f t="shared" si="11"/>
        <v>1.7292582621092498E-2</v>
      </c>
      <c r="J97" s="61">
        <f t="shared" si="11"/>
        <v>2.077283246040363E-2</v>
      </c>
      <c r="K97" s="74" t="str">
        <f t="shared" si="12"/>
        <v/>
      </c>
      <c r="L97" s="79">
        <f t="shared" si="12"/>
        <v>3.7404678491548748E-3</v>
      </c>
      <c r="M97" s="79">
        <f t="shared" si="12"/>
        <v>9.5128406132452409E-3</v>
      </c>
      <c r="N97" s="79">
        <f t="shared" si="12"/>
        <v>1.2366955521092498E-2</v>
      </c>
      <c r="O97" s="61">
        <f t="shared" si="12"/>
        <v>1.4570442060403631E-2</v>
      </c>
      <c r="P97" s="55" t="s">
        <v>21</v>
      </c>
      <c r="Q97" s="65" t="s">
        <v>21</v>
      </c>
      <c r="R97" s="99" t="s">
        <v>21</v>
      </c>
      <c r="S97" s="79">
        <v>0</v>
      </c>
      <c r="T97" s="61">
        <f t="shared" si="6"/>
        <v>1.3538586213245236E-2</v>
      </c>
      <c r="V97" s="113">
        <v>1.10888772</v>
      </c>
      <c r="W97" s="71">
        <v>2.8298308400000001</v>
      </c>
      <c r="X97" s="71">
        <v>4.3263467899999997</v>
      </c>
      <c r="Y97" s="71">
        <v>5.5903903699999997</v>
      </c>
      <c r="Z97" s="114">
        <v>7.1272991999999995</v>
      </c>
      <c r="AB97" s="74" t="s">
        <v>21</v>
      </c>
      <c r="AC97" s="79">
        <v>6.7649705491548756E-3</v>
      </c>
      <c r="AD97" s="79">
        <v>1.3538586213245236E-2</v>
      </c>
      <c r="AE97" s="79">
        <v>1.7292582621092498E-2</v>
      </c>
      <c r="AF97" s="61">
        <v>2.077283246040363E-2</v>
      </c>
      <c r="AG97" s="79" t="s">
        <v>21</v>
      </c>
      <c r="AH97" s="79">
        <v>3.7404678491548748E-3</v>
      </c>
      <c r="AI97" s="79">
        <v>9.5128406132452409E-3</v>
      </c>
      <c r="AJ97" s="79">
        <v>1.2366955521092498E-2</v>
      </c>
      <c r="AK97" s="79">
        <v>1.4570442060403631E-2</v>
      </c>
    </row>
    <row r="98" spans="2:37" x14ac:dyDescent="0.35">
      <c r="B98" s="56" t="s">
        <v>82</v>
      </c>
      <c r="C98" s="66" t="s">
        <v>66</v>
      </c>
      <c r="D98" s="66" t="s">
        <v>69</v>
      </c>
      <c r="E98" s="66" t="s">
        <v>21</v>
      </c>
      <c r="F98" s="73" t="str">
        <f t="shared" si="11"/>
        <v/>
      </c>
      <c r="G98" s="75">
        <f t="shared" si="11"/>
        <v>1.0154762061221179E-2</v>
      </c>
      <c r="H98" s="75">
        <f t="shared" si="11"/>
        <v>1.9048414157824489E-2</v>
      </c>
      <c r="I98" s="75">
        <f t="shared" si="11"/>
        <v>2.4310601621673065E-2</v>
      </c>
      <c r="J98" s="63">
        <f t="shared" si="11"/>
        <v>2.8520957150267968E-2</v>
      </c>
      <c r="K98" s="73" t="str">
        <f t="shared" si="12"/>
        <v/>
      </c>
      <c r="L98" s="75">
        <f t="shared" si="12"/>
        <v>7.2416747612211833E-3</v>
      </c>
      <c r="M98" s="75">
        <f t="shared" si="12"/>
        <v>1.5103442057824488E-2</v>
      </c>
      <c r="N98" s="75">
        <f t="shared" si="12"/>
        <v>1.9426761621673064E-2</v>
      </c>
      <c r="O98" s="63">
        <f t="shared" si="12"/>
        <v>2.2350539750267982E-2</v>
      </c>
      <c r="P98" s="56" t="s">
        <v>21</v>
      </c>
      <c r="Q98" s="66" t="s">
        <v>21</v>
      </c>
      <c r="R98" s="95" t="s">
        <v>21</v>
      </c>
      <c r="S98" s="75">
        <v>0</v>
      </c>
      <c r="T98" s="63">
        <f t="shared" si="6"/>
        <v>1.9048414157824489E-2</v>
      </c>
      <c r="V98" s="113">
        <v>1.10873906</v>
      </c>
      <c r="W98" s="71">
        <v>2.8210480900000001</v>
      </c>
      <c r="X98" s="71">
        <v>4.2926971299999996</v>
      </c>
      <c r="Y98" s="71">
        <v>5.5153136499999995</v>
      </c>
      <c r="Z98" s="114">
        <v>6.9769508800000004</v>
      </c>
      <c r="AB98" s="73" t="s">
        <v>21</v>
      </c>
      <c r="AC98" s="75">
        <v>1.0154762061221179E-2</v>
      </c>
      <c r="AD98" s="75">
        <v>1.9048414157824489E-2</v>
      </c>
      <c r="AE98" s="75">
        <v>2.4310601621673065E-2</v>
      </c>
      <c r="AF98" s="63">
        <v>2.8520957150267968E-2</v>
      </c>
      <c r="AG98" s="75" t="s">
        <v>21</v>
      </c>
      <c r="AH98" s="75">
        <v>7.2416747612211833E-3</v>
      </c>
      <c r="AI98" s="75">
        <v>1.5103442057824488E-2</v>
      </c>
      <c r="AJ98" s="75">
        <v>1.9426761621673064E-2</v>
      </c>
      <c r="AK98" s="75">
        <v>2.2350539750267982E-2</v>
      </c>
    </row>
    <row r="99" spans="2:37" x14ac:dyDescent="0.35">
      <c r="B99" s="78" t="s">
        <v>458</v>
      </c>
      <c r="C99" s="77"/>
      <c r="D99" s="77"/>
      <c r="E99" s="77"/>
      <c r="F99" s="77" t="str">
        <f t="shared" si="11"/>
        <v/>
      </c>
      <c r="G99" s="77" t="str">
        <f t="shared" si="11"/>
        <v/>
      </c>
      <c r="H99" s="77" t="str">
        <f t="shared" si="11"/>
        <v/>
      </c>
      <c r="I99" s="77" t="str">
        <f t="shared" si="11"/>
        <v/>
      </c>
      <c r="J99" s="77" t="str">
        <f t="shared" si="11"/>
        <v/>
      </c>
      <c r="K99" s="77" t="str">
        <f t="shared" si="12"/>
        <v/>
      </c>
      <c r="L99" s="77" t="str">
        <f t="shared" si="12"/>
        <v/>
      </c>
      <c r="M99" s="77" t="str">
        <f t="shared" si="12"/>
        <v/>
      </c>
      <c r="N99" s="77" t="str">
        <f t="shared" si="12"/>
        <v/>
      </c>
      <c r="O99" s="76" t="str">
        <f t="shared" si="12"/>
        <v/>
      </c>
      <c r="P99" s="78"/>
      <c r="Q99" s="77"/>
      <c r="R99" s="94"/>
      <c r="S99" s="77"/>
      <c r="T99" s="76" t="str">
        <f t="shared" si="6"/>
        <v/>
      </c>
      <c r="V99" s="111"/>
      <c r="W99" s="106"/>
      <c r="X99" s="106"/>
      <c r="Y99" s="106"/>
      <c r="Z99" s="112"/>
      <c r="AB99" s="77"/>
      <c r="AC99" s="77"/>
      <c r="AD99" s="77"/>
      <c r="AE99" s="77"/>
      <c r="AF99" s="77"/>
      <c r="AG99" s="77"/>
      <c r="AH99" s="77"/>
      <c r="AI99" s="77"/>
      <c r="AJ99" s="77"/>
      <c r="AK99" s="77"/>
    </row>
    <row r="100" spans="2:37" x14ac:dyDescent="0.35">
      <c r="B100" s="54" t="s">
        <v>84</v>
      </c>
      <c r="C100" s="52" t="s">
        <v>85</v>
      </c>
      <c r="D100" s="52" t="s">
        <v>20</v>
      </c>
      <c r="E100" s="52" t="s">
        <v>459</v>
      </c>
      <c r="F100" s="72" t="str">
        <f t="shared" si="11"/>
        <v/>
      </c>
      <c r="G100" s="59">
        <f t="shared" si="11"/>
        <v>7.0834676570217135E-3</v>
      </c>
      <c r="H100" s="70">
        <f t="shared" si="11"/>
        <v>1.2475655126455151E-2</v>
      </c>
      <c r="I100" s="70">
        <f t="shared" si="11"/>
        <v>1.5679898821998446E-2</v>
      </c>
      <c r="J100" s="62">
        <f t="shared" si="11"/>
        <v>1.8594217645291369E-2</v>
      </c>
      <c r="K100" s="72" t="str">
        <f t="shared" si="12"/>
        <v/>
      </c>
      <c r="L100" s="59">
        <f t="shared" si="12"/>
        <v>4.0733391570217129E-3</v>
      </c>
      <c r="M100" s="70">
        <f t="shared" si="12"/>
        <v>8.4203307264551549E-3</v>
      </c>
      <c r="N100" s="70">
        <f t="shared" si="12"/>
        <v>1.0719538921998447E-2</v>
      </c>
      <c r="O100" s="62">
        <f t="shared" si="12"/>
        <v>1.2341034745291368E-2</v>
      </c>
      <c r="P100" s="54" t="s">
        <v>21</v>
      </c>
      <c r="Q100" s="52" t="s">
        <v>21</v>
      </c>
      <c r="R100" s="93" t="s">
        <v>21</v>
      </c>
      <c r="S100" s="70">
        <v>0</v>
      </c>
      <c r="T100" s="62">
        <f t="shared" si="6"/>
        <v>1.2475655126455151E-2</v>
      </c>
      <c r="V100" s="113">
        <v>1.1064750300000001</v>
      </c>
      <c r="W100" s="71">
        <v>2.8232229000000002</v>
      </c>
      <c r="X100" s="71">
        <v>4.3298275500000001</v>
      </c>
      <c r="Y100" s="71">
        <v>5.6167675499999996</v>
      </c>
      <c r="Z100" s="114">
        <v>7.2076628000000005</v>
      </c>
      <c r="AB100" s="72" t="s">
        <v>21</v>
      </c>
      <c r="AC100" s="70">
        <v>7.0834676570217135E-3</v>
      </c>
      <c r="AD100" s="70">
        <v>1.2475655126455151E-2</v>
      </c>
      <c r="AE100" s="70">
        <v>1.5679898821998446E-2</v>
      </c>
      <c r="AF100" s="62">
        <v>1.8594217645291369E-2</v>
      </c>
      <c r="AG100" s="70" t="s">
        <v>21</v>
      </c>
      <c r="AH100" s="70">
        <v>4.0733391570217129E-3</v>
      </c>
      <c r="AI100" s="70">
        <v>8.4203307264551549E-3</v>
      </c>
      <c r="AJ100" s="70">
        <v>1.0719538921998447E-2</v>
      </c>
      <c r="AK100" s="70">
        <v>1.2341034745291368E-2</v>
      </c>
    </row>
    <row r="101" spans="2:37" x14ac:dyDescent="0.35">
      <c r="B101" s="54" t="s">
        <v>86</v>
      </c>
      <c r="C101" s="52" t="s">
        <v>85</v>
      </c>
      <c r="D101" s="52" t="s">
        <v>20</v>
      </c>
      <c r="E101" s="52" t="s">
        <v>459</v>
      </c>
      <c r="F101" s="72" t="str">
        <f t="shared" si="11"/>
        <v/>
      </c>
      <c r="G101" s="59">
        <f t="shared" si="11"/>
        <v>7.2449871066343199E-3</v>
      </c>
      <c r="H101" s="70">
        <f t="shared" si="11"/>
        <v>1.2580023903063942E-2</v>
      </c>
      <c r="I101" s="70">
        <f t="shared" si="11"/>
        <v>1.5784794061956878E-2</v>
      </c>
      <c r="J101" s="62">
        <f t="shared" si="11"/>
        <v>1.8788937869593545E-2</v>
      </c>
      <c r="K101" s="72" t="str">
        <f t="shared" si="12"/>
        <v/>
      </c>
      <c r="L101" s="59">
        <f t="shared" si="12"/>
        <v>4.2410896066343217E-3</v>
      </c>
      <c r="M101" s="70">
        <f t="shared" si="12"/>
        <v>8.5282221030639465E-3</v>
      </c>
      <c r="N101" s="70">
        <f t="shared" si="12"/>
        <v>1.0827841661956878E-2</v>
      </c>
      <c r="O101" s="62">
        <f t="shared" si="12"/>
        <v>1.2541036269593544E-2</v>
      </c>
      <c r="P101" s="54" t="s">
        <v>21</v>
      </c>
      <c r="Q101" s="52" t="s">
        <v>21</v>
      </c>
      <c r="R101" s="93" t="s">
        <v>21</v>
      </c>
      <c r="S101" s="70">
        <v>0</v>
      </c>
      <c r="T101" s="62">
        <f t="shared" si="6"/>
        <v>1.2580023903063942E-2</v>
      </c>
      <c r="V101" s="113">
        <v>1.10635214</v>
      </c>
      <c r="W101" s="71">
        <v>2.8228106400000001</v>
      </c>
      <c r="X101" s="71">
        <v>4.32816782</v>
      </c>
      <c r="Y101" s="71">
        <v>5.6127236499999995</v>
      </c>
      <c r="Z101" s="114">
        <v>7.1991589199999995</v>
      </c>
      <c r="AB101" s="72" t="s">
        <v>21</v>
      </c>
      <c r="AC101" s="70">
        <v>7.2449871066343199E-3</v>
      </c>
      <c r="AD101" s="70">
        <v>1.2580023903063942E-2</v>
      </c>
      <c r="AE101" s="70">
        <v>1.5784794061956878E-2</v>
      </c>
      <c r="AF101" s="62">
        <v>1.8788937869593545E-2</v>
      </c>
      <c r="AG101" s="70" t="s">
        <v>21</v>
      </c>
      <c r="AH101" s="70">
        <v>4.2410896066343217E-3</v>
      </c>
      <c r="AI101" s="70">
        <v>8.5282221030639465E-3</v>
      </c>
      <c r="AJ101" s="70">
        <v>1.0827841661956878E-2</v>
      </c>
      <c r="AK101" s="70">
        <v>1.2541036269593544E-2</v>
      </c>
    </row>
    <row r="102" spans="2:37" x14ac:dyDescent="0.35">
      <c r="B102" s="54" t="s">
        <v>87</v>
      </c>
      <c r="C102" s="52" t="s">
        <v>85</v>
      </c>
      <c r="D102" s="52" t="s">
        <v>20</v>
      </c>
      <c r="E102" s="52" t="s">
        <v>88</v>
      </c>
      <c r="F102" s="72" t="str">
        <f t="shared" si="11"/>
        <v/>
      </c>
      <c r="G102" s="59">
        <f t="shared" si="11"/>
        <v>7.0942493382518054E-3</v>
      </c>
      <c r="H102" s="70">
        <f t="shared" si="11"/>
        <v>1.2740155572929483E-2</v>
      </c>
      <c r="I102" s="70">
        <f t="shared" si="11"/>
        <v>1.5677115644338786E-2</v>
      </c>
      <c r="J102" s="62">
        <f t="shared" si="11"/>
        <v>1.864808661058508E-2</v>
      </c>
      <c r="K102" s="72" t="str">
        <f t="shared" si="12"/>
        <v/>
      </c>
      <c r="L102" s="59">
        <f t="shared" si="12"/>
        <v>4.0847742382518031E-3</v>
      </c>
      <c r="M102" s="70">
        <f t="shared" si="12"/>
        <v>8.6927797729294872E-3</v>
      </c>
      <c r="N102" s="70">
        <f t="shared" si="12"/>
        <v>1.0716629044338784E-2</v>
      </c>
      <c r="O102" s="62">
        <f t="shared" si="12"/>
        <v>1.2395381110585081E-2</v>
      </c>
      <c r="P102" s="54" t="s">
        <v>21</v>
      </c>
      <c r="Q102" s="52" t="s">
        <v>21</v>
      </c>
      <c r="R102" s="93" t="s">
        <v>21</v>
      </c>
      <c r="S102" s="70">
        <v>0</v>
      </c>
      <c r="T102" s="62">
        <f t="shared" si="6"/>
        <v>1.2740155572929483E-2</v>
      </c>
      <c r="V102" s="113">
        <v>1.1065838700000001</v>
      </c>
      <c r="W102" s="71">
        <v>2.8231535700000001</v>
      </c>
      <c r="X102" s="71">
        <v>4.3276968099999999</v>
      </c>
      <c r="Y102" s="71">
        <v>5.6162946600000003</v>
      </c>
      <c r="Z102" s="114">
        <v>7.2070654999999997</v>
      </c>
      <c r="AB102" s="72" t="s">
        <v>21</v>
      </c>
      <c r="AC102" s="70">
        <v>7.0942493382518054E-3</v>
      </c>
      <c r="AD102" s="70">
        <v>1.2740155572929483E-2</v>
      </c>
      <c r="AE102" s="70">
        <v>1.5677115644338786E-2</v>
      </c>
      <c r="AF102" s="62">
        <v>1.864808661058508E-2</v>
      </c>
      <c r="AG102" s="70" t="s">
        <v>21</v>
      </c>
      <c r="AH102" s="70">
        <v>4.0847742382518031E-3</v>
      </c>
      <c r="AI102" s="70">
        <v>8.6927797729294872E-3</v>
      </c>
      <c r="AJ102" s="70">
        <v>1.0716629044338784E-2</v>
      </c>
      <c r="AK102" s="70">
        <v>1.2395381110585081E-2</v>
      </c>
    </row>
    <row r="103" spans="2:37" x14ac:dyDescent="0.35">
      <c r="B103" s="54" t="s">
        <v>89</v>
      </c>
      <c r="C103" s="52" t="s">
        <v>85</v>
      </c>
      <c r="D103" s="52" t="s">
        <v>20</v>
      </c>
      <c r="E103" s="52" t="s">
        <v>312</v>
      </c>
      <c r="F103" s="72" t="str">
        <f t="shared" si="11"/>
        <v/>
      </c>
      <c r="G103" s="59">
        <f t="shared" si="11"/>
        <v>5.6949119367202122E-3</v>
      </c>
      <c r="H103" s="70">
        <f t="shared" si="11"/>
        <v>1.0702359506823383E-2</v>
      </c>
      <c r="I103" s="70">
        <f t="shared" si="11"/>
        <v>1.3840215177271017E-2</v>
      </c>
      <c r="J103" s="62">
        <f t="shared" si="11"/>
        <v>1.6782315556537298E-2</v>
      </c>
      <c r="K103" s="72" t="str">
        <f t="shared" si="12"/>
        <v/>
      </c>
      <c r="L103" s="59">
        <f t="shared" si="12"/>
        <v>2.6129964367202149E-3</v>
      </c>
      <c r="M103" s="70">
        <f t="shared" si="12"/>
        <v>6.5723558068233844E-3</v>
      </c>
      <c r="N103" s="70">
        <f t="shared" si="12"/>
        <v>8.8143633772710221E-3</v>
      </c>
      <c r="O103" s="62">
        <f t="shared" si="12"/>
        <v>1.04594654565373E-2</v>
      </c>
      <c r="P103" s="54" t="s">
        <v>21</v>
      </c>
      <c r="Q103" s="52" t="s">
        <v>21</v>
      </c>
      <c r="R103" s="93" t="s">
        <v>21</v>
      </c>
      <c r="S103" s="70">
        <v>0</v>
      </c>
      <c r="T103" s="62">
        <f t="shared" si="6"/>
        <v>1.0702359506823383E-2</v>
      </c>
      <c r="V103" s="113">
        <v>1.10893139</v>
      </c>
      <c r="W103" s="71">
        <v>2.8364501100000004</v>
      </c>
      <c r="X103" s="71">
        <v>4.36407889</v>
      </c>
      <c r="Y103" s="71">
        <v>5.6804253500000002</v>
      </c>
      <c r="Z103" s="114">
        <v>7.3225265200000003</v>
      </c>
      <c r="AB103" s="72" t="s">
        <v>21</v>
      </c>
      <c r="AC103" s="70">
        <v>5.6949119367202122E-3</v>
      </c>
      <c r="AD103" s="70">
        <v>1.0702359506823383E-2</v>
      </c>
      <c r="AE103" s="70">
        <v>1.3840215177271017E-2</v>
      </c>
      <c r="AF103" s="62">
        <v>1.6782315556537298E-2</v>
      </c>
      <c r="AG103" s="70" t="s">
        <v>21</v>
      </c>
      <c r="AH103" s="70">
        <v>2.6129964367202149E-3</v>
      </c>
      <c r="AI103" s="70">
        <v>6.5723558068233844E-3</v>
      </c>
      <c r="AJ103" s="70">
        <v>8.8143633772710221E-3</v>
      </c>
      <c r="AK103" s="70">
        <v>1.04594654565373E-2</v>
      </c>
    </row>
    <row r="104" spans="2:37" x14ac:dyDescent="0.35">
      <c r="B104" s="54" t="s">
        <v>90</v>
      </c>
      <c r="C104" s="52" t="s">
        <v>85</v>
      </c>
      <c r="D104" s="52" t="s">
        <v>20</v>
      </c>
      <c r="E104" s="52" t="s">
        <v>75</v>
      </c>
      <c r="F104" s="72" t="str">
        <f t="shared" si="11"/>
        <v/>
      </c>
      <c r="G104" s="59">
        <f t="shared" si="11"/>
        <v>7.3940185358544281E-3</v>
      </c>
      <c r="H104" s="70">
        <f t="shared" si="11"/>
        <v>1.2920569396980703E-2</v>
      </c>
      <c r="I104" s="70">
        <f t="shared" si="11"/>
        <v>1.6212094882321382E-2</v>
      </c>
      <c r="J104" s="62">
        <f t="shared" si="11"/>
        <v>1.9010818655279073E-2</v>
      </c>
      <c r="K104" s="72" t="str">
        <f t="shared" si="12"/>
        <v/>
      </c>
      <c r="L104" s="59">
        <f t="shared" si="12"/>
        <v>4.3953699358544283E-3</v>
      </c>
      <c r="M104" s="70">
        <f t="shared" si="12"/>
        <v>8.878772396980707E-3</v>
      </c>
      <c r="N104" s="70">
        <f t="shared" si="12"/>
        <v>1.1264895182321384E-2</v>
      </c>
      <c r="O104" s="62">
        <f t="shared" si="12"/>
        <v>1.2770702455279073E-2</v>
      </c>
      <c r="P104" s="54" t="s">
        <v>21</v>
      </c>
      <c r="Q104" s="52" t="s">
        <v>21</v>
      </c>
      <c r="R104" s="93" t="s">
        <v>21</v>
      </c>
      <c r="S104" s="70">
        <v>0</v>
      </c>
      <c r="T104" s="62">
        <f t="shared" si="6"/>
        <v>1.2920569396980703E-2</v>
      </c>
      <c r="V104" s="113">
        <v>1.10652357</v>
      </c>
      <c r="W104" s="71">
        <v>2.82179468</v>
      </c>
      <c r="X104" s="71">
        <v>4.3230857299999998</v>
      </c>
      <c r="Y104" s="71">
        <v>5.6019742599999995</v>
      </c>
      <c r="Z104" s="114">
        <v>7.1809356199999996</v>
      </c>
      <c r="AB104" s="72" t="s">
        <v>21</v>
      </c>
      <c r="AC104" s="70">
        <v>7.3940185358544281E-3</v>
      </c>
      <c r="AD104" s="70">
        <v>1.2920569396980703E-2</v>
      </c>
      <c r="AE104" s="70">
        <v>1.6212094882321382E-2</v>
      </c>
      <c r="AF104" s="62">
        <v>1.9010818655279073E-2</v>
      </c>
      <c r="AG104" s="70" t="s">
        <v>21</v>
      </c>
      <c r="AH104" s="70">
        <v>4.3953699358544283E-3</v>
      </c>
      <c r="AI104" s="70">
        <v>8.878772396980707E-3</v>
      </c>
      <c r="AJ104" s="70">
        <v>1.1264895182321384E-2</v>
      </c>
      <c r="AK104" s="70">
        <v>1.2770702455279073E-2</v>
      </c>
    </row>
    <row r="105" spans="2:37" x14ac:dyDescent="0.35">
      <c r="B105" s="54" t="s">
        <v>91</v>
      </c>
      <c r="C105" s="52" t="s">
        <v>85</v>
      </c>
      <c r="D105" s="52" t="s">
        <v>20</v>
      </c>
      <c r="E105" s="52" t="s">
        <v>92</v>
      </c>
      <c r="F105" s="72" t="str">
        <f t="shared" si="11"/>
        <v/>
      </c>
      <c r="G105" s="59">
        <f t="shared" si="11"/>
        <v>6.415148945470045E-3</v>
      </c>
      <c r="H105" s="70">
        <f t="shared" si="11"/>
        <v>1.1998820888568351E-2</v>
      </c>
      <c r="I105" s="70">
        <f t="shared" si="11"/>
        <v>1.5081214510774113E-2</v>
      </c>
      <c r="J105" s="62">
        <f t="shared" si="11"/>
        <v>1.8027433432272203E-2</v>
      </c>
      <c r="K105" s="72" t="str">
        <f t="shared" si="12"/>
        <v/>
      </c>
      <c r="L105" s="59">
        <f t="shared" si="12"/>
        <v>3.3734910454700441E-3</v>
      </c>
      <c r="M105" s="70">
        <f t="shared" si="12"/>
        <v>7.9259274885683552E-3</v>
      </c>
      <c r="N105" s="70">
        <f t="shared" si="12"/>
        <v>1.0104152410774114E-2</v>
      </c>
      <c r="O105" s="62">
        <f t="shared" si="12"/>
        <v>1.1756887832272203E-2</v>
      </c>
      <c r="P105" s="54" t="s">
        <v>21</v>
      </c>
      <c r="Q105" s="52" t="s">
        <v>21</v>
      </c>
      <c r="R105" s="93" t="s">
        <v>21</v>
      </c>
      <c r="S105" s="70">
        <v>0</v>
      </c>
      <c r="T105" s="62">
        <f t="shared" si="6"/>
        <v>1.1998820888568351E-2</v>
      </c>
      <c r="V105" s="113">
        <v>1.10772205</v>
      </c>
      <c r="W105" s="71">
        <v>2.83002698</v>
      </c>
      <c r="X105" s="71">
        <v>4.3429724199999997</v>
      </c>
      <c r="Y105" s="71">
        <v>5.6380107300000004</v>
      </c>
      <c r="Z105" s="114">
        <v>7.2439253900000002</v>
      </c>
      <c r="AB105" s="72" t="s">
        <v>21</v>
      </c>
      <c r="AC105" s="70">
        <v>6.415148945470045E-3</v>
      </c>
      <c r="AD105" s="70">
        <v>1.1998820888568351E-2</v>
      </c>
      <c r="AE105" s="70">
        <v>1.5081214510774113E-2</v>
      </c>
      <c r="AF105" s="62">
        <v>1.8027433432272203E-2</v>
      </c>
      <c r="AG105" s="70" t="s">
        <v>21</v>
      </c>
      <c r="AH105" s="70">
        <v>3.3734910454700441E-3</v>
      </c>
      <c r="AI105" s="70">
        <v>7.9259274885683552E-3</v>
      </c>
      <c r="AJ105" s="70">
        <v>1.0104152410774114E-2</v>
      </c>
      <c r="AK105" s="70">
        <v>1.1756887832272203E-2</v>
      </c>
    </row>
    <row r="106" spans="2:37" x14ac:dyDescent="0.35">
      <c r="B106" s="54" t="s">
        <v>307</v>
      </c>
      <c r="C106" s="52" t="s">
        <v>85</v>
      </c>
      <c r="D106" s="52" t="s">
        <v>20</v>
      </c>
      <c r="E106" s="52" t="s">
        <v>313</v>
      </c>
      <c r="F106" s="72" t="str">
        <f t="shared" si="11"/>
        <v/>
      </c>
      <c r="G106" s="59">
        <f t="shared" si="11"/>
        <v>5.2407283527377063E-3</v>
      </c>
      <c r="H106" s="70">
        <f t="shared" si="11"/>
        <v>1.0717596347104588E-2</v>
      </c>
      <c r="I106" s="70">
        <f t="shared" si="11"/>
        <v>1.3829902715256914E-2</v>
      </c>
      <c r="J106" s="62">
        <f t="shared" si="11"/>
        <v>1.6797754809428592E-2</v>
      </c>
      <c r="K106" s="72" t="str">
        <f t="shared" si="12"/>
        <v/>
      </c>
      <c r="L106" s="59">
        <f t="shared" si="12"/>
        <v>2.1273930527377074E-3</v>
      </c>
      <c r="M106" s="70">
        <f t="shared" si="12"/>
        <v>6.5872266471045937E-3</v>
      </c>
      <c r="N106" s="70">
        <f t="shared" si="12"/>
        <v>8.8046307152569152E-3</v>
      </c>
      <c r="O106" s="62">
        <f t="shared" si="12"/>
        <v>1.047981460942859E-2</v>
      </c>
      <c r="P106" s="54" t="s">
        <v>21</v>
      </c>
      <c r="Q106" s="52" t="s">
        <v>21</v>
      </c>
      <c r="R106" s="93" t="s">
        <v>21</v>
      </c>
      <c r="S106" s="70">
        <v>0</v>
      </c>
      <c r="T106" s="62">
        <f t="shared" si="6"/>
        <v>1.0717596347104588E-2</v>
      </c>
      <c r="V106" s="113">
        <v>1.1108068500000001</v>
      </c>
      <c r="W106" s="71">
        <v>2.8432588000000001</v>
      </c>
      <c r="X106" s="71">
        <v>4.3721919400000004</v>
      </c>
      <c r="Y106" s="71">
        <v>5.6881433900000005</v>
      </c>
      <c r="Z106" s="114">
        <v>7.3264153799999994</v>
      </c>
      <c r="AB106" s="72" t="s">
        <v>21</v>
      </c>
      <c r="AC106" s="70">
        <v>5.2407283527377063E-3</v>
      </c>
      <c r="AD106" s="70">
        <v>1.0717596347104588E-2</v>
      </c>
      <c r="AE106" s="70">
        <v>1.3829902715256914E-2</v>
      </c>
      <c r="AF106" s="62">
        <v>1.6797754809428592E-2</v>
      </c>
      <c r="AG106" s="70" t="s">
        <v>21</v>
      </c>
      <c r="AH106" s="70">
        <v>2.1273930527377074E-3</v>
      </c>
      <c r="AI106" s="70">
        <v>6.5872266471045937E-3</v>
      </c>
      <c r="AJ106" s="70">
        <v>8.8046307152569152E-3</v>
      </c>
      <c r="AK106" s="70">
        <v>1.047981460942859E-2</v>
      </c>
    </row>
    <row r="107" spans="2:37" x14ac:dyDescent="0.35">
      <c r="B107" s="54" t="s">
        <v>308</v>
      </c>
      <c r="C107" s="52" t="s">
        <v>85</v>
      </c>
      <c r="D107" s="52" t="s">
        <v>20</v>
      </c>
      <c r="E107" s="52" t="s">
        <v>73</v>
      </c>
      <c r="F107" s="72" t="str">
        <f t="shared" si="11"/>
        <v/>
      </c>
      <c r="G107" s="59">
        <f t="shared" si="11"/>
        <v>8.1268962786463991E-3</v>
      </c>
      <c r="H107" s="70">
        <f t="shared" si="11"/>
        <v>1.5266814484349219E-2</v>
      </c>
      <c r="I107" s="70">
        <f t="shared" si="11"/>
        <v>1.8870139491009182E-2</v>
      </c>
      <c r="J107" s="62">
        <f t="shared" si="11"/>
        <v>2.2565378779168935E-2</v>
      </c>
      <c r="K107" s="72" t="str">
        <f t="shared" si="12"/>
        <v/>
      </c>
      <c r="L107" s="59">
        <f t="shared" si="12"/>
        <v>5.1529730786463966E-3</v>
      </c>
      <c r="M107" s="70">
        <f t="shared" si="12"/>
        <v>1.1271319784349218E-2</v>
      </c>
      <c r="N107" s="70">
        <f t="shared" si="12"/>
        <v>1.3963132391009183E-2</v>
      </c>
      <c r="O107" s="62">
        <f t="shared" si="12"/>
        <v>1.6385464579168937E-2</v>
      </c>
      <c r="P107" s="54" t="s">
        <v>21</v>
      </c>
      <c r="Q107" s="52" t="s">
        <v>21</v>
      </c>
      <c r="R107" s="93" t="s">
        <v>21</v>
      </c>
      <c r="S107" s="70">
        <v>0</v>
      </c>
      <c r="T107" s="62">
        <f t="shared" si="6"/>
        <v>1.5266814484349219E-2</v>
      </c>
      <c r="V107" s="113">
        <v>1.1070386300000001</v>
      </c>
      <c r="W107" s="71">
        <v>2.81823348</v>
      </c>
      <c r="X107" s="71">
        <v>4.29514263</v>
      </c>
      <c r="Y107" s="71">
        <v>5.5324902400000004</v>
      </c>
      <c r="Z107" s="114">
        <v>7.0173599700000002</v>
      </c>
      <c r="AB107" s="72" t="s">
        <v>21</v>
      </c>
      <c r="AC107" s="70">
        <v>8.1268962786463991E-3</v>
      </c>
      <c r="AD107" s="70">
        <v>1.5266814484349219E-2</v>
      </c>
      <c r="AE107" s="70">
        <v>1.8870139491009182E-2</v>
      </c>
      <c r="AF107" s="62">
        <v>2.2565378779168935E-2</v>
      </c>
      <c r="AG107" s="70" t="s">
        <v>21</v>
      </c>
      <c r="AH107" s="70">
        <v>5.1529730786463966E-3</v>
      </c>
      <c r="AI107" s="70">
        <v>1.1271319784349218E-2</v>
      </c>
      <c r="AJ107" s="70">
        <v>1.3963132391009183E-2</v>
      </c>
      <c r="AK107" s="70">
        <v>1.6385464579168937E-2</v>
      </c>
    </row>
    <row r="108" spans="2:37" x14ac:dyDescent="0.35">
      <c r="B108" s="54" t="s">
        <v>309</v>
      </c>
      <c r="C108" s="52" t="s">
        <v>85</v>
      </c>
      <c r="D108" s="52" t="s">
        <v>20</v>
      </c>
      <c r="E108" s="52" t="s">
        <v>48</v>
      </c>
      <c r="F108" s="72">
        <f t="shared" si="11"/>
        <v>1.3102220544226372E-3</v>
      </c>
      <c r="G108" s="59">
        <f t="shared" si="11"/>
        <v>1.3526102773420142E-2</v>
      </c>
      <c r="H108" s="70">
        <f t="shared" si="11"/>
        <v>2.3048813821526574E-2</v>
      </c>
      <c r="I108" s="70">
        <f t="shared" si="11"/>
        <v>2.9008458819341536E-2</v>
      </c>
      <c r="J108" s="62">
        <f t="shared" si="11"/>
        <v>3.266324149562528E-2</v>
      </c>
      <c r="K108" s="72" t="str">
        <f t="shared" si="12"/>
        <v/>
      </c>
      <c r="L108" s="59">
        <f t="shared" si="12"/>
        <v>1.0608484073420143E-2</v>
      </c>
      <c r="M108" s="70">
        <f t="shared" si="12"/>
        <v>1.9008258321526573E-2</v>
      </c>
      <c r="N108" s="70">
        <f t="shared" si="12"/>
        <v>2.396618971934153E-2</v>
      </c>
      <c r="O108" s="62">
        <f t="shared" si="12"/>
        <v>2.6359742095625284E-2</v>
      </c>
      <c r="P108" s="54" t="s">
        <v>21</v>
      </c>
      <c r="Q108" s="52" t="s">
        <v>21</v>
      </c>
      <c r="R108" s="93" t="s">
        <v>21</v>
      </c>
      <c r="S108" s="70">
        <v>0</v>
      </c>
      <c r="T108" s="62">
        <f t="shared" si="6"/>
        <v>2.3048813821526574E-2</v>
      </c>
      <c r="V108" s="113">
        <v>1.10252642</v>
      </c>
      <c r="W108" s="71">
        <v>2.7750128799999998</v>
      </c>
      <c r="X108" s="71">
        <v>4.1650688200000001</v>
      </c>
      <c r="Y108" s="71">
        <v>5.2613227199999999</v>
      </c>
      <c r="Z108" s="114">
        <v>6.5183625899999997</v>
      </c>
      <c r="AB108" s="72">
        <v>1.3102220544226372E-3</v>
      </c>
      <c r="AC108" s="70">
        <v>1.3526102773420142E-2</v>
      </c>
      <c r="AD108" s="70">
        <v>2.3048813821526574E-2</v>
      </c>
      <c r="AE108" s="70">
        <v>2.9008458819341536E-2</v>
      </c>
      <c r="AF108" s="62">
        <v>3.266324149562528E-2</v>
      </c>
      <c r="AG108" s="70" t="s">
        <v>21</v>
      </c>
      <c r="AH108" s="70">
        <v>1.0608484073420143E-2</v>
      </c>
      <c r="AI108" s="70">
        <v>1.9008258321526573E-2</v>
      </c>
      <c r="AJ108" s="70">
        <v>2.396618971934153E-2</v>
      </c>
      <c r="AK108" s="70">
        <v>2.6359742095625284E-2</v>
      </c>
    </row>
    <row r="109" spans="2:37" x14ac:dyDescent="0.35">
      <c r="B109" s="54" t="s">
        <v>310</v>
      </c>
      <c r="C109" s="52" t="s">
        <v>85</v>
      </c>
      <c r="D109" s="52" t="s">
        <v>20</v>
      </c>
      <c r="E109" s="52" t="s">
        <v>159</v>
      </c>
      <c r="F109" s="72" t="str">
        <f t="shared" si="11"/>
        <v/>
      </c>
      <c r="G109" s="59">
        <f t="shared" si="11"/>
        <v>5.5908502584925707E-3</v>
      </c>
      <c r="H109" s="70">
        <f t="shared" si="11"/>
        <v>1.1176555952610549E-2</v>
      </c>
      <c r="I109" s="70">
        <f t="shared" si="11"/>
        <v>1.5379130616442921E-2</v>
      </c>
      <c r="J109" s="62">
        <f t="shared" si="11"/>
        <v>1.7896286241730539E-2</v>
      </c>
      <c r="K109" s="72" t="str">
        <f t="shared" si="12"/>
        <v/>
      </c>
      <c r="L109" s="59">
        <f t="shared" si="12"/>
        <v>2.5016579584925705E-3</v>
      </c>
      <c r="M109" s="70">
        <f t="shared" si="12"/>
        <v>7.0698397526105499E-3</v>
      </c>
      <c r="N109" s="70">
        <f t="shared" si="12"/>
        <v>1.0407897916442923E-2</v>
      </c>
      <c r="O109" s="62">
        <f t="shared" si="12"/>
        <v>1.1627556941730535E-2</v>
      </c>
      <c r="P109" s="54" t="s">
        <v>314</v>
      </c>
      <c r="Q109" s="52" t="s">
        <v>315</v>
      </c>
      <c r="R109" s="93">
        <v>47788</v>
      </c>
      <c r="S109" s="70">
        <v>9.3131099999999994E-3</v>
      </c>
      <c r="T109" s="62">
        <f t="shared" si="6"/>
        <v>1.8634459526105495E-3</v>
      </c>
      <c r="V109" s="113">
        <v>1.1105943999999999</v>
      </c>
      <c r="W109" s="71">
        <v>2.8403734199999997</v>
      </c>
      <c r="X109" s="71">
        <v>4.36293577</v>
      </c>
      <c r="Y109" s="71">
        <v>5.6568611200000003</v>
      </c>
      <c r="Z109" s="114">
        <v>7.2625489099999996</v>
      </c>
      <c r="AB109" s="72" t="s">
        <v>21</v>
      </c>
      <c r="AC109" s="70">
        <v>5.5908502584925707E-3</v>
      </c>
      <c r="AD109" s="70">
        <v>1.1176555952610549E-2</v>
      </c>
      <c r="AE109" s="70">
        <v>1.5379130616442921E-2</v>
      </c>
      <c r="AF109" s="62">
        <v>1.7896286241730539E-2</v>
      </c>
      <c r="AG109" s="70" t="s">
        <v>21</v>
      </c>
      <c r="AH109" s="70">
        <v>2.5016579584925705E-3</v>
      </c>
      <c r="AI109" s="70">
        <v>7.0698397526105499E-3</v>
      </c>
      <c r="AJ109" s="70">
        <v>1.0407897916442923E-2</v>
      </c>
      <c r="AK109" s="70">
        <v>1.1627556941730535E-2</v>
      </c>
    </row>
    <row r="110" spans="2:37" x14ac:dyDescent="0.35">
      <c r="B110" s="56" t="s">
        <v>311</v>
      </c>
      <c r="C110" s="52" t="s">
        <v>85</v>
      </c>
      <c r="D110" s="66" t="s">
        <v>20</v>
      </c>
      <c r="E110" s="66" t="s">
        <v>274</v>
      </c>
      <c r="F110" s="73" t="str">
        <f t="shared" si="11"/>
        <v/>
      </c>
      <c r="G110" s="75">
        <f t="shared" si="11"/>
        <v>7.0958770521147158E-3</v>
      </c>
      <c r="H110" s="75">
        <f t="shared" si="11"/>
        <v>1.43134067251902E-2</v>
      </c>
      <c r="I110" s="75">
        <f t="shared" si="11"/>
        <v>1.8884381009852326E-2</v>
      </c>
      <c r="J110" s="63">
        <f t="shared" si="11"/>
        <v>2.2679705369866208E-2</v>
      </c>
      <c r="K110" s="73" t="str">
        <f t="shared" si="12"/>
        <v/>
      </c>
      <c r="L110" s="75">
        <f t="shared" si="12"/>
        <v>4.0857460521147131E-3</v>
      </c>
      <c r="M110" s="75">
        <f t="shared" si="12"/>
        <v>1.0303763525190204E-2</v>
      </c>
      <c r="N110" s="75">
        <f t="shared" si="12"/>
        <v>1.3975185309852327E-2</v>
      </c>
      <c r="O110" s="63">
        <f t="shared" si="12"/>
        <v>1.6500759169866208E-2</v>
      </c>
      <c r="P110" s="56" t="s">
        <v>21</v>
      </c>
      <c r="Q110" s="66" t="s">
        <v>21</v>
      </c>
      <c r="R110" s="95" t="s">
        <v>21</v>
      </c>
      <c r="S110" s="75">
        <v>0</v>
      </c>
      <c r="T110" s="63">
        <f t="shared" si="6"/>
        <v>1.43134067251902E-2</v>
      </c>
      <c r="V110" s="115">
        <v>1.10872013</v>
      </c>
      <c r="W110" s="107">
        <v>2.8274426299999997</v>
      </c>
      <c r="X110" s="107">
        <v>4.3156876099999995</v>
      </c>
      <c r="Y110" s="107">
        <v>5.5557805900000004</v>
      </c>
      <c r="Z110" s="116">
        <v>7.0412939999999997</v>
      </c>
      <c r="AB110" s="73" t="s">
        <v>21</v>
      </c>
      <c r="AC110" s="75">
        <v>7.0958770521147158E-3</v>
      </c>
      <c r="AD110" s="75">
        <v>1.43134067251902E-2</v>
      </c>
      <c r="AE110" s="75">
        <v>1.8884381009852326E-2</v>
      </c>
      <c r="AF110" s="63">
        <v>2.2679705369866208E-2</v>
      </c>
      <c r="AG110" s="75" t="s">
        <v>21</v>
      </c>
      <c r="AH110" s="75">
        <v>4.0857460521147131E-3</v>
      </c>
      <c r="AI110" s="75">
        <v>1.0303763525190204E-2</v>
      </c>
      <c r="AJ110" s="75">
        <v>1.3975185309852327E-2</v>
      </c>
      <c r="AK110" s="75">
        <v>1.6500759169866208E-2</v>
      </c>
    </row>
    <row r="111" spans="2:37" x14ac:dyDescent="0.35">
      <c r="B111" s="52" t="s">
        <v>21</v>
      </c>
      <c r="C111" s="52" t="s">
        <v>21</v>
      </c>
      <c r="E111" s="52" t="s">
        <v>21</v>
      </c>
      <c r="F111" s="70" t="s">
        <v>21</v>
      </c>
      <c r="G111" s="70"/>
      <c r="H111" s="70" t="s">
        <v>21</v>
      </c>
      <c r="I111" s="70"/>
      <c r="J111" s="70" t="s">
        <v>21</v>
      </c>
      <c r="K111" s="70" t="s">
        <v>21</v>
      </c>
      <c r="L111" s="70"/>
      <c r="M111" s="70" t="s">
        <v>21</v>
      </c>
      <c r="N111" s="70"/>
      <c r="O111" s="70" t="s">
        <v>21</v>
      </c>
      <c r="R111" s="93"/>
      <c r="V111" s="71"/>
      <c r="W111" s="71"/>
      <c r="X111" s="71"/>
      <c r="Y111" s="71"/>
      <c r="Z111" s="71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</row>
    <row r="112" spans="2:37" ht="15.5" x14ac:dyDescent="0.35">
      <c r="B112" s="121" t="s">
        <v>93</v>
      </c>
      <c r="C112" s="52" t="s">
        <v>21</v>
      </c>
      <c r="E112" s="52" t="s">
        <v>21</v>
      </c>
      <c r="F112" s="70" t="s">
        <v>21</v>
      </c>
      <c r="G112" s="70"/>
      <c r="H112" s="70" t="s">
        <v>21</v>
      </c>
      <c r="I112" s="70"/>
      <c r="J112" s="70" t="s">
        <v>21</v>
      </c>
      <c r="K112" s="70" t="s">
        <v>21</v>
      </c>
      <c r="L112" s="70"/>
      <c r="M112" s="70" t="s">
        <v>21</v>
      </c>
      <c r="N112" s="70"/>
      <c r="O112" s="70" t="s">
        <v>21</v>
      </c>
      <c r="R112" s="93"/>
      <c r="V112" s="71"/>
      <c r="W112" s="71"/>
      <c r="X112" s="71"/>
      <c r="Y112" s="71"/>
      <c r="Z112" s="71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</row>
    <row r="113" spans="2:37" x14ac:dyDescent="0.35">
      <c r="B113" s="84" t="s">
        <v>5</v>
      </c>
      <c r="C113" s="83" t="s">
        <v>6</v>
      </c>
      <c r="D113" s="83" t="s">
        <v>7</v>
      </c>
      <c r="E113" s="83" t="s">
        <v>8</v>
      </c>
      <c r="F113" s="82" t="s">
        <v>9</v>
      </c>
      <c r="G113" s="81" t="s">
        <v>10</v>
      </c>
      <c r="H113" s="81" t="s">
        <v>11</v>
      </c>
      <c r="I113" s="81" t="s">
        <v>12</v>
      </c>
      <c r="J113" s="80" t="s">
        <v>13</v>
      </c>
      <c r="K113" s="82" t="s">
        <v>9</v>
      </c>
      <c r="L113" s="81" t="s">
        <v>10</v>
      </c>
      <c r="M113" s="81" t="s">
        <v>11</v>
      </c>
      <c r="N113" s="81" t="s">
        <v>12</v>
      </c>
      <c r="O113" s="80" t="s">
        <v>13</v>
      </c>
      <c r="P113" s="69" t="s">
        <v>14</v>
      </c>
      <c r="Q113" s="57" t="s">
        <v>15</v>
      </c>
      <c r="R113" s="57" t="s">
        <v>16</v>
      </c>
      <c r="S113" s="57" t="s">
        <v>415</v>
      </c>
      <c r="T113" s="57" t="s">
        <v>18</v>
      </c>
      <c r="V113" s="109" t="s">
        <v>9</v>
      </c>
      <c r="W113" s="105" t="s">
        <v>10</v>
      </c>
      <c r="X113" s="105" t="s">
        <v>11</v>
      </c>
      <c r="Y113" s="105" t="s">
        <v>12</v>
      </c>
      <c r="Z113" s="110" t="s">
        <v>13</v>
      </c>
      <c r="AB113" s="82" t="s">
        <v>9</v>
      </c>
      <c r="AC113" s="81" t="s">
        <v>10</v>
      </c>
      <c r="AD113" s="81" t="s">
        <v>11</v>
      </c>
      <c r="AE113" s="81" t="s">
        <v>12</v>
      </c>
      <c r="AF113" s="80" t="s">
        <v>13</v>
      </c>
      <c r="AG113" s="57" t="s">
        <v>9</v>
      </c>
      <c r="AH113" s="57" t="s">
        <v>10</v>
      </c>
      <c r="AI113" s="57" t="s">
        <v>11</v>
      </c>
      <c r="AJ113" s="57" t="s">
        <v>12</v>
      </c>
      <c r="AK113" s="57" t="s">
        <v>13</v>
      </c>
    </row>
    <row r="114" spans="2:37" x14ac:dyDescent="0.35">
      <c r="B114" s="78" t="s">
        <v>94</v>
      </c>
      <c r="C114" s="77"/>
      <c r="D114" s="77"/>
      <c r="E114" s="77"/>
      <c r="F114" s="78"/>
      <c r="G114" s="77"/>
      <c r="H114" s="77"/>
      <c r="I114" s="77"/>
      <c r="J114" s="77"/>
      <c r="K114" s="77"/>
      <c r="L114" s="77"/>
      <c r="M114" s="77"/>
      <c r="N114" s="77"/>
      <c r="O114" s="76"/>
      <c r="P114" s="78"/>
      <c r="Q114" s="77"/>
      <c r="R114" s="94"/>
      <c r="S114" s="77"/>
      <c r="T114" s="76"/>
      <c r="V114" s="111"/>
      <c r="W114" s="106"/>
      <c r="X114" s="106"/>
      <c r="Y114" s="106"/>
      <c r="Z114" s="112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</row>
    <row r="115" spans="2:37" x14ac:dyDescent="0.35">
      <c r="B115" s="55" t="s">
        <v>95</v>
      </c>
      <c r="C115" s="65" t="s">
        <v>85</v>
      </c>
      <c r="D115" s="65" t="s">
        <v>43</v>
      </c>
      <c r="E115" s="65" t="s">
        <v>230</v>
      </c>
      <c r="F115" s="74" t="str">
        <f t="shared" ref="F115:J130" si="13">IF(ISNUMBER(AB115),AB115-((C$4-C$3)/V115),"")</f>
        <v/>
      </c>
      <c r="G115" s="79">
        <f t="shared" si="13"/>
        <v>5.3107675996402603E-3</v>
      </c>
      <c r="H115" s="79">
        <f t="shared" si="13"/>
        <v>1.1122538478637284E-2</v>
      </c>
      <c r="I115" s="79">
        <f t="shared" si="13"/>
        <v>1.4197245445810778E-2</v>
      </c>
      <c r="J115" s="61">
        <f t="shared" si="13"/>
        <v>1.7034511431831569E-2</v>
      </c>
      <c r="K115" s="74" t="str">
        <f t="shared" ref="K115:O130" si="14">IF(ISNUMBER(AG115),IF(AG115-((C$4-C$3)/V115)&lt;0,"",AG115-((C$4-C$3)/V115)),"")</f>
        <v/>
      </c>
      <c r="L115" s="79">
        <f t="shared" si="14"/>
        <v>2.2030071996402612E-3</v>
      </c>
      <c r="M115" s="79">
        <f t="shared" si="14"/>
        <v>7.0128879786372882E-3</v>
      </c>
      <c r="N115" s="79">
        <f t="shared" si="14"/>
        <v>9.1884799458107815E-3</v>
      </c>
      <c r="O115" s="61">
        <f t="shared" si="14"/>
        <v>1.072724593183157E-2</v>
      </c>
      <c r="P115" s="55" t="s">
        <v>21</v>
      </c>
      <c r="Q115" s="65" t="s">
        <v>21</v>
      </c>
      <c r="R115" s="99" t="s">
        <v>21</v>
      </c>
      <c r="S115" s="79">
        <v>0</v>
      </c>
      <c r="T115" s="62">
        <f t="shared" ref="T115:T138" si="15">IF(S115="","",H115-S115)</f>
        <v>1.1122538478637284E-2</v>
      </c>
      <c r="V115" s="117">
        <v>1.1108649399999999</v>
      </c>
      <c r="W115" s="60">
        <v>2.8427502000000002</v>
      </c>
      <c r="X115" s="60">
        <v>4.3667209899999992</v>
      </c>
      <c r="Y115" s="60">
        <v>5.6774069799999998</v>
      </c>
      <c r="Z115" s="118">
        <v>7.3112371100000004</v>
      </c>
      <c r="AB115" s="74" t="s">
        <v>21</v>
      </c>
      <c r="AC115" s="79">
        <v>5.3107675996402603E-3</v>
      </c>
      <c r="AD115" s="79">
        <v>1.1122538478637284E-2</v>
      </c>
      <c r="AE115" s="79">
        <v>1.4197245445810778E-2</v>
      </c>
      <c r="AF115" s="61">
        <v>1.7034511431831569E-2</v>
      </c>
      <c r="AG115" s="79" t="s">
        <v>21</v>
      </c>
      <c r="AH115" s="79">
        <v>2.2030071996402612E-3</v>
      </c>
      <c r="AI115" s="79">
        <v>7.0128879786372882E-3</v>
      </c>
      <c r="AJ115" s="79">
        <v>9.1884799458107815E-3</v>
      </c>
      <c r="AK115" s="79">
        <v>1.072724593183157E-2</v>
      </c>
    </row>
    <row r="116" spans="2:37" x14ac:dyDescent="0.35">
      <c r="B116" s="56" t="s">
        <v>95</v>
      </c>
      <c r="C116" s="66" t="s">
        <v>35</v>
      </c>
      <c r="D116" s="66" t="s">
        <v>43</v>
      </c>
      <c r="E116" s="66" t="s">
        <v>231</v>
      </c>
      <c r="F116" s="73" t="str">
        <f t="shared" si="13"/>
        <v/>
      </c>
      <c r="G116" s="75">
        <f t="shared" si="13"/>
        <v>8.4821611695460163E-3</v>
      </c>
      <c r="H116" s="75">
        <f t="shared" si="13"/>
        <v>1.6360396154044186E-2</v>
      </c>
      <c r="I116" s="75">
        <f t="shared" si="13"/>
        <v>2.0503467162491507E-2</v>
      </c>
      <c r="J116" s="63">
        <f t="shared" si="13"/>
        <v>2.4293243647189555E-2</v>
      </c>
      <c r="K116" s="73" t="str">
        <f t="shared" si="14"/>
        <v/>
      </c>
      <c r="L116" s="75">
        <f t="shared" si="14"/>
        <v>5.5290977695460191E-3</v>
      </c>
      <c r="M116" s="75">
        <f t="shared" si="14"/>
        <v>1.2400572854044188E-2</v>
      </c>
      <c r="N116" s="75">
        <f t="shared" si="14"/>
        <v>1.5628697762491508E-2</v>
      </c>
      <c r="O116" s="63">
        <f t="shared" si="14"/>
        <v>1.8131132047189552E-2</v>
      </c>
      <c r="P116" s="56" t="s">
        <v>21</v>
      </c>
      <c r="Q116" s="66" t="s">
        <v>21</v>
      </c>
      <c r="R116" s="95" t="s">
        <v>21</v>
      </c>
      <c r="S116" s="75">
        <v>0</v>
      </c>
      <c r="T116" s="63">
        <f t="shared" si="15"/>
        <v>1.6360396154044186E-2</v>
      </c>
      <c r="V116" s="115">
        <v>1.1097753100000001</v>
      </c>
      <c r="W116" s="107">
        <v>2.8308240200000001</v>
      </c>
      <c r="X116" s="107">
        <v>4.3255643900000003</v>
      </c>
      <c r="Y116" s="107">
        <v>5.5893111500000003</v>
      </c>
      <c r="Z116" s="116">
        <v>7.1308402199999996</v>
      </c>
      <c r="AB116" s="73" t="s">
        <v>21</v>
      </c>
      <c r="AC116" s="75">
        <v>8.4821611695460163E-3</v>
      </c>
      <c r="AD116" s="75">
        <v>1.6360396154044186E-2</v>
      </c>
      <c r="AE116" s="75">
        <v>2.0503467162491507E-2</v>
      </c>
      <c r="AF116" s="63">
        <v>2.4293243647189555E-2</v>
      </c>
      <c r="AG116" s="75" t="s">
        <v>21</v>
      </c>
      <c r="AH116" s="75">
        <v>5.5290977695460191E-3</v>
      </c>
      <c r="AI116" s="75">
        <v>1.2400572854044188E-2</v>
      </c>
      <c r="AJ116" s="75">
        <v>1.5628697762491508E-2</v>
      </c>
      <c r="AK116" s="75">
        <v>1.8131132047189552E-2</v>
      </c>
    </row>
    <row r="117" spans="2:37" x14ac:dyDescent="0.35">
      <c r="B117" s="54" t="s">
        <v>96</v>
      </c>
      <c r="C117" s="52" t="s">
        <v>85</v>
      </c>
      <c r="D117" s="52" t="s">
        <v>97</v>
      </c>
      <c r="E117" s="52" t="s">
        <v>21</v>
      </c>
      <c r="F117" s="72" t="str">
        <f t="shared" si="13"/>
        <v/>
      </c>
      <c r="G117" s="59">
        <f t="shared" si="13"/>
        <v>5.9173574685803627E-3</v>
      </c>
      <c r="H117" s="59">
        <f t="shared" si="13"/>
        <v>1.1853888921866127E-2</v>
      </c>
      <c r="I117" s="59">
        <f t="shared" si="13"/>
        <v>1.5296654039517611E-2</v>
      </c>
      <c r="J117" s="62">
        <f t="shared" si="13"/>
        <v>1.836550920846856E-2</v>
      </c>
      <c r="K117" s="72" t="str">
        <f t="shared" si="14"/>
        <v/>
      </c>
      <c r="L117" s="59">
        <f t="shared" si="14"/>
        <v>2.8486914685803616E-3</v>
      </c>
      <c r="M117" s="59">
        <f t="shared" si="14"/>
        <v>7.7755967218661303E-3</v>
      </c>
      <c r="N117" s="59">
        <f t="shared" si="14"/>
        <v>1.032539773951761E-2</v>
      </c>
      <c r="O117" s="62">
        <f t="shared" si="14"/>
        <v>1.2106942308468559E-2</v>
      </c>
      <c r="P117" s="54" t="s">
        <v>21</v>
      </c>
      <c r="Q117" s="52" t="s">
        <v>21</v>
      </c>
      <c r="R117" s="93" t="s">
        <v>21</v>
      </c>
      <c r="S117" s="70">
        <v>0</v>
      </c>
      <c r="T117" s="62">
        <f t="shared" si="15"/>
        <v>1.1853888921866127E-2</v>
      </c>
      <c r="V117" s="113">
        <v>1.1098441100000001</v>
      </c>
      <c r="W117" s="71">
        <v>2.83680624</v>
      </c>
      <c r="X117" s="71">
        <v>4.3525870199999996</v>
      </c>
      <c r="Y117" s="71">
        <v>5.6469899799999999</v>
      </c>
      <c r="Z117" s="114">
        <v>7.2457469100000003</v>
      </c>
      <c r="AB117" s="72" t="s">
        <v>21</v>
      </c>
      <c r="AC117" s="70">
        <v>5.9173574685803627E-3</v>
      </c>
      <c r="AD117" s="70">
        <v>1.1853888921866127E-2</v>
      </c>
      <c r="AE117" s="70">
        <v>1.5296654039517611E-2</v>
      </c>
      <c r="AF117" s="62">
        <v>1.836550920846856E-2</v>
      </c>
      <c r="AG117" s="70" t="s">
        <v>21</v>
      </c>
      <c r="AH117" s="70">
        <v>2.8486914685803616E-3</v>
      </c>
      <c r="AI117" s="70">
        <v>7.7755967218661303E-3</v>
      </c>
      <c r="AJ117" s="70">
        <v>1.032539773951761E-2</v>
      </c>
      <c r="AK117" s="70">
        <v>1.2106942308468559E-2</v>
      </c>
    </row>
    <row r="118" spans="2:37" x14ac:dyDescent="0.35">
      <c r="B118" s="56" t="s">
        <v>96</v>
      </c>
      <c r="C118" s="66" t="s">
        <v>35</v>
      </c>
      <c r="D118" s="66" t="s">
        <v>97</v>
      </c>
      <c r="E118" s="66" t="s">
        <v>44</v>
      </c>
      <c r="F118" s="73">
        <f t="shared" si="13"/>
        <v>2.2434181387116867E-4</v>
      </c>
      <c r="G118" s="75">
        <f t="shared" si="13"/>
        <v>9.3751444226176355E-3</v>
      </c>
      <c r="H118" s="75">
        <f t="shared" si="13"/>
        <v>1.7092971029063656E-2</v>
      </c>
      <c r="I118" s="75">
        <f t="shared" si="13"/>
        <v>2.1921565244936665E-2</v>
      </c>
      <c r="J118" s="63">
        <f t="shared" si="13"/>
        <v>2.5594562663039062E-2</v>
      </c>
      <c r="K118" s="73" t="str">
        <f t="shared" si="14"/>
        <v/>
      </c>
      <c r="L118" s="75">
        <f t="shared" si="14"/>
        <v>6.4467292226176361E-3</v>
      </c>
      <c r="M118" s="75">
        <f t="shared" si="14"/>
        <v>1.3140340529063658E-2</v>
      </c>
      <c r="N118" s="75">
        <f t="shared" si="14"/>
        <v>1.7047210244936665E-2</v>
      </c>
      <c r="O118" s="63">
        <f t="shared" si="14"/>
        <v>1.9435276063039061E-2</v>
      </c>
      <c r="P118" s="56" t="s">
        <v>21</v>
      </c>
      <c r="Q118" s="66" t="s">
        <v>21</v>
      </c>
      <c r="R118" s="95" t="s">
        <v>21</v>
      </c>
      <c r="S118" s="75">
        <v>0</v>
      </c>
      <c r="T118" s="63">
        <f t="shared" si="15"/>
        <v>1.7092971029063656E-2</v>
      </c>
      <c r="V118" s="115">
        <v>1.10749104</v>
      </c>
      <c r="W118" s="107">
        <v>2.8221062400000001</v>
      </c>
      <c r="X118" s="107">
        <v>4.3099078300000002</v>
      </c>
      <c r="Y118" s="107">
        <v>5.55895983</v>
      </c>
      <c r="Z118" s="116">
        <v>7.0742763599999998</v>
      </c>
      <c r="AB118" s="73">
        <v>2.2434181387116867E-4</v>
      </c>
      <c r="AC118" s="75">
        <v>9.3751444226176355E-3</v>
      </c>
      <c r="AD118" s="75">
        <v>1.7092971029063656E-2</v>
      </c>
      <c r="AE118" s="75">
        <v>2.1921565244936665E-2</v>
      </c>
      <c r="AF118" s="63">
        <v>2.5594562663039062E-2</v>
      </c>
      <c r="AG118" s="75" t="s">
        <v>21</v>
      </c>
      <c r="AH118" s="75">
        <v>6.4467292226176361E-3</v>
      </c>
      <c r="AI118" s="75">
        <v>1.3140340529063658E-2</v>
      </c>
      <c r="AJ118" s="75">
        <v>1.7047210244936665E-2</v>
      </c>
      <c r="AK118" s="75">
        <v>1.9435276063039061E-2</v>
      </c>
    </row>
    <row r="119" spans="2:37" x14ac:dyDescent="0.35">
      <c r="B119" s="54" t="s">
        <v>98</v>
      </c>
      <c r="C119" s="52" t="s">
        <v>85</v>
      </c>
      <c r="D119" s="52" t="s">
        <v>47</v>
      </c>
      <c r="E119" s="52" t="s">
        <v>21</v>
      </c>
      <c r="F119" s="72" t="str">
        <f t="shared" si="13"/>
        <v/>
      </c>
      <c r="G119" s="59">
        <f t="shared" si="13"/>
        <v>6.0424486229791203E-3</v>
      </c>
      <c r="H119" s="59">
        <f t="shared" si="13"/>
        <v>1.2354426167314147E-2</v>
      </c>
      <c r="I119" s="59">
        <f t="shared" si="13"/>
        <v>1.5819935756685315E-2</v>
      </c>
      <c r="J119" s="62">
        <f t="shared" si="13"/>
        <v>1.9029739274925853E-2</v>
      </c>
      <c r="K119" s="72" t="str">
        <f t="shared" si="14"/>
        <v/>
      </c>
      <c r="L119" s="59">
        <f t="shared" si="14"/>
        <v>2.9811158229791205E-3</v>
      </c>
      <c r="M119" s="59">
        <f t="shared" si="14"/>
        <v>8.2946592673141528E-3</v>
      </c>
      <c r="N119" s="59">
        <f t="shared" si="14"/>
        <v>1.0864264656685316E-2</v>
      </c>
      <c r="O119" s="62">
        <f t="shared" si="14"/>
        <v>1.2790932274925854E-2</v>
      </c>
      <c r="P119" s="54" t="s">
        <v>21</v>
      </c>
      <c r="Q119" s="52" t="s">
        <v>21</v>
      </c>
      <c r="R119" s="93" t="s">
        <v>21</v>
      </c>
      <c r="S119" s="70">
        <v>0</v>
      </c>
      <c r="T119" s="62">
        <f t="shared" si="15"/>
        <v>1.2354426167314147E-2</v>
      </c>
      <c r="V119" s="113">
        <v>1.10979911</v>
      </c>
      <c r="W119" s="71">
        <v>2.8361006799999999</v>
      </c>
      <c r="X119" s="71">
        <v>4.3460279599999998</v>
      </c>
      <c r="Y119" s="71">
        <v>5.6321952500000005</v>
      </c>
      <c r="Z119" s="114">
        <v>7.2139005100000002</v>
      </c>
      <c r="AB119" s="72" t="s">
        <v>21</v>
      </c>
      <c r="AC119" s="70">
        <v>6.0424486229791203E-3</v>
      </c>
      <c r="AD119" s="70">
        <v>1.2354426167314147E-2</v>
      </c>
      <c r="AE119" s="70">
        <v>1.5819935756685315E-2</v>
      </c>
      <c r="AF119" s="62">
        <v>1.9029739274925853E-2</v>
      </c>
      <c r="AG119" s="70" t="s">
        <v>21</v>
      </c>
      <c r="AH119" s="70">
        <v>2.9811158229791205E-3</v>
      </c>
      <c r="AI119" s="70">
        <v>8.2946592673141528E-3</v>
      </c>
      <c r="AJ119" s="70">
        <v>1.0864264656685316E-2</v>
      </c>
      <c r="AK119" s="70">
        <v>1.2790932274925854E-2</v>
      </c>
    </row>
    <row r="120" spans="2:37" x14ac:dyDescent="0.35">
      <c r="B120" s="56" t="s">
        <v>98</v>
      </c>
      <c r="C120" s="66" t="s">
        <v>35</v>
      </c>
      <c r="D120" s="66" t="s">
        <v>47</v>
      </c>
      <c r="E120" s="66" t="s">
        <v>460</v>
      </c>
      <c r="F120" s="73" t="str">
        <f t="shared" si="13"/>
        <v/>
      </c>
      <c r="G120" s="75">
        <f t="shared" si="13"/>
        <v>9.1172318650410526E-3</v>
      </c>
      <c r="H120" s="75">
        <f t="shared" si="13"/>
        <v>1.7405328853597437E-2</v>
      </c>
      <c r="I120" s="75">
        <f t="shared" si="13"/>
        <v>2.2606685980408776E-2</v>
      </c>
      <c r="J120" s="63">
        <f t="shared" si="13"/>
        <v>2.6745006973436743E-2</v>
      </c>
      <c r="K120" s="73" t="str">
        <f t="shared" si="14"/>
        <v/>
      </c>
      <c r="L120" s="75">
        <f t="shared" si="14"/>
        <v>6.1828485650410533E-3</v>
      </c>
      <c r="M120" s="75">
        <f t="shared" si="14"/>
        <v>1.3455563053597439E-2</v>
      </c>
      <c r="N120" s="75">
        <f t="shared" si="14"/>
        <v>1.7731989680408778E-2</v>
      </c>
      <c r="O120" s="63">
        <f t="shared" si="14"/>
        <v>2.0584776373436746E-2</v>
      </c>
      <c r="P120" s="56" t="s">
        <v>461</v>
      </c>
      <c r="Q120" s="66" t="s">
        <v>462</v>
      </c>
      <c r="R120" s="95" t="s">
        <v>32</v>
      </c>
      <c r="S120" s="75">
        <v>1.083782E-2</v>
      </c>
      <c r="T120" s="63">
        <f t="shared" si="15"/>
        <v>6.5675088535974372E-3</v>
      </c>
      <c r="V120" s="115">
        <v>1.1087467900000001</v>
      </c>
      <c r="W120" s="107">
        <v>2.8259142700000002</v>
      </c>
      <c r="X120" s="107">
        <v>4.3116275599999998</v>
      </c>
      <c r="Y120" s="107">
        <v>5.5534794600000001</v>
      </c>
      <c r="Z120" s="116">
        <v>7.0483355299999992</v>
      </c>
      <c r="AB120" s="73" t="s">
        <v>21</v>
      </c>
      <c r="AC120" s="75">
        <v>9.1172318650410526E-3</v>
      </c>
      <c r="AD120" s="75">
        <v>1.7405328853597437E-2</v>
      </c>
      <c r="AE120" s="75">
        <v>2.2606685980408776E-2</v>
      </c>
      <c r="AF120" s="63">
        <v>2.6745006973436743E-2</v>
      </c>
      <c r="AG120" s="75" t="s">
        <v>21</v>
      </c>
      <c r="AH120" s="75">
        <v>6.1828485650410533E-3</v>
      </c>
      <c r="AI120" s="75">
        <v>1.3455563053597439E-2</v>
      </c>
      <c r="AJ120" s="75">
        <v>1.7731989680408778E-2</v>
      </c>
      <c r="AK120" s="75">
        <v>2.0584776373436746E-2</v>
      </c>
    </row>
    <row r="121" spans="2:37" x14ac:dyDescent="0.35">
      <c r="B121" s="54" t="s">
        <v>99</v>
      </c>
      <c r="C121" s="52" t="s">
        <v>85</v>
      </c>
      <c r="D121" s="52" t="s">
        <v>69</v>
      </c>
      <c r="E121" s="52" t="s">
        <v>100</v>
      </c>
      <c r="F121" s="72" t="str">
        <f t="shared" si="13"/>
        <v/>
      </c>
      <c r="G121" s="59">
        <f t="shared" si="13"/>
        <v>6.5321485516796011E-3</v>
      </c>
      <c r="H121" s="59">
        <f t="shared" si="13"/>
        <v>1.3152531979773703E-2</v>
      </c>
      <c r="I121" s="59">
        <f t="shared" si="13"/>
        <v>1.6823896842633995E-2</v>
      </c>
      <c r="J121" s="62">
        <f t="shared" si="13"/>
        <v>2.0360633464578219E-2</v>
      </c>
      <c r="K121" s="72" t="str">
        <f t="shared" si="14"/>
        <v/>
      </c>
      <c r="L121" s="59">
        <f t="shared" si="14"/>
        <v>3.4968117516796017E-3</v>
      </c>
      <c r="M121" s="59">
        <f t="shared" si="14"/>
        <v>9.117827579773705E-3</v>
      </c>
      <c r="N121" s="59">
        <f t="shared" si="14"/>
        <v>1.1891331742633994E-2</v>
      </c>
      <c r="O121" s="62">
        <f t="shared" si="14"/>
        <v>1.4151607064578216E-2</v>
      </c>
      <c r="P121" s="54" t="s">
        <v>21</v>
      </c>
      <c r="Q121" s="52" t="s">
        <v>21</v>
      </c>
      <c r="R121" s="93" t="s">
        <v>21</v>
      </c>
      <c r="S121" s="70">
        <v>0</v>
      </c>
      <c r="T121" s="62">
        <f t="shared" si="15"/>
        <v>1.3152531979773703E-2</v>
      </c>
      <c r="V121" s="113">
        <v>1.11020086</v>
      </c>
      <c r="W121" s="71">
        <v>2.8337502199999998</v>
      </c>
      <c r="X121" s="71">
        <v>4.3346171800000004</v>
      </c>
      <c r="Y121" s="71">
        <v>5.6056738699999995</v>
      </c>
      <c r="Z121" s="114">
        <v>7.1538829699999997</v>
      </c>
      <c r="AB121" s="72" t="s">
        <v>21</v>
      </c>
      <c r="AC121" s="70">
        <v>6.5321485516796011E-3</v>
      </c>
      <c r="AD121" s="70">
        <v>1.3152531979773703E-2</v>
      </c>
      <c r="AE121" s="70">
        <v>1.6823896842633995E-2</v>
      </c>
      <c r="AF121" s="62">
        <v>2.0360633464578219E-2</v>
      </c>
      <c r="AG121" s="70" t="s">
        <v>21</v>
      </c>
      <c r="AH121" s="70">
        <v>3.4968117516796017E-3</v>
      </c>
      <c r="AI121" s="70">
        <v>9.117827579773705E-3</v>
      </c>
      <c r="AJ121" s="70">
        <v>1.1891331742633994E-2</v>
      </c>
      <c r="AK121" s="70">
        <v>1.4151607064578216E-2</v>
      </c>
    </row>
    <row r="122" spans="2:37" x14ac:dyDescent="0.35">
      <c r="B122" s="56" t="s">
        <v>99</v>
      </c>
      <c r="C122" s="66" t="s">
        <v>35</v>
      </c>
      <c r="D122" s="66" t="s">
        <v>69</v>
      </c>
      <c r="E122" s="66" t="s">
        <v>224</v>
      </c>
      <c r="F122" s="73" t="str">
        <f t="shared" si="13"/>
        <v/>
      </c>
      <c r="G122" s="75">
        <f t="shared" si="13"/>
        <v>9.1395144937872919E-3</v>
      </c>
      <c r="H122" s="75">
        <f t="shared" si="13"/>
        <v>1.7523562838497753E-2</v>
      </c>
      <c r="I122" s="75">
        <f t="shared" si="13"/>
        <v>2.2811745448700533E-2</v>
      </c>
      <c r="J122" s="63">
        <f t="shared" si="13"/>
        <v>2.6603204551944603E-2</v>
      </c>
      <c r="K122" s="73" t="str">
        <f t="shared" si="14"/>
        <v/>
      </c>
      <c r="L122" s="75">
        <f t="shared" si="14"/>
        <v>6.2047880937872914E-3</v>
      </c>
      <c r="M122" s="75">
        <f t="shared" si="14"/>
        <v>1.3574459638497757E-2</v>
      </c>
      <c r="N122" s="75">
        <f t="shared" si="14"/>
        <v>1.7936601748700532E-2</v>
      </c>
      <c r="O122" s="63">
        <f t="shared" si="14"/>
        <v>2.0445775751944603E-2</v>
      </c>
      <c r="P122" s="56" t="s">
        <v>463</v>
      </c>
      <c r="Q122" s="66" t="s">
        <v>464</v>
      </c>
      <c r="R122" s="95" t="s">
        <v>32</v>
      </c>
      <c r="S122" s="75">
        <v>1.511385E-2</v>
      </c>
      <c r="T122" s="63">
        <f t="shared" si="15"/>
        <v>2.4097128384977535E-3</v>
      </c>
      <c r="V122" s="115">
        <v>1.1101932000000001</v>
      </c>
      <c r="W122" s="107">
        <v>2.8285038600000001</v>
      </c>
      <c r="X122" s="107">
        <v>4.3133334400000001</v>
      </c>
      <c r="Y122" s="107">
        <v>5.5530078899999999</v>
      </c>
      <c r="Z122" s="116">
        <v>7.0487779799999997</v>
      </c>
      <c r="AB122" s="73" t="s">
        <v>21</v>
      </c>
      <c r="AC122" s="75">
        <v>9.1395144937872919E-3</v>
      </c>
      <c r="AD122" s="75">
        <v>1.7523562838497753E-2</v>
      </c>
      <c r="AE122" s="75">
        <v>2.2811745448700533E-2</v>
      </c>
      <c r="AF122" s="63">
        <v>2.6603204551944603E-2</v>
      </c>
      <c r="AG122" s="75" t="s">
        <v>21</v>
      </c>
      <c r="AH122" s="75">
        <v>6.2047880937872914E-3</v>
      </c>
      <c r="AI122" s="75">
        <v>1.3574459638497757E-2</v>
      </c>
      <c r="AJ122" s="75">
        <v>1.7936601748700532E-2</v>
      </c>
      <c r="AK122" s="75">
        <v>2.0445775751944603E-2</v>
      </c>
    </row>
    <row r="123" spans="2:37" x14ac:dyDescent="0.35">
      <c r="B123" s="54" t="s">
        <v>101</v>
      </c>
      <c r="C123" s="52" t="s">
        <v>85</v>
      </c>
      <c r="D123" s="52" t="s">
        <v>31</v>
      </c>
      <c r="E123" s="52" t="s">
        <v>21</v>
      </c>
      <c r="F123" s="72" t="str">
        <f t="shared" si="13"/>
        <v/>
      </c>
      <c r="G123" s="59">
        <f t="shared" si="13"/>
        <v>5.8878600601573166E-3</v>
      </c>
      <c r="H123" s="59">
        <f t="shared" si="13"/>
        <v>1.2070276743419529E-2</v>
      </c>
      <c r="I123" s="59">
        <f t="shared" si="13"/>
        <v>1.5695611120166889E-2</v>
      </c>
      <c r="J123" s="62">
        <f t="shared" si="13"/>
        <v>1.9051035489952694E-2</v>
      </c>
      <c r="K123" s="72" t="str">
        <f t="shared" si="14"/>
        <v/>
      </c>
      <c r="L123" s="59">
        <f t="shared" si="14"/>
        <v>2.8168850601573169E-3</v>
      </c>
      <c r="M123" s="59">
        <f t="shared" si="14"/>
        <v>8.0004227434195309E-3</v>
      </c>
      <c r="N123" s="59">
        <f t="shared" si="14"/>
        <v>1.0736016320166887E-2</v>
      </c>
      <c r="O123" s="62">
        <f t="shared" si="14"/>
        <v>1.2812201689952694E-2</v>
      </c>
      <c r="P123" s="54" t="s">
        <v>21</v>
      </c>
      <c r="Q123" s="52" t="s">
        <v>21</v>
      </c>
      <c r="R123" s="93" t="s">
        <v>21</v>
      </c>
      <c r="S123" s="70">
        <v>0</v>
      </c>
      <c r="T123" s="62">
        <f t="shared" si="15"/>
        <v>1.2070276743419529E-2</v>
      </c>
      <c r="V123" s="113">
        <v>1.11087</v>
      </c>
      <c r="W123" s="71">
        <v>2.8391046499999999</v>
      </c>
      <c r="X123" s="71">
        <v>4.3522752300000001</v>
      </c>
      <c r="Y123" s="71">
        <v>5.6409474699999995</v>
      </c>
      <c r="Z123" s="114">
        <v>7.2229994899999994</v>
      </c>
      <c r="AB123" s="72" t="s">
        <v>21</v>
      </c>
      <c r="AC123" s="70">
        <v>5.8878600601573166E-3</v>
      </c>
      <c r="AD123" s="70">
        <v>1.2070276743419529E-2</v>
      </c>
      <c r="AE123" s="70">
        <v>1.5695611120166889E-2</v>
      </c>
      <c r="AF123" s="62">
        <v>1.9051035489952694E-2</v>
      </c>
      <c r="AG123" s="70" t="s">
        <v>21</v>
      </c>
      <c r="AH123" s="70">
        <v>2.8168850601573169E-3</v>
      </c>
      <c r="AI123" s="70">
        <v>8.0004227434195309E-3</v>
      </c>
      <c r="AJ123" s="70">
        <v>1.0736016320166887E-2</v>
      </c>
      <c r="AK123" s="70">
        <v>1.2812201689952694E-2</v>
      </c>
    </row>
    <row r="124" spans="2:37" x14ac:dyDescent="0.35">
      <c r="B124" s="56" t="s">
        <v>101</v>
      </c>
      <c r="C124" s="66" t="s">
        <v>35</v>
      </c>
      <c r="D124" s="66" t="s">
        <v>31</v>
      </c>
      <c r="E124" s="66" t="s">
        <v>21</v>
      </c>
      <c r="F124" s="73" t="str">
        <f t="shared" si="13"/>
        <v/>
      </c>
      <c r="G124" s="75">
        <f t="shared" si="13"/>
        <v>8.482211570205931E-3</v>
      </c>
      <c r="H124" s="75">
        <f t="shared" si="13"/>
        <v>1.6360427698208106E-2</v>
      </c>
      <c r="I124" s="75">
        <f t="shared" si="13"/>
        <v>2.0797522790959682E-2</v>
      </c>
      <c r="J124" s="63">
        <f t="shared" si="13"/>
        <v>2.4481001885842346E-2</v>
      </c>
      <c r="K124" s="73" t="str">
        <f t="shared" si="14"/>
        <v/>
      </c>
      <c r="L124" s="75">
        <f t="shared" si="14"/>
        <v>5.5291443702059307E-3</v>
      </c>
      <c r="M124" s="75">
        <f t="shared" si="14"/>
        <v>1.2400599998208103E-2</v>
      </c>
      <c r="N124" s="75">
        <f t="shared" si="14"/>
        <v>1.5923257290959683E-2</v>
      </c>
      <c r="O124" s="63">
        <f t="shared" si="14"/>
        <v>1.832058448584235E-2</v>
      </c>
      <c r="P124" s="56" t="s">
        <v>21</v>
      </c>
      <c r="Q124" s="66" t="s">
        <v>21</v>
      </c>
      <c r="R124" s="95" t="s">
        <v>21</v>
      </c>
      <c r="S124" s="75">
        <v>0</v>
      </c>
      <c r="T124" s="63">
        <f t="shared" si="15"/>
        <v>1.6360427698208106E-2</v>
      </c>
      <c r="V124" s="115">
        <v>1.10977536</v>
      </c>
      <c r="W124" s="107">
        <v>2.8308239799999999</v>
      </c>
      <c r="X124" s="107">
        <v>4.3255642700000001</v>
      </c>
      <c r="Y124" s="107">
        <v>5.5865741099999999</v>
      </c>
      <c r="Z124" s="116">
        <v>7.1236380000000006</v>
      </c>
      <c r="AB124" s="73" t="s">
        <v>21</v>
      </c>
      <c r="AC124" s="75">
        <v>8.482211570205931E-3</v>
      </c>
      <c r="AD124" s="75">
        <v>1.6360427698208106E-2</v>
      </c>
      <c r="AE124" s="75">
        <v>2.0797522790959682E-2</v>
      </c>
      <c r="AF124" s="63">
        <v>2.4481001885842346E-2</v>
      </c>
      <c r="AG124" s="75" t="s">
        <v>21</v>
      </c>
      <c r="AH124" s="75">
        <v>5.5291443702059307E-3</v>
      </c>
      <c r="AI124" s="75">
        <v>1.2400599998208103E-2</v>
      </c>
      <c r="AJ124" s="75">
        <v>1.5923257290959683E-2</v>
      </c>
      <c r="AK124" s="75">
        <v>1.832058448584235E-2</v>
      </c>
    </row>
    <row r="125" spans="2:37" x14ac:dyDescent="0.35">
      <c r="B125" s="54" t="s">
        <v>102</v>
      </c>
      <c r="C125" s="52" t="s">
        <v>85</v>
      </c>
      <c r="D125" s="52" t="s">
        <v>69</v>
      </c>
      <c r="E125" s="52" t="s">
        <v>465</v>
      </c>
      <c r="F125" s="72" t="str">
        <f t="shared" si="13"/>
        <v/>
      </c>
      <c r="G125" s="59">
        <f t="shared" si="13"/>
        <v>6.5465700952428794E-3</v>
      </c>
      <c r="H125" s="59">
        <f t="shared" si="13"/>
        <v>1.3194598281628752E-2</v>
      </c>
      <c r="I125" s="59">
        <f t="shared" si="13"/>
        <v>1.6915894539423843E-2</v>
      </c>
      <c r="J125" s="62">
        <f t="shared" si="13"/>
        <v>2.0253492270991512E-2</v>
      </c>
      <c r="K125" s="72" t="str">
        <f t="shared" si="14"/>
        <v/>
      </c>
      <c r="L125" s="59">
        <f t="shared" si="14"/>
        <v>3.511717295242878E-3</v>
      </c>
      <c r="M125" s="59">
        <f t="shared" si="14"/>
        <v>9.1602010816287539E-3</v>
      </c>
      <c r="N125" s="59">
        <f t="shared" si="14"/>
        <v>1.1983913039423841E-2</v>
      </c>
      <c r="O125" s="62">
        <f t="shared" si="14"/>
        <v>1.4042849970991509E-2</v>
      </c>
      <c r="P125" s="54" t="s">
        <v>21</v>
      </c>
      <c r="Q125" s="52" t="s">
        <v>21</v>
      </c>
      <c r="R125" s="93" t="s">
        <v>21</v>
      </c>
      <c r="S125" s="70">
        <v>0</v>
      </c>
      <c r="T125" s="62">
        <f t="shared" si="15"/>
        <v>1.3194598281628752E-2</v>
      </c>
      <c r="V125" s="113">
        <v>1.1092302000000001</v>
      </c>
      <c r="W125" s="71">
        <v>2.8318501499999997</v>
      </c>
      <c r="X125" s="71">
        <v>4.3322761600000002</v>
      </c>
      <c r="Y125" s="71">
        <v>5.6020752700000003</v>
      </c>
      <c r="Z125" s="114">
        <v>7.1517343900000006</v>
      </c>
      <c r="AB125" s="72" t="s">
        <v>21</v>
      </c>
      <c r="AC125" s="70">
        <v>6.5465700952428794E-3</v>
      </c>
      <c r="AD125" s="70">
        <v>1.3194598281628752E-2</v>
      </c>
      <c r="AE125" s="70">
        <v>1.6915894539423843E-2</v>
      </c>
      <c r="AF125" s="62">
        <v>2.0253492270991512E-2</v>
      </c>
      <c r="AG125" s="70" t="s">
        <v>21</v>
      </c>
      <c r="AH125" s="70">
        <v>3.511717295242878E-3</v>
      </c>
      <c r="AI125" s="70">
        <v>9.1602010816287539E-3</v>
      </c>
      <c r="AJ125" s="70">
        <v>1.1983913039423841E-2</v>
      </c>
      <c r="AK125" s="70">
        <v>1.4042849970991509E-2</v>
      </c>
    </row>
    <row r="126" spans="2:37" x14ac:dyDescent="0.35">
      <c r="B126" s="56" t="s">
        <v>102</v>
      </c>
      <c r="C126" s="66" t="s">
        <v>35</v>
      </c>
      <c r="D126" s="66" t="s">
        <v>69</v>
      </c>
      <c r="E126" s="66" t="s">
        <v>159</v>
      </c>
      <c r="F126" s="73" t="str">
        <f t="shared" si="13"/>
        <v/>
      </c>
      <c r="G126" s="75">
        <f t="shared" si="13"/>
        <v>9.1195139712735487E-3</v>
      </c>
      <c r="H126" s="75">
        <f t="shared" si="13"/>
        <v>1.7513590012938542E-2</v>
      </c>
      <c r="I126" s="75">
        <f t="shared" si="13"/>
        <v>2.241689375154568E-2</v>
      </c>
      <c r="J126" s="63">
        <f t="shared" si="13"/>
        <v>2.6559594318937393E-2</v>
      </c>
      <c r="K126" s="73" t="str">
        <f t="shared" si="14"/>
        <v/>
      </c>
      <c r="L126" s="75">
        <f t="shared" si="14"/>
        <v>6.1844774712735504E-3</v>
      </c>
      <c r="M126" s="75">
        <f t="shared" si="14"/>
        <v>1.3564115612938542E-2</v>
      </c>
      <c r="N126" s="75">
        <f t="shared" si="14"/>
        <v>1.754323365154568E-2</v>
      </c>
      <c r="O126" s="63">
        <f t="shared" si="14"/>
        <v>2.039960831893739E-2</v>
      </c>
      <c r="P126" s="56" t="s">
        <v>21</v>
      </c>
      <c r="Q126" s="66" t="s">
        <v>21</v>
      </c>
      <c r="R126" s="95" t="s">
        <v>21</v>
      </c>
      <c r="S126" s="75">
        <v>0</v>
      </c>
      <c r="T126" s="63">
        <f t="shared" si="15"/>
        <v>1.7513590012938542E-2</v>
      </c>
      <c r="V126" s="113">
        <v>1.1093280999999999</v>
      </c>
      <c r="W126" s="71">
        <v>2.8269916299999998</v>
      </c>
      <c r="X126" s="71">
        <v>4.3119275799999999</v>
      </c>
      <c r="Y126" s="71">
        <v>5.5552852000000001</v>
      </c>
      <c r="Z126" s="114">
        <v>7.0539712300000001</v>
      </c>
      <c r="AB126" s="73" t="s">
        <v>21</v>
      </c>
      <c r="AC126" s="75">
        <v>9.1195139712735487E-3</v>
      </c>
      <c r="AD126" s="75">
        <v>1.7513590012938542E-2</v>
      </c>
      <c r="AE126" s="75">
        <v>2.241689375154568E-2</v>
      </c>
      <c r="AF126" s="63">
        <v>2.6559594318937393E-2</v>
      </c>
      <c r="AG126" s="75" t="s">
        <v>21</v>
      </c>
      <c r="AH126" s="75">
        <v>6.1844774712735504E-3</v>
      </c>
      <c r="AI126" s="75">
        <v>1.3564115612938542E-2</v>
      </c>
      <c r="AJ126" s="75">
        <v>1.754323365154568E-2</v>
      </c>
      <c r="AK126" s="75">
        <v>2.039960831893739E-2</v>
      </c>
    </row>
    <row r="127" spans="2:37" x14ac:dyDescent="0.35">
      <c r="B127" s="55" t="s">
        <v>104</v>
      </c>
      <c r="C127" s="65" t="s">
        <v>85</v>
      </c>
      <c r="D127" s="65" t="s">
        <v>43</v>
      </c>
      <c r="E127" s="64" t="s">
        <v>423</v>
      </c>
      <c r="F127" s="79" t="str">
        <f t="shared" si="13"/>
        <v/>
      </c>
      <c r="G127" s="79">
        <f t="shared" si="13"/>
        <v>5.2015095388236801E-3</v>
      </c>
      <c r="H127" s="79">
        <f t="shared" si="13"/>
        <v>1.1129528342214182E-2</v>
      </c>
      <c r="I127" s="79">
        <f t="shared" si="13"/>
        <v>1.420162796203076E-2</v>
      </c>
      <c r="J127" s="61">
        <f t="shared" si="13"/>
        <v>1.7087979551602062E-2</v>
      </c>
      <c r="K127" s="79" t="str">
        <f t="shared" si="14"/>
        <v/>
      </c>
      <c r="L127" s="79">
        <f t="shared" si="14"/>
        <v>2.0855674388236788E-3</v>
      </c>
      <c r="M127" s="79">
        <f t="shared" si="14"/>
        <v>7.0197880422141808E-3</v>
      </c>
      <c r="N127" s="79">
        <f t="shared" si="14"/>
        <v>9.1929664620307612E-3</v>
      </c>
      <c r="O127" s="61">
        <f t="shared" si="14"/>
        <v>1.078279615160206E-2</v>
      </c>
      <c r="P127" s="55" t="s">
        <v>21</v>
      </c>
      <c r="Q127" s="65" t="s">
        <v>21</v>
      </c>
      <c r="R127" s="99" t="s">
        <v>21</v>
      </c>
      <c r="S127" s="79">
        <v>0</v>
      </c>
      <c r="T127" s="61">
        <f t="shared" si="15"/>
        <v>1.1129528342214182E-2</v>
      </c>
      <c r="V127" s="117">
        <v>1.11083445</v>
      </c>
      <c r="W127" s="60">
        <v>2.8438849099999999</v>
      </c>
      <c r="X127" s="60">
        <v>4.36790842</v>
      </c>
      <c r="Y127" s="60">
        <v>5.6785015100000003</v>
      </c>
      <c r="Z127" s="118">
        <v>7.3111962200000002</v>
      </c>
      <c r="AB127" s="79" t="s">
        <v>21</v>
      </c>
      <c r="AC127" s="79">
        <v>5.2015095388236801E-3</v>
      </c>
      <c r="AD127" s="79">
        <v>1.1129528342214182E-2</v>
      </c>
      <c r="AE127" s="79">
        <v>1.420162796203076E-2</v>
      </c>
      <c r="AF127" s="61">
        <v>1.7087979551602062E-2</v>
      </c>
      <c r="AG127" s="79" t="s">
        <v>21</v>
      </c>
      <c r="AH127" s="79">
        <v>2.0855674388236788E-3</v>
      </c>
      <c r="AI127" s="79">
        <v>7.0197880422141808E-3</v>
      </c>
      <c r="AJ127" s="79">
        <v>9.1929664620307612E-3</v>
      </c>
      <c r="AK127" s="79">
        <v>1.078279615160206E-2</v>
      </c>
    </row>
    <row r="128" spans="2:37" x14ac:dyDescent="0.35">
      <c r="B128" s="56" t="s">
        <v>104</v>
      </c>
      <c r="C128" s="66" t="s">
        <v>35</v>
      </c>
      <c r="D128" s="66" t="s">
        <v>43</v>
      </c>
      <c r="E128" s="53" t="s">
        <v>423</v>
      </c>
      <c r="F128" s="75" t="str">
        <f t="shared" si="13"/>
        <v/>
      </c>
      <c r="G128" s="75">
        <f t="shared" si="13"/>
        <v>9.0233240463585204E-3</v>
      </c>
      <c r="H128" s="75">
        <f t="shared" si="13"/>
        <v>1.7227499772724739E-2</v>
      </c>
      <c r="I128" s="75">
        <f t="shared" si="13"/>
        <v>2.1648639306826471E-2</v>
      </c>
      <c r="J128" s="63">
        <f t="shared" si="13"/>
        <v>2.5224723996685964E-2</v>
      </c>
      <c r="K128" s="75" t="str">
        <f t="shared" si="14"/>
        <v/>
      </c>
      <c r="L128" s="75">
        <f t="shared" si="14"/>
        <v>6.0851274463585214E-3</v>
      </c>
      <c r="M128" s="75">
        <f t="shared" si="14"/>
        <v>1.3275554772724737E-2</v>
      </c>
      <c r="N128" s="75">
        <f t="shared" si="14"/>
        <v>1.6776073006826469E-2</v>
      </c>
      <c r="O128" s="63">
        <f t="shared" si="14"/>
        <v>1.9066743696685963E-2</v>
      </c>
      <c r="P128" s="66" t="s">
        <v>21</v>
      </c>
      <c r="Q128" s="66" t="s">
        <v>21</v>
      </c>
      <c r="R128" s="95" t="s">
        <v>21</v>
      </c>
      <c r="S128" s="75">
        <v>0</v>
      </c>
      <c r="T128" s="63">
        <f t="shared" si="15"/>
        <v>1.7227499772724739E-2</v>
      </c>
      <c r="V128" s="115">
        <v>1.1094461899999999</v>
      </c>
      <c r="W128" s="107">
        <v>2.8276731800000001</v>
      </c>
      <c r="X128" s="107">
        <v>4.3149462100000004</v>
      </c>
      <c r="Y128" s="107">
        <v>5.56609949</v>
      </c>
      <c r="Z128" s="116">
        <v>7.0882397700000004</v>
      </c>
      <c r="AB128" s="75" t="s">
        <v>21</v>
      </c>
      <c r="AC128" s="75">
        <v>9.0233240463585204E-3</v>
      </c>
      <c r="AD128" s="75">
        <v>1.7227499772724739E-2</v>
      </c>
      <c r="AE128" s="75">
        <v>2.1648639306826471E-2</v>
      </c>
      <c r="AF128" s="63">
        <v>2.5224723996685964E-2</v>
      </c>
      <c r="AG128" s="75" t="s">
        <v>21</v>
      </c>
      <c r="AH128" s="75">
        <v>6.0851274463585214E-3</v>
      </c>
      <c r="AI128" s="75">
        <v>1.3275554772724737E-2</v>
      </c>
      <c r="AJ128" s="75">
        <v>1.6776073006826469E-2</v>
      </c>
      <c r="AK128" s="75">
        <v>1.9066743696685963E-2</v>
      </c>
    </row>
    <row r="129" spans="2:37" x14ac:dyDescent="0.35">
      <c r="B129" s="54" t="s">
        <v>105</v>
      </c>
      <c r="C129" s="52" t="s">
        <v>85</v>
      </c>
      <c r="D129" s="52" t="s">
        <v>43</v>
      </c>
      <c r="E129" s="52" t="s">
        <v>423</v>
      </c>
      <c r="F129" s="72" t="str">
        <f t="shared" si="13"/>
        <v/>
      </c>
      <c r="G129" s="59">
        <f t="shared" si="13"/>
        <v>5.2516803595804035E-3</v>
      </c>
      <c r="H129" s="59">
        <f t="shared" si="13"/>
        <v>1.1023639148188371E-2</v>
      </c>
      <c r="I129" s="59">
        <f t="shared" si="13"/>
        <v>1.4103114639707164E-2</v>
      </c>
      <c r="J129" s="62">
        <f t="shared" si="13"/>
        <v>1.6890706874594073E-2</v>
      </c>
      <c r="K129" s="72" t="str">
        <f t="shared" si="14"/>
        <v/>
      </c>
      <c r="L129" s="59">
        <f t="shared" si="14"/>
        <v>2.1397222595804038E-3</v>
      </c>
      <c r="M129" s="59">
        <f t="shared" si="14"/>
        <v>6.909212748188372E-3</v>
      </c>
      <c r="N129" s="59">
        <f t="shared" si="14"/>
        <v>9.0903251397071692E-3</v>
      </c>
      <c r="O129" s="62">
        <f t="shared" si="14"/>
        <v>1.0577366574594075E-2</v>
      </c>
      <c r="P129" s="54" t="s">
        <v>21</v>
      </c>
      <c r="Q129" s="52" t="s">
        <v>21</v>
      </c>
      <c r="R129" s="93" t="s">
        <v>21</v>
      </c>
      <c r="S129" s="70">
        <v>0</v>
      </c>
      <c r="T129" s="62">
        <f t="shared" si="15"/>
        <v>1.1023639148188371E-2</v>
      </c>
      <c r="V129" s="113">
        <v>1.1109065600000001</v>
      </c>
      <c r="W129" s="71">
        <v>2.8432054</v>
      </c>
      <c r="X129" s="71">
        <v>4.36831046</v>
      </c>
      <c r="Y129" s="71">
        <v>5.6805222000000004</v>
      </c>
      <c r="Z129" s="114">
        <v>7.3179594200000002</v>
      </c>
      <c r="AB129" s="72" t="s">
        <v>21</v>
      </c>
      <c r="AC129" s="70">
        <v>5.2516803595804035E-3</v>
      </c>
      <c r="AD129" s="70">
        <v>1.1023639148188371E-2</v>
      </c>
      <c r="AE129" s="70">
        <v>1.4103114639707164E-2</v>
      </c>
      <c r="AF129" s="62">
        <v>1.6890706874594073E-2</v>
      </c>
      <c r="AG129" s="70" t="s">
        <v>21</v>
      </c>
      <c r="AH129" s="70">
        <v>2.1397222595804038E-3</v>
      </c>
      <c r="AI129" s="70">
        <v>6.909212748188372E-3</v>
      </c>
      <c r="AJ129" s="70">
        <v>9.0903251397071692E-3</v>
      </c>
      <c r="AK129" s="70">
        <v>1.0577366574594075E-2</v>
      </c>
    </row>
    <row r="130" spans="2:37" x14ac:dyDescent="0.35">
      <c r="B130" s="56" t="s">
        <v>105</v>
      </c>
      <c r="C130" s="66" t="s">
        <v>35</v>
      </c>
      <c r="D130" s="66" t="s">
        <v>43</v>
      </c>
      <c r="E130" s="66" t="s">
        <v>21</v>
      </c>
      <c r="F130" s="73" t="str">
        <f t="shared" si="13"/>
        <v/>
      </c>
      <c r="G130" s="75">
        <f t="shared" si="13"/>
        <v>8.900057857381731E-3</v>
      </c>
      <c r="H130" s="75">
        <f t="shared" si="13"/>
        <v>1.7032990056979166E-2</v>
      </c>
      <c r="I130" s="75">
        <f t="shared" si="13"/>
        <v>2.1360368337086398E-2</v>
      </c>
      <c r="J130" s="63">
        <f t="shared" si="13"/>
        <v>2.50391847726107E-2</v>
      </c>
      <c r="K130" s="73" t="str">
        <f t="shared" si="14"/>
        <v/>
      </c>
      <c r="L130" s="75">
        <f t="shared" si="14"/>
        <v>5.9590181573817326E-3</v>
      </c>
      <c r="M130" s="75">
        <f t="shared" si="14"/>
        <v>1.3079886656979161E-2</v>
      </c>
      <c r="N130" s="75">
        <f t="shared" si="14"/>
        <v>1.6488029937086396E-2</v>
      </c>
      <c r="O130" s="63">
        <f t="shared" si="14"/>
        <v>1.8880530572610701E-2</v>
      </c>
      <c r="P130" s="56" t="s">
        <v>21</v>
      </c>
      <c r="Q130" s="66" t="s">
        <v>21</v>
      </c>
      <c r="R130" s="95" t="s">
        <v>21</v>
      </c>
      <c r="S130" s="75">
        <v>0</v>
      </c>
      <c r="T130" s="63">
        <f t="shared" si="15"/>
        <v>1.7032990056979166E-2</v>
      </c>
      <c r="V130" s="113">
        <v>1.10951585</v>
      </c>
      <c r="W130" s="71">
        <v>2.8283755799999999</v>
      </c>
      <c r="X130" s="71">
        <v>4.3173095300000002</v>
      </c>
      <c r="Y130" s="71">
        <v>5.57155719</v>
      </c>
      <c r="Z130" s="114">
        <v>7.0978551999999997</v>
      </c>
      <c r="AB130" s="73" t="s">
        <v>21</v>
      </c>
      <c r="AC130" s="75">
        <v>8.900057857381731E-3</v>
      </c>
      <c r="AD130" s="75">
        <v>1.7032990056979166E-2</v>
      </c>
      <c r="AE130" s="75">
        <v>2.1360368337086398E-2</v>
      </c>
      <c r="AF130" s="63">
        <v>2.50391847726107E-2</v>
      </c>
      <c r="AG130" s="75" t="s">
        <v>21</v>
      </c>
      <c r="AH130" s="75">
        <v>5.9590181573817326E-3</v>
      </c>
      <c r="AI130" s="75">
        <v>1.3079886656979161E-2</v>
      </c>
      <c r="AJ130" s="75">
        <v>1.6488029937086396E-2</v>
      </c>
      <c r="AK130" s="75">
        <v>1.8880530572610701E-2</v>
      </c>
    </row>
    <row r="131" spans="2:37" x14ac:dyDescent="0.35">
      <c r="B131" s="55" t="s">
        <v>106</v>
      </c>
      <c r="C131" s="65" t="s">
        <v>85</v>
      </c>
      <c r="D131" s="65" t="s">
        <v>62</v>
      </c>
      <c r="E131" s="65" t="s">
        <v>466</v>
      </c>
      <c r="F131" s="74" t="str">
        <f t="shared" ref="F131:J138" si="16">IF(ISNUMBER(AB131),AB131-((C$4-C$3)/V131),"")</f>
        <v/>
      </c>
      <c r="G131" s="79">
        <f t="shared" si="16"/>
        <v>5.9931338073533399E-3</v>
      </c>
      <c r="H131" s="79">
        <f t="shared" si="16"/>
        <v>1.2260988918896628E-2</v>
      </c>
      <c r="I131" s="79">
        <f t="shared" si="16"/>
        <v>1.5679834132651827E-2</v>
      </c>
      <c r="J131" s="61">
        <f t="shared" si="16"/>
        <v>1.8741121878885453E-2</v>
      </c>
      <c r="K131" s="74" t="str">
        <f t="shared" ref="K131:O138" si="17">IF(ISNUMBER(AG131),IF(AG131-((C$4-C$3)/V131)&lt;0,"",AG131-((C$4-C$3)/V131)),"")</f>
        <v/>
      </c>
      <c r="L131" s="79">
        <f t="shared" si="17"/>
        <v>2.9286307073533419E-3</v>
      </c>
      <c r="M131" s="79">
        <f t="shared" si="17"/>
        <v>8.1979101188966331E-3</v>
      </c>
      <c r="N131" s="79">
        <f t="shared" si="17"/>
        <v>1.0720530532651831E-2</v>
      </c>
      <c r="O131" s="61">
        <f t="shared" si="17"/>
        <v>1.2495178878885455E-2</v>
      </c>
      <c r="P131" s="55" t="s">
        <v>467</v>
      </c>
      <c r="Q131" s="65" t="s">
        <v>468</v>
      </c>
      <c r="R131" s="99" t="s">
        <v>32</v>
      </c>
      <c r="S131" s="79">
        <v>1.328993E-2</v>
      </c>
      <c r="T131" s="61">
        <f t="shared" si="15"/>
        <v>-1.0289410811033725E-3</v>
      </c>
      <c r="V131" s="117">
        <v>1.11020516</v>
      </c>
      <c r="W131" s="60">
        <v>2.8371833400000002</v>
      </c>
      <c r="X131" s="60">
        <v>4.3481821499999995</v>
      </c>
      <c r="Y131" s="60">
        <v>5.6364295200000001</v>
      </c>
      <c r="Z131" s="118">
        <v>7.2249169200000001</v>
      </c>
      <c r="AB131" s="74" t="s">
        <v>21</v>
      </c>
      <c r="AC131" s="79">
        <v>5.9931338073533399E-3</v>
      </c>
      <c r="AD131" s="79">
        <v>1.2260988918896628E-2</v>
      </c>
      <c r="AE131" s="79">
        <v>1.5679834132651827E-2</v>
      </c>
      <c r="AF131" s="61">
        <v>1.8741121878885453E-2</v>
      </c>
      <c r="AG131" s="79" t="s">
        <v>21</v>
      </c>
      <c r="AH131" s="79">
        <v>2.9286307073533419E-3</v>
      </c>
      <c r="AI131" s="79">
        <v>8.1979101188966331E-3</v>
      </c>
      <c r="AJ131" s="79">
        <v>1.0720530532651831E-2</v>
      </c>
      <c r="AK131" s="79">
        <v>1.2495178878885455E-2</v>
      </c>
    </row>
    <row r="132" spans="2:37" x14ac:dyDescent="0.35">
      <c r="B132" s="56" t="s">
        <v>106</v>
      </c>
      <c r="C132" s="66" t="s">
        <v>35</v>
      </c>
      <c r="D132" s="66" t="s">
        <v>62</v>
      </c>
      <c r="E132" s="66" t="s">
        <v>469</v>
      </c>
      <c r="F132" s="73" t="str">
        <f t="shared" si="16"/>
        <v/>
      </c>
      <c r="G132" s="75">
        <f t="shared" si="16"/>
        <v>9.2004880419399616E-3</v>
      </c>
      <c r="H132" s="75">
        <f t="shared" si="16"/>
        <v>1.7513927971429942E-2</v>
      </c>
      <c r="I132" s="75">
        <f t="shared" si="16"/>
        <v>2.1832669727457749E-2</v>
      </c>
      <c r="J132" s="63">
        <f t="shared" si="16"/>
        <v>2.5798063256086641E-2</v>
      </c>
      <c r="K132" s="75" t="str">
        <f t="shared" si="17"/>
        <v/>
      </c>
      <c r="L132" s="75">
        <f t="shared" si="17"/>
        <v>6.2673120419399616E-3</v>
      </c>
      <c r="M132" s="75">
        <f t="shared" si="17"/>
        <v>1.3564493471429944E-2</v>
      </c>
      <c r="N132" s="75">
        <f t="shared" si="17"/>
        <v>1.6960990427457748E-2</v>
      </c>
      <c r="O132" s="75">
        <f t="shared" si="17"/>
        <v>1.9639072056086636E-2</v>
      </c>
      <c r="P132" s="66" t="s">
        <v>21</v>
      </c>
      <c r="Q132" s="66" t="s">
        <v>21</v>
      </c>
      <c r="R132" s="95" t="s">
        <v>21</v>
      </c>
      <c r="S132" s="75">
        <v>0</v>
      </c>
      <c r="T132" s="75">
        <f t="shared" si="15"/>
        <v>1.7513927971429942E-2</v>
      </c>
      <c r="V132" s="115">
        <v>1.10946189</v>
      </c>
      <c r="W132" s="107">
        <v>2.8268614400000001</v>
      </c>
      <c r="X132" s="107">
        <v>4.3116473500000003</v>
      </c>
      <c r="Y132" s="107">
        <v>5.5604286900000002</v>
      </c>
      <c r="Z132" s="116">
        <v>7.0734727299999998</v>
      </c>
      <c r="AB132" s="73" t="s">
        <v>21</v>
      </c>
      <c r="AC132" s="75">
        <v>9.2004880419399616E-3</v>
      </c>
      <c r="AD132" s="75">
        <v>1.7513927971429942E-2</v>
      </c>
      <c r="AE132" s="75">
        <v>2.1832669727457749E-2</v>
      </c>
      <c r="AF132" s="63">
        <v>2.5798063256086641E-2</v>
      </c>
      <c r="AG132" s="75" t="s">
        <v>21</v>
      </c>
      <c r="AH132" s="75">
        <v>6.2673120419399616E-3</v>
      </c>
      <c r="AI132" s="75">
        <v>1.3564493471429944E-2</v>
      </c>
      <c r="AJ132" s="75">
        <v>1.6960990427457748E-2</v>
      </c>
      <c r="AK132" s="75">
        <v>1.9639072056086636E-2</v>
      </c>
    </row>
    <row r="133" spans="2:37" x14ac:dyDescent="0.35">
      <c r="B133" s="54" t="s">
        <v>107</v>
      </c>
      <c r="C133" s="52" t="s">
        <v>85</v>
      </c>
      <c r="D133" s="52" t="s">
        <v>62</v>
      </c>
      <c r="E133" s="52" t="s">
        <v>264</v>
      </c>
      <c r="F133" s="72" t="str">
        <f t="shared" si="16"/>
        <v/>
      </c>
      <c r="G133" s="59">
        <f t="shared" si="16"/>
        <v>5.9850603314448546E-3</v>
      </c>
      <c r="H133" s="59">
        <f t="shared" si="16"/>
        <v>1.2256805029364524E-2</v>
      </c>
      <c r="I133" s="59">
        <f t="shared" si="16"/>
        <v>1.5826430120803085E-2</v>
      </c>
      <c r="J133" s="62">
        <f t="shared" si="16"/>
        <v>1.8833144659349446E-2</v>
      </c>
      <c r="K133" s="72" t="str">
        <f t="shared" si="17"/>
        <v/>
      </c>
      <c r="L133" s="59">
        <f t="shared" si="17"/>
        <v>2.9202030314448529E-3</v>
      </c>
      <c r="M133" s="59">
        <f t="shared" si="17"/>
        <v>8.1934153293645277E-3</v>
      </c>
      <c r="N133" s="59">
        <f t="shared" si="17"/>
        <v>1.0870234220803089E-2</v>
      </c>
      <c r="O133" s="62">
        <f t="shared" si="17"/>
        <v>1.2590215759349446E-2</v>
      </c>
      <c r="P133" s="54" t="s">
        <v>21</v>
      </c>
      <c r="Q133" s="52" t="s">
        <v>21</v>
      </c>
      <c r="R133" s="93" t="s">
        <v>21</v>
      </c>
      <c r="S133" s="70">
        <v>0</v>
      </c>
      <c r="T133" s="62">
        <f t="shared" si="15"/>
        <v>1.2256805029364524E-2</v>
      </c>
      <c r="V133" s="113">
        <v>1.10982322</v>
      </c>
      <c r="W133" s="71">
        <v>2.8365166399999997</v>
      </c>
      <c r="X133" s="71">
        <v>4.3475661199999998</v>
      </c>
      <c r="Y133" s="71">
        <v>5.6339777499999997</v>
      </c>
      <c r="Z133" s="114">
        <v>7.2194398300000007</v>
      </c>
      <c r="AB133" s="72" t="s">
        <v>21</v>
      </c>
      <c r="AC133" s="70">
        <v>5.9850603314448546E-3</v>
      </c>
      <c r="AD133" s="70">
        <v>1.2256805029364524E-2</v>
      </c>
      <c r="AE133" s="70">
        <v>1.5826430120803085E-2</v>
      </c>
      <c r="AF133" s="62">
        <v>1.8833144659349446E-2</v>
      </c>
      <c r="AG133" s="70" t="s">
        <v>21</v>
      </c>
      <c r="AH133" s="70">
        <v>2.9202030314448529E-3</v>
      </c>
      <c r="AI133" s="70">
        <v>8.1934153293645277E-3</v>
      </c>
      <c r="AJ133" s="70">
        <v>1.0870234220803089E-2</v>
      </c>
      <c r="AK133" s="70">
        <v>1.2590215759349446E-2</v>
      </c>
    </row>
    <row r="134" spans="2:37" x14ac:dyDescent="0.35">
      <c r="B134" s="54" t="s">
        <v>107</v>
      </c>
      <c r="C134" s="52" t="s">
        <v>35</v>
      </c>
      <c r="D134" s="52" t="s">
        <v>62</v>
      </c>
      <c r="E134" s="52" t="s">
        <v>289</v>
      </c>
      <c r="F134" s="72" t="str">
        <f t="shared" si="16"/>
        <v/>
      </c>
      <c r="G134" s="59">
        <f t="shared" si="16"/>
        <v>8.5963941551980942E-3</v>
      </c>
      <c r="H134" s="59">
        <f t="shared" si="16"/>
        <v>1.6549768059573401E-2</v>
      </c>
      <c r="I134" s="59">
        <f t="shared" si="16"/>
        <v>2.0592404791829427E-2</v>
      </c>
      <c r="J134" s="62">
        <f t="shared" si="16"/>
        <v>2.4579077265195745E-2</v>
      </c>
      <c r="K134" s="72" t="str">
        <f t="shared" si="17"/>
        <v/>
      </c>
      <c r="L134" s="59">
        <f t="shared" si="17"/>
        <v>5.6470057551980942E-3</v>
      </c>
      <c r="M134" s="59">
        <f t="shared" si="17"/>
        <v>1.2592197159573403E-2</v>
      </c>
      <c r="N134" s="59">
        <f t="shared" si="17"/>
        <v>1.5718446391829427E-2</v>
      </c>
      <c r="O134" s="62">
        <f t="shared" si="17"/>
        <v>1.8417236565195741E-2</v>
      </c>
      <c r="P134" s="54" t="s">
        <v>21</v>
      </c>
      <c r="Q134" s="52" t="s">
        <v>21</v>
      </c>
      <c r="R134" s="93" t="s">
        <v>21</v>
      </c>
      <c r="S134" s="70">
        <v>0</v>
      </c>
      <c r="T134" s="62">
        <f t="shared" si="15"/>
        <v>1.6549768059573401E-2</v>
      </c>
      <c r="V134" s="113">
        <v>1.1095606500000001</v>
      </c>
      <c r="W134" s="71">
        <v>2.8298840200000002</v>
      </c>
      <c r="X134" s="71">
        <v>4.3229831500000007</v>
      </c>
      <c r="Y134" s="71">
        <v>5.5854592199999997</v>
      </c>
      <c r="Z134" s="114">
        <v>7.1224736399999999</v>
      </c>
      <c r="AB134" s="72" t="s">
        <v>21</v>
      </c>
      <c r="AC134" s="70">
        <v>8.5963941551980942E-3</v>
      </c>
      <c r="AD134" s="70">
        <v>1.6549768059573401E-2</v>
      </c>
      <c r="AE134" s="70">
        <v>2.0592404791829427E-2</v>
      </c>
      <c r="AF134" s="62">
        <v>2.4579077265195745E-2</v>
      </c>
      <c r="AG134" s="70" t="s">
        <v>21</v>
      </c>
      <c r="AH134" s="70">
        <v>5.6470057551980942E-3</v>
      </c>
      <c r="AI134" s="70">
        <v>1.2592197159573403E-2</v>
      </c>
      <c r="AJ134" s="70">
        <v>1.5718446391829427E-2</v>
      </c>
      <c r="AK134" s="70">
        <v>1.8417236565195741E-2</v>
      </c>
    </row>
    <row r="135" spans="2:37" x14ac:dyDescent="0.35">
      <c r="B135" s="96" t="s">
        <v>83</v>
      </c>
      <c r="C135" s="97"/>
      <c r="D135" s="97"/>
      <c r="E135" s="97"/>
      <c r="F135" s="97" t="str">
        <f t="shared" si="16"/>
        <v/>
      </c>
      <c r="G135" s="97" t="str">
        <f t="shared" si="16"/>
        <v/>
      </c>
      <c r="H135" s="97" t="str">
        <f t="shared" si="16"/>
        <v/>
      </c>
      <c r="I135" s="97" t="str">
        <f t="shared" si="16"/>
        <v/>
      </c>
      <c r="J135" s="97" t="str">
        <f t="shared" si="16"/>
        <v/>
      </c>
      <c r="K135" s="97" t="str">
        <f t="shared" si="17"/>
        <v/>
      </c>
      <c r="L135" s="97" t="str">
        <f t="shared" si="17"/>
        <v/>
      </c>
      <c r="M135" s="97" t="str">
        <f t="shared" si="17"/>
        <v/>
      </c>
      <c r="N135" s="97" t="str">
        <f t="shared" si="17"/>
        <v/>
      </c>
      <c r="O135" s="76" t="str">
        <f t="shared" si="17"/>
        <v/>
      </c>
      <c r="P135" s="96"/>
      <c r="Q135" s="97"/>
      <c r="R135" s="100"/>
      <c r="S135" s="97"/>
      <c r="T135" s="98" t="str">
        <f t="shared" si="15"/>
        <v/>
      </c>
      <c r="V135" s="119"/>
      <c r="W135" s="108"/>
      <c r="X135" s="108"/>
      <c r="Y135" s="108"/>
      <c r="Z135" s="120"/>
      <c r="AB135" s="77"/>
      <c r="AC135" s="77"/>
      <c r="AD135" s="77"/>
      <c r="AE135" s="77"/>
      <c r="AF135" s="77"/>
      <c r="AG135" s="97"/>
      <c r="AH135" s="97"/>
      <c r="AI135" s="97"/>
      <c r="AJ135" s="97"/>
      <c r="AK135" s="97"/>
    </row>
    <row r="136" spans="2:37" x14ac:dyDescent="0.35">
      <c r="B136" s="55" t="s">
        <v>108</v>
      </c>
      <c r="C136" s="65" t="s">
        <v>85</v>
      </c>
      <c r="D136" s="65" t="s">
        <v>20</v>
      </c>
      <c r="E136" s="64" t="s">
        <v>58</v>
      </c>
      <c r="F136" s="79" t="str">
        <f t="shared" si="16"/>
        <v/>
      </c>
      <c r="G136" s="79">
        <f t="shared" si="16"/>
        <v>6.0501866871793073E-3</v>
      </c>
      <c r="H136" s="79">
        <f t="shared" si="16"/>
        <v>1.2020367583488178E-2</v>
      </c>
      <c r="I136" s="79">
        <f t="shared" si="16"/>
        <v>1.6379332347351682E-2</v>
      </c>
      <c r="J136" s="61">
        <f t="shared" si="16"/>
        <v>1.9721889001282907E-2</v>
      </c>
      <c r="K136" s="79" t="str">
        <f t="shared" si="17"/>
        <v/>
      </c>
      <c r="L136" s="79">
        <f t="shared" si="17"/>
        <v>2.9890049871793083E-3</v>
      </c>
      <c r="M136" s="79">
        <f t="shared" si="17"/>
        <v>7.9483077834881823E-3</v>
      </c>
      <c r="N136" s="79">
        <f t="shared" si="17"/>
        <v>1.143384364735168E-2</v>
      </c>
      <c r="O136" s="61">
        <f t="shared" si="17"/>
        <v>1.350074340128291E-2</v>
      </c>
      <c r="P136" s="55" t="s">
        <v>470</v>
      </c>
      <c r="Q136" s="65" t="s">
        <v>471</v>
      </c>
      <c r="R136" s="99">
        <v>47580</v>
      </c>
      <c r="S136" s="79">
        <v>9.2825000000000008E-3</v>
      </c>
      <c r="T136" s="61">
        <f t="shared" si="15"/>
        <v>2.7378675834881776E-3</v>
      </c>
      <c r="V136" s="117">
        <v>1.10965242</v>
      </c>
      <c r="W136" s="60">
        <v>2.83609987</v>
      </c>
      <c r="X136" s="60">
        <v>4.3503013799999994</v>
      </c>
      <c r="Y136" s="60">
        <v>5.6291824300000002</v>
      </c>
      <c r="Z136" s="118">
        <v>7.1916715199999999</v>
      </c>
      <c r="AB136" s="79" t="s">
        <v>21</v>
      </c>
      <c r="AC136" s="79">
        <v>6.0501866871793073E-3</v>
      </c>
      <c r="AD136" s="79">
        <v>1.2020367583488178E-2</v>
      </c>
      <c r="AE136" s="79">
        <v>1.6379332347351682E-2</v>
      </c>
      <c r="AF136" s="61">
        <v>1.9721889001282907E-2</v>
      </c>
      <c r="AG136" s="79" t="s">
        <v>21</v>
      </c>
      <c r="AH136" s="79">
        <v>2.9890049871793083E-3</v>
      </c>
      <c r="AI136" s="79">
        <v>7.9483077834881823E-3</v>
      </c>
      <c r="AJ136" s="79">
        <v>1.143384364735168E-2</v>
      </c>
      <c r="AK136" s="79">
        <v>1.350074340128291E-2</v>
      </c>
    </row>
    <row r="137" spans="2:37" x14ac:dyDescent="0.35">
      <c r="B137" s="54" t="s">
        <v>109</v>
      </c>
      <c r="C137" s="52" t="s">
        <v>85</v>
      </c>
      <c r="D137" s="52" t="s">
        <v>20</v>
      </c>
      <c r="E137" s="58" t="s">
        <v>54</v>
      </c>
      <c r="F137" s="59">
        <f t="shared" si="16"/>
        <v>7.370646785632342E-4</v>
      </c>
      <c r="G137" s="59">
        <f t="shared" si="16"/>
        <v>1.1838186415992212E-2</v>
      </c>
      <c r="H137" s="59">
        <f t="shared" si="16"/>
        <v>2.1706040663868741E-2</v>
      </c>
      <c r="I137" s="59">
        <f t="shared" si="16"/>
        <v>2.8010114186768367E-2</v>
      </c>
      <c r="J137" s="62">
        <f t="shared" si="16"/>
        <v>2.9496981066153144E-2</v>
      </c>
      <c r="K137" s="59" t="str">
        <f t="shared" si="17"/>
        <v/>
      </c>
      <c r="L137" s="59">
        <f t="shared" si="17"/>
        <v>8.9245532159922102E-3</v>
      </c>
      <c r="M137" s="59">
        <f t="shared" si="17"/>
        <v>1.7692568963868741E-2</v>
      </c>
      <c r="N137" s="59">
        <f t="shared" si="17"/>
        <v>2.2996637986768362E-2</v>
      </c>
      <c r="O137" s="62">
        <f t="shared" si="17"/>
        <v>2.3278186866153145E-2</v>
      </c>
      <c r="P137" s="54" t="s">
        <v>472</v>
      </c>
      <c r="Q137" s="52" t="s">
        <v>473</v>
      </c>
      <c r="R137" s="93" t="s">
        <v>32</v>
      </c>
      <c r="S137" s="70">
        <v>1.3308519999999999E-2</v>
      </c>
      <c r="T137" s="62">
        <f t="shared" si="15"/>
        <v>8.3975206638687416E-3</v>
      </c>
      <c r="V137" s="113">
        <v>1.1038817600000002</v>
      </c>
      <c r="W137" s="71">
        <v>2.7904980900000003</v>
      </c>
      <c r="X137" s="71">
        <v>4.19514297</v>
      </c>
      <c r="Y137" s="71">
        <v>5.3060499499999993</v>
      </c>
      <c r="Z137" s="114">
        <v>6.6276920399999995</v>
      </c>
      <c r="AB137" s="70">
        <v>7.370646785632342E-4</v>
      </c>
      <c r="AC137" s="70">
        <v>1.1838186415992212E-2</v>
      </c>
      <c r="AD137" s="70">
        <v>2.1706040663868741E-2</v>
      </c>
      <c r="AE137" s="70">
        <v>2.8010114186768367E-2</v>
      </c>
      <c r="AF137" s="62">
        <v>2.9496981066153144E-2</v>
      </c>
      <c r="AG137" s="70" t="s">
        <v>21</v>
      </c>
      <c r="AH137" s="70">
        <v>8.9245532159922102E-3</v>
      </c>
      <c r="AI137" s="70">
        <v>1.7692568963868741E-2</v>
      </c>
      <c r="AJ137" s="70">
        <v>2.2996637986768362E-2</v>
      </c>
      <c r="AK137" s="70">
        <v>2.3278186866153145E-2</v>
      </c>
    </row>
    <row r="138" spans="2:37" x14ac:dyDescent="0.35">
      <c r="B138" s="56" t="s">
        <v>111</v>
      </c>
      <c r="C138" s="66" t="s">
        <v>85</v>
      </c>
      <c r="D138" s="66" t="s">
        <v>20</v>
      </c>
      <c r="E138" s="53" t="s">
        <v>112</v>
      </c>
      <c r="F138" s="75" t="str">
        <f t="shared" si="16"/>
        <v/>
      </c>
      <c r="G138" s="75">
        <f t="shared" si="16"/>
        <v>8.0141074316613155E-3</v>
      </c>
      <c r="H138" s="75">
        <f t="shared" si="16"/>
        <v>1.470180258521451E-2</v>
      </c>
      <c r="I138" s="75">
        <f t="shared" si="16"/>
        <v>1.8423261193880644E-2</v>
      </c>
      <c r="J138" s="63">
        <f t="shared" si="16"/>
        <v>2.1695721556221154E-2</v>
      </c>
      <c r="K138" s="75" t="str">
        <f t="shared" si="17"/>
        <v/>
      </c>
      <c r="L138" s="75">
        <f t="shared" si="17"/>
        <v>5.0367968316613176E-3</v>
      </c>
      <c r="M138" s="75">
        <f t="shared" si="17"/>
        <v>1.0698902985214514E-2</v>
      </c>
      <c r="N138" s="75">
        <f t="shared" si="17"/>
        <v>1.3511783693880642E-2</v>
      </c>
      <c r="O138" s="63">
        <f t="shared" si="17"/>
        <v>1.5509864656221157E-2</v>
      </c>
      <c r="P138" s="56" t="s">
        <v>21</v>
      </c>
      <c r="Q138" s="66" t="s">
        <v>21</v>
      </c>
      <c r="R138" s="95" t="s">
        <v>21</v>
      </c>
      <c r="S138" s="75">
        <v>0</v>
      </c>
      <c r="T138" s="63">
        <f t="shared" si="15"/>
        <v>1.470180258521451E-2</v>
      </c>
      <c r="V138" s="115">
        <v>1.1078831500000001</v>
      </c>
      <c r="W138" s="107">
        <v>2.82051147</v>
      </c>
      <c r="X138" s="107">
        <v>4.3039031200000002</v>
      </c>
      <c r="Y138" s="107">
        <v>5.5497014699999996</v>
      </c>
      <c r="Z138" s="116">
        <v>7.0555308499999994</v>
      </c>
      <c r="AB138" s="75" t="s">
        <v>21</v>
      </c>
      <c r="AC138" s="75">
        <v>8.0141074316613155E-3</v>
      </c>
      <c r="AD138" s="75">
        <v>1.470180258521451E-2</v>
      </c>
      <c r="AE138" s="75">
        <v>1.8423261193880644E-2</v>
      </c>
      <c r="AF138" s="63">
        <v>2.1695721556221154E-2</v>
      </c>
      <c r="AG138" s="75" t="s">
        <v>21</v>
      </c>
      <c r="AH138" s="75">
        <v>5.0367968316613176E-3</v>
      </c>
      <c r="AI138" s="75">
        <v>1.0698902985214514E-2</v>
      </c>
      <c r="AJ138" s="75">
        <v>1.3511783693880642E-2</v>
      </c>
      <c r="AK138" s="75">
        <v>1.5509864656221157E-2</v>
      </c>
    </row>
    <row r="139" spans="2:37" x14ac:dyDescent="0.35">
      <c r="P139" s="127"/>
      <c r="Q139" s="127"/>
      <c r="R139" s="44"/>
      <c r="S139" s="127"/>
      <c r="T139" s="127"/>
      <c r="V139" s="71"/>
      <c r="W139" s="71"/>
      <c r="X139" s="71"/>
      <c r="Y139" s="71"/>
      <c r="Z139" s="71"/>
    </row>
    <row r="140" spans="2:37" ht="15.5" x14ac:dyDescent="0.35">
      <c r="B140" s="121" t="s">
        <v>113</v>
      </c>
      <c r="R140" s="93"/>
      <c r="S140" s="70"/>
      <c r="T140" s="70"/>
      <c r="V140" s="71"/>
      <c r="W140" s="71"/>
      <c r="X140" s="71"/>
      <c r="Y140" s="71"/>
      <c r="Z140" s="71"/>
    </row>
    <row r="141" spans="2:37" x14ac:dyDescent="0.35">
      <c r="B141" s="84" t="s">
        <v>5</v>
      </c>
      <c r="C141" s="83" t="s">
        <v>6</v>
      </c>
      <c r="D141" s="83" t="s">
        <v>7</v>
      </c>
      <c r="E141" s="83" t="s">
        <v>8</v>
      </c>
      <c r="F141" s="82" t="s">
        <v>9</v>
      </c>
      <c r="G141" s="81" t="s">
        <v>10</v>
      </c>
      <c r="H141" s="81" t="s">
        <v>11</v>
      </c>
      <c r="I141" s="81" t="s">
        <v>12</v>
      </c>
      <c r="J141" s="80" t="s">
        <v>13</v>
      </c>
      <c r="K141" s="82" t="s">
        <v>9</v>
      </c>
      <c r="L141" s="81" t="s">
        <v>10</v>
      </c>
      <c r="M141" s="81" t="s">
        <v>11</v>
      </c>
      <c r="N141" s="81" t="s">
        <v>12</v>
      </c>
      <c r="O141" s="80" t="s">
        <v>13</v>
      </c>
      <c r="P141" s="69" t="s">
        <v>14</v>
      </c>
      <c r="Q141" s="57" t="s">
        <v>15</v>
      </c>
      <c r="R141" s="57" t="s">
        <v>16</v>
      </c>
      <c r="S141" s="57" t="s">
        <v>415</v>
      </c>
      <c r="T141" s="57" t="s">
        <v>18</v>
      </c>
      <c r="V141" s="109" t="s">
        <v>9</v>
      </c>
      <c r="W141" s="105" t="s">
        <v>10</v>
      </c>
      <c r="X141" s="105" t="s">
        <v>11</v>
      </c>
      <c r="Y141" s="105" t="s">
        <v>12</v>
      </c>
      <c r="Z141" s="110" t="s">
        <v>13</v>
      </c>
      <c r="AB141" s="82" t="s">
        <v>9</v>
      </c>
      <c r="AC141" s="81" t="s">
        <v>10</v>
      </c>
      <c r="AD141" s="81" t="s">
        <v>11</v>
      </c>
      <c r="AE141" s="81" t="s">
        <v>12</v>
      </c>
      <c r="AF141" s="80" t="s">
        <v>13</v>
      </c>
      <c r="AG141" s="57" t="s">
        <v>9</v>
      </c>
      <c r="AH141" s="57" t="s">
        <v>10</v>
      </c>
      <c r="AI141" s="57" t="s">
        <v>11</v>
      </c>
      <c r="AJ141" s="57" t="s">
        <v>12</v>
      </c>
      <c r="AK141" s="57" t="s">
        <v>13</v>
      </c>
    </row>
    <row r="142" spans="2:37" x14ac:dyDescent="0.35">
      <c r="B142" s="78" t="s">
        <v>114</v>
      </c>
      <c r="C142" s="9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6"/>
      <c r="P142" s="78"/>
      <c r="Q142" s="77"/>
      <c r="R142" s="94"/>
      <c r="S142" s="77"/>
      <c r="T142" s="76"/>
      <c r="V142" s="111"/>
      <c r="W142" s="106"/>
      <c r="X142" s="106"/>
      <c r="Y142" s="106"/>
      <c r="Z142" s="112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</row>
    <row r="143" spans="2:37" x14ac:dyDescent="0.35">
      <c r="B143" s="55" t="s">
        <v>317</v>
      </c>
      <c r="C143" s="65" t="s">
        <v>232</v>
      </c>
      <c r="D143" s="65" t="s">
        <v>20</v>
      </c>
      <c r="E143" s="65" t="s">
        <v>21</v>
      </c>
      <c r="F143" s="74">
        <f t="shared" ref="F143:J173" si="18">IF(ISNUMBER(AB143),AB143-((C$4-C$3)/V143),"")</f>
        <v>2.875089413339792E-4</v>
      </c>
      <c r="G143" s="79">
        <f t="shared" si="18"/>
        <v>1.3423243318328493E-2</v>
      </c>
      <c r="H143" s="79">
        <f t="shared" si="18"/>
        <v>2.7921107811312278E-2</v>
      </c>
      <c r="I143" s="79">
        <f t="shared" si="18"/>
        <v>3.427944643439685E-2</v>
      </c>
      <c r="J143" s="61">
        <f t="shared" si="18"/>
        <v>3.8612552093271399E-2</v>
      </c>
      <c r="K143" s="79" t="str">
        <f t="shared" ref="K143:O173" si="19">IF(ISNUMBER(AG143),IF(AG143-((C$4-C$3)/V143)&lt;0,"",AG143-((C$4-C$3)/V143)),"")</f>
        <v/>
      </c>
      <c r="L143" s="79">
        <f t="shared" si="19"/>
        <v>1.050583451832849E-2</v>
      </c>
      <c r="M143" s="79">
        <f t="shared" si="19"/>
        <v>2.3755021011312282E-2</v>
      </c>
      <c r="N143" s="79">
        <f t="shared" si="19"/>
        <v>2.9067620634396846E-2</v>
      </c>
      <c r="O143" s="61">
        <f t="shared" si="19"/>
        <v>3.2127831793271402E-2</v>
      </c>
      <c r="P143" s="55" t="s">
        <v>21</v>
      </c>
      <c r="Q143" s="65" t="s">
        <v>21</v>
      </c>
      <c r="R143" s="99" t="s">
        <v>21</v>
      </c>
      <c r="S143" s="74">
        <v>0</v>
      </c>
      <c r="T143" s="61">
        <f t="shared" ref="T143:T276" si="20">IF(S143="","",H143-S143)</f>
        <v>2.7921107811312278E-2</v>
      </c>
      <c r="V143" s="113">
        <v>1.10527295</v>
      </c>
      <c r="W143" s="71">
        <v>2.7827464699999997</v>
      </c>
      <c r="X143" s="71">
        <v>4.1269246099999997</v>
      </c>
      <c r="Y143" s="71">
        <v>5.1498992700000006</v>
      </c>
      <c r="Z143" s="114">
        <v>6.2716226099999997</v>
      </c>
      <c r="AB143" s="79">
        <v>2.875089413339792E-4</v>
      </c>
      <c r="AC143" s="79">
        <v>1.3423243318328493E-2</v>
      </c>
      <c r="AD143" s="79">
        <v>2.7921107811312278E-2</v>
      </c>
      <c r="AE143" s="79">
        <v>3.427944643439685E-2</v>
      </c>
      <c r="AF143" s="61">
        <v>3.8612552093271399E-2</v>
      </c>
      <c r="AG143" s="79" t="s">
        <v>21</v>
      </c>
      <c r="AH143" s="79">
        <v>1.050583451832849E-2</v>
      </c>
      <c r="AI143" s="79">
        <v>2.3755021011312282E-2</v>
      </c>
      <c r="AJ143" s="79">
        <v>2.9067620634396846E-2</v>
      </c>
      <c r="AK143" s="79">
        <v>3.2127831793271402E-2</v>
      </c>
    </row>
    <row r="144" spans="2:37" x14ac:dyDescent="0.35">
      <c r="B144" s="54" t="s">
        <v>175</v>
      </c>
      <c r="C144" s="52" t="s">
        <v>232</v>
      </c>
      <c r="D144" s="52" t="s">
        <v>43</v>
      </c>
      <c r="E144" s="52" t="s">
        <v>21</v>
      </c>
      <c r="F144" s="72" t="str">
        <f t="shared" si="18"/>
        <v/>
      </c>
      <c r="G144" s="59">
        <f t="shared" si="18"/>
        <v>1.3833531952304041E-2</v>
      </c>
      <c r="H144" s="59">
        <f t="shared" si="18"/>
        <v>2.6443320821401391E-2</v>
      </c>
      <c r="I144" s="59">
        <f t="shared" si="18"/>
        <v>3.4895892385426182E-2</v>
      </c>
      <c r="J144" s="62">
        <f t="shared" si="18"/>
        <v>3.8361403378130758E-2</v>
      </c>
      <c r="K144" s="59" t="str">
        <f t="shared" si="19"/>
        <v/>
      </c>
      <c r="L144" s="59">
        <f t="shared" si="19"/>
        <v>1.0915733552304043E-2</v>
      </c>
      <c r="M144" s="59">
        <f t="shared" si="19"/>
        <v>2.2323190721401397E-2</v>
      </c>
      <c r="N144" s="59">
        <f t="shared" si="19"/>
        <v>2.9652688185426181E-2</v>
      </c>
      <c r="O144" s="62">
        <f t="shared" si="19"/>
        <v>3.1888429978130753E-2</v>
      </c>
      <c r="P144" s="54" t="s">
        <v>21</v>
      </c>
      <c r="Q144" s="52" t="s">
        <v>21</v>
      </c>
      <c r="R144" s="93" t="s">
        <v>21</v>
      </c>
      <c r="S144" s="72">
        <v>0</v>
      </c>
      <c r="T144" s="62">
        <f t="shared" si="20"/>
        <v>2.6443320821401391E-2</v>
      </c>
      <c r="V144" s="113">
        <v>1.10593253</v>
      </c>
      <c r="W144" s="71">
        <v>2.7789666799999999</v>
      </c>
      <c r="X144" s="71">
        <v>4.1348940600000006</v>
      </c>
      <c r="Y144" s="71">
        <v>5.1585521400000003</v>
      </c>
      <c r="Z144" s="114">
        <v>6.2830375999999992</v>
      </c>
      <c r="AB144" s="70" t="s">
        <v>21</v>
      </c>
      <c r="AC144" s="70">
        <v>1.3833531952304041E-2</v>
      </c>
      <c r="AD144" s="70">
        <v>2.6443320821401391E-2</v>
      </c>
      <c r="AE144" s="70">
        <v>3.4895892385426182E-2</v>
      </c>
      <c r="AF144" s="62">
        <v>3.8361403378130758E-2</v>
      </c>
      <c r="AG144" s="70" t="s">
        <v>21</v>
      </c>
      <c r="AH144" s="70">
        <v>1.0915733552304043E-2</v>
      </c>
      <c r="AI144" s="70">
        <v>2.2323190721401397E-2</v>
      </c>
      <c r="AJ144" s="70">
        <v>2.9652688185426181E-2</v>
      </c>
      <c r="AK144" s="70">
        <v>3.1888429978130753E-2</v>
      </c>
    </row>
    <row r="145" spans="2:37" x14ac:dyDescent="0.35">
      <c r="B145" s="54" t="s">
        <v>122</v>
      </c>
      <c r="C145" s="52" t="s">
        <v>232</v>
      </c>
      <c r="D145" s="52" t="s">
        <v>97</v>
      </c>
      <c r="E145" s="52" t="s">
        <v>267</v>
      </c>
      <c r="F145" s="72" t="str">
        <f t="shared" si="18"/>
        <v/>
      </c>
      <c r="G145" s="59">
        <f t="shared" si="18"/>
        <v>1.2922021115813115E-2</v>
      </c>
      <c r="H145" s="59">
        <f t="shared" si="18"/>
        <v>2.4443525786521123E-2</v>
      </c>
      <c r="I145" s="59">
        <f t="shared" si="18"/>
        <v>3.2775731362922597E-2</v>
      </c>
      <c r="J145" s="62">
        <f t="shared" si="18"/>
        <v>3.875809809647314E-2</v>
      </c>
      <c r="K145" s="59" t="str">
        <f t="shared" si="19"/>
        <v/>
      </c>
      <c r="L145" s="59">
        <f t="shared" si="19"/>
        <v>1.0008518515813112E-2</v>
      </c>
      <c r="M145" s="59">
        <f t="shared" si="19"/>
        <v>2.0377268686521122E-2</v>
      </c>
      <c r="N145" s="59">
        <f t="shared" si="19"/>
        <v>2.7615365862922597E-2</v>
      </c>
      <c r="O145" s="62">
        <f t="shared" si="19"/>
        <v>3.2262051696473136E-2</v>
      </c>
      <c r="P145" s="54" t="s">
        <v>21</v>
      </c>
      <c r="Q145" s="52" t="s">
        <v>21</v>
      </c>
      <c r="R145" s="93" t="s">
        <v>21</v>
      </c>
      <c r="S145" s="72">
        <v>0</v>
      </c>
      <c r="T145" s="62">
        <f t="shared" si="20"/>
        <v>2.4443525786521123E-2</v>
      </c>
      <c r="V145" s="113">
        <v>1.10729115</v>
      </c>
      <c r="W145" s="71">
        <v>2.78846857</v>
      </c>
      <c r="X145" s="71">
        <v>4.1652143700000002</v>
      </c>
      <c r="Y145" s="71">
        <v>5.2170367300000002</v>
      </c>
      <c r="Z145" s="114">
        <v>6.3434579600000003</v>
      </c>
      <c r="AB145" s="70" t="s">
        <v>21</v>
      </c>
      <c r="AC145" s="70">
        <v>1.2922021115813115E-2</v>
      </c>
      <c r="AD145" s="70">
        <v>2.4443525786521123E-2</v>
      </c>
      <c r="AE145" s="70">
        <v>3.2775731362922597E-2</v>
      </c>
      <c r="AF145" s="62">
        <v>3.875809809647314E-2</v>
      </c>
      <c r="AG145" s="70" t="s">
        <v>21</v>
      </c>
      <c r="AH145" s="70">
        <v>1.0008518515813112E-2</v>
      </c>
      <c r="AI145" s="70">
        <v>2.0377268686521122E-2</v>
      </c>
      <c r="AJ145" s="70">
        <v>2.7615365862922597E-2</v>
      </c>
      <c r="AK145" s="70">
        <v>3.2262051696473136E-2</v>
      </c>
    </row>
    <row r="146" spans="2:37" x14ac:dyDescent="0.35">
      <c r="B146" s="54" t="s">
        <v>168</v>
      </c>
      <c r="C146" s="52" t="s">
        <v>232</v>
      </c>
      <c r="D146" s="52" t="s">
        <v>20</v>
      </c>
      <c r="E146" s="52" t="s">
        <v>21</v>
      </c>
      <c r="F146" s="72">
        <f t="shared" si="18"/>
        <v>2.4059515537219666E-3</v>
      </c>
      <c r="G146" s="59">
        <f t="shared" si="18"/>
        <v>1.4154731957968715E-2</v>
      </c>
      <c r="H146" s="59">
        <f t="shared" si="18"/>
        <v>2.4751190781487815E-2</v>
      </c>
      <c r="I146" s="59">
        <f t="shared" si="18"/>
        <v>2.9744830380813478E-2</v>
      </c>
      <c r="J146" s="62">
        <f t="shared" si="18"/>
        <v>3.4204731019972026E-2</v>
      </c>
      <c r="K146" s="59">
        <f t="shared" si="19"/>
        <v>8.6122175372196734E-4</v>
      </c>
      <c r="L146" s="59">
        <f t="shared" si="19"/>
        <v>1.1235591457968715E-2</v>
      </c>
      <c r="M146" s="59">
        <f t="shared" si="19"/>
        <v>2.0672871781487818E-2</v>
      </c>
      <c r="N146" s="59">
        <f t="shared" si="19"/>
        <v>2.4688124680813477E-2</v>
      </c>
      <c r="O146" s="62">
        <f t="shared" si="19"/>
        <v>2.7859855319972027E-2</v>
      </c>
      <c r="P146" s="54" t="s">
        <v>474</v>
      </c>
      <c r="Q146" s="52" t="s">
        <v>475</v>
      </c>
      <c r="R146" s="93">
        <v>47505</v>
      </c>
      <c r="S146" s="72">
        <v>1.9523260000000001E-2</v>
      </c>
      <c r="T146" s="62">
        <f t="shared" si="20"/>
        <v>5.2279307814878141E-3</v>
      </c>
      <c r="V146" s="113">
        <v>1.09957186</v>
      </c>
      <c r="W146" s="71">
        <v>2.7661951500000002</v>
      </c>
      <c r="X146" s="71">
        <v>4.1414903000000001</v>
      </c>
      <c r="Y146" s="71">
        <v>5.2169818399999999</v>
      </c>
      <c r="Z146" s="114">
        <v>6.43635716</v>
      </c>
      <c r="AB146" s="70">
        <v>2.4059515537219666E-3</v>
      </c>
      <c r="AC146" s="70">
        <v>1.4154731957968715E-2</v>
      </c>
      <c r="AD146" s="70">
        <v>2.4751190781487815E-2</v>
      </c>
      <c r="AE146" s="70">
        <v>2.9744830380813478E-2</v>
      </c>
      <c r="AF146" s="62">
        <v>3.4204731019972026E-2</v>
      </c>
      <c r="AG146" s="70">
        <v>8.6122175372196734E-4</v>
      </c>
      <c r="AH146" s="70">
        <v>1.1235591457968715E-2</v>
      </c>
      <c r="AI146" s="70">
        <v>2.0672871781487818E-2</v>
      </c>
      <c r="AJ146" s="70">
        <v>2.4688124680813477E-2</v>
      </c>
      <c r="AK146" s="70">
        <v>2.7859855319972027E-2</v>
      </c>
    </row>
    <row r="147" spans="2:37" x14ac:dyDescent="0.35">
      <c r="B147" s="54" t="s">
        <v>152</v>
      </c>
      <c r="C147" s="52" t="s">
        <v>232</v>
      </c>
      <c r="D147" s="52" t="s">
        <v>20</v>
      </c>
      <c r="E147" s="52" t="s">
        <v>123</v>
      </c>
      <c r="F147" s="72">
        <f t="shared" si="18"/>
        <v>1.6000222362796525E-3</v>
      </c>
      <c r="G147" s="59">
        <f t="shared" si="18"/>
        <v>1.5400320601164245E-2</v>
      </c>
      <c r="H147" s="59">
        <f t="shared" si="18"/>
        <v>2.3391990799767011E-2</v>
      </c>
      <c r="I147" s="59">
        <f t="shared" si="18"/>
        <v>2.8474701831845185E-2</v>
      </c>
      <c r="J147" s="62">
        <f t="shared" si="18"/>
        <v>3.1519742832111224E-2</v>
      </c>
      <c r="K147" s="59">
        <f t="shared" si="19"/>
        <v>3.8292936279652433E-5</v>
      </c>
      <c r="L147" s="59">
        <f t="shared" si="19"/>
        <v>1.2468454801164246E-2</v>
      </c>
      <c r="M147" s="59">
        <f t="shared" si="19"/>
        <v>1.9346440099767014E-2</v>
      </c>
      <c r="N147" s="59">
        <f t="shared" si="19"/>
        <v>2.344715033184518E-2</v>
      </c>
      <c r="O147" s="62">
        <f t="shared" si="19"/>
        <v>2.5244758032111226E-2</v>
      </c>
      <c r="P147" s="54" t="s">
        <v>476</v>
      </c>
      <c r="Q147" s="52" t="s">
        <v>477</v>
      </c>
      <c r="R147" s="93">
        <v>47484</v>
      </c>
      <c r="S147" s="72">
        <v>1.5788740000000002E-2</v>
      </c>
      <c r="T147" s="62">
        <f t="shared" si="20"/>
        <v>7.6032507997670085E-3</v>
      </c>
      <c r="V147" s="113">
        <v>1.10169173</v>
      </c>
      <c r="W147" s="71">
        <v>2.7626255899999999</v>
      </c>
      <c r="X147" s="71">
        <v>4.1448683800000001</v>
      </c>
      <c r="Y147" s="71">
        <v>5.2451125300000001</v>
      </c>
      <c r="Z147" s="114">
        <v>6.5201057899999997</v>
      </c>
      <c r="AB147" s="70">
        <v>1.6000222362796525E-3</v>
      </c>
      <c r="AC147" s="70">
        <v>1.5400320601164245E-2</v>
      </c>
      <c r="AD147" s="70">
        <v>2.3391990799767011E-2</v>
      </c>
      <c r="AE147" s="70">
        <v>2.8474701831845185E-2</v>
      </c>
      <c r="AF147" s="62">
        <v>3.1519742832111224E-2</v>
      </c>
      <c r="AG147" s="70">
        <v>3.8292936279652433E-5</v>
      </c>
      <c r="AH147" s="70">
        <v>1.2468454801164246E-2</v>
      </c>
      <c r="AI147" s="70">
        <v>1.9346440099767014E-2</v>
      </c>
      <c r="AJ147" s="70">
        <v>2.344715033184518E-2</v>
      </c>
      <c r="AK147" s="70">
        <v>2.5244758032111226E-2</v>
      </c>
    </row>
    <row r="148" spans="2:37" x14ac:dyDescent="0.35">
      <c r="B148" s="54" t="s">
        <v>174</v>
      </c>
      <c r="C148" s="52" t="s">
        <v>232</v>
      </c>
      <c r="D148" s="52" t="s">
        <v>47</v>
      </c>
      <c r="E148" s="52" t="s">
        <v>21</v>
      </c>
      <c r="F148" s="72">
        <f t="shared" si="18"/>
        <v>2.4838513911774832E-3</v>
      </c>
      <c r="G148" s="59">
        <f t="shared" si="18"/>
        <v>1.2967783342563356E-2</v>
      </c>
      <c r="H148" s="59">
        <f t="shared" si="18"/>
        <v>2.2118949870401691E-2</v>
      </c>
      <c r="I148" s="59">
        <f t="shared" si="18"/>
        <v>2.5565243910030962E-2</v>
      </c>
      <c r="J148" s="62">
        <f t="shared" si="18"/>
        <v>2.8600673101427394E-2</v>
      </c>
      <c r="K148" s="59">
        <f t="shared" si="19"/>
        <v>9.367299911774837E-4</v>
      </c>
      <c r="L148" s="59">
        <f t="shared" si="19"/>
        <v>1.0051450042563356E-2</v>
      </c>
      <c r="M148" s="59">
        <f t="shared" si="19"/>
        <v>1.809404967040169E-2</v>
      </c>
      <c r="N148" s="59">
        <f t="shared" si="19"/>
        <v>2.0605974810030958E-2</v>
      </c>
      <c r="O148" s="62">
        <f t="shared" si="19"/>
        <v>2.2381918801427397E-2</v>
      </c>
      <c r="P148" s="54" t="s">
        <v>21</v>
      </c>
      <c r="Q148" s="52" t="s">
        <v>21</v>
      </c>
      <c r="R148" s="93" t="s">
        <v>21</v>
      </c>
      <c r="S148" s="72">
        <v>0</v>
      </c>
      <c r="T148" s="62">
        <f t="shared" si="20"/>
        <v>2.2118949870401691E-2</v>
      </c>
      <c r="V148" s="113">
        <v>1.09948143</v>
      </c>
      <c r="W148" s="71">
        <v>2.77543411</v>
      </c>
      <c r="X148" s="71">
        <v>4.1734535400000006</v>
      </c>
      <c r="Y148" s="71">
        <v>5.3136929200000003</v>
      </c>
      <c r="Z148" s="114">
        <v>6.6559010399999989</v>
      </c>
      <c r="AB148" s="70">
        <v>2.4838513911774832E-3</v>
      </c>
      <c r="AC148" s="70">
        <v>1.2967783342563356E-2</v>
      </c>
      <c r="AD148" s="70">
        <v>2.2118949870401691E-2</v>
      </c>
      <c r="AE148" s="70">
        <v>2.5565243910030962E-2</v>
      </c>
      <c r="AF148" s="62">
        <v>2.8600673101427394E-2</v>
      </c>
      <c r="AG148" s="70">
        <v>9.367299911774837E-4</v>
      </c>
      <c r="AH148" s="70">
        <v>1.0051450042563356E-2</v>
      </c>
      <c r="AI148" s="70">
        <v>1.809404967040169E-2</v>
      </c>
      <c r="AJ148" s="70">
        <v>2.0605974810030958E-2</v>
      </c>
      <c r="AK148" s="70">
        <v>2.2381918801427397E-2</v>
      </c>
    </row>
    <row r="149" spans="2:37" x14ac:dyDescent="0.35">
      <c r="B149" s="54" t="s">
        <v>323</v>
      </c>
      <c r="C149" s="52" t="s">
        <v>232</v>
      </c>
      <c r="D149" s="52" t="s">
        <v>69</v>
      </c>
      <c r="E149" s="52" t="s">
        <v>116</v>
      </c>
      <c r="F149" s="72">
        <f t="shared" si="18"/>
        <v>2.2525880803012793E-5</v>
      </c>
      <c r="G149" s="59">
        <f t="shared" si="18"/>
        <v>1.0863993906191466E-2</v>
      </c>
      <c r="H149" s="59">
        <f t="shared" si="18"/>
        <v>2.1722931740553075E-2</v>
      </c>
      <c r="I149" s="59">
        <f t="shared" si="18"/>
        <v>2.7509883149908161E-2</v>
      </c>
      <c r="J149" s="62">
        <f t="shared" si="18"/>
        <v>3.1888106703141787E-2</v>
      </c>
      <c r="K149" s="59" t="str">
        <f t="shared" si="19"/>
        <v/>
      </c>
      <c r="L149" s="59">
        <f t="shared" si="19"/>
        <v>7.9421957061914673E-3</v>
      </c>
      <c r="M149" s="59">
        <f t="shared" si="19"/>
        <v>1.7706616740553075E-2</v>
      </c>
      <c r="N149" s="59">
        <f t="shared" si="19"/>
        <v>2.2508973049908163E-2</v>
      </c>
      <c r="O149" s="62">
        <f t="shared" si="19"/>
        <v>2.5610509303141786E-2</v>
      </c>
      <c r="P149" s="54" t="s">
        <v>377</v>
      </c>
      <c r="Q149" s="52" t="s">
        <v>378</v>
      </c>
      <c r="R149" s="93" t="s">
        <v>32</v>
      </c>
      <c r="S149" s="72">
        <v>1.305073E-2</v>
      </c>
      <c r="T149" s="62">
        <f t="shared" si="20"/>
        <v>8.6722017405530746E-3</v>
      </c>
      <c r="V149" s="113">
        <v>1.1058236699999999</v>
      </c>
      <c r="W149" s="71">
        <v>2.7984692899999999</v>
      </c>
      <c r="X149" s="71">
        <v>4.2052551000000005</v>
      </c>
      <c r="Y149" s="71">
        <v>5.32256734</v>
      </c>
      <c r="Z149" s="114">
        <v>6.5908592000000006</v>
      </c>
      <c r="AB149" s="70">
        <v>2.2525880803012793E-5</v>
      </c>
      <c r="AC149" s="70">
        <v>1.0863993906191466E-2</v>
      </c>
      <c r="AD149" s="70">
        <v>2.1722931740553075E-2</v>
      </c>
      <c r="AE149" s="70">
        <v>2.7509883149908161E-2</v>
      </c>
      <c r="AF149" s="62">
        <v>3.1888106703141787E-2</v>
      </c>
      <c r="AG149" s="70" t="s">
        <v>21</v>
      </c>
      <c r="AH149" s="70">
        <v>7.9421957061914673E-3</v>
      </c>
      <c r="AI149" s="70">
        <v>1.7706616740553075E-2</v>
      </c>
      <c r="AJ149" s="70">
        <v>2.2508973049908163E-2</v>
      </c>
      <c r="AK149" s="70">
        <v>2.5610509303141786E-2</v>
      </c>
    </row>
    <row r="150" spans="2:37" x14ac:dyDescent="0.35">
      <c r="B150" s="54" t="s">
        <v>130</v>
      </c>
      <c r="C150" s="52" t="s">
        <v>232</v>
      </c>
      <c r="D150" s="52" t="s">
        <v>131</v>
      </c>
      <c r="E150" s="52" t="s">
        <v>288</v>
      </c>
      <c r="F150" s="72" t="str">
        <f t="shared" si="18"/>
        <v/>
      </c>
      <c r="G150" s="59">
        <f t="shared" si="18"/>
        <v>1.0416684445435417E-2</v>
      </c>
      <c r="H150" s="59">
        <f t="shared" si="18"/>
        <v>2.0347820339106728E-2</v>
      </c>
      <c r="I150" s="59">
        <f t="shared" si="18"/>
        <v>2.6644125857589757E-2</v>
      </c>
      <c r="J150" s="62">
        <f t="shared" si="18"/>
        <v>3.0754721113364879E-2</v>
      </c>
      <c r="K150" s="59" t="str">
        <f t="shared" si="19"/>
        <v/>
      </c>
      <c r="L150" s="59">
        <f t="shared" si="19"/>
        <v>7.4900165454354177E-3</v>
      </c>
      <c r="M150" s="59">
        <f t="shared" si="19"/>
        <v>1.6350518839106733E-2</v>
      </c>
      <c r="N150" s="59">
        <f t="shared" si="19"/>
        <v>2.1661372857589758E-2</v>
      </c>
      <c r="O150" s="62">
        <f t="shared" si="19"/>
        <v>2.4505106913364886E-2</v>
      </c>
      <c r="P150" s="54" t="s">
        <v>478</v>
      </c>
      <c r="Q150" s="52" t="s">
        <v>479</v>
      </c>
      <c r="R150" s="93">
        <v>47532</v>
      </c>
      <c r="S150" s="72">
        <v>1.28658E-2</v>
      </c>
      <c r="T150" s="62">
        <f t="shared" si="20"/>
        <v>7.4820203391067278E-3</v>
      </c>
      <c r="V150" s="113">
        <v>1.10669415</v>
      </c>
      <c r="W150" s="71">
        <v>2.8028668799999998</v>
      </c>
      <c r="X150" s="71">
        <v>4.2239859800000001</v>
      </c>
      <c r="Y150" s="71">
        <v>5.3551225000000002</v>
      </c>
      <c r="Z150" s="114">
        <v>6.6471054799999996</v>
      </c>
      <c r="AB150" s="70" t="s">
        <v>21</v>
      </c>
      <c r="AC150" s="70">
        <v>1.0416684445435417E-2</v>
      </c>
      <c r="AD150" s="70">
        <v>2.0347820339106728E-2</v>
      </c>
      <c r="AE150" s="70">
        <v>2.6644125857589757E-2</v>
      </c>
      <c r="AF150" s="62">
        <v>3.0754721113364879E-2</v>
      </c>
      <c r="AG150" s="70" t="s">
        <v>21</v>
      </c>
      <c r="AH150" s="70">
        <v>7.4900165454354177E-3</v>
      </c>
      <c r="AI150" s="70">
        <v>1.6350518839106733E-2</v>
      </c>
      <c r="AJ150" s="70">
        <v>2.1661372857589758E-2</v>
      </c>
      <c r="AK150" s="70">
        <v>2.4505106913364886E-2</v>
      </c>
    </row>
    <row r="151" spans="2:37" x14ac:dyDescent="0.35">
      <c r="B151" s="54" t="s">
        <v>171</v>
      </c>
      <c r="C151" s="52" t="s">
        <v>232</v>
      </c>
      <c r="D151" s="52" t="s">
        <v>20</v>
      </c>
      <c r="E151" s="52" t="s">
        <v>21</v>
      </c>
      <c r="F151" s="72">
        <f t="shared" si="18"/>
        <v>7.5566968165217702E-4</v>
      </c>
      <c r="G151" s="59">
        <f t="shared" si="18"/>
        <v>1.0866946644859057E-2</v>
      </c>
      <c r="H151" s="59">
        <f t="shared" si="18"/>
        <v>1.9535968555643202E-2</v>
      </c>
      <c r="I151" s="59">
        <f t="shared" si="18"/>
        <v>2.4235290883065887E-2</v>
      </c>
      <c r="J151" s="62">
        <f t="shared" si="18"/>
        <v>2.8484829205202573E-2</v>
      </c>
      <c r="K151" s="59" t="str">
        <f t="shared" si="19"/>
        <v/>
      </c>
      <c r="L151" s="59">
        <f t="shared" si="19"/>
        <v>7.9441042448590606E-3</v>
      </c>
      <c r="M151" s="59">
        <f t="shared" si="19"/>
        <v>1.5546523055643203E-2</v>
      </c>
      <c r="N151" s="59">
        <f t="shared" si="19"/>
        <v>1.9301078383065887E-2</v>
      </c>
      <c r="O151" s="62">
        <f t="shared" si="19"/>
        <v>2.2272736105202574E-2</v>
      </c>
      <c r="P151" s="54" t="s">
        <v>480</v>
      </c>
      <c r="Q151" s="52" t="s">
        <v>481</v>
      </c>
      <c r="R151" s="93">
        <v>47644</v>
      </c>
      <c r="S151" s="72">
        <v>1.310918E-2</v>
      </c>
      <c r="T151" s="62">
        <f t="shared" si="20"/>
        <v>6.4267885556432026E-3</v>
      </c>
      <c r="V151" s="113">
        <v>1.1039109499999999</v>
      </c>
      <c r="W151" s="71">
        <v>2.7971903199999999</v>
      </c>
      <c r="X151" s="71">
        <v>4.2255205</v>
      </c>
      <c r="Y151" s="71">
        <v>5.38470768</v>
      </c>
      <c r="Z151" s="114">
        <v>6.7315148899999997</v>
      </c>
      <c r="AB151" s="70">
        <v>7.5566968165217702E-4</v>
      </c>
      <c r="AC151" s="70">
        <v>1.0866946644859057E-2</v>
      </c>
      <c r="AD151" s="70">
        <v>1.9535968555643202E-2</v>
      </c>
      <c r="AE151" s="70">
        <v>2.4235290883065887E-2</v>
      </c>
      <c r="AF151" s="62">
        <v>2.8484829205202573E-2</v>
      </c>
      <c r="AG151" s="70" t="s">
        <v>21</v>
      </c>
      <c r="AH151" s="70">
        <v>7.9441042448590606E-3</v>
      </c>
      <c r="AI151" s="70">
        <v>1.5546523055643203E-2</v>
      </c>
      <c r="AJ151" s="70">
        <v>1.9301078383065887E-2</v>
      </c>
      <c r="AK151" s="70">
        <v>2.2272736105202574E-2</v>
      </c>
    </row>
    <row r="152" spans="2:37" x14ac:dyDescent="0.35">
      <c r="B152" s="54" t="s">
        <v>332</v>
      </c>
      <c r="C152" s="52" t="s">
        <v>232</v>
      </c>
      <c r="D152" s="52" t="s">
        <v>20</v>
      </c>
      <c r="E152" s="52" t="s">
        <v>21</v>
      </c>
      <c r="F152" s="72" t="str">
        <f t="shared" si="18"/>
        <v/>
      </c>
      <c r="G152" s="59">
        <f t="shared" si="18"/>
        <v>8.7874783191492483E-3</v>
      </c>
      <c r="H152" s="59">
        <f t="shared" si="18"/>
        <v>1.8235333320168787E-2</v>
      </c>
      <c r="I152" s="59">
        <f t="shared" si="18"/>
        <v>2.2635043135131268E-2</v>
      </c>
      <c r="J152" s="62">
        <f t="shared" si="18"/>
        <v>2.6717155987054059E-2</v>
      </c>
      <c r="K152" s="59" t="str">
        <f t="shared" si="19"/>
        <v/>
      </c>
      <c r="L152" s="59">
        <f t="shared" si="19"/>
        <v>5.8317355191492472E-3</v>
      </c>
      <c r="M152" s="59">
        <f t="shared" si="19"/>
        <v>1.4251663620168784E-2</v>
      </c>
      <c r="N152" s="59">
        <f t="shared" si="19"/>
        <v>1.7722491235131269E-2</v>
      </c>
      <c r="O152" s="62">
        <f t="shared" si="19"/>
        <v>2.0529894687054059E-2</v>
      </c>
      <c r="P152" s="54" t="s">
        <v>21</v>
      </c>
      <c r="Q152" s="52" t="s">
        <v>21</v>
      </c>
      <c r="R152" s="93" t="s">
        <v>21</v>
      </c>
      <c r="S152" s="72">
        <v>0</v>
      </c>
      <c r="T152" s="62">
        <f t="shared" si="20"/>
        <v>1.8235333320168787E-2</v>
      </c>
      <c r="V152" s="113">
        <v>1.1077313199999999</v>
      </c>
      <c r="W152" s="71">
        <v>2.81373373</v>
      </c>
      <c r="X152" s="71">
        <v>4.2601144</v>
      </c>
      <c r="Y152" s="71">
        <v>5.4396447200000004</v>
      </c>
      <c r="Z152" s="114">
        <v>6.8274578899999998</v>
      </c>
      <c r="AB152" s="70" t="s">
        <v>21</v>
      </c>
      <c r="AC152" s="70">
        <v>8.7874783191492483E-3</v>
      </c>
      <c r="AD152" s="70">
        <v>1.8235333320168787E-2</v>
      </c>
      <c r="AE152" s="70">
        <v>2.2635043135131268E-2</v>
      </c>
      <c r="AF152" s="62">
        <v>2.6717155987054059E-2</v>
      </c>
      <c r="AG152" s="70" t="s">
        <v>21</v>
      </c>
      <c r="AH152" s="70">
        <v>5.8317355191492472E-3</v>
      </c>
      <c r="AI152" s="70">
        <v>1.4251663620168784E-2</v>
      </c>
      <c r="AJ152" s="70">
        <v>1.7722491235131269E-2</v>
      </c>
      <c r="AK152" s="70">
        <v>2.0529894687054059E-2</v>
      </c>
    </row>
    <row r="153" spans="2:37" x14ac:dyDescent="0.35">
      <c r="B153" s="54" t="s">
        <v>118</v>
      </c>
      <c r="C153" s="52" t="s">
        <v>232</v>
      </c>
      <c r="D153" s="52" t="s">
        <v>20</v>
      </c>
      <c r="E153" s="52" t="s">
        <v>123</v>
      </c>
      <c r="F153" s="72" t="str">
        <f t="shared" si="18"/>
        <v/>
      </c>
      <c r="G153" s="59">
        <f t="shared" si="18"/>
        <v>9.4425412878029972E-3</v>
      </c>
      <c r="H153" s="59">
        <f t="shared" si="18"/>
        <v>1.8104297377458851E-2</v>
      </c>
      <c r="I153" s="59">
        <f t="shared" si="18"/>
        <v>2.3642804005599892E-2</v>
      </c>
      <c r="J153" s="62">
        <f t="shared" si="18"/>
        <v>2.7150639169238693E-2</v>
      </c>
      <c r="K153" s="59" t="str">
        <f t="shared" si="19"/>
        <v/>
      </c>
      <c r="L153" s="59">
        <f t="shared" si="19"/>
        <v>6.5008017878029987E-3</v>
      </c>
      <c r="M153" s="59">
        <f t="shared" si="19"/>
        <v>1.4122889277458851E-2</v>
      </c>
      <c r="N153" s="59">
        <f t="shared" si="19"/>
        <v>1.8712800305599891E-2</v>
      </c>
      <c r="O153" s="62">
        <f t="shared" si="19"/>
        <v>2.0960891669238688E-2</v>
      </c>
      <c r="P153" s="54" t="s">
        <v>482</v>
      </c>
      <c r="Q153" s="52" t="s">
        <v>483</v>
      </c>
      <c r="R153" s="93">
        <v>47557</v>
      </c>
      <c r="S153" s="72">
        <v>1.202105E-2</v>
      </c>
      <c r="T153" s="62">
        <f t="shared" si="20"/>
        <v>6.0832473774588506E-3</v>
      </c>
      <c r="V153" s="113">
        <v>1.1069597600000001</v>
      </c>
      <c r="W153" s="71">
        <v>2.80949654</v>
      </c>
      <c r="X153" s="71">
        <v>4.2546253899999993</v>
      </c>
      <c r="Y153" s="71">
        <v>5.4311387399999997</v>
      </c>
      <c r="Z153" s="114">
        <v>6.8073491400000004</v>
      </c>
      <c r="AB153" s="70" t="s">
        <v>21</v>
      </c>
      <c r="AC153" s="70">
        <v>9.4425412878029972E-3</v>
      </c>
      <c r="AD153" s="70">
        <v>1.8104297377458851E-2</v>
      </c>
      <c r="AE153" s="70">
        <v>2.3642804005599892E-2</v>
      </c>
      <c r="AF153" s="62">
        <v>2.7150639169238693E-2</v>
      </c>
      <c r="AG153" s="70" t="s">
        <v>21</v>
      </c>
      <c r="AH153" s="70">
        <v>6.5008017878029987E-3</v>
      </c>
      <c r="AI153" s="70">
        <v>1.4122889277458851E-2</v>
      </c>
      <c r="AJ153" s="70">
        <v>1.8712800305599891E-2</v>
      </c>
      <c r="AK153" s="70">
        <v>2.0960891669238688E-2</v>
      </c>
    </row>
    <row r="154" spans="2:37" x14ac:dyDescent="0.35">
      <c r="B154" s="54" t="s">
        <v>318</v>
      </c>
      <c r="C154" s="52" t="s">
        <v>232</v>
      </c>
      <c r="D154" s="52" t="s">
        <v>20</v>
      </c>
      <c r="E154" s="52" t="s">
        <v>316</v>
      </c>
      <c r="F154" s="72" t="str">
        <f t="shared" si="18"/>
        <v/>
      </c>
      <c r="G154" s="59">
        <f t="shared" si="18"/>
        <v>9.9580157033835777E-3</v>
      </c>
      <c r="H154" s="59">
        <f t="shared" si="18"/>
        <v>1.7882249297430916E-2</v>
      </c>
      <c r="I154" s="59">
        <f t="shared" si="18"/>
        <v>2.2188390145744349E-2</v>
      </c>
      <c r="J154" s="62">
        <f t="shared" si="18"/>
        <v>2.5543966140665234E-2</v>
      </c>
      <c r="K154" s="59" t="str">
        <f t="shared" si="19"/>
        <v/>
      </c>
      <c r="L154" s="59">
        <f t="shared" si="19"/>
        <v>7.0255793033835792E-3</v>
      </c>
      <c r="M154" s="59">
        <f t="shared" si="19"/>
        <v>1.3901608197430915E-2</v>
      </c>
      <c r="N154" s="59">
        <f t="shared" si="19"/>
        <v>1.7277168345744352E-2</v>
      </c>
      <c r="O154" s="62">
        <f t="shared" si="19"/>
        <v>1.9365600240665234E-2</v>
      </c>
      <c r="P154" s="54" t="s">
        <v>21</v>
      </c>
      <c r="Q154" s="52" t="s">
        <v>21</v>
      </c>
      <c r="R154" s="93" t="s">
        <v>21</v>
      </c>
      <c r="S154" s="72">
        <v>0</v>
      </c>
      <c r="T154" s="62">
        <f t="shared" si="20"/>
        <v>1.7882249297430916E-2</v>
      </c>
      <c r="V154" s="113">
        <v>1.1067052100000001</v>
      </c>
      <c r="W154" s="71">
        <v>2.8045286999999997</v>
      </c>
      <c r="X154" s="71">
        <v>4.2510274500000005</v>
      </c>
      <c r="Y154" s="71">
        <v>5.4407684099999996</v>
      </c>
      <c r="Z154" s="114">
        <v>6.8533647000000002</v>
      </c>
      <c r="AB154" s="70" t="s">
        <v>21</v>
      </c>
      <c r="AC154" s="70">
        <v>9.9580157033835777E-3</v>
      </c>
      <c r="AD154" s="70">
        <v>1.7882249297430916E-2</v>
      </c>
      <c r="AE154" s="70">
        <v>2.2188390145744349E-2</v>
      </c>
      <c r="AF154" s="62">
        <v>2.5543966140665234E-2</v>
      </c>
      <c r="AG154" s="70" t="s">
        <v>21</v>
      </c>
      <c r="AH154" s="70">
        <v>7.0255793033835792E-3</v>
      </c>
      <c r="AI154" s="70">
        <v>1.3901608197430915E-2</v>
      </c>
      <c r="AJ154" s="70">
        <v>1.7277168345744352E-2</v>
      </c>
      <c r="AK154" s="70">
        <v>1.9365600240665234E-2</v>
      </c>
    </row>
    <row r="155" spans="2:37" x14ac:dyDescent="0.35">
      <c r="B155" s="54" t="s">
        <v>119</v>
      </c>
      <c r="C155" s="52" t="s">
        <v>232</v>
      </c>
      <c r="D155" s="52" t="s">
        <v>120</v>
      </c>
      <c r="E155" s="52" t="s">
        <v>21</v>
      </c>
      <c r="F155" s="72" t="str">
        <f t="shared" si="18"/>
        <v/>
      </c>
      <c r="G155" s="59">
        <f t="shared" si="18"/>
        <v>8.7560728844459541E-3</v>
      </c>
      <c r="H155" s="59">
        <f t="shared" si="18"/>
        <v>1.7300380978038658E-2</v>
      </c>
      <c r="I155" s="59">
        <f t="shared" si="18"/>
        <v>2.3193044028685682E-2</v>
      </c>
      <c r="J155" s="62">
        <f t="shared" si="18"/>
        <v>2.9060393223445554E-2</v>
      </c>
      <c r="K155" s="59" t="str">
        <f t="shared" si="19"/>
        <v/>
      </c>
      <c r="L155" s="59">
        <f t="shared" si="19"/>
        <v>5.7992606844459553E-3</v>
      </c>
      <c r="M155" s="59">
        <f t="shared" si="19"/>
        <v>1.3319977578038654E-2</v>
      </c>
      <c r="N155" s="59">
        <f t="shared" si="19"/>
        <v>1.827022942868568E-2</v>
      </c>
      <c r="O155" s="62">
        <f t="shared" si="19"/>
        <v>2.2836129823445562E-2</v>
      </c>
      <c r="P155" s="54" t="s">
        <v>21</v>
      </c>
      <c r="Q155" s="52" t="s">
        <v>21</v>
      </c>
      <c r="R155" s="93" t="s">
        <v>21</v>
      </c>
      <c r="S155" s="72">
        <v>0</v>
      </c>
      <c r="T155" s="62">
        <f t="shared" si="20"/>
        <v>1.7300380978038658E-2</v>
      </c>
      <c r="V155" s="113">
        <v>1.10924997</v>
      </c>
      <c r="W155" s="71">
        <v>2.8193150500000002</v>
      </c>
      <c r="X155" s="71">
        <v>4.2746374099999995</v>
      </c>
      <c r="Y155" s="71">
        <v>5.4561575299999996</v>
      </c>
      <c r="Z155" s="114">
        <v>6.7998636599999998</v>
      </c>
      <c r="AB155" s="70" t="s">
        <v>21</v>
      </c>
      <c r="AC155" s="70">
        <v>8.7560728844459541E-3</v>
      </c>
      <c r="AD155" s="70">
        <v>1.7300380978038658E-2</v>
      </c>
      <c r="AE155" s="70">
        <v>2.3193044028685682E-2</v>
      </c>
      <c r="AF155" s="62">
        <v>2.9060393223445554E-2</v>
      </c>
      <c r="AG155" s="70" t="s">
        <v>21</v>
      </c>
      <c r="AH155" s="70">
        <v>5.7992606844459553E-3</v>
      </c>
      <c r="AI155" s="70">
        <v>1.3319977578038654E-2</v>
      </c>
      <c r="AJ155" s="70">
        <v>1.827022942868568E-2</v>
      </c>
      <c r="AK155" s="70">
        <v>2.2836129823445562E-2</v>
      </c>
    </row>
    <row r="156" spans="2:37" x14ac:dyDescent="0.35">
      <c r="B156" s="54" t="s">
        <v>115</v>
      </c>
      <c r="C156" s="52" t="s">
        <v>232</v>
      </c>
      <c r="D156" s="52" t="s">
        <v>31</v>
      </c>
      <c r="E156" s="52" t="s">
        <v>21</v>
      </c>
      <c r="F156" s="72" t="str">
        <f t="shared" si="18"/>
        <v/>
      </c>
      <c r="G156" s="59">
        <f t="shared" si="18"/>
        <v>8.0278329692338307E-3</v>
      </c>
      <c r="H156" s="59">
        <f t="shared" si="18"/>
        <v>1.6984251121929295E-2</v>
      </c>
      <c r="I156" s="59">
        <f t="shared" si="18"/>
        <v>2.2422210301129578E-2</v>
      </c>
      <c r="J156" s="62">
        <f t="shared" si="18"/>
        <v>2.7451719420620219E-2</v>
      </c>
      <c r="K156" s="59" t="str">
        <f t="shared" si="19"/>
        <v/>
      </c>
      <c r="L156" s="59">
        <f t="shared" si="19"/>
        <v>5.05182306923383E-3</v>
      </c>
      <c r="M156" s="59">
        <f t="shared" si="19"/>
        <v>1.3002029621929296E-2</v>
      </c>
      <c r="N156" s="59">
        <f t="shared" si="19"/>
        <v>1.7507091601129579E-2</v>
      </c>
      <c r="O156" s="62">
        <f t="shared" si="19"/>
        <v>2.1252608420620215E-2</v>
      </c>
      <c r="P156" s="54" t="s">
        <v>484</v>
      </c>
      <c r="Q156" s="52" t="s">
        <v>485</v>
      </c>
      <c r="R156" s="93">
        <v>47492</v>
      </c>
      <c r="S156" s="72">
        <v>1.00819E-2</v>
      </c>
      <c r="T156" s="62">
        <f t="shared" si="20"/>
        <v>6.9023511219292958E-3</v>
      </c>
      <c r="V156" s="113">
        <v>1.10824977</v>
      </c>
      <c r="W156" s="71">
        <v>2.8208497499999998</v>
      </c>
      <c r="X156" s="71">
        <v>4.28062115</v>
      </c>
      <c r="Y156" s="71">
        <v>5.4711527799999997</v>
      </c>
      <c r="Z156" s="114">
        <v>6.8465442599999999</v>
      </c>
      <c r="AB156" s="70" t="s">
        <v>21</v>
      </c>
      <c r="AC156" s="70">
        <v>8.0278329692338307E-3</v>
      </c>
      <c r="AD156" s="70">
        <v>1.6984251121929295E-2</v>
      </c>
      <c r="AE156" s="70">
        <v>2.2422210301129578E-2</v>
      </c>
      <c r="AF156" s="62">
        <v>2.7451719420620219E-2</v>
      </c>
      <c r="AG156" s="70" t="s">
        <v>21</v>
      </c>
      <c r="AH156" s="70">
        <v>5.05182306923383E-3</v>
      </c>
      <c r="AI156" s="70">
        <v>1.3002029621929296E-2</v>
      </c>
      <c r="AJ156" s="70">
        <v>1.7507091601129579E-2</v>
      </c>
      <c r="AK156" s="70">
        <v>2.1252608420620215E-2</v>
      </c>
    </row>
    <row r="157" spans="2:37" x14ac:dyDescent="0.35">
      <c r="B157" s="54" t="s">
        <v>319</v>
      </c>
      <c r="C157" s="52" t="s">
        <v>232</v>
      </c>
      <c r="D157" s="52" t="s">
        <v>97</v>
      </c>
      <c r="E157" s="52" t="s">
        <v>36</v>
      </c>
      <c r="F157" s="72" t="str">
        <f t="shared" si="18"/>
        <v/>
      </c>
      <c r="G157" s="59">
        <f t="shared" si="18"/>
        <v>8.3813298759149238E-3</v>
      </c>
      <c r="H157" s="59">
        <f t="shared" si="18"/>
        <v>1.6869670330737288E-2</v>
      </c>
      <c r="I157" s="59">
        <f t="shared" si="18"/>
        <v>2.233714396055584E-2</v>
      </c>
      <c r="J157" s="62">
        <f t="shared" si="18"/>
        <v>2.8151886331834328E-2</v>
      </c>
      <c r="K157" s="59" t="str">
        <f t="shared" si="19"/>
        <v/>
      </c>
      <c r="L157" s="59">
        <f t="shared" si="19"/>
        <v>5.4154050759149227E-3</v>
      </c>
      <c r="M157" s="59">
        <f t="shared" si="19"/>
        <v>1.2887428830737287E-2</v>
      </c>
      <c r="N157" s="59">
        <f t="shared" si="19"/>
        <v>1.7422625860555839E-2</v>
      </c>
      <c r="O157" s="62">
        <f t="shared" si="19"/>
        <v>2.1939533631834325E-2</v>
      </c>
      <c r="P157" s="54" t="s">
        <v>21</v>
      </c>
      <c r="Q157" s="52" t="s">
        <v>21</v>
      </c>
      <c r="R157" s="93" t="s">
        <v>21</v>
      </c>
      <c r="S157" s="72">
        <v>0</v>
      </c>
      <c r="T157" s="62">
        <f t="shared" si="20"/>
        <v>1.6869670330737288E-2</v>
      </c>
      <c r="V157" s="113">
        <v>1.1084238399999999</v>
      </c>
      <c r="W157" s="71">
        <v>2.81888132</v>
      </c>
      <c r="X157" s="71">
        <v>4.2793475399999998</v>
      </c>
      <c r="Y157" s="71">
        <v>5.4723818499999997</v>
      </c>
      <c r="Z157" s="114">
        <v>6.8380536100000002</v>
      </c>
      <c r="AB157" s="70" t="s">
        <v>21</v>
      </c>
      <c r="AC157" s="70">
        <v>8.3813298759149238E-3</v>
      </c>
      <c r="AD157" s="70">
        <v>1.6869670330737288E-2</v>
      </c>
      <c r="AE157" s="70">
        <v>2.233714396055584E-2</v>
      </c>
      <c r="AF157" s="62">
        <v>2.8151886331834328E-2</v>
      </c>
      <c r="AG157" s="70" t="s">
        <v>21</v>
      </c>
      <c r="AH157" s="70">
        <v>5.4154050759149227E-3</v>
      </c>
      <c r="AI157" s="70">
        <v>1.2887428830737287E-2</v>
      </c>
      <c r="AJ157" s="70">
        <v>1.7422625860555839E-2</v>
      </c>
      <c r="AK157" s="70">
        <v>2.1939533631834325E-2</v>
      </c>
    </row>
    <row r="158" spans="2:37" x14ac:dyDescent="0.35">
      <c r="B158" s="54" t="s">
        <v>134</v>
      </c>
      <c r="C158" s="52" t="s">
        <v>232</v>
      </c>
      <c r="D158" s="52" t="s">
        <v>43</v>
      </c>
      <c r="E158" s="52" t="s">
        <v>486</v>
      </c>
      <c r="F158" s="72" t="str">
        <f t="shared" si="18"/>
        <v/>
      </c>
      <c r="G158" s="59">
        <f t="shared" si="18"/>
        <v>8.021692261723036E-3</v>
      </c>
      <c r="H158" s="59">
        <f t="shared" si="18"/>
        <v>1.6448671824981338E-2</v>
      </c>
      <c r="I158" s="59">
        <f t="shared" si="18"/>
        <v>2.1713614190017369E-2</v>
      </c>
      <c r="J158" s="62">
        <f t="shared" si="18"/>
        <v>2.7140134549014074E-2</v>
      </c>
      <c r="K158" s="59" t="str">
        <f t="shared" si="19"/>
        <v/>
      </c>
      <c r="L158" s="59">
        <f t="shared" si="19"/>
        <v>5.046059461723036E-3</v>
      </c>
      <c r="M158" s="59">
        <f t="shared" si="19"/>
        <v>1.2465369424981339E-2</v>
      </c>
      <c r="N158" s="59">
        <f t="shared" si="19"/>
        <v>1.6804566390017369E-2</v>
      </c>
      <c r="O158" s="62">
        <f t="shared" si="19"/>
        <v>2.0942112349014066E-2</v>
      </c>
      <c r="P158" s="54" t="s">
        <v>487</v>
      </c>
      <c r="Q158" s="52" t="s">
        <v>488</v>
      </c>
      <c r="R158" s="93" t="s">
        <v>32</v>
      </c>
      <c r="S158" s="72">
        <v>1.2180999999999999E-2</v>
      </c>
      <c r="T158" s="62">
        <f t="shared" si="20"/>
        <v>4.2676718249813391E-3</v>
      </c>
      <c r="V158" s="113">
        <v>1.10848539</v>
      </c>
      <c r="W158" s="71">
        <v>2.8218517599999999</v>
      </c>
      <c r="X158" s="71">
        <v>4.2868592900000007</v>
      </c>
      <c r="Y158" s="71">
        <v>5.4875965399999993</v>
      </c>
      <c r="Z158" s="114">
        <v>6.8731480499999993</v>
      </c>
      <c r="AB158" s="70" t="s">
        <v>21</v>
      </c>
      <c r="AC158" s="70">
        <v>8.021692261723036E-3</v>
      </c>
      <c r="AD158" s="70">
        <v>1.6448671824981338E-2</v>
      </c>
      <c r="AE158" s="70">
        <v>2.1713614190017369E-2</v>
      </c>
      <c r="AF158" s="62">
        <v>2.7140134549014074E-2</v>
      </c>
      <c r="AG158" s="70" t="s">
        <v>21</v>
      </c>
      <c r="AH158" s="70">
        <v>5.046059461723036E-3</v>
      </c>
      <c r="AI158" s="70">
        <v>1.2465369424981339E-2</v>
      </c>
      <c r="AJ158" s="70">
        <v>1.6804566390017369E-2</v>
      </c>
      <c r="AK158" s="70">
        <v>2.0942112349014066E-2</v>
      </c>
    </row>
    <row r="159" spans="2:37" x14ac:dyDescent="0.35">
      <c r="B159" s="54" t="s">
        <v>326</v>
      </c>
      <c r="C159" s="52" t="s">
        <v>232</v>
      </c>
      <c r="D159" s="52" t="s">
        <v>255</v>
      </c>
      <c r="E159" s="52" t="s">
        <v>21</v>
      </c>
      <c r="F159" s="72" t="str">
        <f t="shared" si="18"/>
        <v/>
      </c>
      <c r="G159" s="59">
        <f t="shared" si="18"/>
        <v>8.5389264347110489E-3</v>
      </c>
      <c r="H159" s="59">
        <f t="shared" si="18"/>
        <v>1.6370876127198123E-2</v>
      </c>
      <c r="I159" s="59">
        <f t="shared" si="18"/>
        <v>2.0296499446632515E-2</v>
      </c>
      <c r="J159" s="62">
        <f t="shared" si="18"/>
        <v>2.4070567151720859E-2</v>
      </c>
      <c r="K159" s="59" t="str">
        <f t="shared" si="19"/>
        <v/>
      </c>
      <c r="L159" s="59">
        <f t="shared" si="19"/>
        <v>5.5774064347110502E-3</v>
      </c>
      <c r="M159" s="59">
        <f t="shared" si="19"/>
        <v>1.2385985727198123E-2</v>
      </c>
      <c r="N159" s="59">
        <f t="shared" si="19"/>
        <v>1.5393039946632513E-2</v>
      </c>
      <c r="O159" s="62">
        <f t="shared" si="19"/>
        <v>1.7892171351720856E-2</v>
      </c>
      <c r="P159" s="54" t="s">
        <v>21</v>
      </c>
      <c r="Q159" s="52" t="s">
        <v>21</v>
      </c>
      <c r="R159" s="93" t="s">
        <v>21</v>
      </c>
      <c r="S159" s="72">
        <v>0</v>
      </c>
      <c r="T159" s="62">
        <f t="shared" si="20"/>
        <v>1.6370876127198123E-2</v>
      </c>
      <c r="V159" s="113">
        <v>1.10672098</v>
      </c>
      <c r="W159" s="71">
        <v>2.8146317000000001</v>
      </c>
      <c r="X159" s="71">
        <v>4.2791647800000003</v>
      </c>
      <c r="Y159" s="71">
        <v>5.4977402799999995</v>
      </c>
      <c r="Z159" s="114">
        <v>6.9517268500000009</v>
      </c>
      <c r="AB159" s="70" t="s">
        <v>21</v>
      </c>
      <c r="AC159" s="70">
        <v>8.5389264347110489E-3</v>
      </c>
      <c r="AD159" s="70">
        <v>1.6370876127198123E-2</v>
      </c>
      <c r="AE159" s="70">
        <v>2.0296499446632515E-2</v>
      </c>
      <c r="AF159" s="62">
        <v>2.4070567151720859E-2</v>
      </c>
      <c r="AG159" s="70" t="s">
        <v>21</v>
      </c>
      <c r="AH159" s="70">
        <v>5.5774064347110502E-3</v>
      </c>
      <c r="AI159" s="70">
        <v>1.2385985727198123E-2</v>
      </c>
      <c r="AJ159" s="70">
        <v>1.5393039946632513E-2</v>
      </c>
      <c r="AK159" s="70">
        <v>1.7892171351720856E-2</v>
      </c>
    </row>
    <row r="160" spans="2:37" x14ac:dyDescent="0.35">
      <c r="B160" s="54" t="s">
        <v>333</v>
      </c>
      <c r="C160" s="52" t="s">
        <v>232</v>
      </c>
      <c r="D160" s="52" t="s">
        <v>20</v>
      </c>
      <c r="E160" s="52" t="s">
        <v>21</v>
      </c>
      <c r="F160" s="72" t="str">
        <f t="shared" si="18"/>
        <v/>
      </c>
      <c r="G160" s="59">
        <f t="shared" si="18"/>
        <v>8.6058759488254824E-3</v>
      </c>
      <c r="H160" s="59">
        <f t="shared" si="18"/>
        <v>1.6883090917720951E-2</v>
      </c>
      <c r="I160" s="59">
        <f t="shared" si="18"/>
        <v>2.0643592747830595E-2</v>
      </c>
      <c r="J160" s="62">
        <f t="shared" si="18"/>
        <v>2.4065786393956075E-2</v>
      </c>
      <c r="K160" s="59" t="str">
        <f t="shared" si="19"/>
        <v/>
      </c>
      <c r="L160" s="59">
        <f t="shared" si="19"/>
        <v>5.6463575488254827E-3</v>
      </c>
      <c r="M160" s="59">
        <f t="shared" si="19"/>
        <v>1.2901286617720952E-2</v>
      </c>
      <c r="N160" s="59">
        <f t="shared" si="19"/>
        <v>1.5743320747830594E-2</v>
      </c>
      <c r="O160" s="62">
        <f t="shared" si="19"/>
        <v>1.7893897793956077E-2</v>
      </c>
      <c r="P160" s="54" t="s">
        <v>21</v>
      </c>
      <c r="Q160" s="52" t="s">
        <v>21</v>
      </c>
      <c r="R160" s="93" t="s">
        <v>21</v>
      </c>
      <c r="S160" s="72">
        <v>0</v>
      </c>
      <c r="T160" s="62">
        <f t="shared" si="20"/>
        <v>1.6883090917720951E-2</v>
      </c>
      <c r="V160" s="113">
        <v>1.1076880600000001</v>
      </c>
      <c r="W160" s="71">
        <v>2.8172194800000003</v>
      </c>
      <c r="X160" s="71">
        <v>4.2775165400000006</v>
      </c>
      <c r="Y160" s="71">
        <v>5.4883118099999999</v>
      </c>
      <c r="Z160" s="114">
        <v>6.9377571200000006</v>
      </c>
      <c r="AB160" s="70" t="s">
        <v>21</v>
      </c>
      <c r="AC160" s="70">
        <v>8.6058759488254824E-3</v>
      </c>
      <c r="AD160" s="70">
        <v>1.6883090917720951E-2</v>
      </c>
      <c r="AE160" s="70">
        <v>2.0643592747830595E-2</v>
      </c>
      <c r="AF160" s="62">
        <v>2.4065786393956075E-2</v>
      </c>
      <c r="AG160" s="70" t="s">
        <v>21</v>
      </c>
      <c r="AH160" s="70">
        <v>5.6463575488254827E-3</v>
      </c>
      <c r="AI160" s="70">
        <v>1.2901286617720952E-2</v>
      </c>
      <c r="AJ160" s="70">
        <v>1.5743320747830594E-2</v>
      </c>
      <c r="AK160" s="70">
        <v>1.7893897793956077E-2</v>
      </c>
    </row>
    <row r="161" spans="2:37" x14ac:dyDescent="0.35">
      <c r="B161" s="54" t="s">
        <v>126</v>
      </c>
      <c r="C161" s="52" t="s">
        <v>232</v>
      </c>
      <c r="D161" s="52" t="s">
        <v>69</v>
      </c>
      <c r="E161" s="52" t="s">
        <v>133</v>
      </c>
      <c r="F161" s="72" t="str">
        <f t="shared" si="18"/>
        <v/>
      </c>
      <c r="G161" s="59">
        <f t="shared" si="18"/>
        <v>7.9698490371086905E-3</v>
      </c>
      <c r="H161" s="59">
        <f t="shared" si="18"/>
        <v>1.6051914750475117E-2</v>
      </c>
      <c r="I161" s="59">
        <f t="shared" si="18"/>
        <v>2.1317940846719001E-2</v>
      </c>
      <c r="J161" s="62">
        <f t="shared" si="18"/>
        <v>2.6933596791800039E-2</v>
      </c>
      <c r="K161" s="59" t="str">
        <f t="shared" si="19"/>
        <v/>
      </c>
      <c r="L161" s="59">
        <f t="shared" si="19"/>
        <v>4.9906990371086906E-3</v>
      </c>
      <c r="M161" s="59">
        <f t="shared" si="19"/>
        <v>1.2065986950475116E-2</v>
      </c>
      <c r="N161" s="59">
        <f t="shared" si="19"/>
        <v>1.6411562846719002E-2</v>
      </c>
      <c r="O161" s="62">
        <f t="shared" si="19"/>
        <v>2.0738034591800038E-2</v>
      </c>
      <c r="P161" s="54" t="s">
        <v>489</v>
      </c>
      <c r="Q161" s="52" t="s">
        <v>490</v>
      </c>
      <c r="R161" s="93">
        <v>47484</v>
      </c>
      <c r="S161" s="72">
        <v>1.071367E-2</v>
      </c>
      <c r="T161" s="62">
        <f t="shared" si="20"/>
        <v>5.3382447504751167E-3</v>
      </c>
      <c r="V161" s="113">
        <v>1.1100144199999999</v>
      </c>
      <c r="W161" s="71">
        <v>2.8270481800000002</v>
      </c>
      <c r="X161" s="71">
        <v>4.2964674499999997</v>
      </c>
      <c r="Y161" s="71">
        <v>5.5040801500000001</v>
      </c>
      <c r="Z161" s="114">
        <v>6.8981273700000001</v>
      </c>
      <c r="AB161" s="70" t="s">
        <v>21</v>
      </c>
      <c r="AC161" s="70">
        <v>7.9698490371086905E-3</v>
      </c>
      <c r="AD161" s="70">
        <v>1.6051914750475117E-2</v>
      </c>
      <c r="AE161" s="70">
        <v>2.1317940846719001E-2</v>
      </c>
      <c r="AF161" s="62">
        <v>2.6933596791800039E-2</v>
      </c>
      <c r="AG161" s="70" t="s">
        <v>21</v>
      </c>
      <c r="AH161" s="70">
        <v>4.9906990371086906E-3</v>
      </c>
      <c r="AI161" s="70">
        <v>1.2065986950475116E-2</v>
      </c>
      <c r="AJ161" s="70">
        <v>1.6411562846719002E-2</v>
      </c>
      <c r="AK161" s="70">
        <v>2.0738034591800038E-2</v>
      </c>
    </row>
    <row r="162" spans="2:37" x14ac:dyDescent="0.35">
      <c r="B162" s="54" t="s">
        <v>132</v>
      </c>
      <c r="C162" s="52" t="s">
        <v>232</v>
      </c>
      <c r="D162" s="52" t="s">
        <v>20</v>
      </c>
      <c r="E162" s="52" t="s">
        <v>135</v>
      </c>
      <c r="F162" s="72" t="str">
        <f t="shared" si="18"/>
        <v/>
      </c>
      <c r="G162" s="59">
        <f t="shared" si="18"/>
        <v>8.6090433352542135E-3</v>
      </c>
      <c r="H162" s="59">
        <f t="shared" si="18"/>
        <v>1.6385061456688901E-2</v>
      </c>
      <c r="I162" s="59">
        <f t="shared" si="18"/>
        <v>1.9788462693974145E-2</v>
      </c>
      <c r="J162" s="62">
        <f t="shared" si="18"/>
        <v>2.3663105772455097E-2</v>
      </c>
      <c r="K162" s="59" t="str">
        <f t="shared" si="19"/>
        <v/>
      </c>
      <c r="L162" s="59">
        <f t="shared" si="19"/>
        <v>5.648508535254216E-3</v>
      </c>
      <c r="M162" s="59">
        <f t="shared" si="19"/>
        <v>1.2400961856688904E-2</v>
      </c>
      <c r="N162" s="59">
        <f t="shared" si="19"/>
        <v>1.4890241293974146E-2</v>
      </c>
      <c r="O162" s="62">
        <f t="shared" si="19"/>
        <v>1.7486910072455099E-2</v>
      </c>
      <c r="P162" s="54" t="s">
        <v>491</v>
      </c>
      <c r="Q162" s="52" t="s">
        <v>492</v>
      </c>
      <c r="R162" s="93">
        <v>47567</v>
      </c>
      <c r="S162" s="72">
        <v>1.163088E-2</v>
      </c>
      <c r="T162" s="62">
        <f t="shared" si="20"/>
        <v>4.7541814566889017E-3</v>
      </c>
      <c r="V162" s="113">
        <v>1.1086119999999999</v>
      </c>
      <c r="W162" s="71">
        <v>2.8183314800000003</v>
      </c>
      <c r="X162" s="71">
        <v>4.2824359400000001</v>
      </c>
      <c r="Y162" s="71">
        <v>5.5014666999999999</v>
      </c>
      <c r="Z162" s="114">
        <v>6.9642965200000004</v>
      </c>
      <c r="AB162" s="70" t="s">
        <v>21</v>
      </c>
      <c r="AC162" s="70">
        <v>8.6090433352542135E-3</v>
      </c>
      <c r="AD162" s="70">
        <v>1.6385061456688901E-2</v>
      </c>
      <c r="AE162" s="70">
        <v>1.9788462693974145E-2</v>
      </c>
      <c r="AF162" s="62">
        <v>2.3663105772455097E-2</v>
      </c>
      <c r="AG162" s="70" t="s">
        <v>21</v>
      </c>
      <c r="AH162" s="70">
        <v>5.648508535254216E-3</v>
      </c>
      <c r="AI162" s="70">
        <v>1.2400961856688904E-2</v>
      </c>
      <c r="AJ162" s="70">
        <v>1.4890241293974146E-2</v>
      </c>
      <c r="AK162" s="70">
        <v>1.7486910072455099E-2</v>
      </c>
    </row>
    <row r="163" spans="2:37" x14ac:dyDescent="0.35">
      <c r="B163" s="54" t="s">
        <v>127</v>
      </c>
      <c r="C163" s="52" t="s">
        <v>232</v>
      </c>
      <c r="D163" s="52" t="s">
        <v>62</v>
      </c>
      <c r="E163" s="52" t="s">
        <v>493</v>
      </c>
      <c r="F163" s="72" t="str">
        <f t="shared" si="18"/>
        <v/>
      </c>
      <c r="G163" s="59">
        <f t="shared" si="18"/>
        <v>7.7818487187358114E-3</v>
      </c>
      <c r="H163" s="59">
        <f t="shared" si="18"/>
        <v>1.5799213061619063E-2</v>
      </c>
      <c r="I163" s="59">
        <f t="shared" si="18"/>
        <v>2.0754850201709613E-2</v>
      </c>
      <c r="J163" s="62">
        <f t="shared" si="18"/>
        <v>2.5710898111616844E-2</v>
      </c>
      <c r="K163" s="59" t="str">
        <f t="shared" si="19"/>
        <v/>
      </c>
      <c r="L163" s="59">
        <f t="shared" si="19"/>
        <v>4.7974545187358143E-3</v>
      </c>
      <c r="M163" s="59">
        <f t="shared" si="19"/>
        <v>1.1810642161619065E-2</v>
      </c>
      <c r="N163" s="59">
        <f t="shared" si="19"/>
        <v>1.5850090501709612E-2</v>
      </c>
      <c r="O163" s="62">
        <f t="shared" si="19"/>
        <v>1.9526413811616839E-2</v>
      </c>
      <c r="P163" s="54" t="s">
        <v>494</v>
      </c>
      <c r="Q163" s="52" t="s">
        <v>495</v>
      </c>
      <c r="R163" s="93">
        <v>47635</v>
      </c>
      <c r="S163" s="72">
        <v>1.138671E-2</v>
      </c>
      <c r="T163" s="62">
        <f t="shared" si="20"/>
        <v>4.4125030616190639E-3</v>
      </c>
      <c r="V163" s="113">
        <v>1.1086329400000001</v>
      </c>
      <c r="W163" s="71">
        <v>2.8247916200000001</v>
      </c>
      <c r="X163" s="71">
        <v>4.2970576400000002</v>
      </c>
      <c r="Y163" s="71">
        <v>5.5122304499999997</v>
      </c>
      <c r="Z163" s="114">
        <v>6.9327691400000004</v>
      </c>
      <c r="AB163" s="70" t="s">
        <v>21</v>
      </c>
      <c r="AC163" s="70">
        <v>7.7818487187358114E-3</v>
      </c>
      <c r="AD163" s="70">
        <v>1.5799213061619063E-2</v>
      </c>
      <c r="AE163" s="70">
        <v>2.0754850201709613E-2</v>
      </c>
      <c r="AF163" s="62">
        <v>2.5710898111616844E-2</v>
      </c>
      <c r="AG163" s="70" t="s">
        <v>21</v>
      </c>
      <c r="AH163" s="70">
        <v>4.7974545187358143E-3</v>
      </c>
      <c r="AI163" s="70">
        <v>1.1810642161619065E-2</v>
      </c>
      <c r="AJ163" s="70">
        <v>1.5850090501709612E-2</v>
      </c>
      <c r="AK163" s="70">
        <v>1.9526413811616839E-2</v>
      </c>
    </row>
    <row r="164" spans="2:37" x14ac:dyDescent="0.35">
      <c r="B164" s="54" t="s">
        <v>330</v>
      </c>
      <c r="C164" s="52" t="s">
        <v>232</v>
      </c>
      <c r="D164" s="52" t="s">
        <v>97</v>
      </c>
      <c r="E164" s="52" t="s">
        <v>21</v>
      </c>
      <c r="F164" s="72" t="str">
        <f t="shared" si="18"/>
        <v/>
      </c>
      <c r="G164" s="59">
        <f t="shared" si="18"/>
        <v>7.8833422677366937E-3</v>
      </c>
      <c r="H164" s="59">
        <f t="shared" si="18"/>
        <v>1.5712763785605832E-2</v>
      </c>
      <c r="I164" s="59">
        <f t="shared" si="18"/>
        <v>1.9746819043887927E-2</v>
      </c>
      <c r="J164" s="62">
        <f t="shared" si="18"/>
        <v>2.2842269657456126E-2</v>
      </c>
      <c r="K164" s="59" t="str">
        <f t="shared" si="19"/>
        <v/>
      </c>
      <c r="L164" s="59">
        <f t="shared" si="19"/>
        <v>4.9021911677366945E-3</v>
      </c>
      <c r="M164" s="59">
        <f t="shared" si="19"/>
        <v>1.1722390285605832E-2</v>
      </c>
      <c r="N164" s="59">
        <f t="shared" si="19"/>
        <v>1.4842738343887928E-2</v>
      </c>
      <c r="O164" s="62">
        <f t="shared" si="19"/>
        <v>1.6665967257456126E-2</v>
      </c>
      <c r="P164" s="54" t="s">
        <v>381</v>
      </c>
      <c r="Q164" s="52" t="s">
        <v>382</v>
      </c>
      <c r="R164" s="93">
        <v>47497</v>
      </c>
      <c r="S164" s="72">
        <v>1.0898330000000001E-2</v>
      </c>
      <c r="T164" s="62">
        <f t="shared" si="20"/>
        <v>4.8144337856058303E-3</v>
      </c>
      <c r="V164" s="113">
        <v>1.1072776600000001</v>
      </c>
      <c r="W164" s="71">
        <v>2.8208808699999999</v>
      </c>
      <c r="X164" s="71">
        <v>4.2935138899999998</v>
      </c>
      <c r="Y164" s="71">
        <v>5.5206282500000006</v>
      </c>
      <c r="Z164" s="114">
        <v>7.0009836100000005</v>
      </c>
      <c r="AB164" s="70" t="s">
        <v>21</v>
      </c>
      <c r="AC164" s="70">
        <v>7.8833422677366937E-3</v>
      </c>
      <c r="AD164" s="70">
        <v>1.5712763785605832E-2</v>
      </c>
      <c r="AE164" s="70">
        <v>1.9746819043887927E-2</v>
      </c>
      <c r="AF164" s="62">
        <v>2.2842269657456126E-2</v>
      </c>
      <c r="AG164" s="70" t="s">
        <v>21</v>
      </c>
      <c r="AH164" s="70">
        <v>4.9021911677366945E-3</v>
      </c>
      <c r="AI164" s="70">
        <v>1.1722390285605832E-2</v>
      </c>
      <c r="AJ164" s="70">
        <v>1.4842738343887928E-2</v>
      </c>
      <c r="AK164" s="70">
        <v>1.6665967257456126E-2</v>
      </c>
    </row>
    <row r="165" spans="2:37" x14ac:dyDescent="0.35">
      <c r="B165" s="54" t="s">
        <v>121</v>
      </c>
      <c r="C165" s="52" t="s">
        <v>232</v>
      </c>
      <c r="D165" s="52" t="s">
        <v>69</v>
      </c>
      <c r="E165" s="52" t="s">
        <v>21</v>
      </c>
      <c r="F165" s="72" t="str">
        <f t="shared" si="18"/>
        <v/>
      </c>
      <c r="G165" s="59">
        <f t="shared" si="18"/>
        <v>7.3280773424542218E-3</v>
      </c>
      <c r="H165" s="59">
        <f t="shared" si="18"/>
        <v>1.5580493436492874E-2</v>
      </c>
      <c r="I165" s="59">
        <f t="shared" si="18"/>
        <v>2.1678899518340337E-2</v>
      </c>
      <c r="J165" s="62">
        <f t="shared" si="18"/>
        <v>2.6045743952587089E-2</v>
      </c>
      <c r="K165" s="59" t="str">
        <f t="shared" si="19"/>
        <v/>
      </c>
      <c r="L165" s="59">
        <f t="shared" si="19"/>
        <v>4.3267734424542199E-3</v>
      </c>
      <c r="M165" s="59">
        <f t="shared" si="19"/>
        <v>1.1588426536492873E-2</v>
      </c>
      <c r="N165" s="59">
        <f t="shared" si="19"/>
        <v>1.6766815318340338E-2</v>
      </c>
      <c r="O165" s="62">
        <f t="shared" si="19"/>
        <v>1.9864514552587094E-2</v>
      </c>
      <c r="P165" s="54" t="s">
        <v>21</v>
      </c>
      <c r="Q165" s="52" t="s">
        <v>21</v>
      </c>
      <c r="R165" s="93" t="s">
        <v>21</v>
      </c>
      <c r="S165" s="72">
        <v>0</v>
      </c>
      <c r="T165" s="62">
        <f t="shared" si="20"/>
        <v>1.5580493436492874E-2</v>
      </c>
      <c r="V165" s="113">
        <v>1.1095402399999998</v>
      </c>
      <c r="W165" s="71">
        <v>2.8275874999999999</v>
      </c>
      <c r="X165" s="71">
        <v>4.3032196200000001</v>
      </c>
      <c r="Y165" s="71">
        <v>5.5078185299999998</v>
      </c>
      <c r="Z165" s="114">
        <v>6.9151218200000004</v>
      </c>
      <c r="AB165" s="70" t="s">
        <v>21</v>
      </c>
      <c r="AC165" s="70">
        <v>7.3280773424542218E-3</v>
      </c>
      <c r="AD165" s="70">
        <v>1.5580493436492874E-2</v>
      </c>
      <c r="AE165" s="70">
        <v>2.1678899518340337E-2</v>
      </c>
      <c r="AF165" s="62">
        <v>2.6045743952587089E-2</v>
      </c>
      <c r="AG165" s="70" t="s">
        <v>21</v>
      </c>
      <c r="AH165" s="70">
        <v>4.3267734424542199E-3</v>
      </c>
      <c r="AI165" s="70">
        <v>1.1588426536492873E-2</v>
      </c>
      <c r="AJ165" s="70">
        <v>1.6766815318340338E-2</v>
      </c>
      <c r="AK165" s="70">
        <v>1.9864514552587094E-2</v>
      </c>
    </row>
    <row r="166" spans="2:37" x14ac:dyDescent="0.35">
      <c r="B166" s="54" t="s">
        <v>328</v>
      </c>
      <c r="C166" s="52" t="s">
        <v>232</v>
      </c>
      <c r="D166" s="52" t="s">
        <v>31</v>
      </c>
      <c r="E166" s="52" t="s">
        <v>133</v>
      </c>
      <c r="F166" s="72" t="str">
        <f t="shared" si="18"/>
        <v/>
      </c>
      <c r="G166" s="59">
        <f t="shared" si="18"/>
        <v>8.0025783616014604E-3</v>
      </c>
      <c r="H166" s="59">
        <f t="shared" si="18"/>
        <v>1.5420054462214002E-2</v>
      </c>
      <c r="I166" s="59">
        <f t="shared" si="18"/>
        <v>1.985966344709977E-2</v>
      </c>
      <c r="J166" s="62">
        <f t="shared" si="18"/>
        <v>2.4110684790708083E-2</v>
      </c>
      <c r="K166" s="59" t="str">
        <f t="shared" si="19"/>
        <v/>
      </c>
      <c r="L166" s="59">
        <f t="shared" si="19"/>
        <v>5.0252285616014603E-3</v>
      </c>
      <c r="M166" s="59">
        <f t="shared" si="19"/>
        <v>1.1427451762214004E-2</v>
      </c>
      <c r="N166" s="59">
        <f t="shared" si="19"/>
        <v>1.4954737847099768E-2</v>
      </c>
      <c r="O166" s="62">
        <f t="shared" si="19"/>
        <v>1.7931265090708085E-2</v>
      </c>
      <c r="P166" s="54" t="s">
        <v>21</v>
      </c>
      <c r="Q166" s="52" t="s">
        <v>21</v>
      </c>
      <c r="R166" s="93" t="s">
        <v>21</v>
      </c>
      <c r="S166" s="72">
        <v>0</v>
      </c>
      <c r="T166" s="62">
        <f t="shared" si="20"/>
        <v>1.5420054462214002E-2</v>
      </c>
      <c r="V166" s="113">
        <v>1.1087726900000001</v>
      </c>
      <c r="W166" s="71">
        <v>2.8218308000000003</v>
      </c>
      <c r="X166" s="71">
        <v>4.2970313999999998</v>
      </c>
      <c r="Y166" s="71">
        <v>5.5237421100000006</v>
      </c>
      <c r="Z166" s="114">
        <v>6.9789534199999999</v>
      </c>
      <c r="AB166" s="70" t="s">
        <v>21</v>
      </c>
      <c r="AC166" s="70">
        <v>8.0025783616014604E-3</v>
      </c>
      <c r="AD166" s="70">
        <v>1.5420054462214002E-2</v>
      </c>
      <c r="AE166" s="70">
        <v>1.985966344709977E-2</v>
      </c>
      <c r="AF166" s="62">
        <v>2.4110684790708083E-2</v>
      </c>
      <c r="AG166" s="70" t="s">
        <v>21</v>
      </c>
      <c r="AH166" s="70">
        <v>5.0252285616014603E-3</v>
      </c>
      <c r="AI166" s="70">
        <v>1.1427451762214004E-2</v>
      </c>
      <c r="AJ166" s="70">
        <v>1.4954737847099768E-2</v>
      </c>
      <c r="AK166" s="70">
        <v>1.7931265090708085E-2</v>
      </c>
    </row>
    <row r="167" spans="2:37" x14ac:dyDescent="0.35">
      <c r="B167" s="54" t="s">
        <v>331</v>
      </c>
      <c r="C167" s="52" t="s">
        <v>232</v>
      </c>
      <c r="D167" s="52" t="s">
        <v>20</v>
      </c>
      <c r="E167" s="52" t="s">
        <v>236</v>
      </c>
      <c r="F167" s="72" t="str">
        <f t="shared" si="18"/>
        <v/>
      </c>
      <c r="G167" s="59">
        <f t="shared" si="18"/>
        <v>7.8226771266670745E-3</v>
      </c>
      <c r="H167" s="59">
        <f t="shared" si="18"/>
        <v>1.5771522758191159E-2</v>
      </c>
      <c r="I167" s="59">
        <f t="shared" si="18"/>
        <v>2.0147834668790002E-2</v>
      </c>
      <c r="J167" s="62">
        <f t="shared" si="18"/>
        <v>2.352867966946575E-2</v>
      </c>
      <c r="K167" s="59" t="str">
        <f t="shared" si="19"/>
        <v/>
      </c>
      <c r="L167" s="59">
        <f t="shared" si="19"/>
        <v>4.8390927266670752E-3</v>
      </c>
      <c r="M167" s="59">
        <f t="shared" si="19"/>
        <v>1.1781972258191156E-2</v>
      </c>
      <c r="N167" s="59">
        <f t="shared" si="19"/>
        <v>1.5245074768790001E-2</v>
      </c>
      <c r="O167" s="62">
        <f t="shared" si="19"/>
        <v>1.7356975269465749E-2</v>
      </c>
      <c r="P167" s="54" t="s">
        <v>21</v>
      </c>
      <c r="Q167" s="52" t="s">
        <v>21</v>
      </c>
      <c r="R167" s="93" t="s">
        <v>21</v>
      </c>
      <c r="S167" s="72">
        <v>0</v>
      </c>
      <c r="T167" s="62">
        <f t="shared" si="20"/>
        <v>1.5771522758191159E-2</v>
      </c>
      <c r="V167" s="113">
        <v>1.10900387</v>
      </c>
      <c r="W167" s="71">
        <v>2.8240329399999999</v>
      </c>
      <c r="X167" s="71">
        <v>4.29633456</v>
      </c>
      <c r="Y167" s="71">
        <v>5.516521</v>
      </c>
      <c r="Z167" s="114">
        <v>6.978445279999999</v>
      </c>
      <c r="AB167" s="70" t="s">
        <v>21</v>
      </c>
      <c r="AC167" s="70">
        <v>7.8226771266670745E-3</v>
      </c>
      <c r="AD167" s="70">
        <v>1.5771522758191159E-2</v>
      </c>
      <c r="AE167" s="70">
        <v>2.0147834668790002E-2</v>
      </c>
      <c r="AF167" s="62">
        <v>2.352867966946575E-2</v>
      </c>
      <c r="AG167" s="70" t="s">
        <v>21</v>
      </c>
      <c r="AH167" s="70">
        <v>4.8390927266670752E-3</v>
      </c>
      <c r="AI167" s="70">
        <v>1.1781972258191156E-2</v>
      </c>
      <c r="AJ167" s="70">
        <v>1.5245074768790001E-2</v>
      </c>
      <c r="AK167" s="70">
        <v>1.7356975269465749E-2</v>
      </c>
    </row>
    <row r="168" spans="2:37" x14ac:dyDescent="0.35">
      <c r="B168" s="54" t="s">
        <v>331</v>
      </c>
      <c r="C168" s="52" t="s">
        <v>232</v>
      </c>
      <c r="D168" s="52" t="s">
        <v>20</v>
      </c>
      <c r="E168" s="52" t="s">
        <v>21</v>
      </c>
      <c r="F168" s="72" t="str">
        <f t="shared" si="18"/>
        <v/>
      </c>
      <c r="G168" s="59">
        <f t="shared" si="18"/>
        <v>7.8226771266670745E-3</v>
      </c>
      <c r="H168" s="59">
        <f t="shared" si="18"/>
        <v>1.5771522758191159E-2</v>
      </c>
      <c r="I168" s="59">
        <f t="shared" si="18"/>
        <v>2.0147834668790002E-2</v>
      </c>
      <c r="J168" s="62">
        <f t="shared" si="18"/>
        <v>2.352867966946575E-2</v>
      </c>
      <c r="K168" s="59" t="str">
        <f t="shared" si="19"/>
        <v/>
      </c>
      <c r="L168" s="59">
        <f t="shared" si="19"/>
        <v>4.8390927266670752E-3</v>
      </c>
      <c r="M168" s="59">
        <f t="shared" si="19"/>
        <v>1.1781972258191156E-2</v>
      </c>
      <c r="N168" s="59">
        <f t="shared" si="19"/>
        <v>1.5245074768790001E-2</v>
      </c>
      <c r="O168" s="62">
        <f t="shared" si="19"/>
        <v>1.7356975269465749E-2</v>
      </c>
      <c r="P168" s="54" t="s">
        <v>21</v>
      </c>
      <c r="Q168" s="52" t="s">
        <v>21</v>
      </c>
      <c r="R168" s="93" t="s">
        <v>21</v>
      </c>
      <c r="S168" s="72">
        <v>0</v>
      </c>
      <c r="T168" s="62">
        <f t="shared" si="20"/>
        <v>1.5771522758191159E-2</v>
      </c>
      <c r="V168" s="113">
        <v>1.10900387</v>
      </c>
      <c r="W168" s="71">
        <v>2.8240329399999999</v>
      </c>
      <c r="X168" s="71">
        <v>4.29633456</v>
      </c>
      <c r="Y168" s="71">
        <v>5.516521</v>
      </c>
      <c r="Z168" s="114">
        <v>6.978445279999999</v>
      </c>
      <c r="AB168" s="70" t="s">
        <v>21</v>
      </c>
      <c r="AC168" s="70">
        <v>7.8226771266670745E-3</v>
      </c>
      <c r="AD168" s="70">
        <v>1.5771522758191159E-2</v>
      </c>
      <c r="AE168" s="70">
        <v>2.0147834668790002E-2</v>
      </c>
      <c r="AF168" s="62">
        <v>2.352867966946575E-2</v>
      </c>
      <c r="AG168" s="70" t="s">
        <v>21</v>
      </c>
      <c r="AH168" s="70">
        <v>4.8390927266670752E-3</v>
      </c>
      <c r="AI168" s="70">
        <v>1.1781972258191156E-2</v>
      </c>
      <c r="AJ168" s="70">
        <v>1.5245074768790001E-2</v>
      </c>
      <c r="AK168" s="70">
        <v>1.7356975269465749E-2</v>
      </c>
    </row>
    <row r="169" spans="2:37" x14ac:dyDescent="0.35">
      <c r="B169" s="54" t="s">
        <v>327</v>
      </c>
      <c r="C169" s="52" t="s">
        <v>232</v>
      </c>
      <c r="D169" s="52" t="s">
        <v>43</v>
      </c>
      <c r="E169" s="52" t="s">
        <v>21</v>
      </c>
      <c r="F169" s="72" t="str">
        <f t="shared" si="18"/>
        <v/>
      </c>
      <c r="G169" s="59">
        <f t="shared" si="18"/>
        <v>7.5532758332492629E-3</v>
      </c>
      <c r="H169" s="59">
        <f t="shared" si="18"/>
        <v>1.4871151590828672E-2</v>
      </c>
      <c r="I169" s="59">
        <f t="shared" si="18"/>
        <v>1.9679143180660958E-2</v>
      </c>
      <c r="J169" s="62">
        <f t="shared" si="18"/>
        <v>2.4096524340745103E-2</v>
      </c>
      <c r="K169" s="59" t="str">
        <f t="shared" si="19"/>
        <v/>
      </c>
      <c r="L169" s="59">
        <f t="shared" si="19"/>
        <v>4.5605282332492648E-3</v>
      </c>
      <c r="M169" s="59">
        <f t="shared" si="19"/>
        <v>1.087094259082867E-2</v>
      </c>
      <c r="N169" s="59">
        <f t="shared" si="19"/>
        <v>1.4772377580660965E-2</v>
      </c>
      <c r="O169" s="62">
        <f t="shared" si="19"/>
        <v>1.7916659240745106E-2</v>
      </c>
      <c r="P169" s="54" t="s">
        <v>21</v>
      </c>
      <c r="Q169" s="52" t="s">
        <v>21</v>
      </c>
      <c r="R169" s="93" t="s">
        <v>21</v>
      </c>
      <c r="S169" s="72">
        <v>0</v>
      </c>
      <c r="T169" s="62">
        <f t="shared" si="20"/>
        <v>1.4871151590828672E-2</v>
      </c>
      <c r="V169" s="113">
        <v>1.10904983</v>
      </c>
      <c r="W169" s="71">
        <v>2.8252514</v>
      </c>
      <c r="X169" s="71">
        <v>4.3070885599999995</v>
      </c>
      <c r="Y169" s="71">
        <v>5.5382854099999994</v>
      </c>
      <c r="Z169" s="114">
        <v>6.9962227299999995</v>
      </c>
      <c r="AB169" s="70" t="s">
        <v>21</v>
      </c>
      <c r="AC169" s="70">
        <v>7.5532758332492629E-3</v>
      </c>
      <c r="AD169" s="70">
        <v>1.4871151590828672E-2</v>
      </c>
      <c r="AE169" s="70">
        <v>1.9679143180660958E-2</v>
      </c>
      <c r="AF169" s="62">
        <v>2.4096524340745103E-2</v>
      </c>
      <c r="AG169" s="70" t="s">
        <v>21</v>
      </c>
      <c r="AH169" s="70">
        <v>4.5605282332492648E-3</v>
      </c>
      <c r="AI169" s="70">
        <v>1.087094259082867E-2</v>
      </c>
      <c r="AJ169" s="70">
        <v>1.4772377580660965E-2</v>
      </c>
      <c r="AK169" s="70">
        <v>1.7916659240745106E-2</v>
      </c>
    </row>
    <row r="170" spans="2:37" x14ac:dyDescent="0.35">
      <c r="B170" s="54" t="s">
        <v>235</v>
      </c>
      <c r="C170" s="52" t="s">
        <v>232</v>
      </c>
      <c r="D170" s="52" t="s">
        <v>31</v>
      </c>
      <c r="E170" s="52" t="s">
        <v>142</v>
      </c>
      <c r="F170" s="72" t="str">
        <f t="shared" si="18"/>
        <v/>
      </c>
      <c r="G170" s="59">
        <f t="shared" si="18"/>
        <v>7.5246166804160929E-3</v>
      </c>
      <c r="H170" s="59">
        <f t="shared" si="18"/>
        <v>1.4743129807857936E-2</v>
      </c>
      <c r="I170" s="59">
        <f t="shared" si="18"/>
        <v>1.979898861145148E-2</v>
      </c>
      <c r="J170" s="62">
        <f t="shared" si="18"/>
        <v>2.4803278564107467E-2</v>
      </c>
      <c r="K170" s="59" t="str">
        <f t="shared" si="19"/>
        <v/>
      </c>
      <c r="L170" s="59">
        <f t="shared" si="19"/>
        <v>4.5301211804160899E-3</v>
      </c>
      <c r="M170" s="59">
        <f t="shared" si="19"/>
        <v>1.0740993007857937E-2</v>
      </c>
      <c r="N170" s="59">
        <f t="shared" si="19"/>
        <v>1.489168951145148E-2</v>
      </c>
      <c r="O170" s="62">
        <f t="shared" si="19"/>
        <v>1.8619855164107465E-2</v>
      </c>
      <c r="P170" s="54" t="s">
        <v>21</v>
      </c>
      <c r="Q170" s="52" t="s">
        <v>21</v>
      </c>
      <c r="R170" s="93" t="s">
        <v>21</v>
      </c>
      <c r="S170" s="72">
        <v>0</v>
      </c>
      <c r="T170" s="62">
        <f t="shared" si="20"/>
        <v>1.4743129807857936E-2</v>
      </c>
      <c r="V170" s="113">
        <v>1.1096469200000001</v>
      </c>
      <c r="W170" s="71">
        <v>2.8268974299999998</v>
      </c>
      <c r="X170" s="71">
        <v>4.3098732000000002</v>
      </c>
      <c r="Y170" s="71">
        <v>5.5392789799999997</v>
      </c>
      <c r="Z170" s="114">
        <v>6.9808445400000005</v>
      </c>
      <c r="AB170" s="70" t="s">
        <v>21</v>
      </c>
      <c r="AC170" s="70">
        <v>7.5246166804160929E-3</v>
      </c>
      <c r="AD170" s="70">
        <v>1.4743129807857936E-2</v>
      </c>
      <c r="AE170" s="70">
        <v>1.979898861145148E-2</v>
      </c>
      <c r="AF170" s="62">
        <v>2.4803278564107467E-2</v>
      </c>
      <c r="AG170" s="70" t="s">
        <v>21</v>
      </c>
      <c r="AH170" s="70">
        <v>4.5301211804160899E-3</v>
      </c>
      <c r="AI170" s="70">
        <v>1.0740993007857937E-2</v>
      </c>
      <c r="AJ170" s="70">
        <v>1.489168951145148E-2</v>
      </c>
      <c r="AK170" s="70">
        <v>1.8619855164107465E-2</v>
      </c>
    </row>
    <row r="171" spans="2:37" x14ac:dyDescent="0.35">
      <c r="B171" s="54" t="s">
        <v>240</v>
      </c>
      <c r="C171" s="52" t="s">
        <v>232</v>
      </c>
      <c r="D171" s="52" t="s">
        <v>20</v>
      </c>
      <c r="E171" s="52" t="s">
        <v>21</v>
      </c>
      <c r="F171" s="72" t="str">
        <f t="shared" si="18"/>
        <v/>
      </c>
      <c r="G171" s="59">
        <f t="shared" si="18"/>
        <v>6.9050342425316658E-3</v>
      </c>
      <c r="H171" s="59">
        <f t="shared" si="18"/>
        <v>1.5114093658630734E-2</v>
      </c>
      <c r="I171" s="59">
        <f t="shared" si="18"/>
        <v>1.8969456038083778E-2</v>
      </c>
      <c r="J171" s="62">
        <f t="shared" si="18"/>
        <v>2.2805961330821765E-2</v>
      </c>
      <c r="K171" s="59" t="str">
        <f t="shared" si="19"/>
        <v/>
      </c>
      <c r="L171" s="59">
        <f t="shared" si="19"/>
        <v>3.8861806425316658E-3</v>
      </c>
      <c r="M171" s="59">
        <f t="shared" si="19"/>
        <v>1.1116219758630733E-2</v>
      </c>
      <c r="N171" s="59">
        <f t="shared" si="19"/>
        <v>1.4064809138083782E-2</v>
      </c>
      <c r="O171" s="62">
        <f t="shared" si="19"/>
        <v>1.6629795930821766E-2</v>
      </c>
      <c r="P171" s="54" t="s">
        <v>21</v>
      </c>
      <c r="Q171" s="52" t="s">
        <v>21</v>
      </c>
      <c r="R171" s="93" t="s">
        <v>21</v>
      </c>
      <c r="S171" s="72">
        <v>0</v>
      </c>
      <c r="T171" s="62">
        <f t="shared" si="20"/>
        <v>1.5114093658630734E-2</v>
      </c>
      <c r="V171" s="113">
        <v>1.1101429899999999</v>
      </c>
      <c r="W171" s="71">
        <v>2.83189321</v>
      </c>
      <c r="X171" s="71">
        <v>4.3139838899999994</v>
      </c>
      <c r="Y171" s="71">
        <v>5.5507048000000001</v>
      </c>
      <c r="Z171" s="114">
        <v>7.0334736800000002</v>
      </c>
      <c r="AB171" s="70" t="s">
        <v>21</v>
      </c>
      <c r="AC171" s="70">
        <v>6.9050342425316658E-3</v>
      </c>
      <c r="AD171" s="70">
        <v>1.5114093658630734E-2</v>
      </c>
      <c r="AE171" s="70">
        <v>1.8969456038083778E-2</v>
      </c>
      <c r="AF171" s="62">
        <v>2.2805961330821765E-2</v>
      </c>
      <c r="AG171" s="70" t="s">
        <v>21</v>
      </c>
      <c r="AH171" s="70">
        <v>3.8861806425316658E-3</v>
      </c>
      <c r="AI171" s="70">
        <v>1.1116219758630733E-2</v>
      </c>
      <c r="AJ171" s="70">
        <v>1.4064809138083782E-2</v>
      </c>
      <c r="AK171" s="70">
        <v>1.6629795930821766E-2</v>
      </c>
    </row>
    <row r="172" spans="2:37" x14ac:dyDescent="0.35">
      <c r="B172" s="54" t="s">
        <v>237</v>
      </c>
      <c r="C172" s="52" t="s">
        <v>232</v>
      </c>
      <c r="D172" s="52" t="s">
        <v>43</v>
      </c>
      <c r="E172" s="52" t="s">
        <v>110</v>
      </c>
      <c r="F172" s="72" t="str">
        <f t="shared" si="18"/>
        <v/>
      </c>
      <c r="G172" s="59">
        <f t="shared" si="18"/>
        <v>7.1999576472052866E-3</v>
      </c>
      <c r="H172" s="59">
        <f t="shared" si="18"/>
        <v>1.4549048521069001E-2</v>
      </c>
      <c r="I172" s="59">
        <f t="shared" si="18"/>
        <v>1.9223987318230846E-2</v>
      </c>
      <c r="J172" s="62">
        <f t="shared" si="18"/>
        <v>2.3284545274749938E-2</v>
      </c>
      <c r="K172" s="59" t="str">
        <f t="shared" si="19"/>
        <v/>
      </c>
      <c r="L172" s="59">
        <f t="shared" si="19"/>
        <v>4.1936289472052886E-3</v>
      </c>
      <c r="M172" s="59">
        <f t="shared" si="19"/>
        <v>1.0543839721069001E-2</v>
      </c>
      <c r="N172" s="59">
        <f t="shared" si="19"/>
        <v>1.4316215918230846E-2</v>
      </c>
      <c r="O172" s="62">
        <f t="shared" si="19"/>
        <v>1.7105948074749938E-2</v>
      </c>
      <c r="P172" s="54" t="s">
        <v>21</v>
      </c>
      <c r="Q172" s="52" t="s">
        <v>21</v>
      </c>
      <c r="R172" s="93" t="s">
        <v>21</v>
      </c>
      <c r="S172" s="72">
        <v>0</v>
      </c>
      <c r="T172" s="62">
        <f t="shared" si="20"/>
        <v>1.4549048521069001E-2</v>
      </c>
      <c r="V172" s="113">
        <v>1.1098225499999999</v>
      </c>
      <c r="W172" s="71">
        <v>2.8288491900000001</v>
      </c>
      <c r="X172" s="71">
        <v>4.3145124499999996</v>
      </c>
      <c r="Y172" s="71">
        <v>5.5515012800000001</v>
      </c>
      <c r="Z172" s="114">
        <v>7.0259818999999997</v>
      </c>
      <c r="AB172" s="70" t="s">
        <v>21</v>
      </c>
      <c r="AC172" s="70">
        <v>7.1999576472052866E-3</v>
      </c>
      <c r="AD172" s="70">
        <v>1.4549048521069001E-2</v>
      </c>
      <c r="AE172" s="70">
        <v>1.9223987318230846E-2</v>
      </c>
      <c r="AF172" s="62">
        <v>2.3284545274749938E-2</v>
      </c>
      <c r="AG172" s="70" t="s">
        <v>21</v>
      </c>
      <c r="AH172" s="70">
        <v>4.1936289472052886E-3</v>
      </c>
      <c r="AI172" s="70">
        <v>1.0543839721069001E-2</v>
      </c>
      <c r="AJ172" s="70">
        <v>1.4316215918230846E-2</v>
      </c>
      <c r="AK172" s="70">
        <v>1.7105948074749938E-2</v>
      </c>
    </row>
    <row r="173" spans="2:37" x14ac:dyDescent="0.35">
      <c r="B173" s="54" t="s">
        <v>329</v>
      </c>
      <c r="C173" s="52" t="s">
        <v>232</v>
      </c>
      <c r="D173" s="52" t="s">
        <v>62</v>
      </c>
      <c r="E173" s="52" t="s">
        <v>21</v>
      </c>
      <c r="F173" s="72" t="str">
        <f t="shared" si="18"/>
        <v/>
      </c>
      <c r="G173" s="59">
        <f t="shared" si="18"/>
        <v>7.1087353440554748E-3</v>
      </c>
      <c r="H173" s="59">
        <f t="shared" si="18"/>
        <v>1.439430377015149E-2</v>
      </c>
      <c r="I173" s="59">
        <f t="shared" si="18"/>
        <v>1.8688770364127635E-2</v>
      </c>
      <c r="J173" s="62">
        <f t="shared" si="18"/>
        <v>2.3216030549316681E-2</v>
      </c>
      <c r="K173" s="59" t="str">
        <f t="shared" si="19"/>
        <v/>
      </c>
      <c r="L173" s="59">
        <f t="shared" si="19"/>
        <v>4.0987493440554756E-3</v>
      </c>
      <c r="M173" s="59">
        <f t="shared" si="19"/>
        <v>1.0386086670151491E-2</v>
      </c>
      <c r="N173" s="59">
        <f t="shared" si="19"/>
        <v>1.3778281864127634E-2</v>
      </c>
      <c r="O173" s="62">
        <f t="shared" si="19"/>
        <v>1.7046657749316681E-2</v>
      </c>
      <c r="P173" s="54" t="s">
        <v>21</v>
      </c>
      <c r="Q173" s="52" t="s">
        <v>21</v>
      </c>
      <c r="R173" s="93" t="s">
        <v>21</v>
      </c>
      <c r="S173" s="72">
        <v>0</v>
      </c>
      <c r="T173" s="62">
        <f t="shared" si="20"/>
        <v>1.439430377015149E-2</v>
      </c>
      <c r="V173" s="113">
        <v>1.10924804</v>
      </c>
      <c r="W173" s="71">
        <v>2.8283489400000001</v>
      </c>
      <c r="X173" s="71">
        <v>4.3157316699999999</v>
      </c>
      <c r="Y173" s="71">
        <v>5.5598086000000002</v>
      </c>
      <c r="Z173" s="114">
        <v>7.0166944800000008</v>
      </c>
      <c r="AB173" s="70" t="s">
        <v>21</v>
      </c>
      <c r="AC173" s="70">
        <v>7.1087353440554748E-3</v>
      </c>
      <c r="AD173" s="70">
        <v>1.439430377015149E-2</v>
      </c>
      <c r="AE173" s="70">
        <v>1.8688770364127635E-2</v>
      </c>
      <c r="AF173" s="62">
        <v>2.3216030549316681E-2</v>
      </c>
      <c r="AG173" s="70" t="s">
        <v>21</v>
      </c>
      <c r="AH173" s="70">
        <v>4.0987493440554756E-3</v>
      </c>
      <c r="AI173" s="70">
        <v>1.0386086670151491E-2</v>
      </c>
      <c r="AJ173" s="70">
        <v>1.3778281864127634E-2</v>
      </c>
      <c r="AK173" s="70">
        <v>1.7046657749316681E-2</v>
      </c>
    </row>
    <row r="174" spans="2:37" x14ac:dyDescent="0.35">
      <c r="B174" s="54" t="s">
        <v>374</v>
      </c>
      <c r="C174" s="52" t="s">
        <v>232</v>
      </c>
      <c r="D174" s="52" t="s">
        <v>20</v>
      </c>
      <c r="E174" s="52" t="s">
        <v>21</v>
      </c>
      <c r="F174" s="72" t="str">
        <f t="shared" ref="F174:J224" si="21">IF(ISNUMBER(AB174),AB174-((C$4-C$3)/V174),"")</f>
        <v/>
      </c>
      <c r="G174" s="59">
        <f t="shared" si="21"/>
        <v>3.6898417783700569E-3</v>
      </c>
      <c r="H174" s="59">
        <f t="shared" si="21"/>
        <v>8.1976135204501199E-3</v>
      </c>
      <c r="I174" s="59">
        <f t="shared" si="21"/>
        <v>1.0891808793688836E-2</v>
      </c>
      <c r="J174" s="62">
        <f t="shared" si="21"/>
        <v>1.3516422949461985E-2</v>
      </c>
      <c r="K174" s="59" t="str">
        <f t="shared" ref="K174:O224" si="22">IF(ISNUMBER(AG174),IF(AG174-((C$4-C$3)/V174)&lt;0,"",AG174-((C$4-C$3)/V174)),"")</f>
        <v/>
      </c>
      <c r="L174" s="59">
        <f t="shared" si="22"/>
        <v>4.3896487837005813E-4</v>
      </c>
      <c r="M174" s="59">
        <f t="shared" si="22"/>
        <v>3.8879606204501212E-3</v>
      </c>
      <c r="N174" s="59">
        <f t="shared" si="22"/>
        <v>5.6796023936888373E-3</v>
      </c>
      <c r="O174" s="62">
        <f t="shared" si="22"/>
        <v>6.9844472494619845E-3</v>
      </c>
      <c r="P174" s="54" t="s">
        <v>21</v>
      </c>
      <c r="Q174" s="52" t="s">
        <v>21</v>
      </c>
      <c r="R174" s="93" t="s">
        <v>21</v>
      </c>
      <c r="S174" s="72">
        <v>0</v>
      </c>
      <c r="T174" s="62">
        <f t="shared" si="20"/>
        <v>8.1976135204501199E-3</v>
      </c>
      <c r="V174" s="113">
        <v>1.11205687</v>
      </c>
      <c r="W174" s="71">
        <v>2.8552602600000001</v>
      </c>
      <c r="X174" s="71">
        <v>4.4126252900000003</v>
      </c>
      <c r="Y174" s="71">
        <v>5.7759426400000002</v>
      </c>
      <c r="Z174" s="114">
        <v>7.5068929000000004</v>
      </c>
      <c r="AB174" s="70" t="s">
        <v>21</v>
      </c>
      <c r="AC174" s="70">
        <v>3.6898417783700569E-3</v>
      </c>
      <c r="AD174" s="70">
        <v>8.1976135204501199E-3</v>
      </c>
      <c r="AE174" s="70">
        <v>1.0891808793688836E-2</v>
      </c>
      <c r="AF174" s="62">
        <v>1.3516422949461985E-2</v>
      </c>
      <c r="AG174" s="70" t="s">
        <v>21</v>
      </c>
      <c r="AH174" s="70">
        <v>4.3896487837005813E-4</v>
      </c>
      <c r="AI174" s="70">
        <v>3.8879606204501212E-3</v>
      </c>
      <c r="AJ174" s="70">
        <v>5.6796023936888373E-3</v>
      </c>
      <c r="AK174" s="70">
        <v>6.9844472494619845E-3</v>
      </c>
    </row>
    <row r="175" spans="2:37" x14ac:dyDescent="0.35">
      <c r="B175" s="54" t="s">
        <v>337</v>
      </c>
      <c r="C175" s="52" t="s">
        <v>232</v>
      </c>
      <c r="D175" s="52" t="s">
        <v>31</v>
      </c>
      <c r="E175" s="52" t="s">
        <v>81</v>
      </c>
      <c r="F175" s="72" t="str">
        <f t="shared" si="21"/>
        <v/>
      </c>
      <c r="G175" s="59">
        <f t="shared" si="21"/>
        <v>6.6157782723715048E-3</v>
      </c>
      <c r="H175" s="59">
        <f t="shared" si="21"/>
        <v>1.334900257387951E-2</v>
      </c>
      <c r="I175" s="59">
        <f t="shared" si="21"/>
        <v>1.7898140438164858E-2</v>
      </c>
      <c r="J175" s="62">
        <f t="shared" si="21"/>
        <v>2.2378508525979904E-2</v>
      </c>
      <c r="K175" s="59" t="str">
        <f t="shared" si="22"/>
        <v/>
      </c>
      <c r="L175" s="59">
        <f t="shared" si="22"/>
        <v>3.5842152723715073E-3</v>
      </c>
      <c r="M175" s="59">
        <f t="shared" si="22"/>
        <v>9.3188489738795163E-3</v>
      </c>
      <c r="N175" s="59">
        <f t="shared" si="22"/>
        <v>1.297868993816486E-2</v>
      </c>
      <c r="O175" s="62">
        <f t="shared" si="22"/>
        <v>1.6190814225979906E-2</v>
      </c>
      <c r="P175" s="54" t="s">
        <v>385</v>
      </c>
      <c r="Q175" s="52" t="s">
        <v>386</v>
      </c>
      <c r="R175" s="93">
        <v>47519</v>
      </c>
      <c r="S175" s="72">
        <v>8.3871299999999996E-3</v>
      </c>
      <c r="T175" s="62">
        <f t="shared" si="20"/>
        <v>4.9618725738795107E-3</v>
      </c>
      <c r="V175" s="113">
        <v>1.1096567900000001</v>
      </c>
      <c r="W175" s="71">
        <v>2.8322123700000001</v>
      </c>
      <c r="X175" s="71">
        <v>4.3309675899999993</v>
      </c>
      <c r="Y175" s="71">
        <v>5.58802325</v>
      </c>
      <c r="Z175" s="114">
        <v>7.0887481899999996</v>
      </c>
      <c r="AB175" s="70" t="s">
        <v>21</v>
      </c>
      <c r="AC175" s="70">
        <v>6.6157782723715048E-3</v>
      </c>
      <c r="AD175" s="70">
        <v>1.334900257387951E-2</v>
      </c>
      <c r="AE175" s="70">
        <v>1.7898140438164858E-2</v>
      </c>
      <c r="AF175" s="62">
        <v>2.2378508525979904E-2</v>
      </c>
      <c r="AG175" s="70" t="s">
        <v>21</v>
      </c>
      <c r="AH175" s="70">
        <v>3.5842152723715073E-3</v>
      </c>
      <c r="AI175" s="70">
        <v>9.3188489738795163E-3</v>
      </c>
      <c r="AJ175" s="70">
        <v>1.297868993816486E-2</v>
      </c>
      <c r="AK175" s="70">
        <v>1.6190814225979906E-2</v>
      </c>
    </row>
    <row r="176" spans="2:37" x14ac:dyDescent="0.35">
      <c r="B176" s="54" t="s">
        <v>327</v>
      </c>
      <c r="C176" s="52" t="s">
        <v>232</v>
      </c>
      <c r="D176" s="52" t="s">
        <v>43</v>
      </c>
      <c r="E176" s="52" t="s">
        <v>21</v>
      </c>
      <c r="F176" s="72" t="str">
        <f t="shared" si="21"/>
        <v/>
      </c>
      <c r="G176" s="59">
        <f t="shared" si="21"/>
        <v>7.5532758332492629E-3</v>
      </c>
      <c r="H176" s="59">
        <f t="shared" si="21"/>
        <v>1.4871151590828672E-2</v>
      </c>
      <c r="I176" s="59">
        <f t="shared" si="21"/>
        <v>1.9679143180660958E-2</v>
      </c>
      <c r="J176" s="62">
        <f t="shared" si="21"/>
        <v>2.4096524340745103E-2</v>
      </c>
      <c r="K176" s="59" t="str">
        <f t="shared" si="22"/>
        <v/>
      </c>
      <c r="L176" s="59">
        <f t="shared" si="22"/>
        <v>4.5605282332492648E-3</v>
      </c>
      <c r="M176" s="59">
        <f t="shared" si="22"/>
        <v>1.087094259082867E-2</v>
      </c>
      <c r="N176" s="59">
        <f t="shared" si="22"/>
        <v>1.4772377580660965E-2</v>
      </c>
      <c r="O176" s="62">
        <f t="shared" si="22"/>
        <v>1.7916659240745106E-2</v>
      </c>
      <c r="P176" s="54" t="s">
        <v>21</v>
      </c>
      <c r="Q176" s="52" t="s">
        <v>21</v>
      </c>
      <c r="R176" s="93" t="s">
        <v>21</v>
      </c>
      <c r="S176" s="72">
        <v>0</v>
      </c>
      <c r="T176" s="62">
        <f t="shared" si="20"/>
        <v>1.4871151590828672E-2</v>
      </c>
      <c r="V176" s="113">
        <v>1.10904983</v>
      </c>
      <c r="W176" s="71">
        <v>2.8252514</v>
      </c>
      <c r="X176" s="71">
        <v>4.3070885599999995</v>
      </c>
      <c r="Y176" s="71">
        <v>5.5382854099999994</v>
      </c>
      <c r="Z176" s="114">
        <v>6.9962227299999995</v>
      </c>
      <c r="AB176" s="70" t="s">
        <v>21</v>
      </c>
      <c r="AC176" s="70">
        <v>7.5532758332492629E-3</v>
      </c>
      <c r="AD176" s="70">
        <v>1.4871151590828672E-2</v>
      </c>
      <c r="AE176" s="70">
        <v>1.9679143180660958E-2</v>
      </c>
      <c r="AF176" s="62">
        <v>2.4096524340745103E-2</v>
      </c>
      <c r="AG176" s="70" t="s">
        <v>21</v>
      </c>
      <c r="AH176" s="70">
        <v>4.5605282332492648E-3</v>
      </c>
      <c r="AI176" s="70">
        <v>1.087094259082867E-2</v>
      </c>
      <c r="AJ176" s="70">
        <v>1.4772377580660965E-2</v>
      </c>
      <c r="AK176" s="70">
        <v>1.7916659240745106E-2</v>
      </c>
    </row>
    <row r="177" spans="2:37" x14ac:dyDescent="0.35">
      <c r="B177" s="54" t="s">
        <v>341</v>
      </c>
      <c r="C177" s="52" t="s">
        <v>232</v>
      </c>
      <c r="D177" s="52" t="s">
        <v>69</v>
      </c>
      <c r="E177" s="52" t="s">
        <v>21</v>
      </c>
      <c r="F177" s="72" t="str">
        <f t="shared" si="21"/>
        <v/>
      </c>
      <c r="G177" s="59">
        <f t="shared" si="21"/>
        <v>6.445864352002781E-3</v>
      </c>
      <c r="H177" s="59">
        <f t="shared" si="21"/>
        <v>1.3012826928532676E-2</v>
      </c>
      <c r="I177" s="59">
        <f t="shared" si="21"/>
        <v>1.6689402810152812E-2</v>
      </c>
      <c r="J177" s="62">
        <f t="shared" si="21"/>
        <v>2.1016953764839381E-2</v>
      </c>
      <c r="K177" s="59" t="str">
        <f t="shared" si="22"/>
        <v/>
      </c>
      <c r="L177" s="59">
        <f t="shared" si="22"/>
        <v>3.40486235200278E-3</v>
      </c>
      <c r="M177" s="59">
        <f t="shared" si="22"/>
        <v>8.9729866285326778E-3</v>
      </c>
      <c r="N177" s="59">
        <f t="shared" si="22"/>
        <v>1.1752970610152812E-2</v>
      </c>
      <c r="O177" s="62">
        <f t="shared" si="22"/>
        <v>1.4812549464839384E-2</v>
      </c>
      <c r="P177" s="54" t="s">
        <v>496</v>
      </c>
      <c r="Q177" s="52" t="s">
        <v>497</v>
      </c>
      <c r="R177" s="93" t="s">
        <v>32</v>
      </c>
      <c r="S177" s="72">
        <v>1.1073139999999999E-2</v>
      </c>
      <c r="T177" s="62">
        <f t="shared" si="20"/>
        <v>1.9396869285326773E-3</v>
      </c>
      <c r="V177" s="113">
        <v>1.1102535899999999</v>
      </c>
      <c r="W177" s="71">
        <v>2.8344326500000001</v>
      </c>
      <c r="X177" s="71">
        <v>4.3369763700000004</v>
      </c>
      <c r="Y177" s="71">
        <v>5.6102301600000004</v>
      </c>
      <c r="Z177" s="114">
        <v>7.14662474</v>
      </c>
      <c r="AB177" s="70" t="s">
        <v>21</v>
      </c>
      <c r="AC177" s="70">
        <v>6.445864352002781E-3</v>
      </c>
      <c r="AD177" s="70">
        <v>1.3012826928532676E-2</v>
      </c>
      <c r="AE177" s="70">
        <v>1.6689402810152812E-2</v>
      </c>
      <c r="AF177" s="62">
        <v>2.1016953764839381E-2</v>
      </c>
      <c r="AG177" s="70" t="s">
        <v>21</v>
      </c>
      <c r="AH177" s="70">
        <v>3.40486235200278E-3</v>
      </c>
      <c r="AI177" s="70">
        <v>8.9729866285326778E-3</v>
      </c>
      <c r="AJ177" s="70">
        <v>1.1752970610152812E-2</v>
      </c>
      <c r="AK177" s="70">
        <v>1.4812549464839384E-2</v>
      </c>
    </row>
    <row r="178" spans="2:37" x14ac:dyDescent="0.35">
      <c r="B178" s="54" t="s">
        <v>141</v>
      </c>
      <c r="C178" s="52" t="s">
        <v>232</v>
      </c>
      <c r="D178" s="52" t="s">
        <v>53</v>
      </c>
      <c r="E178" s="52" t="s">
        <v>123</v>
      </c>
      <c r="F178" s="72" t="str">
        <f t="shared" si="21"/>
        <v/>
      </c>
      <c r="G178" s="59">
        <f t="shared" si="21"/>
        <v>6.4822389519641321E-3</v>
      </c>
      <c r="H178" s="59">
        <f t="shared" si="21"/>
        <v>1.3002826186585393E-2</v>
      </c>
      <c r="I178" s="59">
        <f t="shared" si="21"/>
        <v>1.7275667486522619E-2</v>
      </c>
      <c r="J178" s="62">
        <f t="shared" si="21"/>
        <v>2.2068169846504865E-2</v>
      </c>
      <c r="K178" s="59" t="str">
        <f t="shared" si="22"/>
        <v/>
      </c>
      <c r="L178" s="59">
        <f t="shared" si="22"/>
        <v>3.444215051964131E-3</v>
      </c>
      <c r="M178" s="59">
        <f t="shared" si="22"/>
        <v>8.9635778865853957E-3</v>
      </c>
      <c r="N178" s="59">
        <f t="shared" si="22"/>
        <v>1.2348220586522619E-2</v>
      </c>
      <c r="O178" s="62">
        <f t="shared" si="22"/>
        <v>1.5875055846504865E-2</v>
      </c>
      <c r="P178" s="54" t="s">
        <v>498</v>
      </c>
      <c r="Q178" s="52" t="s">
        <v>499</v>
      </c>
      <c r="R178" s="93" t="s">
        <v>32</v>
      </c>
      <c r="S178" s="72">
        <v>1.320006E-2</v>
      </c>
      <c r="T178" s="62">
        <f t="shared" si="20"/>
        <v>-1.9723381341460629E-4</v>
      </c>
      <c r="V178" s="113">
        <v>1.1101928299999999</v>
      </c>
      <c r="W178" s="71">
        <v>2.8335495499999999</v>
      </c>
      <c r="X178" s="71">
        <v>4.3360402699999998</v>
      </c>
      <c r="Y178" s="71">
        <v>5.6019627300000003</v>
      </c>
      <c r="Z178" s="114">
        <v>7.1132073500000006</v>
      </c>
      <c r="AB178" s="70" t="s">
        <v>21</v>
      </c>
      <c r="AC178" s="70">
        <v>6.4822389519641321E-3</v>
      </c>
      <c r="AD178" s="70">
        <v>1.3002826186585393E-2</v>
      </c>
      <c r="AE178" s="70">
        <v>1.7275667486522619E-2</v>
      </c>
      <c r="AF178" s="62">
        <v>2.2068169846504865E-2</v>
      </c>
      <c r="AG178" s="70" t="s">
        <v>21</v>
      </c>
      <c r="AH178" s="70">
        <v>3.444215051964131E-3</v>
      </c>
      <c r="AI178" s="70">
        <v>8.9635778865853957E-3</v>
      </c>
      <c r="AJ178" s="70">
        <v>1.2348220586522619E-2</v>
      </c>
      <c r="AK178" s="70">
        <v>1.5875055846504865E-2</v>
      </c>
    </row>
    <row r="179" spans="2:37" x14ac:dyDescent="0.35">
      <c r="B179" s="54" t="s">
        <v>137</v>
      </c>
      <c r="C179" s="52" t="s">
        <v>232</v>
      </c>
      <c r="D179" s="52" t="s">
        <v>20</v>
      </c>
      <c r="E179" s="52" t="s">
        <v>21</v>
      </c>
      <c r="F179" s="72" t="str">
        <f t="shared" si="21"/>
        <v/>
      </c>
      <c r="G179" s="59">
        <f t="shared" si="21"/>
        <v>7.3638081652866059E-3</v>
      </c>
      <c r="H179" s="59">
        <f t="shared" si="21"/>
        <v>1.3307224040950432E-2</v>
      </c>
      <c r="I179" s="59">
        <f t="shared" si="21"/>
        <v>1.6453108934508805E-2</v>
      </c>
      <c r="J179" s="62">
        <f t="shared" si="21"/>
        <v>1.9616111467149883E-2</v>
      </c>
      <c r="K179" s="59" t="str">
        <f t="shared" si="22"/>
        <v/>
      </c>
      <c r="L179" s="59">
        <f t="shared" si="22"/>
        <v>4.3644298652866075E-3</v>
      </c>
      <c r="M179" s="59">
        <f t="shared" si="22"/>
        <v>9.2757572409504357E-3</v>
      </c>
      <c r="N179" s="59">
        <f t="shared" si="22"/>
        <v>1.1514332034508806E-2</v>
      </c>
      <c r="O179" s="62">
        <f t="shared" si="22"/>
        <v>1.3400713167149886E-2</v>
      </c>
      <c r="P179" s="54" t="s">
        <v>500</v>
      </c>
      <c r="Q179" s="52" t="s">
        <v>501</v>
      </c>
      <c r="R179" s="93">
        <v>47423</v>
      </c>
      <c r="S179" s="72">
        <v>9.4194099999999996E-3</v>
      </c>
      <c r="T179" s="62">
        <f t="shared" si="20"/>
        <v>3.8878140409504321E-3</v>
      </c>
      <c r="V179" s="113">
        <v>1.1076658799999999</v>
      </c>
      <c r="W179" s="71">
        <v>2.8238933500000001</v>
      </c>
      <c r="X179" s="71">
        <v>4.3226913899999992</v>
      </c>
      <c r="Y179" s="71">
        <v>5.5949219299999999</v>
      </c>
      <c r="Z179" s="114">
        <v>7.1444965599999994</v>
      </c>
      <c r="AB179" s="70" t="s">
        <v>21</v>
      </c>
      <c r="AC179" s="70">
        <v>7.3638081652866059E-3</v>
      </c>
      <c r="AD179" s="70">
        <v>1.3307224040950432E-2</v>
      </c>
      <c r="AE179" s="70">
        <v>1.6453108934508805E-2</v>
      </c>
      <c r="AF179" s="62">
        <v>1.9616111467149883E-2</v>
      </c>
      <c r="AG179" s="70" t="s">
        <v>21</v>
      </c>
      <c r="AH179" s="70">
        <v>4.3644298652866075E-3</v>
      </c>
      <c r="AI179" s="70">
        <v>9.2757572409504357E-3</v>
      </c>
      <c r="AJ179" s="70">
        <v>1.1514332034508806E-2</v>
      </c>
      <c r="AK179" s="70">
        <v>1.3400713167149886E-2</v>
      </c>
    </row>
    <row r="180" spans="2:37" x14ac:dyDescent="0.35">
      <c r="B180" s="54" t="s">
        <v>158</v>
      </c>
      <c r="C180" s="52" t="s">
        <v>232</v>
      </c>
      <c r="D180" s="52" t="s">
        <v>20</v>
      </c>
      <c r="E180" s="52" t="s">
        <v>338</v>
      </c>
      <c r="F180" s="72" t="str">
        <f t="shared" si="21"/>
        <v/>
      </c>
      <c r="G180" s="59">
        <f t="shared" si="21"/>
        <v>6.935921358457036E-3</v>
      </c>
      <c r="H180" s="59">
        <f t="shared" si="21"/>
        <v>1.323940884327943E-2</v>
      </c>
      <c r="I180" s="59">
        <f t="shared" si="21"/>
        <v>1.6395575356993174E-2</v>
      </c>
      <c r="J180" s="62">
        <f t="shared" si="21"/>
        <v>1.9674205203411298E-2</v>
      </c>
      <c r="K180" s="59" t="str">
        <f t="shared" si="22"/>
        <v/>
      </c>
      <c r="L180" s="59">
        <f t="shared" si="22"/>
        <v>3.9184393584570333E-3</v>
      </c>
      <c r="M180" s="59">
        <f t="shared" si="22"/>
        <v>9.2059835432794328E-3</v>
      </c>
      <c r="N180" s="59">
        <f t="shared" si="22"/>
        <v>1.1457403056993172E-2</v>
      </c>
      <c r="O180" s="62">
        <f t="shared" si="22"/>
        <v>1.3452364403411297E-2</v>
      </c>
      <c r="P180" s="54" t="s">
        <v>502</v>
      </c>
      <c r="Q180" s="52" t="s">
        <v>503</v>
      </c>
      <c r="R180" s="93">
        <v>47543</v>
      </c>
      <c r="S180" s="72">
        <v>1.0444370000000001E-2</v>
      </c>
      <c r="T180" s="62">
        <f t="shared" si="20"/>
        <v>2.7950388432794286E-3</v>
      </c>
      <c r="V180" s="113">
        <v>1.1089357500000001</v>
      </c>
      <c r="W180" s="71">
        <v>2.8295176400000002</v>
      </c>
      <c r="X180" s="71">
        <v>4.3296353599999993</v>
      </c>
      <c r="Y180" s="71">
        <v>5.6009175899999999</v>
      </c>
      <c r="Z180" s="114">
        <v>7.1641859099999996</v>
      </c>
      <c r="AB180" s="70" t="s">
        <v>21</v>
      </c>
      <c r="AC180" s="70">
        <v>6.935921358457036E-3</v>
      </c>
      <c r="AD180" s="70">
        <v>1.323940884327943E-2</v>
      </c>
      <c r="AE180" s="70">
        <v>1.6395575356993174E-2</v>
      </c>
      <c r="AF180" s="62">
        <v>1.9674205203411298E-2</v>
      </c>
      <c r="AG180" s="70" t="s">
        <v>21</v>
      </c>
      <c r="AH180" s="70">
        <v>3.9184393584570333E-3</v>
      </c>
      <c r="AI180" s="70">
        <v>9.2059835432794328E-3</v>
      </c>
      <c r="AJ180" s="70">
        <v>1.1457403056993172E-2</v>
      </c>
      <c r="AK180" s="70">
        <v>1.3452364403411297E-2</v>
      </c>
    </row>
    <row r="181" spans="2:37" x14ac:dyDescent="0.35">
      <c r="B181" s="54" t="s">
        <v>149</v>
      </c>
      <c r="C181" s="52" t="s">
        <v>232</v>
      </c>
      <c r="D181" s="52" t="s">
        <v>53</v>
      </c>
      <c r="E181" s="52" t="s">
        <v>21</v>
      </c>
      <c r="F181" s="72" t="str">
        <f t="shared" si="21"/>
        <v/>
      </c>
      <c r="G181" s="59">
        <f t="shared" si="21"/>
        <v>6.3736897649226297E-3</v>
      </c>
      <c r="H181" s="59">
        <f t="shared" si="21"/>
        <v>1.2748226168570598E-2</v>
      </c>
      <c r="I181" s="59">
        <f t="shared" si="21"/>
        <v>1.674056314623637E-2</v>
      </c>
      <c r="J181" s="62">
        <f t="shared" si="21"/>
        <v>2.1063759607611792E-2</v>
      </c>
      <c r="K181" s="59" t="str">
        <f t="shared" si="22"/>
        <v/>
      </c>
      <c r="L181" s="59">
        <f t="shared" si="22"/>
        <v>3.3299134649226285E-3</v>
      </c>
      <c r="M181" s="59">
        <f t="shared" si="22"/>
        <v>8.7010839685705971E-3</v>
      </c>
      <c r="N181" s="59">
        <f t="shared" si="22"/>
        <v>1.1803859546236374E-2</v>
      </c>
      <c r="O181" s="62">
        <f t="shared" si="22"/>
        <v>1.4860149107611792E-2</v>
      </c>
      <c r="P181" s="54" t="s">
        <v>504</v>
      </c>
      <c r="Q181" s="52" t="s">
        <v>505</v>
      </c>
      <c r="R181" s="93">
        <v>47498</v>
      </c>
      <c r="S181" s="72">
        <v>7.6183500000000003E-3</v>
      </c>
      <c r="T181" s="62">
        <f t="shared" si="20"/>
        <v>5.1298761685705978E-3</v>
      </c>
      <c r="V181" s="113">
        <v>1.1095187200000001</v>
      </c>
      <c r="W181" s="71">
        <v>2.8334893699999997</v>
      </c>
      <c r="X181" s="71">
        <v>4.3387259599999997</v>
      </c>
      <c r="Y181" s="71">
        <v>5.6121431399999997</v>
      </c>
      <c r="Z181" s="114">
        <v>7.1469359699999995</v>
      </c>
      <c r="AB181" s="70" t="s">
        <v>21</v>
      </c>
      <c r="AC181" s="70">
        <v>6.3736897649226297E-3</v>
      </c>
      <c r="AD181" s="70">
        <v>1.2748226168570598E-2</v>
      </c>
      <c r="AE181" s="70">
        <v>1.674056314623637E-2</v>
      </c>
      <c r="AF181" s="62">
        <v>2.1063759607611792E-2</v>
      </c>
      <c r="AG181" s="70" t="s">
        <v>21</v>
      </c>
      <c r="AH181" s="70">
        <v>3.3299134649226285E-3</v>
      </c>
      <c r="AI181" s="70">
        <v>8.7010839685705971E-3</v>
      </c>
      <c r="AJ181" s="70">
        <v>1.1803859546236374E-2</v>
      </c>
      <c r="AK181" s="70">
        <v>1.4860149107611792E-2</v>
      </c>
    </row>
    <row r="182" spans="2:37" x14ac:dyDescent="0.35">
      <c r="B182" s="54" t="s">
        <v>150</v>
      </c>
      <c r="C182" s="52" t="s">
        <v>232</v>
      </c>
      <c r="D182" s="52" t="s">
        <v>43</v>
      </c>
      <c r="E182" s="52" t="s">
        <v>21</v>
      </c>
      <c r="F182" s="72" t="str">
        <f t="shared" si="21"/>
        <v/>
      </c>
      <c r="G182" s="59">
        <f t="shared" si="21"/>
        <v>6.2258127552097453E-3</v>
      </c>
      <c r="H182" s="59">
        <f t="shared" si="21"/>
        <v>1.2705822098723439E-2</v>
      </c>
      <c r="I182" s="59">
        <f t="shared" si="21"/>
        <v>1.6895957549784603E-2</v>
      </c>
      <c r="J182" s="62">
        <f t="shared" si="21"/>
        <v>2.1894460031021044E-2</v>
      </c>
      <c r="K182" s="59" t="str">
        <f t="shared" si="22"/>
        <v/>
      </c>
      <c r="L182" s="59">
        <f t="shared" si="22"/>
        <v>3.1737113552097454E-3</v>
      </c>
      <c r="M182" s="59">
        <f t="shared" si="22"/>
        <v>8.6565055987234425E-3</v>
      </c>
      <c r="N182" s="59">
        <f t="shared" si="22"/>
        <v>1.1960921049784605E-2</v>
      </c>
      <c r="O182" s="62">
        <f t="shared" si="22"/>
        <v>1.5696974431021048E-2</v>
      </c>
      <c r="P182" s="54" t="s">
        <v>21</v>
      </c>
      <c r="Q182" s="52" t="s">
        <v>21</v>
      </c>
      <c r="R182" s="93" t="s">
        <v>21</v>
      </c>
      <c r="S182" s="72">
        <v>0</v>
      </c>
      <c r="T182" s="62">
        <f t="shared" si="20"/>
        <v>1.2705822098723439E-2</v>
      </c>
      <c r="V182" s="113">
        <v>1.1094356400000001</v>
      </c>
      <c r="W182" s="71">
        <v>2.8342852199999999</v>
      </c>
      <c r="X182" s="71">
        <v>4.3403628400000001</v>
      </c>
      <c r="Y182" s="71">
        <v>5.6119671799999997</v>
      </c>
      <c r="Z182" s="114">
        <v>7.1292452300000004</v>
      </c>
      <c r="AB182" s="70" t="s">
        <v>21</v>
      </c>
      <c r="AC182" s="70">
        <v>6.2258127552097453E-3</v>
      </c>
      <c r="AD182" s="70">
        <v>1.2705822098723439E-2</v>
      </c>
      <c r="AE182" s="70">
        <v>1.6895957549784603E-2</v>
      </c>
      <c r="AF182" s="62">
        <v>2.1894460031021044E-2</v>
      </c>
      <c r="AG182" s="70" t="s">
        <v>21</v>
      </c>
      <c r="AH182" s="70">
        <v>3.1737113552097454E-3</v>
      </c>
      <c r="AI182" s="70">
        <v>8.6565055987234425E-3</v>
      </c>
      <c r="AJ182" s="70">
        <v>1.1960921049784605E-2</v>
      </c>
      <c r="AK182" s="70">
        <v>1.5696974431021048E-2</v>
      </c>
    </row>
    <row r="183" spans="2:37" x14ac:dyDescent="0.35">
      <c r="B183" s="54" t="s">
        <v>339</v>
      </c>
      <c r="C183" s="52" t="s">
        <v>232</v>
      </c>
      <c r="D183" s="52" t="s">
        <v>69</v>
      </c>
      <c r="E183" s="52" t="s">
        <v>288</v>
      </c>
      <c r="F183" s="72" t="str">
        <f t="shared" si="21"/>
        <v/>
      </c>
      <c r="G183" s="59">
        <f t="shared" si="21"/>
        <v>5.9781990258039111E-3</v>
      </c>
      <c r="H183" s="59">
        <f t="shared" si="21"/>
        <v>1.2514077892866172E-2</v>
      </c>
      <c r="I183" s="59">
        <f t="shared" si="21"/>
        <v>1.6414692049025802E-2</v>
      </c>
      <c r="J183" s="62">
        <f t="shared" si="21"/>
        <v>2.0743346787553695E-2</v>
      </c>
      <c r="K183" s="59" t="str">
        <f t="shared" si="22"/>
        <v/>
      </c>
      <c r="L183" s="59">
        <f t="shared" si="22"/>
        <v>2.9127353258039108E-3</v>
      </c>
      <c r="M183" s="59">
        <f t="shared" si="22"/>
        <v>8.458973692866174E-3</v>
      </c>
      <c r="N183" s="59">
        <f t="shared" si="22"/>
        <v>1.14715871490258E-2</v>
      </c>
      <c r="O183" s="62">
        <f t="shared" si="22"/>
        <v>1.4535069487553693E-2</v>
      </c>
      <c r="P183" s="54" t="s">
        <v>21</v>
      </c>
      <c r="Q183" s="52" t="s">
        <v>21</v>
      </c>
      <c r="R183" s="93" t="s">
        <v>21</v>
      </c>
      <c r="S183" s="72">
        <v>0</v>
      </c>
      <c r="T183" s="62">
        <f t="shared" si="20"/>
        <v>1.2514077892866172E-2</v>
      </c>
      <c r="V183" s="113">
        <v>1.1099459</v>
      </c>
      <c r="W183" s="71">
        <v>2.8367958899999999</v>
      </c>
      <c r="X183" s="71">
        <v>4.34537277</v>
      </c>
      <c r="Y183" s="71">
        <v>5.6235464899999998</v>
      </c>
      <c r="Z183" s="114">
        <v>7.1668325099999999</v>
      </c>
      <c r="AB183" s="70" t="s">
        <v>21</v>
      </c>
      <c r="AC183" s="70">
        <v>5.9781990258039111E-3</v>
      </c>
      <c r="AD183" s="70">
        <v>1.2514077892866172E-2</v>
      </c>
      <c r="AE183" s="70">
        <v>1.6414692049025802E-2</v>
      </c>
      <c r="AF183" s="62">
        <v>2.0743346787553695E-2</v>
      </c>
      <c r="AG183" s="70" t="s">
        <v>21</v>
      </c>
      <c r="AH183" s="70">
        <v>2.9127353258039108E-3</v>
      </c>
      <c r="AI183" s="70">
        <v>8.458973692866174E-3</v>
      </c>
      <c r="AJ183" s="70">
        <v>1.14715871490258E-2</v>
      </c>
      <c r="AK183" s="70">
        <v>1.4535069487553693E-2</v>
      </c>
    </row>
    <row r="184" spans="2:37" x14ac:dyDescent="0.35">
      <c r="B184" s="54" t="s">
        <v>367</v>
      </c>
      <c r="C184" s="52" t="s">
        <v>232</v>
      </c>
      <c r="D184" s="52" t="s">
        <v>20</v>
      </c>
      <c r="E184" s="52" t="s">
        <v>21</v>
      </c>
      <c r="F184" s="72" t="str">
        <f t="shared" si="21"/>
        <v/>
      </c>
      <c r="G184" s="59">
        <f t="shared" si="21"/>
        <v>4.8285520426428101E-3</v>
      </c>
      <c r="H184" s="59">
        <f t="shared" si="21"/>
        <v>9.7238068452196805E-3</v>
      </c>
      <c r="I184" s="59">
        <f t="shared" si="21"/>
        <v>1.2540978443151968E-2</v>
      </c>
      <c r="J184" s="62">
        <f t="shared" si="21"/>
        <v>1.5163264695666898E-2</v>
      </c>
      <c r="K184" s="59" t="str">
        <f t="shared" si="22"/>
        <v/>
      </c>
      <c r="L184" s="59">
        <f t="shared" si="22"/>
        <v>1.6847028426428103E-3</v>
      </c>
      <c r="M184" s="59">
        <f t="shared" si="22"/>
        <v>5.5357887452196809E-3</v>
      </c>
      <c r="N184" s="59">
        <f t="shared" si="22"/>
        <v>7.4492644431519697E-3</v>
      </c>
      <c r="O184" s="62">
        <f t="shared" si="22"/>
        <v>8.756333495666898E-3</v>
      </c>
      <c r="P184" s="54" t="s">
        <v>399</v>
      </c>
      <c r="Q184" s="52" t="s">
        <v>400</v>
      </c>
      <c r="R184" s="93">
        <v>47270</v>
      </c>
      <c r="S184" s="72">
        <v>5.4927700000000001E-3</v>
      </c>
      <c r="T184" s="62">
        <f t="shared" si="20"/>
        <v>4.2310368452196804E-3</v>
      </c>
      <c r="V184" s="113">
        <v>1.11050804</v>
      </c>
      <c r="W184" s="71">
        <v>2.8455175800000001</v>
      </c>
      <c r="X184" s="71">
        <v>4.3849049199999994</v>
      </c>
      <c r="Y184" s="71">
        <v>5.7207490299999995</v>
      </c>
      <c r="Z184" s="114">
        <v>7.4042771900000002</v>
      </c>
      <c r="AB184" s="70" t="s">
        <v>21</v>
      </c>
      <c r="AC184" s="70">
        <v>4.8285520426428101E-3</v>
      </c>
      <c r="AD184" s="70">
        <v>9.7238068452196805E-3</v>
      </c>
      <c r="AE184" s="70">
        <v>1.2540978443151968E-2</v>
      </c>
      <c r="AF184" s="62">
        <v>1.5163264695666898E-2</v>
      </c>
      <c r="AG184" s="70" t="s">
        <v>21</v>
      </c>
      <c r="AH184" s="70">
        <v>1.6847028426428103E-3</v>
      </c>
      <c r="AI184" s="70">
        <v>5.5357887452196809E-3</v>
      </c>
      <c r="AJ184" s="70">
        <v>7.4492644431519697E-3</v>
      </c>
      <c r="AK184" s="70">
        <v>8.756333495666898E-3</v>
      </c>
    </row>
    <row r="185" spans="2:37" x14ac:dyDescent="0.35">
      <c r="B185" s="54" t="s">
        <v>359</v>
      </c>
      <c r="C185" s="52" t="s">
        <v>232</v>
      </c>
      <c r="D185" s="52" t="s">
        <v>20</v>
      </c>
      <c r="E185" s="52" t="s">
        <v>128</v>
      </c>
      <c r="F185" s="72" t="str">
        <f t="shared" si="21"/>
        <v/>
      </c>
      <c r="G185" s="59">
        <f t="shared" si="21"/>
        <v>6.3187200392146843E-3</v>
      </c>
      <c r="H185" s="59">
        <f t="shared" si="21"/>
        <v>1.2826133782972945E-2</v>
      </c>
      <c r="I185" s="59">
        <f t="shared" si="21"/>
        <v>1.5884112832240897E-2</v>
      </c>
      <c r="J185" s="62">
        <f t="shared" si="21"/>
        <v>1.9150102165658489E-2</v>
      </c>
      <c r="K185" s="59" t="str">
        <f t="shared" si="22"/>
        <v/>
      </c>
      <c r="L185" s="59">
        <f t="shared" si="22"/>
        <v>3.2713840392146866E-3</v>
      </c>
      <c r="M185" s="59">
        <f t="shared" si="22"/>
        <v>8.7801515829729476E-3</v>
      </c>
      <c r="N185" s="59">
        <f t="shared" si="22"/>
        <v>1.0932069332240895E-2</v>
      </c>
      <c r="O185" s="62">
        <f t="shared" si="22"/>
        <v>1.2915728065658489E-2</v>
      </c>
      <c r="P185" s="54" t="s">
        <v>21</v>
      </c>
      <c r="Q185" s="52" t="s">
        <v>21</v>
      </c>
      <c r="R185" s="93" t="s">
        <v>21</v>
      </c>
      <c r="S185" s="72">
        <v>0</v>
      </c>
      <c r="T185" s="62">
        <f t="shared" si="20"/>
        <v>1.2826133782972945E-2</v>
      </c>
      <c r="V185" s="113">
        <v>1.10965734</v>
      </c>
      <c r="W185" s="71">
        <v>2.8353259</v>
      </c>
      <c r="X185" s="71">
        <v>4.3418154200000005</v>
      </c>
      <c r="Y185" s="71">
        <v>5.62472818</v>
      </c>
      <c r="Z185" s="114">
        <v>7.20155484</v>
      </c>
      <c r="AB185" s="70" t="s">
        <v>21</v>
      </c>
      <c r="AC185" s="70">
        <v>6.3187200392146843E-3</v>
      </c>
      <c r="AD185" s="70">
        <v>1.2826133782972945E-2</v>
      </c>
      <c r="AE185" s="70">
        <v>1.5884112832240897E-2</v>
      </c>
      <c r="AF185" s="62">
        <v>1.9150102165658489E-2</v>
      </c>
      <c r="AG185" s="70" t="s">
        <v>21</v>
      </c>
      <c r="AH185" s="70">
        <v>3.2713840392146866E-3</v>
      </c>
      <c r="AI185" s="70">
        <v>8.7801515829729476E-3</v>
      </c>
      <c r="AJ185" s="70">
        <v>1.0932069332240895E-2</v>
      </c>
      <c r="AK185" s="70">
        <v>1.2915728065658489E-2</v>
      </c>
    </row>
    <row r="186" spans="2:37" x14ac:dyDescent="0.35">
      <c r="B186" s="54" t="s">
        <v>136</v>
      </c>
      <c r="C186" s="52" t="s">
        <v>232</v>
      </c>
      <c r="D186" s="52" t="s">
        <v>47</v>
      </c>
      <c r="E186" s="52" t="s">
        <v>21</v>
      </c>
      <c r="F186" s="72" t="str">
        <f t="shared" si="21"/>
        <v/>
      </c>
      <c r="G186" s="59">
        <f t="shared" si="21"/>
        <v>5.7927446393359807E-3</v>
      </c>
      <c r="H186" s="59">
        <f t="shared" si="21"/>
        <v>1.2161159835985303E-2</v>
      </c>
      <c r="I186" s="59">
        <f t="shared" si="21"/>
        <v>1.5882957094894398E-2</v>
      </c>
      <c r="J186" s="62">
        <f t="shared" si="21"/>
        <v>1.9832199540298509E-2</v>
      </c>
      <c r="K186" s="59" t="str">
        <f t="shared" si="22"/>
        <v/>
      </c>
      <c r="L186" s="59">
        <f t="shared" si="22"/>
        <v>2.7167311393359842E-3</v>
      </c>
      <c r="M186" s="59">
        <f t="shared" si="22"/>
        <v>8.0944341359853039E-3</v>
      </c>
      <c r="N186" s="59">
        <f t="shared" si="22"/>
        <v>1.0928048694894398E-2</v>
      </c>
      <c r="O186" s="62">
        <f t="shared" si="22"/>
        <v>1.3608733240298508E-2</v>
      </c>
      <c r="P186" s="54" t="s">
        <v>506</v>
      </c>
      <c r="Q186" s="52" t="s">
        <v>507</v>
      </c>
      <c r="R186" s="93">
        <v>47559</v>
      </c>
      <c r="S186" s="72">
        <v>6.71654E-3</v>
      </c>
      <c r="T186" s="62">
        <f t="shared" si="20"/>
        <v>5.4446198359853031E-3</v>
      </c>
      <c r="V186" s="113">
        <v>1.10980543</v>
      </c>
      <c r="W186" s="71">
        <v>2.8382373900000002</v>
      </c>
      <c r="X186" s="71">
        <v>4.3506888400000001</v>
      </c>
      <c r="Y186" s="71">
        <v>5.6366158799999999</v>
      </c>
      <c r="Z186" s="114">
        <v>7.2016776599999996</v>
      </c>
      <c r="AB186" s="70" t="s">
        <v>21</v>
      </c>
      <c r="AC186" s="70">
        <v>5.7927446393359807E-3</v>
      </c>
      <c r="AD186" s="70">
        <v>1.2161159835985303E-2</v>
      </c>
      <c r="AE186" s="70">
        <v>1.5882957094894398E-2</v>
      </c>
      <c r="AF186" s="62">
        <v>1.9832199540298509E-2</v>
      </c>
      <c r="AG186" s="70" t="s">
        <v>21</v>
      </c>
      <c r="AH186" s="70">
        <v>2.7167311393359842E-3</v>
      </c>
      <c r="AI186" s="70">
        <v>8.0944341359853039E-3</v>
      </c>
      <c r="AJ186" s="70">
        <v>1.0928048694894398E-2</v>
      </c>
      <c r="AK186" s="70">
        <v>1.3608733240298508E-2</v>
      </c>
    </row>
    <row r="187" spans="2:37" x14ac:dyDescent="0.35">
      <c r="B187" s="54" t="s">
        <v>238</v>
      </c>
      <c r="C187" s="52" t="s">
        <v>232</v>
      </c>
      <c r="D187" s="52" t="s">
        <v>20</v>
      </c>
      <c r="E187" s="52" t="s">
        <v>21</v>
      </c>
      <c r="F187" s="72" t="str">
        <f t="shared" si="21"/>
        <v/>
      </c>
      <c r="G187" s="59">
        <f t="shared" si="21"/>
        <v>6.4442502670890309E-3</v>
      </c>
      <c r="H187" s="59">
        <f t="shared" si="21"/>
        <v>1.2542519071706053E-2</v>
      </c>
      <c r="I187" s="59">
        <f t="shared" si="21"/>
        <v>1.6721833320978111E-2</v>
      </c>
      <c r="J187" s="62">
        <f t="shared" si="21"/>
        <v>2.0415772187851455E-2</v>
      </c>
      <c r="K187" s="59" t="str">
        <f t="shared" si="22"/>
        <v/>
      </c>
      <c r="L187" s="59">
        <f t="shared" si="22"/>
        <v>3.4030509670890325E-3</v>
      </c>
      <c r="M187" s="59">
        <f t="shared" si="22"/>
        <v>8.4883776717060537E-3</v>
      </c>
      <c r="N187" s="59">
        <f t="shared" si="22"/>
        <v>1.1783705920978106E-2</v>
      </c>
      <c r="O187" s="62">
        <f t="shared" si="22"/>
        <v>1.4207317387851456E-2</v>
      </c>
      <c r="P187" s="54" t="s">
        <v>508</v>
      </c>
      <c r="Q187" s="52" t="s">
        <v>509</v>
      </c>
      <c r="R187" s="93">
        <v>47515</v>
      </c>
      <c r="S187" s="72">
        <v>1.0598929999999999E-2</v>
      </c>
      <c r="T187" s="62">
        <f t="shared" si="20"/>
        <v>1.9435890717060533E-3</v>
      </c>
      <c r="V187" s="113">
        <v>1.1099978500000001</v>
      </c>
      <c r="W187" s="71">
        <v>2.8336331499999998</v>
      </c>
      <c r="X187" s="71">
        <v>4.34092682</v>
      </c>
      <c r="Y187" s="71">
        <v>5.6139954100000002</v>
      </c>
      <c r="Z187" s="114">
        <v>7.1580288300000001</v>
      </c>
      <c r="AB187" s="70" t="s">
        <v>21</v>
      </c>
      <c r="AC187" s="70">
        <v>6.4442502670890309E-3</v>
      </c>
      <c r="AD187" s="70">
        <v>1.2542519071706053E-2</v>
      </c>
      <c r="AE187" s="70">
        <v>1.6721833320978111E-2</v>
      </c>
      <c r="AF187" s="62">
        <v>2.0415772187851455E-2</v>
      </c>
      <c r="AG187" s="70" t="s">
        <v>21</v>
      </c>
      <c r="AH187" s="70">
        <v>3.4030509670890325E-3</v>
      </c>
      <c r="AI187" s="70">
        <v>8.4883776717060537E-3</v>
      </c>
      <c r="AJ187" s="70">
        <v>1.1783705920978106E-2</v>
      </c>
      <c r="AK187" s="70">
        <v>1.4207317387851456E-2</v>
      </c>
    </row>
    <row r="188" spans="2:37" x14ac:dyDescent="0.35">
      <c r="B188" s="54" t="s">
        <v>324</v>
      </c>
      <c r="C188" s="52" t="s">
        <v>232</v>
      </c>
      <c r="D188" s="52" t="s">
        <v>20</v>
      </c>
      <c r="E188" s="52" t="s">
        <v>429</v>
      </c>
      <c r="F188" s="72" t="str">
        <f t="shared" si="21"/>
        <v/>
      </c>
      <c r="G188" s="59">
        <f t="shared" si="21"/>
        <v>5.8622050416919595E-3</v>
      </c>
      <c r="H188" s="59">
        <f t="shared" si="21"/>
        <v>1.2544581536456588E-2</v>
      </c>
      <c r="I188" s="59">
        <f t="shared" si="21"/>
        <v>1.6510269743325822E-2</v>
      </c>
      <c r="J188" s="62">
        <f t="shared" si="21"/>
        <v>1.9982528952949191E-2</v>
      </c>
      <c r="K188" s="59" t="str">
        <f t="shared" si="22"/>
        <v/>
      </c>
      <c r="L188" s="59">
        <f t="shared" si="22"/>
        <v>2.7894605416919583E-3</v>
      </c>
      <c r="M188" s="59">
        <f t="shared" si="22"/>
        <v>8.4906204364565887E-3</v>
      </c>
      <c r="N188" s="59">
        <f t="shared" si="22"/>
        <v>1.1570620943325819E-2</v>
      </c>
      <c r="O188" s="62">
        <f t="shared" si="22"/>
        <v>1.3769123952949189E-2</v>
      </c>
      <c r="P188" s="54" t="s">
        <v>21</v>
      </c>
      <c r="Q188" s="52" t="s">
        <v>21</v>
      </c>
      <c r="R188" s="93" t="s">
        <v>21</v>
      </c>
      <c r="S188" s="72">
        <v>0</v>
      </c>
      <c r="T188" s="62">
        <f t="shared" si="20"/>
        <v>1.2544581536456588E-2</v>
      </c>
      <c r="V188" s="113">
        <v>1.1109518899999999</v>
      </c>
      <c r="W188" s="71">
        <v>2.8400560399999999</v>
      </c>
      <c r="X188" s="71">
        <v>4.3486879700000003</v>
      </c>
      <c r="Y188" s="71">
        <v>5.6240257699999994</v>
      </c>
      <c r="Z188" s="114">
        <v>7.1788166599999998</v>
      </c>
      <c r="AB188" s="70" t="s">
        <v>21</v>
      </c>
      <c r="AC188" s="70">
        <v>5.8622050416919595E-3</v>
      </c>
      <c r="AD188" s="70">
        <v>1.2544581536456588E-2</v>
      </c>
      <c r="AE188" s="70">
        <v>1.6510269743325822E-2</v>
      </c>
      <c r="AF188" s="62">
        <v>1.9982528952949191E-2</v>
      </c>
      <c r="AG188" s="70" t="s">
        <v>21</v>
      </c>
      <c r="AH188" s="70">
        <v>2.7894605416919583E-3</v>
      </c>
      <c r="AI188" s="70">
        <v>8.4906204364565887E-3</v>
      </c>
      <c r="AJ188" s="70">
        <v>1.1570620943325819E-2</v>
      </c>
      <c r="AK188" s="70">
        <v>1.3769123952949189E-2</v>
      </c>
    </row>
    <row r="189" spans="2:37" x14ac:dyDescent="0.35">
      <c r="B189" s="54" t="s">
        <v>155</v>
      </c>
      <c r="C189" s="52" t="s">
        <v>232</v>
      </c>
      <c r="D189" s="52" t="s">
        <v>131</v>
      </c>
      <c r="E189" s="52" t="s">
        <v>75</v>
      </c>
      <c r="F189" s="72" t="str">
        <f t="shared" si="21"/>
        <v/>
      </c>
      <c r="G189" s="59">
        <f t="shared" si="21"/>
        <v>5.6656621325248731E-3</v>
      </c>
      <c r="H189" s="59">
        <f t="shared" si="21"/>
        <v>1.2019649278216478E-2</v>
      </c>
      <c r="I189" s="59">
        <f t="shared" si="21"/>
        <v>1.6044898327802263E-2</v>
      </c>
      <c r="J189" s="62">
        <f t="shared" si="21"/>
        <v>2.0180639228429491E-2</v>
      </c>
      <c r="K189" s="59" t="str">
        <f t="shared" si="22"/>
        <v/>
      </c>
      <c r="L189" s="59">
        <f t="shared" si="22"/>
        <v>2.58133983252487E-3</v>
      </c>
      <c r="M189" s="59">
        <f t="shared" si="22"/>
        <v>7.9471145782164798E-3</v>
      </c>
      <c r="N189" s="59">
        <f t="shared" si="22"/>
        <v>1.1092343027802258E-2</v>
      </c>
      <c r="O189" s="62">
        <f t="shared" si="22"/>
        <v>1.3963263428429488E-2</v>
      </c>
      <c r="P189" s="54" t="s">
        <v>510</v>
      </c>
      <c r="Q189" s="52" t="s">
        <v>511</v>
      </c>
      <c r="R189" s="93">
        <v>47534</v>
      </c>
      <c r="S189" s="72">
        <v>9.4116200000000007E-3</v>
      </c>
      <c r="T189" s="62">
        <f t="shared" si="20"/>
        <v>2.6080292782164772E-3</v>
      </c>
      <c r="V189" s="113">
        <v>1.1101571100000001</v>
      </c>
      <c r="W189" s="71">
        <v>2.8391735699999998</v>
      </c>
      <c r="X189" s="71">
        <v>4.3534101300000003</v>
      </c>
      <c r="Y189" s="71">
        <v>5.6377915400000003</v>
      </c>
      <c r="Z189" s="114">
        <v>7.1945808500000004</v>
      </c>
      <c r="AB189" s="70" t="s">
        <v>21</v>
      </c>
      <c r="AC189" s="70">
        <v>5.6656621325248731E-3</v>
      </c>
      <c r="AD189" s="70">
        <v>1.2019649278216478E-2</v>
      </c>
      <c r="AE189" s="70">
        <v>1.6044898327802263E-2</v>
      </c>
      <c r="AF189" s="62">
        <v>2.0180639228429491E-2</v>
      </c>
      <c r="AG189" s="70" t="s">
        <v>21</v>
      </c>
      <c r="AH189" s="70">
        <v>2.58133983252487E-3</v>
      </c>
      <c r="AI189" s="70">
        <v>7.9471145782164798E-3</v>
      </c>
      <c r="AJ189" s="70">
        <v>1.1092343027802258E-2</v>
      </c>
      <c r="AK189" s="70">
        <v>1.3963263428429488E-2</v>
      </c>
    </row>
    <row r="190" spans="2:37" x14ac:dyDescent="0.35">
      <c r="B190" s="54" t="s">
        <v>265</v>
      </c>
      <c r="C190" s="52" t="s">
        <v>232</v>
      </c>
      <c r="D190" s="52" t="s">
        <v>31</v>
      </c>
      <c r="E190" s="52" t="s">
        <v>21</v>
      </c>
      <c r="F190" s="72" t="str">
        <f t="shared" si="21"/>
        <v/>
      </c>
      <c r="G190" s="59">
        <f t="shared" si="21"/>
        <v>5.9312273581613754E-3</v>
      </c>
      <c r="H190" s="59">
        <f t="shared" si="21"/>
        <v>1.1963593784530921E-2</v>
      </c>
      <c r="I190" s="59">
        <f t="shared" si="21"/>
        <v>1.5397868260947814E-2</v>
      </c>
      <c r="J190" s="62">
        <f t="shared" si="21"/>
        <v>1.7959035786726963E-2</v>
      </c>
      <c r="K190" s="59" t="str">
        <f t="shared" si="22"/>
        <v/>
      </c>
      <c r="L190" s="59">
        <f t="shared" si="22"/>
        <v>2.8626739581613754E-3</v>
      </c>
      <c r="M190" s="59">
        <f t="shared" si="22"/>
        <v>7.8896111845309265E-3</v>
      </c>
      <c r="N190" s="59">
        <f t="shared" si="22"/>
        <v>1.0429975860947814E-2</v>
      </c>
      <c r="O190" s="62">
        <f t="shared" si="22"/>
        <v>1.1691033686726963E-2</v>
      </c>
      <c r="P190" s="54" t="s">
        <v>512</v>
      </c>
      <c r="Q190" s="52" t="s">
        <v>513</v>
      </c>
      <c r="R190" s="93">
        <v>47679</v>
      </c>
      <c r="S190" s="72">
        <v>1.18455E-2</v>
      </c>
      <c r="T190" s="62">
        <f t="shared" si="20"/>
        <v>1.180937845309208E-4</v>
      </c>
      <c r="V190" s="113">
        <v>1.11045974</v>
      </c>
      <c r="W190" s="71">
        <v>2.8380658100000002</v>
      </c>
      <c r="X190" s="71">
        <v>4.3521669100000002</v>
      </c>
      <c r="Y190" s="71">
        <v>5.6449736599999998</v>
      </c>
      <c r="Z190" s="114">
        <v>7.2510937900000005</v>
      </c>
      <c r="AB190" s="70" t="s">
        <v>21</v>
      </c>
      <c r="AC190" s="70">
        <v>5.9312273581613754E-3</v>
      </c>
      <c r="AD190" s="70">
        <v>1.1963593784530921E-2</v>
      </c>
      <c r="AE190" s="70">
        <v>1.5397868260947814E-2</v>
      </c>
      <c r="AF190" s="62">
        <v>1.7959035786726963E-2</v>
      </c>
      <c r="AG190" s="70" t="s">
        <v>21</v>
      </c>
      <c r="AH190" s="70">
        <v>2.8626739581613754E-3</v>
      </c>
      <c r="AI190" s="70">
        <v>7.8896111845309265E-3</v>
      </c>
      <c r="AJ190" s="70">
        <v>1.0429975860947814E-2</v>
      </c>
      <c r="AK190" s="70">
        <v>1.1691033686726963E-2</v>
      </c>
    </row>
    <row r="191" spans="2:37" x14ac:dyDescent="0.35">
      <c r="B191" s="54" t="s">
        <v>320</v>
      </c>
      <c r="C191" s="52" t="s">
        <v>232</v>
      </c>
      <c r="D191" s="52" t="s">
        <v>69</v>
      </c>
      <c r="E191" s="52" t="s">
        <v>21</v>
      </c>
      <c r="F191" s="72" t="str">
        <f t="shared" si="21"/>
        <v/>
      </c>
      <c r="G191" s="59">
        <f t="shared" si="21"/>
        <v>5.7996160178177096E-3</v>
      </c>
      <c r="H191" s="59">
        <f t="shared" si="21"/>
        <v>1.1967461834133875E-2</v>
      </c>
      <c r="I191" s="59">
        <f t="shared" si="21"/>
        <v>1.6294162534655592E-2</v>
      </c>
      <c r="J191" s="62">
        <f t="shared" si="21"/>
        <v>1.9924016267405812E-2</v>
      </c>
      <c r="K191" s="59" t="str">
        <f t="shared" si="22"/>
        <v/>
      </c>
      <c r="L191" s="59">
        <f t="shared" si="22"/>
        <v>2.7234165178177138E-3</v>
      </c>
      <c r="M191" s="59">
        <f t="shared" si="22"/>
        <v>7.8934423341338773E-3</v>
      </c>
      <c r="N191" s="59">
        <f t="shared" si="22"/>
        <v>1.1346495634655592E-2</v>
      </c>
      <c r="O191" s="62">
        <f t="shared" si="22"/>
        <v>1.3705162067405813E-2</v>
      </c>
      <c r="P191" s="54" t="s">
        <v>21</v>
      </c>
      <c r="Q191" s="52" t="s">
        <v>21</v>
      </c>
      <c r="R191" s="93" t="s">
        <v>21</v>
      </c>
      <c r="S191" s="72">
        <v>0</v>
      </c>
      <c r="T191" s="62">
        <f t="shared" si="20"/>
        <v>1.1967461834133875E-2</v>
      </c>
      <c r="V191" s="113">
        <v>1.11046044</v>
      </c>
      <c r="W191" s="71">
        <v>2.8388960999999999</v>
      </c>
      <c r="X191" s="71">
        <v>4.3532978</v>
      </c>
      <c r="Y191" s="71">
        <v>5.6347500199999994</v>
      </c>
      <c r="Z191" s="114">
        <v>7.1946003499999991</v>
      </c>
      <c r="AB191" s="70" t="s">
        <v>21</v>
      </c>
      <c r="AC191" s="70">
        <v>5.7996160178177096E-3</v>
      </c>
      <c r="AD191" s="70">
        <v>1.1967461834133875E-2</v>
      </c>
      <c r="AE191" s="70">
        <v>1.6294162534655592E-2</v>
      </c>
      <c r="AF191" s="62">
        <v>1.9924016267405812E-2</v>
      </c>
      <c r="AG191" s="70" t="s">
        <v>21</v>
      </c>
      <c r="AH191" s="70">
        <v>2.7234165178177138E-3</v>
      </c>
      <c r="AI191" s="70">
        <v>7.8934423341338773E-3</v>
      </c>
      <c r="AJ191" s="70">
        <v>1.1346495634655592E-2</v>
      </c>
      <c r="AK191" s="70">
        <v>1.3705162067405813E-2</v>
      </c>
    </row>
    <row r="192" spans="2:37" x14ac:dyDescent="0.35">
      <c r="B192" s="54" t="s">
        <v>124</v>
      </c>
      <c r="C192" s="52" t="s">
        <v>232</v>
      </c>
      <c r="D192" s="52" t="s">
        <v>69</v>
      </c>
      <c r="E192" s="52" t="s">
        <v>112</v>
      </c>
      <c r="F192" s="72" t="str">
        <f t="shared" si="21"/>
        <v/>
      </c>
      <c r="G192" s="59">
        <f t="shared" si="21"/>
        <v>5.6079733728323531E-3</v>
      </c>
      <c r="H192" s="59">
        <f t="shared" si="21"/>
        <v>1.1976685467812248E-2</v>
      </c>
      <c r="I192" s="59">
        <f t="shared" si="21"/>
        <v>1.6101160526509898E-2</v>
      </c>
      <c r="J192" s="62">
        <f t="shared" si="21"/>
        <v>2.0330669688513499E-2</v>
      </c>
      <c r="K192" s="59" t="str">
        <f t="shared" si="22"/>
        <v/>
      </c>
      <c r="L192" s="59">
        <f t="shared" si="22"/>
        <v>2.5198735728323542E-3</v>
      </c>
      <c r="M192" s="59">
        <f t="shared" si="22"/>
        <v>7.9026704678122513E-3</v>
      </c>
      <c r="N192" s="59">
        <f t="shared" si="22"/>
        <v>1.1149916926509896E-2</v>
      </c>
      <c r="O192" s="62">
        <f t="shared" si="22"/>
        <v>1.4116207788513496E-2</v>
      </c>
      <c r="P192" s="54" t="s">
        <v>21</v>
      </c>
      <c r="Q192" s="52" t="s">
        <v>21</v>
      </c>
      <c r="R192" s="93" t="s">
        <v>21</v>
      </c>
      <c r="S192" s="72">
        <v>0</v>
      </c>
      <c r="T192" s="62">
        <f t="shared" si="20"/>
        <v>1.1976685467812248E-2</v>
      </c>
      <c r="V192" s="113">
        <v>1.1106653500000001</v>
      </c>
      <c r="W192" s="71">
        <v>2.8404944000000003</v>
      </c>
      <c r="X192" s="71">
        <v>4.35531764</v>
      </c>
      <c r="Y192" s="71">
        <v>5.6391177600000004</v>
      </c>
      <c r="Z192" s="114">
        <v>7.19242574</v>
      </c>
      <c r="AB192" s="70" t="s">
        <v>21</v>
      </c>
      <c r="AC192" s="70">
        <v>5.6079733728323531E-3</v>
      </c>
      <c r="AD192" s="70">
        <v>1.1976685467812248E-2</v>
      </c>
      <c r="AE192" s="70">
        <v>1.6101160526509898E-2</v>
      </c>
      <c r="AF192" s="62">
        <v>2.0330669688513499E-2</v>
      </c>
      <c r="AG192" s="70" t="s">
        <v>21</v>
      </c>
      <c r="AH192" s="70">
        <v>2.5198735728323542E-3</v>
      </c>
      <c r="AI192" s="70">
        <v>7.9026704678122513E-3</v>
      </c>
      <c r="AJ192" s="70">
        <v>1.1149916926509896E-2</v>
      </c>
      <c r="AK192" s="70">
        <v>1.4116207788513496E-2</v>
      </c>
    </row>
    <row r="193" spans="2:37" x14ac:dyDescent="0.35">
      <c r="B193" s="54" t="s">
        <v>241</v>
      </c>
      <c r="C193" s="52" t="s">
        <v>232</v>
      </c>
      <c r="D193" s="52" t="s">
        <v>43</v>
      </c>
      <c r="E193" s="52" t="s">
        <v>243</v>
      </c>
      <c r="F193" s="72" t="str">
        <f t="shared" si="21"/>
        <v/>
      </c>
      <c r="G193" s="59">
        <f t="shared" si="21"/>
        <v>5.723965247234529E-3</v>
      </c>
      <c r="H193" s="59">
        <f t="shared" si="21"/>
        <v>1.1916260536498339E-2</v>
      </c>
      <c r="I193" s="59">
        <f t="shared" si="21"/>
        <v>1.6047718407088858E-2</v>
      </c>
      <c r="J193" s="62">
        <f t="shared" si="21"/>
        <v>2.0182023572099195E-2</v>
      </c>
      <c r="K193" s="59" t="str">
        <f t="shared" si="22"/>
        <v/>
      </c>
      <c r="L193" s="59">
        <f t="shared" si="22"/>
        <v>2.6432460472345272E-3</v>
      </c>
      <c r="M193" s="59">
        <f t="shared" si="22"/>
        <v>7.8401894364983401E-3</v>
      </c>
      <c r="N193" s="59">
        <f t="shared" si="22"/>
        <v>1.1094877807088861E-2</v>
      </c>
      <c r="O193" s="62">
        <f t="shared" si="22"/>
        <v>1.3964715072099195E-2</v>
      </c>
      <c r="P193" s="54" t="s">
        <v>514</v>
      </c>
      <c r="Q193" s="52" t="s">
        <v>515</v>
      </c>
      <c r="R193" s="93" t="s">
        <v>32</v>
      </c>
      <c r="S193" s="72">
        <v>1.0416089999999999E-2</v>
      </c>
      <c r="T193" s="62">
        <f t="shared" si="20"/>
        <v>1.5001705364983391E-3</v>
      </c>
      <c r="V193" s="113">
        <v>1.1101949599999998</v>
      </c>
      <c r="W193" s="71">
        <v>2.8391052000000001</v>
      </c>
      <c r="X193" s="71">
        <v>4.3541865499999997</v>
      </c>
      <c r="Y193" s="71">
        <v>5.63887801</v>
      </c>
      <c r="Z193" s="114">
        <v>7.1955456</v>
      </c>
      <c r="AB193" s="70" t="s">
        <v>21</v>
      </c>
      <c r="AC193" s="70">
        <v>5.723965247234529E-3</v>
      </c>
      <c r="AD193" s="70">
        <v>1.1916260536498339E-2</v>
      </c>
      <c r="AE193" s="70">
        <v>1.6047718407088858E-2</v>
      </c>
      <c r="AF193" s="62">
        <v>2.0182023572099195E-2</v>
      </c>
      <c r="AG193" s="70" t="s">
        <v>21</v>
      </c>
      <c r="AH193" s="70">
        <v>2.6432460472345272E-3</v>
      </c>
      <c r="AI193" s="70">
        <v>7.8401894364983401E-3</v>
      </c>
      <c r="AJ193" s="70">
        <v>1.1094877807088861E-2</v>
      </c>
      <c r="AK193" s="70">
        <v>1.3964715072099195E-2</v>
      </c>
    </row>
    <row r="194" spans="2:37" x14ac:dyDescent="0.35">
      <c r="B194" s="54" t="s">
        <v>154</v>
      </c>
      <c r="C194" s="52" t="s">
        <v>232</v>
      </c>
      <c r="D194" s="52" t="s">
        <v>43</v>
      </c>
      <c r="E194" s="52" t="s">
        <v>81</v>
      </c>
      <c r="F194" s="72" t="str">
        <f t="shared" si="21"/>
        <v/>
      </c>
      <c r="G194" s="59">
        <f t="shared" si="21"/>
        <v>5.4923363520870214E-3</v>
      </c>
      <c r="H194" s="59">
        <f t="shared" si="21"/>
        <v>1.1922872284552775E-2</v>
      </c>
      <c r="I194" s="59">
        <f t="shared" si="21"/>
        <v>1.5852687653312662E-2</v>
      </c>
      <c r="J194" s="62">
        <f t="shared" si="21"/>
        <v>1.9596834787029973E-2</v>
      </c>
      <c r="K194" s="59" t="str">
        <f t="shared" si="22"/>
        <v/>
      </c>
      <c r="L194" s="59">
        <f t="shared" si="22"/>
        <v>2.397123852087023E-3</v>
      </c>
      <c r="M194" s="59">
        <f t="shared" si="22"/>
        <v>7.846611984552776E-3</v>
      </c>
      <c r="N194" s="59">
        <f t="shared" si="22"/>
        <v>1.089577195331266E-2</v>
      </c>
      <c r="O194" s="62">
        <f t="shared" si="22"/>
        <v>1.3369642587029974E-2</v>
      </c>
      <c r="P194" s="54" t="s">
        <v>516</v>
      </c>
      <c r="Q194" s="52" t="s">
        <v>517</v>
      </c>
      <c r="R194" s="93">
        <v>47536</v>
      </c>
      <c r="S194" s="72">
        <v>6.3702699999999999E-3</v>
      </c>
      <c r="T194" s="62">
        <f t="shared" si="20"/>
        <v>5.5526022845527748E-3</v>
      </c>
      <c r="V194" s="113">
        <v>1.11018824</v>
      </c>
      <c r="W194" s="71">
        <v>2.8403229099999998</v>
      </c>
      <c r="X194" s="71">
        <v>4.3559475700000005</v>
      </c>
      <c r="Y194" s="71">
        <v>5.6430125200000001</v>
      </c>
      <c r="Z194" s="114">
        <v>7.2127056300000003</v>
      </c>
      <c r="AB194" s="70" t="s">
        <v>21</v>
      </c>
      <c r="AC194" s="70">
        <v>5.4923363520870214E-3</v>
      </c>
      <c r="AD194" s="70">
        <v>1.1922872284552775E-2</v>
      </c>
      <c r="AE194" s="70">
        <v>1.5852687653312662E-2</v>
      </c>
      <c r="AF194" s="62">
        <v>1.9596834787029973E-2</v>
      </c>
      <c r="AG194" s="70" t="s">
        <v>21</v>
      </c>
      <c r="AH194" s="70">
        <v>2.397123852087023E-3</v>
      </c>
      <c r="AI194" s="70">
        <v>7.846611984552776E-3</v>
      </c>
      <c r="AJ194" s="70">
        <v>1.089577195331266E-2</v>
      </c>
      <c r="AK194" s="70">
        <v>1.3369642587029974E-2</v>
      </c>
    </row>
    <row r="195" spans="2:37" x14ac:dyDescent="0.35">
      <c r="B195" s="54" t="s">
        <v>334</v>
      </c>
      <c r="C195" s="52" t="s">
        <v>232</v>
      </c>
      <c r="D195" s="52" t="s">
        <v>20</v>
      </c>
      <c r="E195" s="52" t="s">
        <v>253</v>
      </c>
      <c r="F195" s="72" t="str">
        <f t="shared" si="21"/>
        <v/>
      </c>
      <c r="G195" s="59">
        <f t="shared" si="21"/>
        <v>6.5362776532770783E-3</v>
      </c>
      <c r="H195" s="59">
        <f t="shared" si="21"/>
        <v>1.2323563181807315E-2</v>
      </c>
      <c r="I195" s="59">
        <f t="shared" si="21"/>
        <v>1.5825097521434576E-2</v>
      </c>
      <c r="J195" s="62">
        <f t="shared" si="21"/>
        <v>1.9356797943021288E-2</v>
      </c>
      <c r="K195" s="59" t="str">
        <f t="shared" si="22"/>
        <v/>
      </c>
      <c r="L195" s="59">
        <f t="shared" si="22"/>
        <v>3.5001131532770781E-3</v>
      </c>
      <c r="M195" s="59">
        <f t="shared" si="22"/>
        <v>8.2619556818073168E-3</v>
      </c>
      <c r="N195" s="59">
        <f t="shared" si="22"/>
        <v>1.0867511921434574E-2</v>
      </c>
      <c r="O195" s="62">
        <f t="shared" si="22"/>
        <v>1.3120238743021284E-2</v>
      </c>
      <c r="P195" s="54" t="s">
        <v>21</v>
      </c>
      <c r="Q195" s="52" t="s">
        <v>21</v>
      </c>
      <c r="R195" s="93" t="s">
        <v>21</v>
      </c>
      <c r="S195" s="72">
        <v>0</v>
      </c>
      <c r="T195" s="62">
        <f t="shared" si="20"/>
        <v>1.2323563181807315E-2</v>
      </c>
      <c r="V195" s="113">
        <v>1.1076297500000001</v>
      </c>
      <c r="W195" s="71">
        <v>2.8293364800000003</v>
      </c>
      <c r="X195" s="71">
        <v>4.3384876800000001</v>
      </c>
      <c r="Y195" s="71">
        <v>5.6240362800000003</v>
      </c>
      <c r="Z195" s="114">
        <v>7.2008445200000004</v>
      </c>
      <c r="AB195" s="70" t="s">
        <v>21</v>
      </c>
      <c r="AC195" s="70">
        <v>6.5362776532770783E-3</v>
      </c>
      <c r="AD195" s="70">
        <v>1.2323563181807315E-2</v>
      </c>
      <c r="AE195" s="70">
        <v>1.5825097521434576E-2</v>
      </c>
      <c r="AF195" s="62">
        <v>1.9356797943021288E-2</v>
      </c>
      <c r="AG195" s="70" t="s">
        <v>21</v>
      </c>
      <c r="AH195" s="70">
        <v>3.5001131532770781E-3</v>
      </c>
      <c r="AI195" s="70">
        <v>8.2619556818073168E-3</v>
      </c>
      <c r="AJ195" s="70">
        <v>1.0867511921434574E-2</v>
      </c>
      <c r="AK195" s="70">
        <v>1.3120238743021284E-2</v>
      </c>
    </row>
    <row r="196" spans="2:37" x14ac:dyDescent="0.35">
      <c r="B196" s="54" t="s">
        <v>335</v>
      </c>
      <c r="C196" s="52" t="s">
        <v>232</v>
      </c>
      <c r="D196" s="52" t="s">
        <v>20</v>
      </c>
      <c r="E196" s="52" t="s">
        <v>123</v>
      </c>
      <c r="F196" s="72" t="str">
        <f t="shared" si="21"/>
        <v/>
      </c>
      <c r="G196" s="59">
        <f t="shared" si="21"/>
        <v>6.1229835469751581E-3</v>
      </c>
      <c r="H196" s="59">
        <f t="shared" si="21"/>
        <v>1.2359296478920496E-2</v>
      </c>
      <c r="I196" s="59">
        <f t="shared" si="21"/>
        <v>1.6339712140244447E-2</v>
      </c>
      <c r="J196" s="62">
        <f t="shared" si="21"/>
        <v>1.9649471893278078E-2</v>
      </c>
      <c r="K196" s="59" t="str">
        <f t="shared" si="22"/>
        <v/>
      </c>
      <c r="L196" s="59">
        <f t="shared" si="22"/>
        <v>3.0652936469751581E-3</v>
      </c>
      <c r="M196" s="59">
        <f t="shared" si="22"/>
        <v>8.2993018789204974E-3</v>
      </c>
      <c r="N196" s="59">
        <f t="shared" si="22"/>
        <v>1.1395137140244446E-2</v>
      </c>
      <c r="O196" s="62">
        <f t="shared" si="22"/>
        <v>1.3429722193278079E-2</v>
      </c>
      <c r="P196" s="54" t="s">
        <v>383</v>
      </c>
      <c r="Q196" s="52" t="s">
        <v>384</v>
      </c>
      <c r="R196" s="93">
        <v>47624</v>
      </c>
      <c r="S196" s="72">
        <v>1.0409010000000002E-2</v>
      </c>
      <c r="T196" s="62">
        <f t="shared" si="20"/>
        <v>1.9502864789204943E-3</v>
      </c>
      <c r="V196" s="113">
        <v>1.11027476</v>
      </c>
      <c r="W196" s="71">
        <v>2.8371790200000002</v>
      </c>
      <c r="X196" s="71">
        <v>4.3476728600000003</v>
      </c>
      <c r="Y196" s="71">
        <v>5.6264557799999997</v>
      </c>
      <c r="Z196" s="114">
        <v>7.1870423599999995</v>
      </c>
      <c r="AB196" s="70" t="s">
        <v>21</v>
      </c>
      <c r="AC196" s="70">
        <v>6.1229835469751581E-3</v>
      </c>
      <c r="AD196" s="70">
        <v>1.2359296478920496E-2</v>
      </c>
      <c r="AE196" s="70">
        <v>1.6339712140244447E-2</v>
      </c>
      <c r="AF196" s="62">
        <v>1.9649471893278078E-2</v>
      </c>
      <c r="AG196" s="70" t="s">
        <v>21</v>
      </c>
      <c r="AH196" s="70">
        <v>3.0652936469751581E-3</v>
      </c>
      <c r="AI196" s="70">
        <v>8.2993018789204974E-3</v>
      </c>
      <c r="AJ196" s="70">
        <v>1.1395137140244446E-2</v>
      </c>
      <c r="AK196" s="70">
        <v>1.3429722193278079E-2</v>
      </c>
    </row>
    <row r="197" spans="2:37" x14ac:dyDescent="0.35">
      <c r="B197" s="54" t="s">
        <v>144</v>
      </c>
      <c r="C197" s="52" t="s">
        <v>232</v>
      </c>
      <c r="D197" s="52" t="s">
        <v>20</v>
      </c>
      <c r="E197" s="52" t="s">
        <v>249</v>
      </c>
      <c r="F197" s="72" t="str">
        <f t="shared" si="21"/>
        <v/>
      </c>
      <c r="G197" s="59">
        <f t="shared" si="21"/>
        <v>6.7162762753692797E-3</v>
      </c>
      <c r="H197" s="59">
        <f t="shared" si="21"/>
        <v>1.2244065377634025E-2</v>
      </c>
      <c r="I197" s="59">
        <f t="shared" si="21"/>
        <v>1.5769177707517283E-2</v>
      </c>
      <c r="J197" s="62">
        <f t="shared" si="21"/>
        <v>1.9133274421471995E-2</v>
      </c>
      <c r="K197" s="59" t="str">
        <f t="shared" si="22"/>
        <v/>
      </c>
      <c r="L197" s="59">
        <f t="shared" si="22"/>
        <v>3.6895136753692793E-3</v>
      </c>
      <c r="M197" s="59">
        <f t="shared" si="22"/>
        <v>8.1804861776340245E-3</v>
      </c>
      <c r="N197" s="59">
        <f t="shared" si="22"/>
        <v>1.0809841207517287E-2</v>
      </c>
      <c r="O197" s="62">
        <f t="shared" si="22"/>
        <v>1.2894446821471995E-2</v>
      </c>
      <c r="P197" s="54" t="s">
        <v>518</v>
      </c>
      <c r="Q197" s="52" t="s">
        <v>519</v>
      </c>
      <c r="R197" s="93" t="s">
        <v>32</v>
      </c>
      <c r="S197" s="72">
        <v>7.5458299999999999E-3</v>
      </c>
      <c r="T197" s="62">
        <f t="shared" si="20"/>
        <v>4.698235377634025E-3</v>
      </c>
      <c r="V197" s="113">
        <v>1.1075464099999999</v>
      </c>
      <c r="W197" s="71">
        <v>2.8274583200000003</v>
      </c>
      <c r="X197" s="71">
        <v>4.3372486000000006</v>
      </c>
      <c r="Y197" s="71">
        <v>5.6243383500000004</v>
      </c>
      <c r="Z197" s="114">
        <v>7.20151773</v>
      </c>
      <c r="AB197" s="70" t="s">
        <v>21</v>
      </c>
      <c r="AC197" s="70">
        <v>6.7162762753692797E-3</v>
      </c>
      <c r="AD197" s="70">
        <v>1.2244065377634025E-2</v>
      </c>
      <c r="AE197" s="70">
        <v>1.5769177707517283E-2</v>
      </c>
      <c r="AF197" s="62">
        <v>1.9133274421471995E-2</v>
      </c>
      <c r="AG197" s="70" t="s">
        <v>21</v>
      </c>
      <c r="AH197" s="70">
        <v>3.6895136753692793E-3</v>
      </c>
      <c r="AI197" s="70">
        <v>8.1804861776340245E-3</v>
      </c>
      <c r="AJ197" s="70">
        <v>1.0809841207517287E-2</v>
      </c>
      <c r="AK197" s="70">
        <v>1.2894446821471995E-2</v>
      </c>
    </row>
    <row r="198" spans="2:37" x14ac:dyDescent="0.35">
      <c r="B198" s="54" t="s">
        <v>242</v>
      </c>
      <c r="C198" s="52" t="s">
        <v>232</v>
      </c>
      <c r="D198" s="52" t="s">
        <v>43</v>
      </c>
      <c r="E198" s="52" t="s">
        <v>347</v>
      </c>
      <c r="F198" s="72" t="str">
        <f t="shared" si="21"/>
        <v/>
      </c>
      <c r="G198" s="59">
        <f t="shared" si="21"/>
        <v>5.6695057368808654E-3</v>
      </c>
      <c r="H198" s="59">
        <f t="shared" si="21"/>
        <v>1.1814921413139199E-2</v>
      </c>
      <c r="I198" s="59">
        <f t="shared" si="21"/>
        <v>1.6148550288473468E-2</v>
      </c>
      <c r="J198" s="62">
        <f t="shared" si="21"/>
        <v>2.017890444898042E-2</v>
      </c>
      <c r="K198" s="59" t="str">
        <f t="shared" si="22"/>
        <v/>
      </c>
      <c r="L198" s="59">
        <f t="shared" si="22"/>
        <v>2.5854299368808669E-3</v>
      </c>
      <c r="M198" s="59">
        <f t="shared" si="22"/>
        <v>7.7353730131392053E-3</v>
      </c>
      <c r="N198" s="59">
        <f t="shared" si="22"/>
        <v>1.1198043088473466E-2</v>
      </c>
      <c r="O198" s="62">
        <f t="shared" si="22"/>
        <v>1.3962778448980417E-2</v>
      </c>
      <c r="P198" s="54" t="s">
        <v>520</v>
      </c>
      <c r="Q198" s="52" t="s">
        <v>521</v>
      </c>
      <c r="R198" s="93">
        <v>47492</v>
      </c>
      <c r="S198" s="72">
        <v>1.0968500000000001E-2</v>
      </c>
      <c r="T198" s="62">
        <f t="shared" si="20"/>
        <v>8.4642141313919818E-4</v>
      </c>
      <c r="V198" s="113">
        <v>1.1103261600000001</v>
      </c>
      <c r="W198" s="71">
        <v>2.8397841499999998</v>
      </c>
      <c r="X198" s="71">
        <v>4.3554010600000002</v>
      </c>
      <c r="Y198" s="71">
        <v>5.6383617099999999</v>
      </c>
      <c r="Z198" s="114">
        <v>7.1942406700000001</v>
      </c>
      <c r="AB198" s="70" t="s">
        <v>21</v>
      </c>
      <c r="AC198" s="70">
        <v>5.6695057368808654E-3</v>
      </c>
      <c r="AD198" s="70">
        <v>1.1814921413139199E-2</v>
      </c>
      <c r="AE198" s="70">
        <v>1.6148550288473468E-2</v>
      </c>
      <c r="AF198" s="62">
        <v>2.017890444898042E-2</v>
      </c>
      <c r="AG198" s="70" t="s">
        <v>21</v>
      </c>
      <c r="AH198" s="70">
        <v>2.5854299368808669E-3</v>
      </c>
      <c r="AI198" s="70">
        <v>7.7353730131392053E-3</v>
      </c>
      <c r="AJ198" s="70">
        <v>1.1198043088473466E-2</v>
      </c>
      <c r="AK198" s="70">
        <v>1.3962778448980417E-2</v>
      </c>
    </row>
    <row r="199" spans="2:37" x14ac:dyDescent="0.35">
      <c r="B199" s="54" t="s">
        <v>244</v>
      </c>
      <c r="C199" s="52" t="s">
        <v>232</v>
      </c>
      <c r="D199" s="52" t="s">
        <v>31</v>
      </c>
      <c r="E199" s="52" t="s">
        <v>21</v>
      </c>
      <c r="F199" s="72" t="str">
        <f t="shared" si="21"/>
        <v/>
      </c>
      <c r="G199" s="59">
        <f t="shared" si="21"/>
        <v>5.8625497726798826E-3</v>
      </c>
      <c r="H199" s="59">
        <f t="shared" si="21"/>
        <v>1.1759160145736223E-2</v>
      </c>
      <c r="I199" s="59">
        <f t="shared" si="21"/>
        <v>1.5255524286516364E-2</v>
      </c>
      <c r="J199" s="62">
        <f t="shared" si="21"/>
        <v>1.8924770846253457E-2</v>
      </c>
      <c r="K199" s="59" t="str">
        <f t="shared" si="22"/>
        <v/>
      </c>
      <c r="L199" s="59">
        <f t="shared" si="22"/>
        <v>2.7901529726798834E-3</v>
      </c>
      <c r="M199" s="59">
        <f t="shared" si="22"/>
        <v>7.6773493457362235E-3</v>
      </c>
      <c r="N199" s="59">
        <f t="shared" si="22"/>
        <v>1.0282861486516368E-2</v>
      </c>
      <c r="O199" s="62">
        <f t="shared" si="22"/>
        <v>1.2678759946253457E-2</v>
      </c>
      <c r="P199" s="54" t="s">
        <v>522</v>
      </c>
      <c r="Q199" s="52" t="s">
        <v>523</v>
      </c>
      <c r="R199" s="93">
        <v>47491</v>
      </c>
      <c r="S199" s="72">
        <v>9.5745199999999996E-3</v>
      </c>
      <c r="T199" s="62">
        <f t="shared" si="20"/>
        <v>2.1846401457362233E-3</v>
      </c>
      <c r="V199" s="113">
        <v>1.11027265</v>
      </c>
      <c r="W199" s="71">
        <v>2.8381449600000002</v>
      </c>
      <c r="X199" s="71">
        <v>4.3544089899999996</v>
      </c>
      <c r="Y199" s="71">
        <v>5.6496711400000006</v>
      </c>
      <c r="Z199" s="114">
        <v>7.2376177799999999</v>
      </c>
      <c r="AB199" s="70" t="s">
        <v>21</v>
      </c>
      <c r="AC199" s="70">
        <v>5.8625497726798826E-3</v>
      </c>
      <c r="AD199" s="70">
        <v>1.1759160145736223E-2</v>
      </c>
      <c r="AE199" s="70">
        <v>1.5255524286516364E-2</v>
      </c>
      <c r="AF199" s="62">
        <v>1.8924770846253457E-2</v>
      </c>
      <c r="AG199" s="70" t="s">
        <v>21</v>
      </c>
      <c r="AH199" s="70">
        <v>2.7901529726798834E-3</v>
      </c>
      <c r="AI199" s="70">
        <v>7.6773493457362235E-3</v>
      </c>
      <c r="AJ199" s="70">
        <v>1.0282861486516368E-2</v>
      </c>
      <c r="AK199" s="70">
        <v>1.2678759946253457E-2</v>
      </c>
    </row>
    <row r="200" spans="2:37" x14ac:dyDescent="0.35">
      <c r="B200" s="54" t="s">
        <v>151</v>
      </c>
      <c r="C200" s="52" t="s">
        <v>232</v>
      </c>
      <c r="D200" s="52" t="s">
        <v>47</v>
      </c>
      <c r="E200" s="52" t="s">
        <v>140</v>
      </c>
      <c r="F200" s="72" t="str">
        <f t="shared" si="21"/>
        <v/>
      </c>
      <c r="G200" s="59">
        <f t="shared" si="21"/>
        <v>5.8696915065398177E-3</v>
      </c>
      <c r="H200" s="59">
        <f t="shared" si="21"/>
        <v>1.1701192675102223E-2</v>
      </c>
      <c r="I200" s="59">
        <f t="shared" si="21"/>
        <v>1.545236186853674E-2</v>
      </c>
      <c r="J200" s="62">
        <f t="shared" si="21"/>
        <v>1.9711288716596682E-2</v>
      </c>
      <c r="K200" s="59" t="str">
        <f t="shared" si="22"/>
        <v/>
      </c>
      <c r="L200" s="59">
        <f t="shared" si="22"/>
        <v>2.7980150065398165E-3</v>
      </c>
      <c r="M200" s="59">
        <f t="shared" si="22"/>
        <v>7.617100875102225E-3</v>
      </c>
      <c r="N200" s="59">
        <f t="shared" si="22"/>
        <v>1.0484397868536739E-2</v>
      </c>
      <c r="O200" s="62">
        <f t="shared" si="22"/>
        <v>1.348121381659668E-2</v>
      </c>
      <c r="P200" s="54" t="s">
        <v>524</v>
      </c>
      <c r="Q200" s="52" t="s">
        <v>525</v>
      </c>
      <c r="R200" s="93" t="s">
        <v>32</v>
      </c>
      <c r="S200" s="72">
        <v>7.1522799999999996E-3</v>
      </c>
      <c r="T200" s="62">
        <f t="shared" si="20"/>
        <v>4.5489126751022237E-3</v>
      </c>
      <c r="V200" s="113">
        <v>1.10980367</v>
      </c>
      <c r="W200" s="71">
        <v>2.8372133000000002</v>
      </c>
      <c r="X200" s="71">
        <v>4.3539977399999996</v>
      </c>
      <c r="Y200" s="71">
        <v>5.6469563699999998</v>
      </c>
      <c r="Z200" s="114">
        <v>7.2176601900000001</v>
      </c>
      <c r="AB200" s="70" t="s">
        <v>21</v>
      </c>
      <c r="AC200" s="70">
        <v>5.8696915065398177E-3</v>
      </c>
      <c r="AD200" s="70">
        <v>1.1701192675102223E-2</v>
      </c>
      <c r="AE200" s="70">
        <v>1.545236186853674E-2</v>
      </c>
      <c r="AF200" s="62">
        <v>1.9711288716596682E-2</v>
      </c>
      <c r="AG200" s="70" t="s">
        <v>21</v>
      </c>
      <c r="AH200" s="70">
        <v>2.7980150065398165E-3</v>
      </c>
      <c r="AI200" s="70">
        <v>7.617100875102225E-3</v>
      </c>
      <c r="AJ200" s="70">
        <v>1.0484397868536739E-2</v>
      </c>
      <c r="AK200" s="70">
        <v>1.348121381659668E-2</v>
      </c>
    </row>
    <row r="201" spans="2:37" x14ac:dyDescent="0.35">
      <c r="B201" s="54" t="s">
        <v>145</v>
      </c>
      <c r="C201" s="52" t="s">
        <v>232</v>
      </c>
      <c r="D201" s="52" t="s">
        <v>69</v>
      </c>
      <c r="E201" s="52" t="s">
        <v>342</v>
      </c>
      <c r="F201" s="72" t="str">
        <f t="shared" si="21"/>
        <v/>
      </c>
      <c r="G201" s="59">
        <f t="shared" si="21"/>
        <v>5.6876207554436686E-3</v>
      </c>
      <c r="H201" s="59">
        <f t="shared" si="21"/>
        <v>1.1711282855812879E-2</v>
      </c>
      <c r="I201" s="59">
        <f t="shared" si="21"/>
        <v>1.5458430457310443E-2</v>
      </c>
      <c r="J201" s="62">
        <f t="shared" si="21"/>
        <v>2.0110677307751242E-2</v>
      </c>
      <c r="K201" s="59" t="str">
        <f t="shared" si="22"/>
        <v/>
      </c>
      <c r="L201" s="59">
        <f t="shared" si="22"/>
        <v>2.6048435554436714E-3</v>
      </c>
      <c r="M201" s="59">
        <f t="shared" si="22"/>
        <v>7.6271520558128837E-3</v>
      </c>
      <c r="N201" s="59">
        <f t="shared" si="22"/>
        <v>1.0490728957310441E-2</v>
      </c>
      <c r="O201" s="62">
        <f t="shared" si="22"/>
        <v>1.3887026007751241E-2</v>
      </c>
      <c r="P201" s="54" t="s">
        <v>526</v>
      </c>
      <c r="Q201" s="52" t="s">
        <v>527</v>
      </c>
      <c r="R201" s="93" t="s">
        <v>32</v>
      </c>
      <c r="S201" s="72">
        <v>1.1866330000000001E-2</v>
      </c>
      <c r="T201" s="62">
        <f t="shared" si="20"/>
        <v>-1.5504714418712248E-4</v>
      </c>
      <c r="V201" s="113">
        <v>1.1101113600000001</v>
      </c>
      <c r="W201" s="71">
        <v>2.8386534299999999</v>
      </c>
      <c r="X201" s="71">
        <v>4.3558459000000003</v>
      </c>
      <c r="Y201" s="71">
        <v>5.6486650999999997</v>
      </c>
      <c r="Z201" s="114">
        <v>7.2113565399999997</v>
      </c>
      <c r="AB201" s="70" t="s">
        <v>21</v>
      </c>
      <c r="AC201" s="70">
        <v>5.6876207554436686E-3</v>
      </c>
      <c r="AD201" s="70">
        <v>1.1711282855812879E-2</v>
      </c>
      <c r="AE201" s="70">
        <v>1.5458430457310443E-2</v>
      </c>
      <c r="AF201" s="62">
        <v>2.0110677307751242E-2</v>
      </c>
      <c r="AG201" s="70" t="s">
        <v>21</v>
      </c>
      <c r="AH201" s="70">
        <v>2.6048435554436714E-3</v>
      </c>
      <c r="AI201" s="70">
        <v>7.6271520558128837E-3</v>
      </c>
      <c r="AJ201" s="70">
        <v>1.0490728957310441E-2</v>
      </c>
      <c r="AK201" s="70">
        <v>1.3887026007751241E-2</v>
      </c>
    </row>
    <row r="202" spans="2:37" x14ac:dyDescent="0.35">
      <c r="B202" s="54" t="s">
        <v>239</v>
      </c>
      <c r="C202" s="52" t="s">
        <v>232</v>
      </c>
      <c r="D202" s="52" t="s">
        <v>69</v>
      </c>
      <c r="E202" s="52" t="s">
        <v>123</v>
      </c>
      <c r="F202" s="72" t="str">
        <f t="shared" si="21"/>
        <v/>
      </c>
      <c r="G202" s="59">
        <f t="shared" si="21"/>
        <v>5.4351599484222983E-3</v>
      </c>
      <c r="H202" s="59">
        <f t="shared" si="21"/>
        <v>1.1726848425894873E-2</v>
      </c>
      <c r="I202" s="59">
        <f t="shared" si="21"/>
        <v>1.5715962821820893E-2</v>
      </c>
      <c r="J202" s="62">
        <f t="shared" si="21"/>
        <v>1.9410942753918681E-2</v>
      </c>
      <c r="K202" s="59" t="str">
        <f t="shared" si="22"/>
        <v/>
      </c>
      <c r="L202" s="59">
        <f t="shared" si="22"/>
        <v>2.3360678484222993E-3</v>
      </c>
      <c r="M202" s="59">
        <f t="shared" si="22"/>
        <v>7.6432412258948777E-3</v>
      </c>
      <c r="N202" s="59">
        <f t="shared" si="22"/>
        <v>1.0755365821820888E-2</v>
      </c>
      <c r="O202" s="62">
        <f t="shared" si="22"/>
        <v>1.3179841953918683E-2</v>
      </c>
      <c r="P202" s="54" t="s">
        <v>528</v>
      </c>
      <c r="Q202" s="52" t="s">
        <v>529</v>
      </c>
      <c r="R202" s="93" t="s">
        <v>32</v>
      </c>
      <c r="S202" s="72">
        <v>1.3452299999999999E-2</v>
      </c>
      <c r="T202" s="62">
        <f t="shared" si="20"/>
        <v>-1.7254515741051257E-3</v>
      </c>
      <c r="V202" s="113">
        <v>1.1107116500000001</v>
      </c>
      <c r="W202" s="71">
        <v>2.8416677800000003</v>
      </c>
      <c r="X202" s="71">
        <v>4.3593713699999999</v>
      </c>
      <c r="Y202" s="71">
        <v>5.6487976199999999</v>
      </c>
      <c r="Z202" s="114">
        <v>7.2230949799999999</v>
      </c>
      <c r="AB202" s="70" t="s">
        <v>21</v>
      </c>
      <c r="AC202" s="70">
        <v>5.4351599484222983E-3</v>
      </c>
      <c r="AD202" s="70">
        <v>1.1726848425894873E-2</v>
      </c>
      <c r="AE202" s="70">
        <v>1.5715962821820893E-2</v>
      </c>
      <c r="AF202" s="62">
        <v>1.9410942753918681E-2</v>
      </c>
      <c r="AG202" s="70" t="s">
        <v>21</v>
      </c>
      <c r="AH202" s="70">
        <v>2.3360678484222993E-3</v>
      </c>
      <c r="AI202" s="70">
        <v>7.6432412258948777E-3</v>
      </c>
      <c r="AJ202" s="70">
        <v>1.0755365821820888E-2</v>
      </c>
      <c r="AK202" s="70">
        <v>1.3179841953918683E-2</v>
      </c>
    </row>
    <row r="203" spans="2:37" x14ac:dyDescent="0.35">
      <c r="B203" s="54" t="s">
        <v>340</v>
      </c>
      <c r="C203" s="52" t="s">
        <v>232</v>
      </c>
      <c r="D203" s="52" t="s">
        <v>20</v>
      </c>
      <c r="E203" s="52" t="s">
        <v>243</v>
      </c>
      <c r="F203" s="72" t="str">
        <f t="shared" si="21"/>
        <v/>
      </c>
      <c r="G203" s="59">
        <f t="shared" si="21"/>
        <v>6.1718387379873898E-3</v>
      </c>
      <c r="H203" s="59">
        <f t="shared" si="21"/>
        <v>1.2157241700891863E-2</v>
      </c>
      <c r="I203" s="59">
        <f t="shared" si="21"/>
        <v>1.541581924145391E-2</v>
      </c>
      <c r="J203" s="62">
        <f t="shared" si="21"/>
        <v>1.8725823499291774E-2</v>
      </c>
      <c r="K203" s="59" t="str">
        <f t="shared" si="22"/>
        <v/>
      </c>
      <c r="L203" s="59">
        <f t="shared" si="22"/>
        <v>3.1158702379873908E-3</v>
      </c>
      <c r="M203" s="59">
        <f t="shared" si="22"/>
        <v>8.0895016008918682E-3</v>
      </c>
      <c r="N203" s="59">
        <f t="shared" si="22"/>
        <v>1.0449569341453911E-2</v>
      </c>
      <c r="O203" s="62">
        <f t="shared" si="22"/>
        <v>1.2477689899291773E-2</v>
      </c>
      <c r="P203" s="54" t="s">
        <v>21</v>
      </c>
      <c r="Q203" s="52" t="s">
        <v>21</v>
      </c>
      <c r="R203" s="93" t="s">
        <v>21</v>
      </c>
      <c r="S203" s="72">
        <v>0</v>
      </c>
      <c r="T203" s="62">
        <f t="shared" si="20"/>
        <v>1.2157241700891863E-2</v>
      </c>
      <c r="V203" s="113">
        <v>1.1095658099999999</v>
      </c>
      <c r="W203" s="71">
        <v>2.8358046099999998</v>
      </c>
      <c r="X203" s="71">
        <v>4.3478363899999994</v>
      </c>
      <c r="Y203" s="71">
        <v>5.63747168</v>
      </c>
      <c r="Z203" s="114">
        <v>7.22616207</v>
      </c>
      <c r="AB203" s="70" t="s">
        <v>21</v>
      </c>
      <c r="AC203" s="70">
        <v>6.1718387379873898E-3</v>
      </c>
      <c r="AD203" s="70">
        <v>1.2157241700891863E-2</v>
      </c>
      <c r="AE203" s="70">
        <v>1.541581924145391E-2</v>
      </c>
      <c r="AF203" s="62">
        <v>1.8725823499291774E-2</v>
      </c>
      <c r="AG203" s="70" t="s">
        <v>21</v>
      </c>
      <c r="AH203" s="70">
        <v>3.1158702379873908E-3</v>
      </c>
      <c r="AI203" s="70">
        <v>8.0895016008918682E-3</v>
      </c>
      <c r="AJ203" s="70">
        <v>1.0449569341453911E-2</v>
      </c>
      <c r="AK203" s="70">
        <v>1.2477689899291773E-2</v>
      </c>
    </row>
    <row r="204" spans="2:37" x14ac:dyDescent="0.35">
      <c r="B204" s="54" t="s">
        <v>176</v>
      </c>
      <c r="C204" s="52" t="s">
        <v>232</v>
      </c>
      <c r="D204" s="52" t="s">
        <v>47</v>
      </c>
      <c r="E204" s="52" t="s">
        <v>21</v>
      </c>
      <c r="F204" s="72" t="str">
        <f t="shared" si="21"/>
        <v/>
      </c>
      <c r="G204" s="59">
        <f t="shared" si="21"/>
        <v>5.2912575610846628E-3</v>
      </c>
      <c r="H204" s="59">
        <f t="shared" si="21"/>
        <v>1.168587945314292E-2</v>
      </c>
      <c r="I204" s="59">
        <f t="shared" si="21"/>
        <v>1.5772864532742237E-2</v>
      </c>
      <c r="J204" s="62">
        <f t="shared" si="21"/>
        <v>2.0239900311871183E-2</v>
      </c>
      <c r="K204" s="59" t="str">
        <f t="shared" si="22"/>
        <v/>
      </c>
      <c r="L204" s="59">
        <f t="shared" si="22"/>
        <v>2.1818395610846619E-3</v>
      </c>
      <c r="M204" s="59">
        <f t="shared" si="22"/>
        <v>7.5995796531429221E-3</v>
      </c>
      <c r="N204" s="59">
        <f t="shared" si="22"/>
        <v>1.0812251232742237E-2</v>
      </c>
      <c r="O204" s="62">
        <f t="shared" si="22"/>
        <v>1.4020865711871182E-2</v>
      </c>
      <c r="P204" s="54" t="s">
        <v>21</v>
      </c>
      <c r="Q204" s="52" t="s">
        <v>21</v>
      </c>
      <c r="R204" s="93" t="s">
        <v>21</v>
      </c>
      <c r="S204" s="72">
        <v>0</v>
      </c>
      <c r="T204" s="62">
        <f t="shared" si="20"/>
        <v>1.168587945314292E-2</v>
      </c>
      <c r="V204" s="113">
        <v>1.1105372299999998</v>
      </c>
      <c r="W204" s="71">
        <v>2.8424875200000002</v>
      </c>
      <c r="X204" s="71">
        <v>4.3611220800000003</v>
      </c>
      <c r="Y204" s="71">
        <v>5.6504501899999999</v>
      </c>
      <c r="Z204" s="114">
        <v>7.2093104800000001</v>
      </c>
      <c r="AB204" s="70" t="s">
        <v>21</v>
      </c>
      <c r="AC204" s="70">
        <v>5.2912575610846628E-3</v>
      </c>
      <c r="AD204" s="70">
        <v>1.168587945314292E-2</v>
      </c>
      <c r="AE204" s="70">
        <v>1.5772864532742237E-2</v>
      </c>
      <c r="AF204" s="62">
        <v>2.0239900311871183E-2</v>
      </c>
      <c r="AG204" s="70" t="s">
        <v>21</v>
      </c>
      <c r="AH204" s="70">
        <v>2.1818395610846619E-3</v>
      </c>
      <c r="AI204" s="70">
        <v>7.5995796531429221E-3</v>
      </c>
      <c r="AJ204" s="70">
        <v>1.0812251232742237E-2</v>
      </c>
      <c r="AK204" s="70">
        <v>1.4020865711871182E-2</v>
      </c>
    </row>
    <row r="205" spans="2:37" x14ac:dyDescent="0.35">
      <c r="B205" s="54" t="s">
        <v>146</v>
      </c>
      <c r="C205" s="52" t="s">
        <v>232</v>
      </c>
      <c r="D205" s="52" t="s">
        <v>69</v>
      </c>
      <c r="E205" s="52" t="s">
        <v>128</v>
      </c>
      <c r="F205" s="72" t="str">
        <f t="shared" si="21"/>
        <v/>
      </c>
      <c r="G205" s="59">
        <f t="shared" si="21"/>
        <v>5.4695549342015431E-3</v>
      </c>
      <c r="H205" s="59">
        <f t="shared" si="21"/>
        <v>1.162649585998881E-2</v>
      </c>
      <c r="I205" s="59">
        <f t="shared" si="21"/>
        <v>1.5422745345866656E-2</v>
      </c>
      <c r="J205" s="62">
        <f t="shared" si="21"/>
        <v>1.9426621372783833E-2</v>
      </c>
      <c r="K205" s="59" t="str">
        <f t="shared" si="22"/>
        <v/>
      </c>
      <c r="L205" s="59">
        <f t="shared" si="22"/>
        <v>2.3724621342015419E-3</v>
      </c>
      <c r="M205" s="59">
        <f t="shared" si="22"/>
        <v>7.5387704599888111E-3</v>
      </c>
      <c r="N205" s="59">
        <f t="shared" si="22"/>
        <v>1.0454260345866651E-2</v>
      </c>
      <c r="O205" s="62">
        <f t="shared" si="22"/>
        <v>1.3192963772783834E-2</v>
      </c>
      <c r="P205" s="54" t="s">
        <v>530</v>
      </c>
      <c r="Q205" s="52" t="s">
        <v>531</v>
      </c>
      <c r="R205" s="93" t="s">
        <v>32</v>
      </c>
      <c r="S205" s="72">
        <v>9.5737499999999989E-3</v>
      </c>
      <c r="T205" s="62">
        <f t="shared" si="20"/>
        <v>2.052745859988811E-3</v>
      </c>
      <c r="V205" s="113">
        <v>1.11078919</v>
      </c>
      <c r="W205" s="71">
        <v>2.8416038599999998</v>
      </c>
      <c r="X205" s="71">
        <v>4.3602203899999994</v>
      </c>
      <c r="Y205" s="71">
        <v>5.6537143400000005</v>
      </c>
      <c r="Z205" s="114">
        <v>7.23005662</v>
      </c>
      <c r="AB205" s="70" t="s">
        <v>21</v>
      </c>
      <c r="AC205" s="70">
        <v>5.4695549342015431E-3</v>
      </c>
      <c r="AD205" s="70">
        <v>1.162649585998881E-2</v>
      </c>
      <c r="AE205" s="70">
        <v>1.5422745345866656E-2</v>
      </c>
      <c r="AF205" s="62">
        <v>1.9426621372783833E-2</v>
      </c>
      <c r="AG205" s="70" t="s">
        <v>21</v>
      </c>
      <c r="AH205" s="70">
        <v>2.3724621342015419E-3</v>
      </c>
      <c r="AI205" s="70">
        <v>7.5387704599888111E-3</v>
      </c>
      <c r="AJ205" s="70">
        <v>1.0454260345866651E-2</v>
      </c>
      <c r="AK205" s="70">
        <v>1.3192963772783834E-2</v>
      </c>
    </row>
    <row r="206" spans="2:37" x14ac:dyDescent="0.35">
      <c r="B206" s="54" t="s">
        <v>325</v>
      </c>
      <c r="C206" s="52" t="s">
        <v>232</v>
      </c>
      <c r="D206" s="52" t="s">
        <v>167</v>
      </c>
      <c r="E206" s="52" t="s">
        <v>81</v>
      </c>
      <c r="F206" s="72" t="str">
        <f t="shared" si="21"/>
        <v/>
      </c>
      <c r="G206" s="59">
        <f t="shared" si="21"/>
        <v>5.6171102217591421E-3</v>
      </c>
      <c r="H206" s="59">
        <f t="shared" si="21"/>
        <v>1.204233345324923E-2</v>
      </c>
      <c r="I206" s="59">
        <f t="shared" si="21"/>
        <v>1.6874095777988429E-2</v>
      </c>
      <c r="J206" s="62">
        <f t="shared" si="21"/>
        <v>2.0419257942847737E-2</v>
      </c>
      <c r="K206" s="59" t="str">
        <f t="shared" si="22"/>
        <v/>
      </c>
      <c r="L206" s="59">
        <f t="shared" si="22"/>
        <v>2.5294726217591421E-3</v>
      </c>
      <c r="M206" s="59">
        <f t="shared" si="22"/>
        <v>7.9705522532492312E-3</v>
      </c>
      <c r="N206" s="59">
        <f t="shared" si="22"/>
        <v>1.1937613477988432E-2</v>
      </c>
      <c r="O206" s="62">
        <f t="shared" si="22"/>
        <v>1.4213896342847736E-2</v>
      </c>
      <c r="P206" s="54" t="s">
        <v>379</v>
      </c>
      <c r="Q206" s="52" t="s">
        <v>380</v>
      </c>
      <c r="R206" s="93">
        <v>47588</v>
      </c>
      <c r="S206" s="72">
        <v>1.0245850000000001E-2</v>
      </c>
      <c r="T206" s="62">
        <f t="shared" si="20"/>
        <v>1.7964834532492296E-3</v>
      </c>
      <c r="V206" s="113">
        <v>1.11057535</v>
      </c>
      <c r="W206" s="71">
        <v>2.8406204700000002</v>
      </c>
      <c r="X206" s="71">
        <v>4.3547550800000003</v>
      </c>
      <c r="Y206" s="71">
        <v>5.6270575200000001</v>
      </c>
      <c r="Z206" s="114">
        <v>7.1707994199999998</v>
      </c>
      <c r="AB206" s="70" t="s">
        <v>21</v>
      </c>
      <c r="AC206" s="70">
        <v>5.6171102217591421E-3</v>
      </c>
      <c r="AD206" s="70">
        <v>1.204233345324923E-2</v>
      </c>
      <c r="AE206" s="70">
        <v>1.6874095777988429E-2</v>
      </c>
      <c r="AF206" s="62">
        <v>2.0419257942847737E-2</v>
      </c>
      <c r="AG206" s="70" t="s">
        <v>21</v>
      </c>
      <c r="AH206" s="70">
        <v>2.5294726217591421E-3</v>
      </c>
      <c r="AI206" s="70">
        <v>7.9705522532492312E-3</v>
      </c>
      <c r="AJ206" s="70">
        <v>1.1937613477988432E-2</v>
      </c>
      <c r="AK206" s="70">
        <v>1.4213896342847736E-2</v>
      </c>
    </row>
    <row r="207" spans="2:37" x14ac:dyDescent="0.35">
      <c r="B207" s="54" t="s">
        <v>354</v>
      </c>
      <c r="C207" s="52" t="s">
        <v>232</v>
      </c>
      <c r="D207" s="52" t="s">
        <v>20</v>
      </c>
      <c r="E207" s="52" t="s">
        <v>21</v>
      </c>
      <c r="F207" s="72" t="str">
        <f t="shared" si="21"/>
        <v/>
      </c>
      <c r="G207" s="59">
        <f t="shared" si="21"/>
        <v>6.1885487856718421E-3</v>
      </c>
      <c r="H207" s="59">
        <f t="shared" si="21"/>
        <v>1.1649146088019313E-2</v>
      </c>
      <c r="I207" s="59">
        <f t="shared" si="21"/>
        <v>1.4914173638308707E-2</v>
      </c>
      <c r="J207" s="62">
        <f t="shared" si="21"/>
        <v>1.8147034999746223E-2</v>
      </c>
      <c r="K207" s="59" t="str">
        <f t="shared" si="22"/>
        <v/>
      </c>
      <c r="L207" s="59">
        <f t="shared" si="22"/>
        <v>3.1331544856718434E-3</v>
      </c>
      <c r="M207" s="59">
        <f t="shared" si="22"/>
        <v>7.5622351880193159E-3</v>
      </c>
      <c r="N207" s="59">
        <f t="shared" si="22"/>
        <v>9.9306546383087085E-3</v>
      </c>
      <c r="O207" s="62">
        <f t="shared" si="22"/>
        <v>1.1877765599746223E-2</v>
      </c>
      <c r="P207" s="54" t="s">
        <v>393</v>
      </c>
      <c r="Q207" s="52" t="s">
        <v>394</v>
      </c>
      <c r="R207" s="93" t="s">
        <v>32</v>
      </c>
      <c r="S207" s="72">
        <v>8.5751200000000003E-3</v>
      </c>
      <c r="T207" s="62">
        <f t="shared" si="20"/>
        <v>3.0740260880193129E-3</v>
      </c>
      <c r="V207" s="113">
        <v>1.1092759699999999</v>
      </c>
      <c r="W207" s="71">
        <v>2.83523097</v>
      </c>
      <c r="X207" s="71">
        <v>4.3520462000000002</v>
      </c>
      <c r="Y207" s="71">
        <v>5.6506400599999997</v>
      </c>
      <c r="Z207" s="114">
        <v>7.2572309599999993</v>
      </c>
      <c r="AB207" s="70" t="s">
        <v>21</v>
      </c>
      <c r="AC207" s="70">
        <v>6.1885487856718421E-3</v>
      </c>
      <c r="AD207" s="70">
        <v>1.1649146088019313E-2</v>
      </c>
      <c r="AE207" s="70">
        <v>1.4914173638308707E-2</v>
      </c>
      <c r="AF207" s="62">
        <v>1.8147034999746223E-2</v>
      </c>
      <c r="AG207" s="70" t="s">
        <v>21</v>
      </c>
      <c r="AH207" s="70">
        <v>3.1331544856718434E-3</v>
      </c>
      <c r="AI207" s="70">
        <v>7.5622351880193159E-3</v>
      </c>
      <c r="AJ207" s="70">
        <v>9.9306546383087085E-3</v>
      </c>
      <c r="AK207" s="70">
        <v>1.1877765599746223E-2</v>
      </c>
    </row>
    <row r="208" spans="2:37" x14ac:dyDescent="0.35">
      <c r="B208" s="54" t="s">
        <v>336</v>
      </c>
      <c r="C208" s="52" t="s">
        <v>232</v>
      </c>
      <c r="D208" s="52" t="s">
        <v>69</v>
      </c>
      <c r="E208" s="52" t="s">
        <v>128</v>
      </c>
      <c r="F208" s="72" t="str">
        <f t="shared" si="21"/>
        <v/>
      </c>
      <c r="G208" s="59">
        <f t="shared" si="21"/>
        <v>5.5296784079992087E-3</v>
      </c>
      <c r="H208" s="59">
        <f t="shared" si="21"/>
        <v>1.1062731783206457E-2</v>
      </c>
      <c r="I208" s="59">
        <f t="shared" si="21"/>
        <v>1.4645235608261652E-2</v>
      </c>
      <c r="J208" s="62">
        <f t="shared" si="21"/>
        <v>1.8724624801181776E-2</v>
      </c>
      <c r="K208" s="59" t="str">
        <f t="shared" si="22"/>
        <v/>
      </c>
      <c r="L208" s="59">
        <f t="shared" si="22"/>
        <v>2.4363914079992091E-3</v>
      </c>
      <c r="M208" s="59">
        <f t="shared" si="22"/>
        <v>6.9505646832064595E-3</v>
      </c>
      <c r="N208" s="59">
        <f t="shared" si="22"/>
        <v>9.6511584082616536E-3</v>
      </c>
      <c r="O208" s="62">
        <f t="shared" si="22"/>
        <v>1.2469253301181782E-2</v>
      </c>
      <c r="P208" s="54" t="s">
        <v>21</v>
      </c>
      <c r="Q208" s="52" t="s">
        <v>21</v>
      </c>
      <c r="R208" s="93" t="s">
        <v>21</v>
      </c>
      <c r="S208" s="72">
        <v>0</v>
      </c>
      <c r="T208" s="62">
        <f t="shared" si="20"/>
        <v>1.1062731783206457E-2</v>
      </c>
      <c r="V208" s="113">
        <v>1.1106677</v>
      </c>
      <c r="W208" s="71">
        <v>2.84099966</v>
      </c>
      <c r="X208" s="71">
        <v>4.3649853099999998</v>
      </c>
      <c r="Y208" s="71">
        <v>5.6702540699999995</v>
      </c>
      <c r="Z208" s="114">
        <v>7.2665860999999996</v>
      </c>
      <c r="AB208" s="70" t="s">
        <v>21</v>
      </c>
      <c r="AC208" s="70">
        <v>5.5296784079992087E-3</v>
      </c>
      <c r="AD208" s="70">
        <v>1.1062731783206457E-2</v>
      </c>
      <c r="AE208" s="70">
        <v>1.4645235608261652E-2</v>
      </c>
      <c r="AF208" s="62">
        <v>1.8724624801181776E-2</v>
      </c>
      <c r="AG208" s="70" t="s">
        <v>21</v>
      </c>
      <c r="AH208" s="70">
        <v>2.4363914079992091E-3</v>
      </c>
      <c r="AI208" s="70">
        <v>6.9505646832064595E-3</v>
      </c>
      <c r="AJ208" s="70">
        <v>9.6511584082616536E-3</v>
      </c>
      <c r="AK208" s="70">
        <v>1.2469253301181782E-2</v>
      </c>
    </row>
    <row r="209" spans="2:37" x14ac:dyDescent="0.35">
      <c r="B209" s="54" t="s">
        <v>348</v>
      </c>
      <c r="C209" s="52" t="s">
        <v>232</v>
      </c>
      <c r="D209" s="52" t="s">
        <v>20</v>
      </c>
      <c r="E209" s="52" t="s">
        <v>532</v>
      </c>
      <c r="F209" s="72" t="str">
        <f t="shared" si="21"/>
        <v/>
      </c>
      <c r="G209" s="59">
        <f t="shared" si="21"/>
        <v>5.3448527076226616E-3</v>
      </c>
      <c r="H209" s="59">
        <f t="shared" si="21"/>
        <v>1.1268249404369473E-2</v>
      </c>
      <c r="I209" s="59">
        <f t="shared" si="21"/>
        <v>1.5041535307468174E-2</v>
      </c>
      <c r="J209" s="62">
        <f t="shared" si="21"/>
        <v>1.8175065451809275E-2</v>
      </c>
      <c r="K209" s="59" t="str">
        <f t="shared" si="22"/>
        <v/>
      </c>
      <c r="L209" s="59">
        <f t="shared" si="22"/>
        <v>2.2391349076226613E-3</v>
      </c>
      <c r="M209" s="59">
        <f t="shared" si="22"/>
        <v>7.1644649043694775E-3</v>
      </c>
      <c r="N209" s="59">
        <f t="shared" si="22"/>
        <v>1.0059760207468179E-2</v>
      </c>
      <c r="O209" s="62">
        <f t="shared" si="22"/>
        <v>1.1911453551809278E-2</v>
      </c>
      <c r="P209" s="54" t="s">
        <v>387</v>
      </c>
      <c r="Q209" s="52" t="s">
        <v>388</v>
      </c>
      <c r="R209" s="93">
        <v>47529</v>
      </c>
      <c r="S209" s="72">
        <v>9.2652199999999994E-3</v>
      </c>
      <c r="T209" s="62">
        <f t="shared" si="20"/>
        <v>2.0030294043694736E-3</v>
      </c>
      <c r="V209" s="113">
        <v>1.1103488500000001</v>
      </c>
      <c r="W209" s="71">
        <v>2.84202559</v>
      </c>
      <c r="X209" s="71">
        <v>4.3650688100000004</v>
      </c>
      <c r="Y209" s="71">
        <v>5.6656005699999996</v>
      </c>
      <c r="Z209" s="114">
        <v>7.2673401299999991</v>
      </c>
      <c r="AB209" s="70" t="s">
        <v>21</v>
      </c>
      <c r="AC209" s="70">
        <v>5.3448527076226616E-3</v>
      </c>
      <c r="AD209" s="70">
        <v>1.1268249404369473E-2</v>
      </c>
      <c r="AE209" s="70">
        <v>1.5041535307468174E-2</v>
      </c>
      <c r="AF209" s="62">
        <v>1.8175065451809275E-2</v>
      </c>
      <c r="AG209" s="70" t="s">
        <v>21</v>
      </c>
      <c r="AH209" s="70">
        <v>2.2391349076226613E-3</v>
      </c>
      <c r="AI209" s="70">
        <v>7.1644649043694775E-3</v>
      </c>
      <c r="AJ209" s="70">
        <v>1.0059760207468179E-2</v>
      </c>
      <c r="AK209" s="70">
        <v>1.1911453551809278E-2</v>
      </c>
    </row>
    <row r="210" spans="2:37" x14ac:dyDescent="0.35">
      <c r="B210" s="54" t="s">
        <v>251</v>
      </c>
      <c r="C210" s="52" t="s">
        <v>232</v>
      </c>
      <c r="D210" s="52" t="s">
        <v>53</v>
      </c>
      <c r="E210" s="52" t="s">
        <v>125</v>
      </c>
      <c r="F210" s="72" t="str">
        <f t="shared" si="21"/>
        <v/>
      </c>
      <c r="G210" s="59">
        <f t="shared" si="21"/>
        <v>5.0241439068294882E-3</v>
      </c>
      <c r="H210" s="59">
        <f t="shared" si="21"/>
        <v>1.0629608034896782E-2</v>
      </c>
      <c r="I210" s="59">
        <f t="shared" si="21"/>
        <v>1.4129088754716652E-2</v>
      </c>
      <c r="J210" s="62">
        <f t="shared" si="21"/>
        <v>1.7815923015920082E-2</v>
      </c>
      <c r="K210" s="59" t="str">
        <f t="shared" si="22"/>
        <v/>
      </c>
      <c r="L210" s="59">
        <f t="shared" si="22"/>
        <v>1.895180706829488E-3</v>
      </c>
      <c r="M210" s="59">
        <f t="shared" si="22"/>
        <v>6.4950600348967838E-3</v>
      </c>
      <c r="N210" s="59">
        <f t="shared" si="22"/>
        <v>9.1151960547166504E-3</v>
      </c>
      <c r="O210" s="62">
        <f t="shared" si="22"/>
        <v>1.1533523915920081E-2</v>
      </c>
      <c r="P210" s="54" t="s">
        <v>533</v>
      </c>
      <c r="Q210" s="52" t="s">
        <v>534</v>
      </c>
      <c r="R210" s="93" t="s">
        <v>32</v>
      </c>
      <c r="S210" s="72">
        <v>1.110913E-2</v>
      </c>
      <c r="T210" s="62">
        <f t="shared" si="20"/>
        <v>-4.7952196510321794E-4</v>
      </c>
      <c r="V210" s="113">
        <v>1.11114176</v>
      </c>
      <c r="W210" s="71">
        <v>2.8454677800000003</v>
      </c>
      <c r="X210" s="71">
        <v>4.3750722</v>
      </c>
      <c r="Y210" s="71">
        <v>5.6882597299999995</v>
      </c>
      <c r="Z210" s="114">
        <v>7.3065584299999999</v>
      </c>
      <c r="AB210" s="70" t="s">
        <v>21</v>
      </c>
      <c r="AC210" s="70">
        <v>5.0241439068294882E-3</v>
      </c>
      <c r="AD210" s="70">
        <v>1.0629608034896782E-2</v>
      </c>
      <c r="AE210" s="70">
        <v>1.4129088754716652E-2</v>
      </c>
      <c r="AF210" s="62">
        <v>1.7815923015920082E-2</v>
      </c>
      <c r="AG210" s="70" t="s">
        <v>21</v>
      </c>
      <c r="AH210" s="70">
        <v>1.895180706829488E-3</v>
      </c>
      <c r="AI210" s="70">
        <v>6.4950600348967838E-3</v>
      </c>
      <c r="AJ210" s="70">
        <v>9.1151960547166504E-3</v>
      </c>
      <c r="AK210" s="70">
        <v>1.1533523915920081E-2</v>
      </c>
    </row>
    <row r="211" spans="2:37" x14ac:dyDescent="0.35">
      <c r="B211" s="54" t="s">
        <v>143</v>
      </c>
      <c r="C211" s="52" t="s">
        <v>232</v>
      </c>
      <c r="D211" s="52" t="s">
        <v>20</v>
      </c>
      <c r="E211" s="52" t="s">
        <v>57</v>
      </c>
      <c r="F211" s="72" t="str">
        <f t="shared" si="21"/>
        <v/>
      </c>
      <c r="G211" s="59">
        <f t="shared" si="21"/>
        <v>5.3207003056944448E-3</v>
      </c>
      <c r="H211" s="59">
        <f t="shared" si="21"/>
        <v>1.1085579103120571E-2</v>
      </c>
      <c r="I211" s="59">
        <f t="shared" si="21"/>
        <v>1.4532545051109029E-2</v>
      </c>
      <c r="J211" s="62">
        <f t="shared" si="21"/>
        <v>1.820651775054772E-2</v>
      </c>
      <c r="K211" s="59" t="str">
        <f t="shared" si="22"/>
        <v/>
      </c>
      <c r="L211" s="59">
        <f t="shared" si="22"/>
        <v>2.213832905694445E-3</v>
      </c>
      <c r="M211" s="59">
        <f t="shared" si="22"/>
        <v>6.9735972031205688E-3</v>
      </c>
      <c r="N211" s="59">
        <f t="shared" si="22"/>
        <v>9.5352180511090352E-3</v>
      </c>
      <c r="O211" s="62">
        <f t="shared" si="22"/>
        <v>1.1939118350547716E-2</v>
      </c>
      <c r="P211" s="54" t="s">
        <v>535</v>
      </c>
      <c r="Q211" s="52" t="s">
        <v>536</v>
      </c>
      <c r="R211" s="93">
        <v>47498</v>
      </c>
      <c r="S211" s="72">
        <v>9.4635199999999996E-3</v>
      </c>
      <c r="T211" s="62">
        <f t="shared" si="20"/>
        <v>1.6220591031205715E-3</v>
      </c>
      <c r="V211" s="113">
        <v>1.1100543299999999</v>
      </c>
      <c r="W211" s="71">
        <v>2.8415020900000001</v>
      </c>
      <c r="X211" s="71">
        <v>4.3662302400000002</v>
      </c>
      <c r="Y211" s="71">
        <v>5.6711387799999997</v>
      </c>
      <c r="Z211" s="114">
        <v>7.2764339100000006</v>
      </c>
      <c r="AB211" s="70" t="s">
        <v>21</v>
      </c>
      <c r="AC211" s="70">
        <v>5.3207003056944448E-3</v>
      </c>
      <c r="AD211" s="70">
        <v>1.1085579103120571E-2</v>
      </c>
      <c r="AE211" s="70">
        <v>1.4532545051109029E-2</v>
      </c>
      <c r="AF211" s="62">
        <v>1.820651775054772E-2</v>
      </c>
      <c r="AG211" s="70" t="s">
        <v>21</v>
      </c>
      <c r="AH211" s="70">
        <v>2.213832905694445E-3</v>
      </c>
      <c r="AI211" s="70">
        <v>6.9735972031205688E-3</v>
      </c>
      <c r="AJ211" s="70">
        <v>9.5352180511090352E-3</v>
      </c>
      <c r="AK211" s="70">
        <v>1.1939118350547716E-2</v>
      </c>
    </row>
    <row r="212" spans="2:37" x14ac:dyDescent="0.35">
      <c r="B212" s="54" t="s">
        <v>257</v>
      </c>
      <c r="C212" s="52" t="s">
        <v>232</v>
      </c>
      <c r="D212" s="52" t="s">
        <v>69</v>
      </c>
      <c r="E212" s="52" t="s">
        <v>21</v>
      </c>
      <c r="F212" s="72" t="str">
        <f t="shared" si="21"/>
        <v/>
      </c>
      <c r="G212" s="59">
        <f t="shared" si="21"/>
        <v>5.0518192005054429E-3</v>
      </c>
      <c r="H212" s="59">
        <f t="shared" si="21"/>
        <v>1.0561062995473195E-2</v>
      </c>
      <c r="I212" s="59">
        <f t="shared" si="21"/>
        <v>1.3831293353713506E-2</v>
      </c>
      <c r="J212" s="62">
        <f t="shared" si="21"/>
        <v>1.7189025165225379E-2</v>
      </c>
      <c r="K212" s="59" t="str">
        <f t="shared" si="22"/>
        <v/>
      </c>
      <c r="L212" s="59">
        <f t="shared" si="22"/>
        <v>1.9247418005054417E-3</v>
      </c>
      <c r="M212" s="59">
        <f t="shared" si="22"/>
        <v>6.4225280954731973E-3</v>
      </c>
      <c r="N212" s="59">
        <f t="shared" si="22"/>
        <v>8.8047743537135025E-3</v>
      </c>
      <c r="O212" s="62">
        <f t="shared" si="22"/>
        <v>1.0882783165225379E-2</v>
      </c>
      <c r="P212" s="54" t="s">
        <v>537</v>
      </c>
      <c r="Q212" s="52" t="s">
        <v>538</v>
      </c>
      <c r="R212" s="93" t="s">
        <v>32</v>
      </c>
      <c r="S212" s="72">
        <v>3.9340799999999995E-3</v>
      </c>
      <c r="T212" s="62">
        <f t="shared" si="20"/>
        <v>6.6269829954731952E-3</v>
      </c>
      <c r="V212" s="113">
        <v>1.11045572</v>
      </c>
      <c r="W212" s="71">
        <v>2.8441756900000001</v>
      </c>
      <c r="X212" s="71">
        <v>4.3742731399999997</v>
      </c>
      <c r="Y212" s="71">
        <v>5.6916914700000003</v>
      </c>
      <c r="Z212" s="114">
        <v>7.3255473000000002</v>
      </c>
      <c r="AB212" s="70" t="s">
        <v>21</v>
      </c>
      <c r="AC212" s="70">
        <v>5.0518192005054429E-3</v>
      </c>
      <c r="AD212" s="70">
        <v>1.0561062995473195E-2</v>
      </c>
      <c r="AE212" s="70">
        <v>1.3831293353713506E-2</v>
      </c>
      <c r="AF212" s="62">
        <v>1.7189025165225379E-2</v>
      </c>
      <c r="AG212" s="70" t="s">
        <v>21</v>
      </c>
      <c r="AH212" s="70">
        <v>1.9247418005054417E-3</v>
      </c>
      <c r="AI212" s="70">
        <v>6.4225280954731973E-3</v>
      </c>
      <c r="AJ212" s="70">
        <v>8.8047743537135025E-3</v>
      </c>
      <c r="AK212" s="70">
        <v>1.0882783165225379E-2</v>
      </c>
    </row>
    <row r="213" spans="2:37" x14ac:dyDescent="0.35">
      <c r="B213" s="54" t="s">
        <v>252</v>
      </c>
      <c r="C213" s="52" t="s">
        <v>232</v>
      </c>
      <c r="D213" s="52" t="s">
        <v>20</v>
      </c>
      <c r="E213" s="52" t="s">
        <v>21</v>
      </c>
      <c r="F213" s="72" t="str">
        <f t="shared" si="21"/>
        <v/>
      </c>
      <c r="G213" s="59">
        <f t="shared" si="21"/>
        <v>6.1542176855932471E-3</v>
      </c>
      <c r="H213" s="59">
        <f t="shared" si="21"/>
        <v>1.0933380802085297E-2</v>
      </c>
      <c r="I213" s="59">
        <f t="shared" si="21"/>
        <v>1.3644916288012721E-2</v>
      </c>
      <c r="J213" s="62">
        <f t="shared" si="21"/>
        <v>1.7461904634995508E-2</v>
      </c>
      <c r="K213" s="59" t="str">
        <f t="shared" si="22"/>
        <v/>
      </c>
      <c r="L213" s="59">
        <f t="shared" si="22"/>
        <v>3.0974122855932469E-3</v>
      </c>
      <c r="M213" s="59">
        <f t="shared" si="22"/>
        <v>6.8154120020852979E-3</v>
      </c>
      <c r="N213" s="59">
        <f t="shared" si="22"/>
        <v>8.6116075880127256E-3</v>
      </c>
      <c r="O213" s="62">
        <f t="shared" si="22"/>
        <v>1.1156653034995509E-2</v>
      </c>
      <c r="P213" s="54" t="s">
        <v>539</v>
      </c>
      <c r="Q213" s="52" t="s">
        <v>540</v>
      </c>
      <c r="R213" s="93">
        <v>47545</v>
      </c>
      <c r="S213" s="72">
        <v>6.8460100000000005E-3</v>
      </c>
      <c r="T213" s="62">
        <f t="shared" si="20"/>
        <v>4.0873708020852965E-3</v>
      </c>
      <c r="V213" s="113">
        <v>1.1097304299999999</v>
      </c>
      <c r="W213" s="71">
        <v>2.8353168599999998</v>
      </c>
      <c r="X213" s="71">
        <v>4.35924683</v>
      </c>
      <c r="Y213" s="71">
        <v>5.6782940699999997</v>
      </c>
      <c r="Z213" s="114">
        <v>7.3139275200000009</v>
      </c>
      <c r="AB213" s="70" t="s">
        <v>21</v>
      </c>
      <c r="AC213" s="70">
        <v>6.1542176855932471E-3</v>
      </c>
      <c r="AD213" s="70">
        <v>1.0933380802085297E-2</v>
      </c>
      <c r="AE213" s="70">
        <v>1.3644916288012721E-2</v>
      </c>
      <c r="AF213" s="62">
        <v>1.7461904634995508E-2</v>
      </c>
      <c r="AG213" s="70" t="s">
        <v>21</v>
      </c>
      <c r="AH213" s="70">
        <v>3.0974122855932469E-3</v>
      </c>
      <c r="AI213" s="70">
        <v>6.8154120020852979E-3</v>
      </c>
      <c r="AJ213" s="70">
        <v>8.6116075880127256E-3</v>
      </c>
      <c r="AK213" s="70">
        <v>1.1156653034995509E-2</v>
      </c>
    </row>
    <row r="214" spans="2:37" x14ac:dyDescent="0.35">
      <c r="B214" s="54" t="s">
        <v>153</v>
      </c>
      <c r="C214" s="52" t="s">
        <v>232</v>
      </c>
      <c r="D214" s="52" t="s">
        <v>20</v>
      </c>
      <c r="E214" s="52" t="s">
        <v>133</v>
      </c>
      <c r="F214" s="72" t="str">
        <f t="shared" si="21"/>
        <v/>
      </c>
      <c r="G214" s="59">
        <f t="shared" si="21"/>
        <v>4.932959103628118E-3</v>
      </c>
      <c r="H214" s="59">
        <f t="shared" si="21"/>
        <v>1.0983444292502403E-2</v>
      </c>
      <c r="I214" s="59">
        <f t="shared" si="21"/>
        <v>1.4735925393420415E-2</v>
      </c>
      <c r="J214" s="62">
        <f t="shared" si="21"/>
        <v>1.7961960265271793E-2</v>
      </c>
      <c r="K214" s="59" t="str">
        <f t="shared" si="22"/>
        <v/>
      </c>
      <c r="L214" s="59">
        <f t="shared" si="22"/>
        <v>1.7971649036281198E-3</v>
      </c>
      <c r="M214" s="59">
        <f t="shared" si="22"/>
        <v>6.8667522925024045E-3</v>
      </c>
      <c r="N214" s="59">
        <f t="shared" si="22"/>
        <v>9.7459058934204097E-3</v>
      </c>
      <c r="O214" s="62">
        <f t="shared" si="22"/>
        <v>1.1691794965271791E-2</v>
      </c>
      <c r="P214" s="54" t="s">
        <v>541</v>
      </c>
      <c r="Q214" s="52" t="s">
        <v>542</v>
      </c>
      <c r="R214" s="93">
        <v>47529</v>
      </c>
      <c r="S214" s="72">
        <v>9.4703800000000005E-3</v>
      </c>
      <c r="T214" s="62">
        <f t="shared" si="20"/>
        <v>1.5130642925024022E-3</v>
      </c>
      <c r="V214" s="113">
        <v>1.1111631399999999</v>
      </c>
      <c r="W214" s="71">
        <v>2.8465147699999997</v>
      </c>
      <c r="X214" s="71">
        <v>4.3724234299999996</v>
      </c>
      <c r="Y214" s="71">
        <v>5.6753057599999996</v>
      </c>
      <c r="Z214" s="114">
        <v>7.2834834500000003</v>
      </c>
      <c r="AB214" s="70" t="s">
        <v>21</v>
      </c>
      <c r="AC214" s="70">
        <v>4.932959103628118E-3</v>
      </c>
      <c r="AD214" s="70">
        <v>1.0983444292502403E-2</v>
      </c>
      <c r="AE214" s="70">
        <v>1.4735925393420415E-2</v>
      </c>
      <c r="AF214" s="62">
        <v>1.7961960265271793E-2</v>
      </c>
      <c r="AG214" s="70" t="s">
        <v>21</v>
      </c>
      <c r="AH214" s="70">
        <v>1.7971649036281198E-3</v>
      </c>
      <c r="AI214" s="70">
        <v>6.8667522925024045E-3</v>
      </c>
      <c r="AJ214" s="70">
        <v>9.7459058934204097E-3</v>
      </c>
      <c r="AK214" s="70">
        <v>1.1691794965271791E-2</v>
      </c>
    </row>
    <row r="215" spans="2:37" x14ac:dyDescent="0.35">
      <c r="B215" s="54" t="s">
        <v>343</v>
      </c>
      <c r="C215" s="52" t="s">
        <v>232</v>
      </c>
      <c r="D215" s="52" t="s">
        <v>31</v>
      </c>
      <c r="E215" s="52" t="s">
        <v>21</v>
      </c>
      <c r="F215" s="72" t="str">
        <f t="shared" si="21"/>
        <v/>
      </c>
      <c r="G215" s="59">
        <f t="shared" si="21"/>
        <v>4.8469329621180892E-3</v>
      </c>
      <c r="H215" s="59">
        <f t="shared" si="21"/>
        <v>1.0417252503603796E-2</v>
      </c>
      <c r="I215" s="59">
        <f t="shared" si="21"/>
        <v>1.3831055880083759E-2</v>
      </c>
      <c r="J215" s="62">
        <f t="shared" si="21"/>
        <v>1.7326798350250174E-2</v>
      </c>
      <c r="K215" s="59" t="str">
        <f t="shared" si="22"/>
        <v/>
      </c>
      <c r="L215" s="59">
        <f t="shared" si="22"/>
        <v>1.7053107621180889E-3</v>
      </c>
      <c r="M215" s="59">
        <f t="shared" si="22"/>
        <v>6.2710583036037978E-3</v>
      </c>
      <c r="N215" s="59">
        <f t="shared" si="22"/>
        <v>8.8043052800837671E-3</v>
      </c>
      <c r="O215" s="62">
        <f t="shared" si="22"/>
        <v>1.1026079250250176E-2</v>
      </c>
      <c r="P215" s="54" t="s">
        <v>21</v>
      </c>
      <c r="Q215" s="52" t="s">
        <v>21</v>
      </c>
      <c r="R215" s="93" t="s">
        <v>21</v>
      </c>
      <c r="S215" s="72">
        <v>0</v>
      </c>
      <c r="T215" s="62">
        <f t="shared" si="20"/>
        <v>1.0417252503603796E-2</v>
      </c>
      <c r="V215" s="113">
        <v>1.1103497099999999</v>
      </c>
      <c r="W215" s="71">
        <v>2.8447169000000003</v>
      </c>
      <c r="X215" s="71">
        <v>4.3768247900000006</v>
      </c>
      <c r="Y215" s="71">
        <v>5.6944657400000001</v>
      </c>
      <c r="Z215" s="114">
        <v>7.3248783299999998</v>
      </c>
      <c r="AB215" s="70" t="s">
        <v>21</v>
      </c>
      <c r="AC215" s="70">
        <v>4.8469329621180892E-3</v>
      </c>
      <c r="AD215" s="70">
        <v>1.0417252503603796E-2</v>
      </c>
      <c r="AE215" s="70">
        <v>1.3831055880083759E-2</v>
      </c>
      <c r="AF215" s="62">
        <v>1.7326798350250174E-2</v>
      </c>
      <c r="AG215" s="70" t="s">
        <v>21</v>
      </c>
      <c r="AH215" s="70">
        <v>1.7053107621180889E-3</v>
      </c>
      <c r="AI215" s="70">
        <v>6.2710583036037978E-3</v>
      </c>
      <c r="AJ215" s="70">
        <v>8.8043052800837671E-3</v>
      </c>
      <c r="AK215" s="70">
        <v>1.1026079250250176E-2</v>
      </c>
    </row>
    <row r="216" spans="2:37" x14ac:dyDescent="0.35">
      <c r="B216" s="54" t="s">
        <v>357</v>
      </c>
      <c r="C216" s="52" t="s">
        <v>232</v>
      </c>
      <c r="D216" s="52" t="s">
        <v>20</v>
      </c>
      <c r="E216" s="52" t="s">
        <v>21</v>
      </c>
      <c r="F216" s="72" t="str">
        <f t="shared" si="21"/>
        <v/>
      </c>
      <c r="G216" s="59">
        <f t="shared" si="21"/>
        <v>5.2648235124158824E-3</v>
      </c>
      <c r="H216" s="59">
        <f t="shared" si="21"/>
        <v>1.0799380363244994E-2</v>
      </c>
      <c r="I216" s="59">
        <f t="shared" si="21"/>
        <v>1.4082230732081296E-2</v>
      </c>
      <c r="J216" s="62">
        <f t="shared" si="21"/>
        <v>1.7367807468930688E-2</v>
      </c>
      <c r="K216" s="59" t="str">
        <f t="shared" si="22"/>
        <v/>
      </c>
      <c r="L216" s="59">
        <f t="shared" si="22"/>
        <v>2.1538951124158803E-3</v>
      </c>
      <c r="M216" s="59">
        <f t="shared" si="22"/>
        <v>6.6732541632449939E-3</v>
      </c>
      <c r="N216" s="59">
        <f t="shared" si="22"/>
        <v>9.0670731320812957E-3</v>
      </c>
      <c r="O216" s="62">
        <f t="shared" si="22"/>
        <v>1.1071367868930683E-2</v>
      </c>
      <c r="P216" s="54" t="s">
        <v>21</v>
      </c>
      <c r="Q216" s="52" t="s">
        <v>21</v>
      </c>
      <c r="R216" s="93" t="s">
        <v>21</v>
      </c>
      <c r="S216" s="72">
        <v>0</v>
      </c>
      <c r="T216" s="62">
        <f t="shared" si="20"/>
        <v>1.0799380363244994E-2</v>
      </c>
      <c r="V216" s="113">
        <v>1.1103554899999999</v>
      </c>
      <c r="W216" s="71">
        <v>2.8414782299999999</v>
      </c>
      <c r="X216" s="71">
        <v>4.3693259900000001</v>
      </c>
      <c r="Y216" s="71">
        <v>5.6815669300000007</v>
      </c>
      <c r="Z216" s="114">
        <v>7.3070772899999996</v>
      </c>
      <c r="AB216" s="70" t="s">
        <v>21</v>
      </c>
      <c r="AC216" s="70">
        <v>5.2648235124158824E-3</v>
      </c>
      <c r="AD216" s="70">
        <v>1.0799380363244994E-2</v>
      </c>
      <c r="AE216" s="70">
        <v>1.4082230732081296E-2</v>
      </c>
      <c r="AF216" s="62">
        <v>1.7367807468930688E-2</v>
      </c>
      <c r="AG216" s="70" t="s">
        <v>21</v>
      </c>
      <c r="AH216" s="70">
        <v>2.1538951124158803E-3</v>
      </c>
      <c r="AI216" s="70">
        <v>6.6732541632449939E-3</v>
      </c>
      <c r="AJ216" s="70">
        <v>9.0670731320812957E-3</v>
      </c>
      <c r="AK216" s="70">
        <v>1.1071367868930683E-2</v>
      </c>
    </row>
    <row r="217" spans="2:37" x14ac:dyDescent="0.35">
      <c r="B217" s="54" t="s">
        <v>360</v>
      </c>
      <c r="C217" s="52" t="s">
        <v>232</v>
      </c>
      <c r="D217" s="52" t="s">
        <v>20</v>
      </c>
      <c r="E217" s="52" t="s">
        <v>543</v>
      </c>
      <c r="F217" s="72" t="str">
        <f t="shared" si="21"/>
        <v/>
      </c>
      <c r="G217" s="59">
        <f t="shared" si="21"/>
        <v>5.2538003111756697E-3</v>
      </c>
      <c r="H217" s="59">
        <f t="shared" si="21"/>
        <v>1.0801236759256523E-2</v>
      </c>
      <c r="I217" s="59">
        <f t="shared" si="21"/>
        <v>1.4063222184495605E-2</v>
      </c>
      <c r="J217" s="62">
        <f t="shared" si="21"/>
        <v>1.7476008082923725E-2</v>
      </c>
      <c r="K217" s="59" t="str">
        <f t="shared" si="22"/>
        <v/>
      </c>
      <c r="L217" s="59">
        <f t="shared" si="22"/>
        <v>2.1419474111756712E-3</v>
      </c>
      <c r="M217" s="59">
        <f t="shared" si="22"/>
        <v>6.6750953592565245E-3</v>
      </c>
      <c r="N217" s="59">
        <f t="shared" si="22"/>
        <v>9.0475791844956046E-3</v>
      </c>
      <c r="O217" s="62">
        <f t="shared" si="22"/>
        <v>1.1183199382923725E-2</v>
      </c>
      <c r="P217" s="54" t="s">
        <v>21</v>
      </c>
      <c r="Q217" s="52" t="s">
        <v>21</v>
      </c>
      <c r="R217" s="93" t="s">
        <v>21</v>
      </c>
      <c r="S217" s="72">
        <v>0</v>
      </c>
      <c r="T217" s="62">
        <f t="shared" si="20"/>
        <v>1.0801236759256523E-2</v>
      </c>
      <c r="V217" s="113">
        <v>1.110177</v>
      </c>
      <c r="W217" s="71">
        <v>2.8417762099999999</v>
      </c>
      <c r="X217" s="71">
        <v>4.3697678199999999</v>
      </c>
      <c r="Y217" s="71">
        <v>5.6819110200000003</v>
      </c>
      <c r="Z217" s="114">
        <v>7.3051989100000005</v>
      </c>
      <c r="AB217" s="70" t="s">
        <v>21</v>
      </c>
      <c r="AC217" s="70">
        <v>5.2538003111756697E-3</v>
      </c>
      <c r="AD217" s="70">
        <v>1.0801236759256523E-2</v>
      </c>
      <c r="AE217" s="70">
        <v>1.4063222184495605E-2</v>
      </c>
      <c r="AF217" s="62">
        <v>1.7476008082923725E-2</v>
      </c>
      <c r="AG217" s="70" t="s">
        <v>21</v>
      </c>
      <c r="AH217" s="70">
        <v>2.1419474111756712E-3</v>
      </c>
      <c r="AI217" s="70">
        <v>6.6750953592565245E-3</v>
      </c>
      <c r="AJ217" s="70">
        <v>9.0475791844956046E-3</v>
      </c>
      <c r="AK217" s="70">
        <v>1.1183199382923725E-2</v>
      </c>
    </row>
    <row r="218" spans="2:37" x14ac:dyDescent="0.35">
      <c r="B218" s="54" t="s">
        <v>258</v>
      </c>
      <c r="C218" s="52" t="s">
        <v>232</v>
      </c>
      <c r="D218" s="52" t="s">
        <v>31</v>
      </c>
      <c r="E218" s="52" t="s">
        <v>21</v>
      </c>
      <c r="F218" s="72" t="str">
        <f t="shared" si="21"/>
        <v/>
      </c>
      <c r="G218" s="59">
        <f t="shared" si="21"/>
        <v>4.7884456909858125E-3</v>
      </c>
      <c r="H218" s="59">
        <f t="shared" si="21"/>
        <v>1.0327579320345828E-2</v>
      </c>
      <c r="I218" s="59">
        <f t="shared" si="21"/>
        <v>1.3441481788624168E-2</v>
      </c>
      <c r="J218" s="62">
        <f t="shared" si="21"/>
        <v>1.6288716630723864E-2</v>
      </c>
      <c r="K218" s="59" t="str">
        <f t="shared" si="22"/>
        <v/>
      </c>
      <c r="L218" s="59">
        <f t="shared" si="22"/>
        <v>1.6416012909858126E-3</v>
      </c>
      <c r="M218" s="59">
        <f t="shared" si="22"/>
        <v>6.1762023203458302E-3</v>
      </c>
      <c r="N218" s="59">
        <f t="shared" si="22"/>
        <v>8.3978715886241645E-3</v>
      </c>
      <c r="O218" s="62">
        <f t="shared" si="22"/>
        <v>9.9453183307238614E-3</v>
      </c>
      <c r="P218" s="54" t="s">
        <v>544</v>
      </c>
      <c r="Q218" s="52" t="s">
        <v>545</v>
      </c>
      <c r="R218" s="93">
        <v>47517</v>
      </c>
      <c r="S218" s="72">
        <v>8.3921800000000008E-3</v>
      </c>
      <c r="T218" s="62">
        <f t="shared" si="20"/>
        <v>1.9353993203458271E-3</v>
      </c>
      <c r="V218" s="113">
        <v>1.11098462</v>
      </c>
      <c r="W218" s="71">
        <v>2.84629632</v>
      </c>
      <c r="X218" s="71">
        <v>4.3794954600000002</v>
      </c>
      <c r="Y218" s="71">
        <v>5.7024398999999999</v>
      </c>
      <c r="Z218" s="114">
        <v>7.3570736299999995</v>
      </c>
      <c r="AB218" s="70" t="s">
        <v>21</v>
      </c>
      <c r="AC218" s="70">
        <v>4.7884456909858125E-3</v>
      </c>
      <c r="AD218" s="70">
        <v>1.0327579320345828E-2</v>
      </c>
      <c r="AE218" s="70">
        <v>1.3441481788624168E-2</v>
      </c>
      <c r="AF218" s="62">
        <v>1.6288716630723864E-2</v>
      </c>
      <c r="AG218" s="70" t="s">
        <v>21</v>
      </c>
      <c r="AH218" s="70">
        <v>1.6416012909858126E-3</v>
      </c>
      <c r="AI218" s="70">
        <v>6.1762023203458302E-3</v>
      </c>
      <c r="AJ218" s="70">
        <v>8.3978715886241645E-3</v>
      </c>
      <c r="AK218" s="70">
        <v>9.9453183307238614E-3</v>
      </c>
    </row>
    <row r="219" spans="2:37" x14ac:dyDescent="0.35">
      <c r="B219" s="54" t="s">
        <v>344</v>
      </c>
      <c r="C219" s="52" t="s">
        <v>232</v>
      </c>
      <c r="D219" s="52" t="s">
        <v>97</v>
      </c>
      <c r="E219" s="52" t="s">
        <v>225</v>
      </c>
      <c r="F219" s="72" t="str">
        <f t="shared" si="21"/>
        <v/>
      </c>
      <c r="G219" s="59">
        <f t="shared" si="21"/>
        <v>4.9724935221115733E-3</v>
      </c>
      <c r="H219" s="59">
        <f t="shared" si="21"/>
        <v>1.0275832207069424E-2</v>
      </c>
      <c r="I219" s="59">
        <f t="shared" si="21"/>
        <v>1.3795678806358342E-2</v>
      </c>
      <c r="J219" s="62">
        <f t="shared" si="21"/>
        <v>1.7186912047891696E-2</v>
      </c>
      <c r="K219" s="59" t="str">
        <f t="shared" si="22"/>
        <v/>
      </c>
      <c r="L219" s="59">
        <f t="shared" si="22"/>
        <v>1.839705822111572E-3</v>
      </c>
      <c r="M219" s="59">
        <f t="shared" si="22"/>
        <v>6.1221164070694289E-3</v>
      </c>
      <c r="N219" s="59">
        <f t="shared" si="22"/>
        <v>8.7669995063583452E-3</v>
      </c>
      <c r="O219" s="62">
        <f t="shared" si="22"/>
        <v>1.0881275647891694E-2</v>
      </c>
      <c r="P219" s="54" t="s">
        <v>21</v>
      </c>
      <c r="Q219" s="52" t="s">
        <v>21</v>
      </c>
      <c r="R219" s="93" t="s">
        <v>21</v>
      </c>
      <c r="S219" s="72">
        <v>0</v>
      </c>
      <c r="T219" s="62">
        <f t="shared" si="20"/>
        <v>1.0275832207069424E-2</v>
      </c>
      <c r="V219" s="113">
        <v>1.11145585</v>
      </c>
      <c r="W219" s="71">
        <v>2.8460192100000001</v>
      </c>
      <c r="X219" s="71">
        <v>4.3792583799999996</v>
      </c>
      <c r="Y219" s="71">
        <v>5.6979131299999999</v>
      </c>
      <c r="Z219" s="114">
        <v>7.3314428700000001</v>
      </c>
      <c r="AB219" s="70" t="s">
        <v>21</v>
      </c>
      <c r="AC219" s="70">
        <v>4.9724935221115733E-3</v>
      </c>
      <c r="AD219" s="70">
        <v>1.0275832207069424E-2</v>
      </c>
      <c r="AE219" s="70">
        <v>1.3795678806358342E-2</v>
      </c>
      <c r="AF219" s="62">
        <v>1.7186912047891696E-2</v>
      </c>
      <c r="AG219" s="70" t="s">
        <v>21</v>
      </c>
      <c r="AH219" s="70">
        <v>1.839705822111572E-3</v>
      </c>
      <c r="AI219" s="70">
        <v>6.1221164070694289E-3</v>
      </c>
      <c r="AJ219" s="70">
        <v>8.7669995063583452E-3</v>
      </c>
      <c r="AK219" s="70">
        <v>1.0881275647891694E-2</v>
      </c>
    </row>
    <row r="220" spans="2:37" x14ac:dyDescent="0.35">
      <c r="B220" s="54" t="s">
        <v>353</v>
      </c>
      <c r="C220" s="52" t="s">
        <v>232</v>
      </c>
      <c r="D220" s="52" t="s">
        <v>31</v>
      </c>
      <c r="E220" s="52" t="s">
        <v>546</v>
      </c>
      <c r="F220" s="72" t="str">
        <f t="shared" si="21"/>
        <v/>
      </c>
      <c r="G220" s="59">
        <f t="shared" si="21"/>
        <v>4.7586013277880236E-3</v>
      </c>
      <c r="H220" s="59">
        <f t="shared" si="21"/>
        <v>1.0285307657829645E-2</v>
      </c>
      <c r="I220" s="59">
        <f t="shared" si="21"/>
        <v>1.3650543514155313E-2</v>
      </c>
      <c r="J220" s="62">
        <f t="shared" si="21"/>
        <v>1.7197337936341314E-2</v>
      </c>
      <c r="K220" s="59" t="str">
        <f t="shared" si="22"/>
        <v/>
      </c>
      <c r="L220" s="59">
        <f t="shared" si="22"/>
        <v>1.6090328277880254E-3</v>
      </c>
      <c r="M220" s="59">
        <f t="shared" si="22"/>
        <v>6.1315883578296482E-3</v>
      </c>
      <c r="N220" s="59">
        <f t="shared" si="22"/>
        <v>8.6159831141553126E-3</v>
      </c>
      <c r="O220" s="62">
        <f t="shared" si="22"/>
        <v>1.0891200736341314E-2</v>
      </c>
      <c r="P220" s="54" t="s">
        <v>21</v>
      </c>
      <c r="Q220" s="52" t="s">
        <v>21</v>
      </c>
      <c r="R220" s="93" t="s">
        <v>21</v>
      </c>
      <c r="S220" s="72">
        <v>0</v>
      </c>
      <c r="T220" s="62">
        <f t="shared" si="20"/>
        <v>1.0285307657829645E-2</v>
      </c>
      <c r="V220" s="113">
        <v>1.11155347</v>
      </c>
      <c r="W220" s="71">
        <v>2.8475616499999998</v>
      </c>
      <c r="X220" s="71">
        <v>4.3812870300000002</v>
      </c>
      <c r="Y220" s="71">
        <v>5.7017159099999999</v>
      </c>
      <c r="Z220" s="114">
        <v>7.3361838499999994</v>
      </c>
      <c r="AB220" s="70" t="s">
        <v>21</v>
      </c>
      <c r="AC220" s="70">
        <v>4.7586013277880236E-3</v>
      </c>
      <c r="AD220" s="70">
        <v>1.0285307657829645E-2</v>
      </c>
      <c r="AE220" s="70">
        <v>1.3650543514155313E-2</v>
      </c>
      <c r="AF220" s="62">
        <v>1.7197337936341314E-2</v>
      </c>
      <c r="AG220" s="70" t="s">
        <v>21</v>
      </c>
      <c r="AH220" s="70">
        <v>1.6090328277880254E-3</v>
      </c>
      <c r="AI220" s="70">
        <v>6.1315883578296482E-3</v>
      </c>
      <c r="AJ220" s="70">
        <v>8.6159831141553126E-3</v>
      </c>
      <c r="AK220" s="70">
        <v>1.0891200736341314E-2</v>
      </c>
    </row>
    <row r="221" spans="2:37" x14ac:dyDescent="0.35">
      <c r="B221" s="54" t="s">
        <v>361</v>
      </c>
      <c r="C221" s="52" t="s">
        <v>232</v>
      </c>
      <c r="D221" s="52" t="s">
        <v>304</v>
      </c>
      <c r="E221" s="52" t="s">
        <v>21</v>
      </c>
      <c r="F221" s="72" t="str">
        <f t="shared" si="21"/>
        <v/>
      </c>
      <c r="G221" s="59">
        <f t="shared" si="21"/>
        <v>4.7871426320389397E-3</v>
      </c>
      <c r="H221" s="59">
        <f t="shared" si="21"/>
        <v>1.0230332573140355E-2</v>
      </c>
      <c r="I221" s="59">
        <f t="shared" si="21"/>
        <v>1.3449328253030191E-2</v>
      </c>
      <c r="J221" s="62">
        <f t="shared" si="21"/>
        <v>1.6548174357306867E-2</v>
      </c>
      <c r="K221" s="59" t="str">
        <f t="shared" si="22"/>
        <v/>
      </c>
      <c r="L221" s="59">
        <f t="shared" si="22"/>
        <v>1.6398669320389406E-3</v>
      </c>
      <c r="M221" s="59">
        <f t="shared" si="22"/>
        <v>6.073362373140356E-3</v>
      </c>
      <c r="N221" s="59">
        <f t="shared" si="22"/>
        <v>8.405495853030194E-3</v>
      </c>
      <c r="O221" s="62">
        <f t="shared" si="22"/>
        <v>1.0215517657306866E-2</v>
      </c>
      <c r="P221" s="54" t="s">
        <v>21</v>
      </c>
      <c r="Q221" s="52" t="s">
        <v>21</v>
      </c>
      <c r="R221" s="93" t="s">
        <v>21</v>
      </c>
      <c r="S221" s="72">
        <v>0</v>
      </c>
      <c r="T221" s="62">
        <f t="shared" si="20"/>
        <v>1.0230332573140355E-2</v>
      </c>
      <c r="V221" s="113">
        <v>1.1112559500000001</v>
      </c>
      <c r="W221" s="71">
        <v>2.8468235500000003</v>
      </c>
      <c r="X221" s="71">
        <v>4.3810120700000006</v>
      </c>
      <c r="Y221" s="71">
        <v>5.7042128400000003</v>
      </c>
      <c r="Z221" s="114">
        <v>7.3534950900000009</v>
      </c>
      <c r="AB221" s="70" t="s">
        <v>21</v>
      </c>
      <c r="AC221" s="70">
        <v>4.7871426320389397E-3</v>
      </c>
      <c r="AD221" s="70">
        <v>1.0230332573140355E-2</v>
      </c>
      <c r="AE221" s="70">
        <v>1.3449328253030191E-2</v>
      </c>
      <c r="AF221" s="62">
        <v>1.6548174357306867E-2</v>
      </c>
      <c r="AG221" s="70" t="s">
        <v>21</v>
      </c>
      <c r="AH221" s="70">
        <v>1.6398669320389406E-3</v>
      </c>
      <c r="AI221" s="70">
        <v>6.073362373140356E-3</v>
      </c>
      <c r="AJ221" s="70">
        <v>8.405495853030194E-3</v>
      </c>
      <c r="AK221" s="70">
        <v>1.0215517657306866E-2</v>
      </c>
    </row>
    <row r="222" spans="2:37" x14ac:dyDescent="0.35">
      <c r="B222" s="54" t="s">
        <v>346</v>
      </c>
      <c r="C222" s="52" t="s">
        <v>232</v>
      </c>
      <c r="D222" s="52" t="s">
        <v>97</v>
      </c>
      <c r="E222" s="52" t="s">
        <v>21</v>
      </c>
      <c r="F222" s="72" t="str">
        <f t="shared" si="21"/>
        <v/>
      </c>
      <c r="G222" s="59">
        <f t="shared" si="21"/>
        <v>4.7964150006431982E-3</v>
      </c>
      <c r="H222" s="59">
        <f t="shared" si="21"/>
        <v>1.022920667404212E-2</v>
      </c>
      <c r="I222" s="59">
        <f t="shared" si="21"/>
        <v>1.3297541121898394E-2</v>
      </c>
      <c r="J222" s="62">
        <f t="shared" si="21"/>
        <v>1.6961193243175757E-2</v>
      </c>
      <c r="K222" s="59" t="str">
        <f t="shared" si="22"/>
        <v/>
      </c>
      <c r="L222" s="59">
        <f t="shared" si="22"/>
        <v>1.6499570006431969E-3</v>
      </c>
      <c r="M222" s="59">
        <f t="shared" si="22"/>
        <v>6.0722545740421203E-3</v>
      </c>
      <c r="N222" s="59">
        <f t="shared" si="22"/>
        <v>8.246910321898393E-3</v>
      </c>
      <c r="O222" s="62">
        <f t="shared" si="22"/>
        <v>1.0642934843175755E-2</v>
      </c>
      <c r="P222" s="54" t="s">
        <v>21</v>
      </c>
      <c r="Q222" s="52" t="s">
        <v>21</v>
      </c>
      <c r="R222" s="93" t="s">
        <v>21</v>
      </c>
      <c r="S222" s="72">
        <v>0</v>
      </c>
      <c r="T222" s="62">
        <f t="shared" si="20"/>
        <v>1.022920667404212E-2</v>
      </c>
      <c r="V222" s="113">
        <v>1.11123927</v>
      </c>
      <c r="W222" s="71">
        <v>2.8467308</v>
      </c>
      <c r="X222" s="71">
        <v>4.3808988799999993</v>
      </c>
      <c r="Y222" s="71">
        <v>5.7060404299999998</v>
      </c>
      <c r="Z222" s="114">
        <v>7.3482571999999999</v>
      </c>
      <c r="AB222" s="70" t="s">
        <v>21</v>
      </c>
      <c r="AC222" s="70">
        <v>4.7964150006431982E-3</v>
      </c>
      <c r="AD222" s="70">
        <v>1.022920667404212E-2</v>
      </c>
      <c r="AE222" s="70">
        <v>1.3297541121898394E-2</v>
      </c>
      <c r="AF222" s="62">
        <v>1.6961193243175757E-2</v>
      </c>
      <c r="AG222" s="70" t="s">
        <v>21</v>
      </c>
      <c r="AH222" s="70">
        <v>1.6499570006431969E-3</v>
      </c>
      <c r="AI222" s="70">
        <v>6.0722545740421203E-3</v>
      </c>
      <c r="AJ222" s="70">
        <v>8.246910321898393E-3</v>
      </c>
      <c r="AK222" s="70">
        <v>1.0642934843175755E-2</v>
      </c>
    </row>
    <row r="223" spans="2:37" x14ac:dyDescent="0.35">
      <c r="B223" s="54" t="s">
        <v>250</v>
      </c>
      <c r="C223" s="52" t="s">
        <v>232</v>
      </c>
      <c r="D223" s="52" t="s">
        <v>43</v>
      </c>
      <c r="E223" s="52" t="s">
        <v>123</v>
      </c>
      <c r="F223" s="72" t="str">
        <f t="shared" si="21"/>
        <v/>
      </c>
      <c r="G223" s="59">
        <f t="shared" si="21"/>
        <v>4.7427263013567833E-3</v>
      </c>
      <c r="H223" s="59">
        <f t="shared" si="21"/>
        <v>1.0175624525252749E-2</v>
      </c>
      <c r="I223" s="59">
        <f t="shared" si="21"/>
        <v>1.3599813415792845E-2</v>
      </c>
      <c r="J223" s="62">
        <f t="shared" si="21"/>
        <v>1.7199034000236979E-2</v>
      </c>
      <c r="K223" s="59" t="str">
        <f t="shared" si="22"/>
        <v/>
      </c>
      <c r="L223" s="59">
        <f t="shared" si="22"/>
        <v>1.5922771013567837E-3</v>
      </c>
      <c r="M223" s="59">
        <f t="shared" si="22"/>
        <v>6.0155898252527498E-3</v>
      </c>
      <c r="N223" s="59">
        <f t="shared" si="22"/>
        <v>8.5623439157928478E-3</v>
      </c>
      <c r="O223" s="62">
        <f t="shared" si="22"/>
        <v>1.089214360023698E-2</v>
      </c>
      <c r="P223" s="54" t="s">
        <v>21</v>
      </c>
      <c r="Q223" s="52" t="s">
        <v>21</v>
      </c>
      <c r="R223" s="93" t="s">
        <v>21</v>
      </c>
      <c r="S223" s="72">
        <v>0</v>
      </c>
      <c r="T223" s="62">
        <f t="shared" si="20"/>
        <v>1.0175624525252749E-2</v>
      </c>
      <c r="V223" s="113">
        <v>1.1110291800000001</v>
      </c>
      <c r="W223" s="71">
        <v>2.8466675600000002</v>
      </c>
      <c r="X223" s="71">
        <v>4.3814798699999997</v>
      </c>
      <c r="Y223" s="71">
        <v>5.7029102800000002</v>
      </c>
      <c r="Z223" s="114">
        <v>7.3376828300000003</v>
      </c>
      <c r="AB223" s="70" t="s">
        <v>21</v>
      </c>
      <c r="AC223" s="70">
        <v>4.7427263013567833E-3</v>
      </c>
      <c r="AD223" s="70">
        <v>1.0175624525252749E-2</v>
      </c>
      <c r="AE223" s="70">
        <v>1.3599813415792845E-2</v>
      </c>
      <c r="AF223" s="62">
        <v>1.7199034000236979E-2</v>
      </c>
      <c r="AG223" s="70" t="s">
        <v>21</v>
      </c>
      <c r="AH223" s="70">
        <v>1.5922771013567837E-3</v>
      </c>
      <c r="AI223" s="70">
        <v>6.0155898252527498E-3</v>
      </c>
      <c r="AJ223" s="70">
        <v>8.5623439157928478E-3</v>
      </c>
      <c r="AK223" s="70">
        <v>1.089214360023698E-2</v>
      </c>
    </row>
    <row r="224" spans="2:37" x14ac:dyDescent="0.35">
      <c r="B224" s="54" t="s">
        <v>259</v>
      </c>
      <c r="C224" s="52" t="s">
        <v>232</v>
      </c>
      <c r="D224" s="52" t="s">
        <v>31</v>
      </c>
      <c r="E224" s="52" t="s">
        <v>36</v>
      </c>
      <c r="F224" s="72" t="str">
        <f t="shared" si="21"/>
        <v/>
      </c>
      <c r="G224" s="59">
        <f t="shared" si="21"/>
        <v>4.7387459962330968E-3</v>
      </c>
      <c r="H224" s="59">
        <f t="shared" si="21"/>
        <v>1.0128308079491203E-2</v>
      </c>
      <c r="I224" s="59">
        <f t="shared" si="21"/>
        <v>1.3302954504249287E-2</v>
      </c>
      <c r="J224" s="62">
        <f t="shared" si="21"/>
        <v>1.6812271103811539E-2</v>
      </c>
      <c r="K224" s="59" t="str">
        <f t="shared" si="22"/>
        <v/>
      </c>
      <c r="L224" s="59">
        <f t="shared" si="22"/>
        <v>1.5875326962330972E-3</v>
      </c>
      <c r="M224" s="59">
        <f t="shared" si="22"/>
        <v>5.9651301794912039E-3</v>
      </c>
      <c r="N224" s="59">
        <f t="shared" si="22"/>
        <v>8.2517279042492835E-3</v>
      </c>
      <c r="O224" s="62">
        <f t="shared" si="22"/>
        <v>1.0488246203811537E-2</v>
      </c>
      <c r="P224" s="54" t="s">
        <v>547</v>
      </c>
      <c r="Q224" s="52" t="s">
        <v>548</v>
      </c>
      <c r="R224" s="93">
        <v>47660</v>
      </c>
      <c r="S224" s="72">
        <v>8.4855499999999997E-3</v>
      </c>
      <c r="T224" s="62">
        <f t="shared" si="20"/>
        <v>1.6427580794912029E-3</v>
      </c>
      <c r="V224" s="113">
        <v>1.1110506200000001</v>
      </c>
      <c r="W224" s="71">
        <v>2.8467481600000002</v>
      </c>
      <c r="X224" s="71">
        <v>4.3820745299999997</v>
      </c>
      <c r="Y224" s="71">
        <v>5.7074959700000001</v>
      </c>
      <c r="Z224" s="114">
        <v>7.3526159999999994</v>
      </c>
      <c r="AB224" s="70" t="s">
        <v>21</v>
      </c>
      <c r="AC224" s="70">
        <v>4.7387459962330968E-3</v>
      </c>
      <c r="AD224" s="70">
        <v>1.0128308079491203E-2</v>
      </c>
      <c r="AE224" s="70">
        <v>1.3302954504249287E-2</v>
      </c>
      <c r="AF224" s="62">
        <v>1.6812271103811539E-2</v>
      </c>
      <c r="AG224" s="70" t="s">
        <v>21</v>
      </c>
      <c r="AH224" s="70">
        <v>1.5875326962330972E-3</v>
      </c>
      <c r="AI224" s="70">
        <v>5.9651301794912039E-3</v>
      </c>
      <c r="AJ224" s="70">
        <v>8.2517279042492835E-3</v>
      </c>
      <c r="AK224" s="70">
        <v>1.0488246203811537E-2</v>
      </c>
    </row>
    <row r="225" spans="2:37" x14ac:dyDescent="0.35">
      <c r="B225" s="54" t="s">
        <v>248</v>
      </c>
      <c r="C225" s="52" t="s">
        <v>232</v>
      </c>
      <c r="D225" s="52" t="s">
        <v>97</v>
      </c>
      <c r="E225" s="52" t="s">
        <v>159</v>
      </c>
      <c r="F225" s="72" t="str">
        <f t="shared" ref="F225:J275" si="23">IF(ISNUMBER(AB225),AB225-((C$4-C$3)/V225),"")</f>
        <v/>
      </c>
      <c r="G225" s="59">
        <f t="shared" si="23"/>
        <v>4.7551023462104195E-3</v>
      </c>
      <c r="H225" s="59">
        <f t="shared" si="23"/>
        <v>1.0125461383099603E-2</v>
      </c>
      <c r="I225" s="59">
        <f t="shared" si="23"/>
        <v>1.3250707198956428E-2</v>
      </c>
      <c r="J225" s="62">
        <f t="shared" si="23"/>
        <v>1.6762884931896017E-2</v>
      </c>
      <c r="K225" s="59" t="str">
        <f t="shared" ref="K225:O275" si="24">IF(ISNUMBER(AG225),IF(AG225-((C$4-C$3)/V225)&lt;0,"",AG225-((C$4-C$3)/V225)),"")</f>
        <v/>
      </c>
      <c r="L225" s="59">
        <f t="shared" si="24"/>
        <v>1.6053727462104189E-3</v>
      </c>
      <c r="M225" s="59">
        <f t="shared" si="24"/>
        <v>5.9622349830996029E-3</v>
      </c>
      <c r="N225" s="59">
        <f t="shared" si="24"/>
        <v>8.1970939989564305E-3</v>
      </c>
      <c r="O225" s="62">
        <f t="shared" si="24"/>
        <v>1.0436456431896019E-2</v>
      </c>
      <c r="P225" s="54" t="s">
        <v>549</v>
      </c>
      <c r="Q225" s="52" t="s">
        <v>550</v>
      </c>
      <c r="R225" s="93">
        <v>47551</v>
      </c>
      <c r="S225" s="72">
        <v>6.7133600000000007E-3</v>
      </c>
      <c r="T225" s="62">
        <f t="shared" si="20"/>
        <v>3.4121013830996022E-3</v>
      </c>
      <c r="V225" s="113">
        <v>1.11094944</v>
      </c>
      <c r="W225" s="71">
        <v>2.8464493699999998</v>
      </c>
      <c r="X225" s="71">
        <v>4.3817456200000002</v>
      </c>
      <c r="Y225" s="71">
        <v>5.7078381</v>
      </c>
      <c r="Z225" s="114">
        <v>7.3543955800000003</v>
      </c>
      <c r="AB225" s="70" t="s">
        <v>21</v>
      </c>
      <c r="AC225" s="70">
        <v>4.7551023462104195E-3</v>
      </c>
      <c r="AD225" s="70">
        <v>1.0125461383099603E-2</v>
      </c>
      <c r="AE225" s="70">
        <v>1.3250707198956428E-2</v>
      </c>
      <c r="AF225" s="62">
        <v>1.6762884931896017E-2</v>
      </c>
      <c r="AG225" s="70" t="s">
        <v>21</v>
      </c>
      <c r="AH225" s="70">
        <v>1.6053727462104189E-3</v>
      </c>
      <c r="AI225" s="70">
        <v>5.9622349830996029E-3</v>
      </c>
      <c r="AJ225" s="70">
        <v>8.1970939989564305E-3</v>
      </c>
      <c r="AK225" s="70">
        <v>1.0436456431896019E-2</v>
      </c>
    </row>
    <row r="226" spans="2:37" x14ac:dyDescent="0.35">
      <c r="B226" s="54" t="s">
        <v>245</v>
      </c>
      <c r="C226" s="52" t="s">
        <v>232</v>
      </c>
      <c r="D226" s="52" t="s">
        <v>20</v>
      </c>
      <c r="E226" s="52" t="s">
        <v>21</v>
      </c>
      <c r="F226" s="72" t="str">
        <f t="shared" si="23"/>
        <v/>
      </c>
      <c r="G226" s="59">
        <f t="shared" si="23"/>
        <v>5.2345401566464538E-3</v>
      </c>
      <c r="H226" s="59">
        <f t="shared" si="23"/>
        <v>1.0472812114152973E-2</v>
      </c>
      <c r="I226" s="59">
        <f t="shared" si="23"/>
        <v>1.3688671361827415E-2</v>
      </c>
      <c r="J226" s="62">
        <f t="shared" si="23"/>
        <v>1.6984067270116272E-2</v>
      </c>
      <c r="K226" s="59" t="str">
        <f t="shared" si="24"/>
        <v/>
      </c>
      <c r="L226" s="59">
        <f t="shared" si="24"/>
        <v>2.1209957566464513E-3</v>
      </c>
      <c r="M226" s="59">
        <f t="shared" si="24"/>
        <v>6.3298329141529761E-3</v>
      </c>
      <c r="N226" s="59">
        <f t="shared" si="24"/>
        <v>8.6557372618274158E-3</v>
      </c>
      <c r="O226" s="62">
        <f t="shared" si="24"/>
        <v>1.066975197011627E-2</v>
      </c>
      <c r="P226" s="54" t="s">
        <v>246</v>
      </c>
      <c r="Q226" s="52" t="s">
        <v>247</v>
      </c>
      <c r="R226" s="93">
        <v>47543</v>
      </c>
      <c r="S226" s="72">
        <v>7.7051800000000007E-3</v>
      </c>
      <c r="T226" s="62">
        <f t="shared" si="20"/>
        <v>2.7676321141529726E-3</v>
      </c>
      <c r="V226" s="113">
        <v>1.1103061399999998</v>
      </c>
      <c r="W226" s="71">
        <v>2.8425903300000002</v>
      </c>
      <c r="X226" s="71">
        <v>4.3733309900000004</v>
      </c>
      <c r="Y226" s="71">
        <v>5.6919853200000006</v>
      </c>
      <c r="Z226" s="114">
        <v>7.3289133800000004</v>
      </c>
      <c r="AB226" s="70" t="s">
        <v>21</v>
      </c>
      <c r="AC226" s="70">
        <v>5.2345401566464538E-3</v>
      </c>
      <c r="AD226" s="70">
        <v>1.0472812114152973E-2</v>
      </c>
      <c r="AE226" s="70">
        <v>1.3688671361827415E-2</v>
      </c>
      <c r="AF226" s="62">
        <v>1.6984067270116272E-2</v>
      </c>
      <c r="AG226" s="70" t="s">
        <v>21</v>
      </c>
      <c r="AH226" s="70">
        <v>2.1209957566464513E-3</v>
      </c>
      <c r="AI226" s="70">
        <v>6.3298329141529761E-3</v>
      </c>
      <c r="AJ226" s="70">
        <v>8.6557372618274158E-3</v>
      </c>
      <c r="AK226" s="70">
        <v>1.066975197011627E-2</v>
      </c>
    </row>
    <row r="227" spans="2:37" x14ac:dyDescent="0.35">
      <c r="B227" s="54" t="s">
        <v>350</v>
      </c>
      <c r="C227" s="52" t="s">
        <v>232</v>
      </c>
      <c r="D227" s="52" t="s">
        <v>20</v>
      </c>
      <c r="E227" s="52" t="s">
        <v>21</v>
      </c>
      <c r="F227" s="72" t="str">
        <f t="shared" si="23"/>
        <v/>
      </c>
      <c r="G227" s="59">
        <f t="shared" si="23"/>
        <v>4.8444909705505643E-3</v>
      </c>
      <c r="H227" s="59">
        <f t="shared" si="23"/>
        <v>1.0407747371901159E-2</v>
      </c>
      <c r="I227" s="59">
        <f t="shared" si="23"/>
        <v>1.3626383960755589E-2</v>
      </c>
      <c r="J227" s="62">
        <f t="shared" si="23"/>
        <v>1.6537327911523736E-2</v>
      </c>
      <c r="K227" s="59" t="str">
        <f t="shared" si="24"/>
        <v/>
      </c>
      <c r="L227" s="59">
        <f t="shared" si="24"/>
        <v>1.7024104705505635E-3</v>
      </c>
      <c r="M227" s="59">
        <f t="shared" si="24"/>
        <v>6.2612106719011577E-3</v>
      </c>
      <c r="N227" s="59">
        <f t="shared" si="24"/>
        <v>8.5919472607555933E-3</v>
      </c>
      <c r="O227" s="62">
        <f t="shared" si="24"/>
        <v>1.0207448011523736E-2</v>
      </c>
      <c r="P227" s="54" t="s">
        <v>391</v>
      </c>
      <c r="Q227" s="52" t="s">
        <v>392</v>
      </c>
      <c r="R227" s="93">
        <v>47802</v>
      </c>
      <c r="S227" s="72">
        <v>8.9392099999999995E-3</v>
      </c>
      <c r="T227" s="62">
        <f t="shared" si="20"/>
        <v>1.4685373719011598E-3</v>
      </c>
      <c r="V227" s="113">
        <v>1.1109600000000002</v>
      </c>
      <c r="W227" s="71">
        <v>2.8459255700000003</v>
      </c>
      <c r="X227" s="71">
        <v>4.3781193199999997</v>
      </c>
      <c r="Y227" s="71">
        <v>5.6974660300000002</v>
      </c>
      <c r="Z227" s="114">
        <v>7.3437116799999993</v>
      </c>
      <c r="AB227" s="70" t="s">
        <v>21</v>
      </c>
      <c r="AC227" s="70">
        <v>4.8444909705505643E-3</v>
      </c>
      <c r="AD227" s="70">
        <v>1.0407747371901159E-2</v>
      </c>
      <c r="AE227" s="70">
        <v>1.3626383960755589E-2</v>
      </c>
      <c r="AF227" s="62">
        <v>1.6537327911523736E-2</v>
      </c>
      <c r="AG227" s="70" t="s">
        <v>21</v>
      </c>
      <c r="AH227" s="70">
        <v>1.7024104705505635E-3</v>
      </c>
      <c r="AI227" s="70">
        <v>6.2612106719011577E-3</v>
      </c>
      <c r="AJ227" s="70">
        <v>8.5919472607555933E-3</v>
      </c>
      <c r="AK227" s="70">
        <v>1.0207448011523736E-2</v>
      </c>
    </row>
    <row r="228" spans="2:37" x14ac:dyDescent="0.35">
      <c r="B228" s="54" t="s">
        <v>254</v>
      </c>
      <c r="C228" s="52" t="s">
        <v>232</v>
      </c>
      <c r="D228" s="52" t="s">
        <v>255</v>
      </c>
      <c r="E228" s="52" t="s">
        <v>103</v>
      </c>
      <c r="F228" s="72" t="str">
        <f t="shared" si="23"/>
        <v/>
      </c>
      <c r="G228" s="59">
        <f t="shared" si="23"/>
        <v>4.4081949251524536E-3</v>
      </c>
      <c r="H228" s="59">
        <f t="shared" si="23"/>
        <v>9.7307018641171888E-3</v>
      </c>
      <c r="I228" s="59">
        <f t="shared" si="23"/>
        <v>1.3076026091118083E-2</v>
      </c>
      <c r="J228" s="62">
        <f t="shared" si="23"/>
        <v>1.6584950220257251E-2</v>
      </c>
      <c r="K228" s="59" t="str">
        <f t="shared" si="24"/>
        <v/>
      </c>
      <c r="L228" s="59">
        <f t="shared" si="24"/>
        <v>1.2290426251524533E-3</v>
      </c>
      <c r="M228" s="59">
        <f t="shared" si="24"/>
        <v>5.5423326641171888E-3</v>
      </c>
      <c r="N228" s="59">
        <f t="shared" si="24"/>
        <v>8.011939391118085E-3</v>
      </c>
      <c r="O228" s="62">
        <f t="shared" si="24"/>
        <v>1.0250257820257253E-2</v>
      </c>
      <c r="P228" s="54" t="s">
        <v>551</v>
      </c>
      <c r="Q228" s="52" t="s">
        <v>552</v>
      </c>
      <c r="R228" s="93" t="s">
        <v>32</v>
      </c>
      <c r="S228" s="72">
        <v>7.0854399999999993E-3</v>
      </c>
      <c r="T228" s="62">
        <f t="shared" si="20"/>
        <v>2.6452618641171896E-3</v>
      </c>
      <c r="V228" s="113">
        <v>1.1110842299999999</v>
      </c>
      <c r="W228" s="71">
        <v>2.8489069999999996</v>
      </c>
      <c r="X228" s="71">
        <v>4.3890362500000002</v>
      </c>
      <c r="Y228" s="71">
        <v>5.7186652999999996</v>
      </c>
      <c r="Z228" s="114">
        <v>7.3699531199999999</v>
      </c>
      <c r="AB228" s="70" t="s">
        <v>21</v>
      </c>
      <c r="AC228" s="70">
        <v>4.4081949251524536E-3</v>
      </c>
      <c r="AD228" s="70">
        <v>9.7307018641171888E-3</v>
      </c>
      <c r="AE228" s="70">
        <v>1.3076026091118083E-2</v>
      </c>
      <c r="AF228" s="62">
        <v>1.6584950220257251E-2</v>
      </c>
      <c r="AG228" s="70" t="s">
        <v>21</v>
      </c>
      <c r="AH228" s="70">
        <v>1.2290426251524533E-3</v>
      </c>
      <c r="AI228" s="70">
        <v>5.5423326641171888E-3</v>
      </c>
      <c r="AJ228" s="70">
        <v>8.011939391118085E-3</v>
      </c>
      <c r="AK228" s="70">
        <v>1.0250257820257253E-2</v>
      </c>
    </row>
    <row r="229" spans="2:37" x14ac:dyDescent="0.35">
      <c r="B229" s="54" t="s">
        <v>156</v>
      </c>
      <c r="C229" s="52" t="s">
        <v>232</v>
      </c>
      <c r="D229" s="52" t="s">
        <v>31</v>
      </c>
      <c r="E229" s="52" t="s">
        <v>553</v>
      </c>
      <c r="F229" s="72" t="str">
        <f t="shared" si="23"/>
        <v/>
      </c>
      <c r="G229" s="59">
        <f t="shared" si="23"/>
        <v>4.3029954820886143E-3</v>
      </c>
      <c r="H229" s="59">
        <f t="shared" si="23"/>
        <v>9.6945751210400603E-3</v>
      </c>
      <c r="I229" s="59">
        <f t="shared" si="23"/>
        <v>1.2936798640167684E-2</v>
      </c>
      <c r="J229" s="62">
        <f t="shared" si="23"/>
        <v>1.6447679533736499E-2</v>
      </c>
      <c r="K229" s="59" t="str">
        <f t="shared" si="24"/>
        <v/>
      </c>
      <c r="L229" s="59">
        <f t="shared" si="24"/>
        <v>1.113700382088616E-3</v>
      </c>
      <c r="M229" s="59">
        <f t="shared" si="24"/>
        <v>5.503462521040059E-3</v>
      </c>
      <c r="N229" s="59">
        <f t="shared" si="24"/>
        <v>7.8656906401676878E-3</v>
      </c>
      <c r="O229" s="62">
        <f t="shared" si="24"/>
        <v>1.0106449233736502E-2</v>
      </c>
      <c r="P229" s="54" t="s">
        <v>21</v>
      </c>
      <c r="Q229" s="52" t="s">
        <v>21</v>
      </c>
      <c r="R229" s="93" t="s">
        <v>21</v>
      </c>
      <c r="S229" s="72">
        <v>0</v>
      </c>
      <c r="T229" s="62">
        <f t="shared" si="20"/>
        <v>9.6945751210400603E-3</v>
      </c>
      <c r="V229" s="113">
        <v>1.1117322000000001</v>
      </c>
      <c r="W229" s="71">
        <v>2.8508116100000001</v>
      </c>
      <c r="X229" s="71">
        <v>4.3916397699999994</v>
      </c>
      <c r="Y229" s="71">
        <v>5.7231976400000004</v>
      </c>
      <c r="Z229" s="114">
        <v>7.3784403999999997</v>
      </c>
      <c r="AB229" s="70" t="s">
        <v>21</v>
      </c>
      <c r="AC229" s="70">
        <v>4.3029954820886143E-3</v>
      </c>
      <c r="AD229" s="70">
        <v>9.6945751210400603E-3</v>
      </c>
      <c r="AE229" s="70">
        <v>1.2936798640167684E-2</v>
      </c>
      <c r="AF229" s="62">
        <v>1.6447679533736499E-2</v>
      </c>
      <c r="AG229" s="70" t="s">
        <v>21</v>
      </c>
      <c r="AH229" s="70">
        <v>1.113700382088616E-3</v>
      </c>
      <c r="AI229" s="70">
        <v>5.503462521040059E-3</v>
      </c>
      <c r="AJ229" s="70">
        <v>7.8656906401676878E-3</v>
      </c>
      <c r="AK229" s="70">
        <v>1.0106449233736502E-2</v>
      </c>
    </row>
    <row r="230" spans="2:37" x14ac:dyDescent="0.35">
      <c r="B230" s="54" t="s">
        <v>148</v>
      </c>
      <c r="C230" s="52" t="s">
        <v>232</v>
      </c>
      <c r="D230" s="52" t="s">
        <v>97</v>
      </c>
      <c r="E230" s="52" t="s">
        <v>345</v>
      </c>
      <c r="F230" s="72" t="str">
        <f t="shared" si="23"/>
        <v/>
      </c>
      <c r="G230" s="59">
        <f t="shared" si="23"/>
        <v>4.4590116539234108E-3</v>
      </c>
      <c r="H230" s="59">
        <f t="shared" si="23"/>
        <v>9.6377546291084911E-3</v>
      </c>
      <c r="I230" s="59">
        <f t="shared" si="23"/>
        <v>1.2986122591654046E-2</v>
      </c>
      <c r="J230" s="62">
        <f t="shared" si="23"/>
        <v>1.6596710247868636E-2</v>
      </c>
      <c r="K230" s="59" t="str">
        <f t="shared" si="24"/>
        <v/>
      </c>
      <c r="L230" s="59">
        <f t="shared" si="24"/>
        <v>1.2838284539234105E-3</v>
      </c>
      <c r="M230" s="59">
        <f t="shared" si="24"/>
        <v>5.4436197291084908E-3</v>
      </c>
      <c r="N230" s="59">
        <f t="shared" si="24"/>
        <v>7.9174410916540462E-3</v>
      </c>
      <c r="O230" s="62">
        <f t="shared" si="24"/>
        <v>1.0261959747868638E-2</v>
      </c>
      <c r="P230" s="54" t="s">
        <v>554</v>
      </c>
      <c r="Q230" s="52" t="s">
        <v>555</v>
      </c>
      <c r="R230" s="93" t="s">
        <v>32</v>
      </c>
      <c r="S230" s="72">
        <v>1.0655330000000001E-2</v>
      </c>
      <c r="T230" s="62">
        <f t="shared" si="20"/>
        <v>-1.0175753708915099E-3</v>
      </c>
      <c r="V230" s="113">
        <v>1.1119213399999999</v>
      </c>
      <c r="W230" s="71">
        <v>2.8501685499999998</v>
      </c>
      <c r="X230" s="71">
        <v>4.3911243500000001</v>
      </c>
      <c r="Y230" s="71">
        <v>5.7222672299999999</v>
      </c>
      <c r="Z230" s="114">
        <v>7.3740655799999999</v>
      </c>
      <c r="AB230" s="70" t="s">
        <v>21</v>
      </c>
      <c r="AC230" s="70">
        <v>4.4590116539234108E-3</v>
      </c>
      <c r="AD230" s="70">
        <v>9.6377546291084911E-3</v>
      </c>
      <c r="AE230" s="70">
        <v>1.2986122591654046E-2</v>
      </c>
      <c r="AF230" s="62">
        <v>1.6596710247868636E-2</v>
      </c>
      <c r="AG230" s="70" t="s">
        <v>21</v>
      </c>
      <c r="AH230" s="70">
        <v>1.2838284539234105E-3</v>
      </c>
      <c r="AI230" s="70">
        <v>5.4436197291084908E-3</v>
      </c>
      <c r="AJ230" s="70">
        <v>7.9174410916540462E-3</v>
      </c>
      <c r="AK230" s="70">
        <v>1.0261959747868638E-2</v>
      </c>
    </row>
    <row r="231" spans="2:37" x14ac:dyDescent="0.35">
      <c r="B231" s="54" t="s">
        <v>352</v>
      </c>
      <c r="C231" s="52" t="s">
        <v>232</v>
      </c>
      <c r="D231" s="52" t="s">
        <v>20</v>
      </c>
      <c r="E231" s="52" t="s">
        <v>21</v>
      </c>
      <c r="F231" s="72" t="str">
        <f t="shared" si="23"/>
        <v/>
      </c>
      <c r="G231" s="59">
        <f t="shared" si="23"/>
        <v>4.7510429839319711E-3</v>
      </c>
      <c r="H231" s="59">
        <f t="shared" si="23"/>
        <v>1.0119217020722531E-2</v>
      </c>
      <c r="I231" s="59">
        <f t="shared" si="23"/>
        <v>1.3652455579440777E-2</v>
      </c>
      <c r="J231" s="62">
        <f t="shared" si="23"/>
        <v>1.6913560079883375E-2</v>
      </c>
      <c r="K231" s="59" t="str">
        <f t="shared" si="24"/>
        <v/>
      </c>
      <c r="L231" s="59">
        <f t="shared" si="24"/>
        <v>1.5998631839319703E-3</v>
      </c>
      <c r="M231" s="59">
        <f t="shared" si="24"/>
        <v>5.9548576207225333E-3</v>
      </c>
      <c r="N231" s="59">
        <f t="shared" si="24"/>
        <v>8.6169374794407803E-3</v>
      </c>
      <c r="O231" s="62">
        <f t="shared" si="24"/>
        <v>1.0598390879883379E-2</v>
      </c>
      <c r="P231" s="54" t="s">
        <v>21</v>
      </c>
      <c r="Q231" s="52" t="s">
        <v>21</v>
      </c>
      <c r="R231" s="93" t="s">
        <v>21</v>
      </c>
      <c r="S231" s="72">
        <v>0</v>
      </c>
      <c r="T231" s="62">
        <f t="shared" si="20"/>
        <v>1.0119217020722531E-2</v>
      </c>
      <c r="V231" s="113">
        <v>1.1112998699999999</v>
      </c>
      <c r="W231" s="71">
        <v>2.84785318</v>
      </c>
      <c r="X231" s="71">
        <v>4.3838076900000003</v>
      </c>
      <c r="Y231" s="71">
        <v>5.7036068200000001</v>
      </c>
      <c r="Z231" s="114">
        <v>7.3413239800000003</v>
      </c>
      <c r="AB231" s="70" t="s">
        <v>21</v>
      </c>
      <c r="AC231" s="70">
        <v>4.7510429839319711E-3</v>
      </c>
      <c r="AD231" s="70">
        <v>1.0119217020722531E-2</v>
      </c>
      <c r="AE231" s="70">
        <v>1.3652455579440777E-2</v>
      </c>
      <c r="AF231" s="62">
        <v>1.6913560079883375E-2</v>
      </c>
      <c r="AG231" s="70" t="s">
        <v>21</v>
      </c>
      <c r="AH231" s="70">
        <v>1.5998631839319703E-3</v>
      </c>
      <c r="AI231" s="70">
        <v>5.9548576207225333E-3</v>
      </c>
      <c r="AJ231" s="70">
        <v>8.6169374794407803E-3</v>
      </c>
      <c r="AK231" s="70">
        <v>1.0598390879883379E-2</v>
      </c>
    </row>
    <row r="232" spans="2:37" x14ac:dyDescent="0.35">
      <c r="B232" s="54" t="s">
        <v>373</v>
      </c>
      <c r="C232" s="52" t="s">
        <v>232</v>
      </c>
      <c r="D232" s="52" t="s">
        <v>69</v>
      </c>
      <c r="E232" s="52" t="s">
        <v>21</v>
      </c>
      <c r="F232" s="72" t="str">
        <f t="shared" si="23"/>
        <v/>
      </c>
      <c r="G232" s="59">
        <f t="shared" si="23"/>
        <v>4.3700991034150774E-3</v>
      </c>
      <c r="H232" s="59">
        <f t="shared" si="23"/>
        <v>9.5856603552830644E-3</v>
      </c>
      <c r="I232" s="59">
        <f t="shared" si="23"/>
        <v>1.2482734270361496E-2</v>
      </c>
      <c r="J232" s="62">
        <f t="shared" si="23"/>
        <v>1.5348697828433693E-2</v>
      </c>
      <c r="K232" s="59" t="str">
        <f t="shared" si="24"/>
        <v/>
      </c>
      <c r="L232" s="59">
        <f t="shared" si="24"/>
        <v>1.1872549034150758E-3</v>
      </c>
      <c r="M232" s="59">
        <f t="shared" si="24"/>
        <v>5.3878344552830641E-3</v>
      </c>
      <c r="N232" s="59">
        <f t="shared" si="24"/>
        <v>7.3871367703614984E-3</v>
      </c>
      <c r="O232" s="62">
        <f t="shared" si="24"/>
        <v>8.9514092284336891E-3</v>
      </c>
      <c r="P232" s="54" t="s">
        <v>21</v>
      </c>
      <c r="Q232" s="52" t="s">
        <v>21</v>
      </c>
      <c r="R232" s="93" t="s">
        <v>21</v>
      </c>
      <c r="S232" s="72">
        <v>0</v>
      </c>
      <c r="T232" s="62">
        <f t="shared" si="20"/>
        <v>9.5856603552830644E-3</v>
      </c>
      <c r="V232" s="113">
        <v>1.1116487799999999</v>
      </c>
      <c r="W232" s="71">
        <v>2.8502156200000002</v>
      </c>
      <c r="X232" s="71">
        <v>4.3919057600000002</v>
      </c>
      <c r="Y232" s="71">
        <v>5.7296632799999996</v>
      </c>
      <c r="Z232" s="114">
        <v>7.4111463500000001</v>
      </c>
      <c r="AB232" s="70" t="s">
        <v>21</v>
      </c>
      <c r="AC232" s="70">
        <v>4.3700991034150774E-3</v>
      </c>
      <c r="AD232" s="70">
        <v>9.5856603552830644E-3</v>
      </c>
      <c r="AE232" s="70">
        <v>1.2482734270361496E-2</v>
      </c>
      <c r="AF232" s="62">
        <v>1.5348697828433693E-2</v>
      </c>
      <c r="AG232" s="70" t="s">
        <v>21</v>
      </c>
      <c r="AH232" s="70">
        <v>1.1872549034150758E-3</v>
      </c>
      <c r="AI232" s="70">
        <v>5.3878344552830641E-3</v>
      </c>
      <c r="AJ232" s="70">
        <v>7.3871367703614984E-3</v>
      </c>
      <c r="AK232" s="70">
        <v>8.9514092284336891E-3</v>
      </c>
    </row>
    <row r="233" spans="2:37" x14ac:dyDescent="0.35">
      <c r="B233" s="54" t="s">
        <v>374</v>
      </c>
      <c r="C233" s="52" t="s">
        <v>232</v>
      </c>
      <c r="D233" s="52" t="s">
        <v>20</v>
      </c>
      <c r="E233" s="52" t="s">
        <v>556</v>
      </c>
      <c r="F233" s="72" t="str">
        <f t="shared" si="23"/>
        <v/>
      </c>
      <c r="G233" s="59">
        <f t="shared" si="23"/>
        <v>3.6898417783700569E-3</v>
      </c>
      <c r="H233" s="59">
        <f t="shared" si="23"/>
        <v>8.1976135204501199E-3</v>
      </c>
      <c r="I233" s="59">
        <f t="shared" si="23"/>
        <v>1.0891808793688836E-2</v>
      </c>
      <c r="J233" s="62">
        <f t="shared" si="23"/>
        <v>1.3516422949461985E-2</v>
      </c>
      <c r="K233" s="59" t="str">
        <f t="shared" si="24"/>
        <v/>
      </c>
      <c r="L233" s="59">
        <f t="shared" si="24"/>
        <v>4.3896487837005813E-4</v>
      </c>
      <c r="M233" s="59">
        <f t="shared" si="24"/>
        <v>3.8879606204501212E-3</v>
      </c>
      <c r="N233" s="59">
        <f t="shared" si="24"/>
        <v>5.6796023936888373E-3</v>
      </c>
      <c r="O233" s="62">
        <f t="shared" si="24"/>
        <v>6.9844472494619845E-3</v>
      </c>
      <c r="P233" s="54" t="s">
        <v>21</v>
      </c>
      <c r="Q233" s="52" t="s">
        <v>21</v>
      </c>
      <c r="R233" s="93" t="s">
        <v>21</v>
      </c>
      <c r="S233" s="72">
        <v>0</v>
      </c>
      <c r="T233" s="62">
        <f t="shared" si="20"/>
        <v>8.1976135204501199E-3</v>
      </c>
      <c r="V233" s="113">
        <v>1.11205687</v>
      </c>
      <c r="W233" s="71">
        <v>2.8552602600000001</v>
      </c>
      <c r="X233" s="71">
        <v>4.4126252900000003</v>
      </c>
      <c r="Y233" s="71">
        <v>5.7759426400000002</v>
      </c>
      <c r="Z233" s="114">
        <v>7.5068929000000004</v>
      </c>
      <c r="AB233" s="70" t="s">
        <v>21</v>
      </c>
      <c r="AC233" s="70">
        <v>3.6898417783700569E-3</v>
      </c>
      <c r="AD233" s="70">
        <v>8.1976135204501199E-3</v>
      </c>
      <c r="AE233" s="70">
        <v>1.0891808793688836E-2</v>
      </c>
      <c r="AF233" s="62">
        <v>1.3516422949461985E-2</v>
      </c>
      <c r="AG233" s="70" t="s">
        <v>21</v>
      </c>
      <c r="AH233" s="70">
        <v>4.3896487837005813E-4</v>
      </c>
      <c r="AI233" s="70">
        <v>3.8879606204501212E-3</v>
      </c>
      <c r="AJ233" s="70">
        <v>5.6796023936888373E-3</v>
      </c>
      <c r="AK233" s="70">
        <v>6.9844472494619845E-3</v>
      </c>
    </row>
    <row r="234" spans="2:37" x14ac:dyDescent="0.35">
      <c r="B234" s="54" t="s">
        <v>157</v>
      </c>
      <c r="C234" s="52" t="s">
        <v>232</v>
      </c>
      <c r="D234" s="52" t="s">
        <v>31</v>
      </c>
      <c r="E234" s="52" t="s">
        <v>21</v>
      </c>
      <c r="F234" s="72" t="str">
        <f t="shared" si="23"/>
        <v/>
      </c>
      <c r="G234" s="59">
        <f t="shared" si="23"/>
        <v>4.4506542108413072E-3</v>
      </c>
      <c r="H234" s="59">
        <f t="shared" si="23"/>
        <v>9.5232461603735157E-3</v>
      </c>
      <c r="I234" s="59">
        <f t="shared" si="23"/>
        <v>1.2629885334584479E-2</v>
      </c>
      <c r="J234" s="62">
        <f t="shared" si="23"/>
        <v>1.5849642420969066E-2</v>
      </c>
      <c r="K234" s="59" t="str">
        <f t="shared" si="24"/>
        <v/>
      </c>
      <c r="L234" s="59">
        <f t="shared" si="24"/>
        <v>1.2750470108413067E-3</v>
      </c>
      <c r="M234" s="59">
        <f t="shared" si="24"/>
        <v>5.3209390603735154E-3</v>
      </c>
      <c r="N234" s="59">
        <f t="shared" si="24"/>
        <v>7.5412889345844777E-3</v>
      </c>
      <c r="O234" s="62">
        <f t="shared" si="24"/>
        <v>9.4777650209690641E-3</v>
      </c>
      <c r="P234" s="54" t="s">
        <v>21</v>
      </c>
      <c r="Q234" s="52" t="s">
        <v>21</v>
      </c>
      <c r="R234" s="93" t="s">
        <v>21</v>
      </c>
      <c r="S234" s="72">
        <v>0</v>
      </c>
      <c r="T234" s="62">
        <f t="shared" si="20"/>
        <v>9.5232461603735157E-3</v>
      </c>
      <c r="V234" s="113">
        <v>1.11081213</v>
      </c>
      <c r="W234" s="71">
        <v>2.8481355000000002</v>
      </c>
      <c r="X234" s="71">
        <v>4.39021565</v>
      </c>
      <c r="Y234" s="71">
        <v>5.7263251899999998</v>
      </c>
      <c r="Z234" s="114">
        <v>7.3963323299999999</v>
      </c>
      <c r="AB234" s="70" t="s">
        <v>21</v>
      </c>
      <c r="AC234" s="70">
        <v>4.4506542108413072E-3</v>
      </c>
      <c r="AD234" s="70">
        <v>9.5232461603735157E-3</v>
      </c>
      <c r="AE234" s="70">
        <v>1.2629885334584479E-2</v>
      </c>
      <c r="AF234" s="62">
        <v>1.5849642420969066E-2</v>
      </c>
      <c r="AG234" s="70" t="s">
        <v>21</v>
      </c>
      <c r="AH234" s="70">
        <v>1.2750470108413067E-3</v>
      </c>
      <c r="AI234" s="70">
        <v>5.3209390603735154E-3</v>
      </c>
      <c r="AJ234" s="70">
        <v>7.5412889345844777E-3</v>
      </c>
      <c r="AK234" s="70">
        <v>9.4777650209690641E-3</v>
      </c>
    </row>
    <row r="235" spans="2:37" x14ac:dyDescent="0.35">
      <c r="B235" s="54" t="s">
        <v>260</v>
      </c>
      <c r="C235" s="52" t="s">
        <v>232</v>
      </c>
      <c r="D235" s="52" t="s">
        <v>43</v>
      </c>
      <c r="E235" s="52" t="s">
        <v>21</v>
      </c>
      <c r="F235" s="72" t="str">
        <f t="shared" si="23"/>
        <v/>
      </c>
      <c r="G235" s="59">
        <f t="shared" si="23"/>
        <v>4.6463261995401163E-3</v>
      </c>
      <c r="H235" s="59">
        <f t="shared" si="23"/>
        <v>9.4648855174712318E-3</v>
      </c>
      <c r="I235" s="59">
        <f t="shared" si="23"/>
        <v>1.2324307326442435E-2</v>
      </c>
      <c r="J235" s="62">
        <f t="shared" si="23"/>
        <v>1.555786839257124E-2</v>
      </c>
      <c r="K235" s="59" t="str">
        <f t="shared" si="24"/>
        <v/>
      </c>
      <c r="L235" s="59">
        <f t="shared" si="24"/>
        <v>1.4876859995401159E-3</v>
      </c>
      <c r="M235" s="59">
        <f t="shared" si="24"/>
        <v>5.259616017471231E-3</v>
      </c>
      <c r="N235" s="59">
        <f t="shared" si="24"/>
        <v>7.2187925264424356E-3</v>
      </c>
      <c r="O235" s="62">
        <f t="shared" si="24"/>
        <v>9.1687604925712388E-3</v>
      </c>
      <c r="P235" s="54" t="s">
        <v>21</v>
      </c>
      <c r="Q235" s="52" t="s">
        <v>21</v>
      </c>
      <c r="R235" s="93" t="s">
        <v>21</v>
      </c>
      <c r="S235" s="72">
        <v>0</v>
      </c>
      <c r="T235" s="62">
        <f t="shared" si="20"/>
        <v>9.4648855174712318E-3</v>
      </c>
      <c r="V235" s="113">
        <v>1.1111262099999999</v>
      </c>
      <c r="W235" s="71">
        <v>2.8474711699999999</v>
      </c>
      <c r="X235" s="71">
        <v>4.3895762500000002</v>
      </c>
      <c r="Y235" s="71">
        <v>5.7298326900000003</v>
      </c>
      <c r="Z235" s="114">
        <v>7.4084412700000009</v>
      </c>
      <c r="AB235" s="70" t="s">
        <v>21</v>
      </c>
      <c r="AC235" s="70">
        <v>4.6463261995401163E-3</v>
      </c>
      <c r="AD235" s="70">
        <v>9.4648855174712318E-3</v>
      </c>
      <c r="AE235" s="70">
        <v>1.2324307326442435E-2</v>
      </c>
      <c r="AF235" s="62">
        <v>1.555786839257124E-2</v>
      </c>
      <c r="AG235" s="70" t="s">
        <v>21</v>
      </c>
      <c r="AH235" s="70">
        <v>1.4876859995401159E-3</v>
      </c>
      <c r="AI235" s="70">
        <v>5.259616017471231E-3</v>
      </c>
      <c r="AJ235" s="70">
        <v>7.2187925264424356E-3</v>
      </c>
      <c r="AK235" s="70">
        <v>9.1687604925712388E-3</v>
      </c>
    </row>
    <row r="236" spans="2:37" x14ac:dyDescent="0.35">
      <c r="B236" s="54" t="s">
        <v>322</v>
      </c>
      <c r="C236" s="52" t="s">
        <v>232</v>
      </c>
      <c r="D236" s="52" t="s">
        <v>31</v>
      </c>
      <c r="E236" s="52" t="s">
        <v>256</v>
      </c>
      <c r="F236" s="72" t="str">
        <f t="shared" si="23"/>
        <v/>
      </c>
      <c r="G236" s="59">
        <f t="shared" si="23"/>
        <v>4.1556571406041291E-3</v>
      </c>
      <c r="H236" s="59">
        <f t="shared" si="23"/>
        <v>9.3978110601352118E-3</v>
      </c>
      <c r="I236" s="59">
        <f t="shared" si="23"/>
        <v>1.3560114313810502E-2</v>
      </c>
      <c r="J236" s="62">
        <f t="shared" si="23"/>
        <v>1.7036494928059781E-2</v>
      </c>
      <c r="K236" s="59" t="str">
        <f t="shared" si="24"/>
        <v/>
      </c>
      <c r="L236" s="59">
        <f t="shared" si="24"/>
        <v>9.5231054060412879E-4</v>
      </c>
      <c r="M236" s="59">
        <f t="shared" si="24"/>
        <v>5.1862993601352108E-3</v>
      </c>
      <c r="N236" s="59">
        <f t="shared" si="24"/>
        <v>8.5166105138104985E-3</v>
      </c>
      <c r="O236" s="62">
        <f t="shared" si="24"/>
        <v>1.0724167028059776E-2</v>
      </c>
      <c r="P236" s="54" t="s">
        <v>21</v>
      </c>
      <c r="Q236" s="52" t="s">
        <v>21</v>
      </c>
      <c r="R236" s="93" t="s">
        <v>21</v>
      </c>
      <c r="S236" s="72">
        <v>0</v>
      </c>
      <c r="T236" s="62">
        <f t="shared" si="20"/>
        <v>9.3978110601352118E-3</v>
      </c>
      <c r="V236" s="113">
        <v>1.11206052</v>
      </c>
      <c r="W236" s="71">
        <v>2.8523730600000001</v>
      </c>
      <c r="X236" s="71">
        <v>4.3965575399999999</v>
      </c>
      <c r="Y236" s="71">
        <v>5.7211292</v>
      </c>
      <c r="Z236" s="114">
        <v>7.3588836500000001</v>
      </c>
      <c r="AB236" s="70" t="s">
        <v>21</v>
      </c>
      <c r="AC236" s="70">
        <v>4.1556571406041291E-3</v>
      </c>
      <c r="AD236" s="70">
        <v>9.3978110601352118E-3</v>
      </c>
      <c r="AE236" s="70">
        <v>1.3560114313810502E-2</v>
      </c>
      <c r="AF236" s="62">
        <v>1.7036494928059781E-2</v>
      </c>
      <c r="AG236" s="70" t="s">
        <v>21</v>
      </c>
      <c r="AH236" s="70">
        <v>9.5231054060412879E-4</v>
      </c>
      <c r="AI236" s="70">
        <v>5.1862993601352108E-3</v>
      </c>
      <c r="AJ236" s="70">
        <v>8.5166105138104985E-3</v>
      </c>
      <c r="AK236" s="70">
        <v>1.0724167028059776E-2</v>
      </c>
    </row>
    <row r="237" spans="2:37" x14ac:dyDescent="0.35">
      <c r="B237" s="54" t="s">
        <v>365</v>
      </c>
      <c r="C237" s="52" t="s">
        <v>232</v>
      </c>
      <c r="D237" s="52" t="s">
        <v>69</v>
      </c>
      <c r="E237" s="52" t="s">
        <v>21</v>
      </c>
      <c r="F237" s="72" t="str">
        <f t="shared" si="23"/>
        <v/>
      </c>
      <c r="G237" s="59">
        <f t="shared" si="23"/>
        <v>4.2847555681684388E-3</v>
      </c>
      <c r="H237" s="59">
        <f t="shared" si="23"/>
        <v>9.3238422505509937E-3</v>
      </c>
      <c r="I237" s="59">
        <f t="shared" si="23"/>
        <v>1.233904456273162E-2</v>
      </c>
      <c r="J237" s="62">
        <f t="shared" si="23"/>
        <v>1.536125116960876E-2</v>
      </c>
      <c r="K237" s="59" t="str">
        <f t="shared" si="24"/>
        <v/>
      </c>
      <c r="L237" s="59">
        <f t="shared" si="24"/>
        <v>1.0944570681684375E-3</v>
      </c>
      <c r="M237" s="59">
        <f t="shared" si="24"/>
        <v>5.1075300505509947E-3</v>
      </c>
      <c r="N237" s="59">
        <f t="shared" si="24"/>
        <v>7.2332768627316208E-3</v>
      </c>
      <c r="O237" s="62">
        <f t="shared" si="24"/>
        <v>8.9624349696087596E-3</v>
      </c>
      <c r="P237" s="54" t="s">
        <v>21</v>
      </c>
      <c r="Q237" s="52" t="s">
        <v>21</v>
      </c>
      <c r="R237" s="93" t="s">
        <v>21</v>
      </c>
      <c r="S237" s="72">
        <v>0</v>
      </c>
      <c r="T237" s="62">
        <f t="shared" si="20"/>
        <v>9.3238422505509937E-3</v>
      </c>
      <c r="V237" s="113">
        <v>1.1109365499999999</v>
      </c>
      <c r="W237" s="71">
        <v>2.8494148500000001</v>
      </c>
      <c r="X237" s="71">
        <v>4.3938962900000007</v>
      </c>
      <c r="Y237" s="71">
        <v>5.7343932999999998</v>
      </c>
      <c r="Z237" s="114">
        <v>7.4166993799999998</v>
      </c>
      <c r="AB237" s="70" t="s">
        <v>21</v>
      </c>
      <c r="AC237" s="70">
        <v>4.2847555681684388E-3</v>
      </c>
      <c r="AD237" s="70">
        <v>9.3238422505509937E-3</v>
      </c>
      <c r="AE237" s="70">
        <v>1.233904456273162E-2</v>
      </c>
      <c r="AF237" s="62">
        <v>1.536125116960876E-2</v>
      </c>
      <c r="AG237" s="70" t="s">
        <v>21</v>
      </c>
      <c r="AH237" s="70">
        <v>1.0944570681684375E-3</v>
      </c>
      <c r="AI237" s="70">
        <v>5.1075300505509947E-3</v>
      </c>
      <c r="AJ237" s="70">
        <v>7.2332768627316208E-3</v>
      </c>
      <c r="AK237" s="70">
        <v>8.9624349696087596E-3</v>
      </c>
    </row>
    <row r="238" spans="2:37" x14ac:dyDescent="0.35">
      <c r="B238" s="54" t="s">
        <v>374</v>
      </c>
      <c r="C238" s="52" t="s">
        <v>232</v>
      </c>
      <c r="D238" s="52" t="s">
        <v>20</v>
      </c>
      <c r="E238" s="52" t="s">
        <v>249</v>
      </c>
      <c r="F238" s="72" t="str">
        <f t="shared" si="23"/>
        <v/>
      </c>
      <c r="G238" s="59">
        <f t="shared" si="23"/>
        <v>3.6898417783700569E-3</v>
      </c>
      <c r="H238" s="59">
        <f t="shared" si="23"/>
        <v>8.1976135204501199E-3</v>
      </c>
      <c r="I238" s="59">
        <f t="shared" si="23"/>
        <v>1.0891808793688836E-2</v>
      </c>
      <c r="J238" s="62">
        <f t="shared" si="23"/>
        <v>1.3516422949461985E-2</v>
      </c>
      <c r="K238" s="59" t="str">
        <f t="shared" si="24"/>
        <v/>
      </c>
      <c r="L238" s="59">
        <f t="shared" si="24"/>
        <v>4.3896487837005813E-4</v>
      </c>
      <c r="M238" s="59">
        <f t="shared" si="24"/>
        <v>3.8879606204501212E-3</v>
      </c>
      <c r="N238" s="59">
        <f t="shared" si="24"/>
        <v>5.6796023936888373E-3</v>
      </c>
      <c r="O238" s="62">
        <f t="shared" si="24"/>
        <v>6.9844472494619845E-3</v>
      </c>
      <c r="P238" s="54" t="s">
        <v>21</v>
      </c>
      <c r="Q238" s="52" t="s">
        <v>21</v>
      </c>
      <c r="R238" s="93" t="s">
        <v>21</v>
      </c>
      <c r="S238" s="72">
        <v>0</v>
      </c>
      <c r="T238" s="62">
        <f t="shared" si="20"/>
        <v>8.1976135204501199E-3</v>
      </c>
      <c r="V238" s="113">
        <v>1.11205687</v>
      </c>
      <c r="W238" s="71">
        <v>2.8552602600000001</v>
      </c>
      <c r="X238" s="71">
        <v>4.4126252900000003</v>
      </c>
      <c r="Y238" s="71">
        <v>5.7759426400000002</v>
      </c>
      <c r="Z238" s="114">
        <v>7.5068929000000004</v>
      </c>
      <c r="AB238" s="70" t="s">
        <v>21</v>
      </c>
      <c r="AC238" s="70">
        <v>3.6898417783700569E-3</v>
      </c>
      <c r="AD238" s="70">
        <v>8.1976135204501199E-3</v>
      </c>
      <c r="AE238" s="70">
        <v>1.0891808793688836E-2</v>
      </c>
      <c r="AF238" s="62">
        <v>1.3516422949461985E-2</v>
      </c>
      <c r="AG238" s="70" t="s">
        <v>21</v>
      </c>
      <c r="AH238" s="70">
        <v>4.3896487837005813E-4</v>
      </c>
      <c r="AI238" s="70">
        <v>3.8879606204501212E-3</v>
      </c>
      <c r="AJ238" s="70">
        <v>5.6796023936888373E-3</v>
      </c>
      <c r="AK238" s="70">
        <v>6.9844472494619845E-3</v>
      </c>
    </row>
    <row r="239" spans="2:37" x14ac:dyDescent="0.35">
      <c r="B239" s="54" t="s">
        <v>357</v>
      </c>
      <c r="C239" s="52" t="s">
        <v>232</v>
      </c>
      <c r="D239" s="52" t="s">
        <v>20</v>
      </c>
      <c r="E239" s="52" t="s">
        <v>58</v>
      </c>
      <c r="F239" s="72" t="str">
        <f t="shared" si="23"/>
        <v/>
      </c>
      <c r="G239" s="59">
        <f t="shared" si="23"/>
        <v>5.2648235124158824E-3</v>
      </c>
      <c r="H239" s="59">
        <f t="shared" si="23"/>
        <v>1.0799380363244994E-2</v>
      </c>
      <c r="I239" s="59">
        <f t="shared" si="23"/>
        <v>1.4082230732081296E-2</v>
      </c>
      <c r="J239" s="62">
        <f t="shared" si="23"/>
        <v>1.7367807468930688E-2</v>
      </c>
      <c r="K239" s="59" t="str">
        <f t="shared" si="24"/>
        <v/>
      </c>
      <c r="L239" s="59">
        <f t="shared" si="24"/>
        <v>2.1538951124158803E-3</v>
      </c>
      <c r="M239" s="59">
        <f t="shared" si="24"/>
        <v>6.6732541632449939E-3</v>
      </c>
      <c r="N239" s="59">
        <f t="shared" si="24"/>
        <v>9.0670731320812957E-3</v>
      </c>
      <c r="O239" s="62">
        <f t="shared" si="24"/>
        <v>1.1071367868930683E-2</v>
      </c>
      <c r="P239" s="54" t="s">
        <v>21</v>
      </c>
      <c r="Q239" s="52" t="s">
        <v>21</v>
      </c>
      <c r="R239" s="93" t="s">
        <v>21</v>
      </c>
      <c r="S239" s="72">
        <v>0</v>
      </c>
      <c r="T239" s="62">
        <f t="shared" si="20"/>
        <v>1.0799380363244994E-2</v>
      </c>
      <c r="V239" s="113">
        <v>1.1103554899999999</v>
      </c>
      <c r="W239" s="71">
        <v>2.8414782299999999</v>
      </c>
      <c r="X239" s="71">
        <v>4.3693259900000001</v>
      </c>
      <c r="Y239" s="71">
        <v>5.6815669300000007</v>
      </c>
      <c r="Z239" s="114">
        <v>7.3070772899999996</v>
      </c>
      <c r="AB239" s="70" t="s">
        <v>21</v>
      </c>
      <c r="AC239" s="70">
        <v>5.2648235124158824E-3</v>
      </c>
      <c r="AD239" s="70">
        <v>1.0799380363244994E-2</v>
      </c>
      <c r="AE239" s="70">
        <v>1.4082230732081296E-2</v>
      </c>
      <c r="AF239" s="62">
        <v>1.7367807468930688E-2</v>
      </c>
      <c r="AG239" s="70" t="s">
        <v>21</v>
      </c>
      <c r="AH239" s="70">
        <v>2.1538951124158803E-3</v>
      </c>
      <c r="AI239" s="70">
        <v>6.6732541632449939E-3</v>
      </c>
      <c r="AJ239" s="70">
        <v>9.0670731320812957E-3</v>
      </c>
      <c r="AK239" s="70">
        <v>1.1071367868930683E-2</v>
      </c>
    </row>
    <row r="240" spans="2:37" x14ac:dyDescent="0.35">
      <c r="B240" s="54" t="s">
        <v>261</v>
      </c>
      <c r="C240" s="52" t="s">
        <v>232</v>
      </c>
      <c r="D240" s="52" t="s">
        <v>62</v>
      </c>
      <c r="E240" s="52" t="s">
        <v>128</v>
      </c>
      <c r="F240" s="72" t="str">
        <f t="shared" si="23"/>
        <v/>
      </c>
      <c r="G240" s="59">
        <f t="shared" si="23"/>
        <v>4.3783958387766143E-3</v>
      </c>
      <c r="H240" s="59">
        <f t="shared" si="23"/>
        <v>9.2162014628079172E-3</v>
      </c>
      <c r="I240" s="59">
        <f t="shared" si="23"/>
        <v>1.2188803535871252E-2</v>
      </c>
      <c r="J240" s="62">
        <f t="shared" si="23"/>
        <v>1.5165255541795581E-2</v>
      </c>
      <c r="K240" s="59" t="str">
        <f t="shared" si="24"/>
        <v/>
      </c>
      <c r="L240" s="59">
        <f t="shared" si="24"/>
        <v>1.1967142387766133E-3</v>
      </c>
      <c r="M240" s="59">
        <f t="shared" si="24"/>
        <v>4.9925308628079174E-3</v>
      </c>
      <c r="N240" s="59">
        <f t="shared" si="24"/>
        <v>7.0736311358712521E-3</v>
      </c>
      <c r="O240" s="62">
        <f t="shared" si="24"/>
        <v>8.7541243417955817E-3</v>
      </c>
      <c r="P240" s="54" t="s">
        <v>557</v>
      </c>
      <c r="Q240" s="52" t="s">
        <v>558</v>
      </c>
      <c r="R240" s="93">
        <v>47649</v>
      </c>
      <c r="S240" s="72">
        <v>5.9622799999999995E-3</v>
      </c>
      <c r="T240" s="62">
        <f t="shared" si="20"/>
        <v>3.2539214628079178E-3</v>
      </c>
      <c r="V240" s="113">
        <v>1.11091016</v>
      </c>
      <c r="W240" s="71">
        <v>2.8487660899999998</v>
      </c>
      <c r="X240" s="71">
        <v>4.3940467999999999</v>
      </c>
      <c r="Y240" s="71">
        <v>5.7368666800000003</v>
      </c>
      <c r="Z240" s="114">
        <v>7.4244581899999993</v>
      </c>
      <c r="AB240" s="70" t="s">
        <v>21</v>
      </c>
      <c r="AC240" s="70">
        <v>4.3783958387766143E-3</v>
      </c>
      <c r="AD240" s="70">
        <v>9.2162014628079172E-3</v>
      </c>
      <c r="AE240" s="70">
        <v>1.2188803535871252E-2</v>
      </c>
      <c r="AF240" s="62">
        <v>1.5165255541795581E-2</v>
      </c>
      <c r="AG240" s="70" t="s">
        <v>21</v>
      </c>
      <c r="AH240" s="70">
        <v>1.1967142387766133E-3</v>
      </c>
      <c r="AI240" s="70">
        <v>4.9925308628079174E-3</v>
      </c>
      <c r="AJ240" s="70">
        <v>7.0736311358712521E-3</v>
      </c>
      <c r="AK240" s="70">
        <v>8.7541243417955817E-3</v>
      </c>
    </row>
    <row r="241" spans="2:37" x14ac:dyDescent="0.35">
      <c r="B241" s="54" t="s">
        <v>370</v>
      </c>
      <c r="C241" s="52" t="s">
        <v>232</v>
      </c>
      <c r="D241" s="52" t="s">
        <v>69</v>
      </c>
      <c r="E241" s="52" t="s">
        <v>21</v>
      </c>
      <c r="F241" s="72" t="str">
        <f t="shared" si="23"/>
        <v/>
      </c>
      <c r="G241" s="59">
        <f t="shared" si="23"/>
        <v>4.334141039609201E-3</v>
      </c>
      <c r="H241" s="59">
        <f t="shared" si="23"/>
        <v>9.1806809593046219E-3</v>
      </c>
      <c r="I241" s="59">
        <f t="shared" si="23"/>
        <v>1.2403799997798282E-2</v>
      </c>
      <c r="J241" s="62">
        <f t="shared" si="23"/>
        <v>1.5674145605220558E-2</v>
      </c>
      <c r="K241" s="59" t="str">
        <f t="shared" si="24"/>
        <v/>
      </c>
      <c r="L241" s="59">
        <f t="shared" si="24"/>
        <v>1.1478517396092004E-3</v>
      </c>
      <c r="M241" s="59">
        <f t="shared" si="24"/>
        <v>4.9544633593046226E-3</v>
      </c>
      <c r="N241" s="59">
        <f t="shared" si="24"/>
        <v>7.3014123977982789E-3</v>
      </c>
      <c r="O241" s="62">
        <f t="shared" si="24"/>
        <v>9.2923551052205601E-3</v>
      </c>
      <c r="P241" s="54" t="s">
        <v>401</v>
      </c>
      <c r="Q241" s="52" t="s">
        <v>402</v>
      </c>
      <c r="R241" s="93">
        <v>47802</v>
      </c>
      <c r="S241" s="72">
        <v>9.659029999999999E-3</v>
      </c>
      <c r="T241" s="62">
        <f t="shared" si="20"/>
        <v>-4.7834904069537706E-4</v>
      </c>
      <c r="V241" s="113">
        <v>1.11193129</v>
      </c>
      <c r="W241" s="71">
        <v>2.8509798600000003</v>
      </c>
      <c r="X241" s="71">
        <v>4.3967885100000004</v>
      </c>
      <c r="Y241" s="71">
        <v>5.7369897099999996</v>
      </c>
      <c r="Z241" s="114">
        <v>7.4122909999999997</v>
      </c>
      <c r="AB241" s="70" t="s">
        <v>21</v>
      </c>
      <c r="AC241" s="70">
        <v>4.334141039609201E-3</v>
      </c>
      <c r="AD241" s="70">
        <v>9.1806809593046219E-3</v>
      </c>
      <c r="AE241" s="70">
        <v>1.2403799997798282E-2</v>
      </c>
      <c r="AF241" s="62">
        <v>1.5674145605220558E-2</v>
      </c>
      <c r="AG241" s="70" t="s">
        <v>21</v>
      </c>
      <c r="AH241" s="70">
        <v>1.1478517396092004E-3</v>
      </c>
      <c r="AI241" s="70">
        <v>4.9544633593046226E-3</v>
      </c>
      <c r="AJ241" s="70">
        <v>7.3014123977982789E-3</v>
      </c>
      <c r="AK241" s="70">
        <v>9.2923551052205601E-3</v>
      </c>
    </row>
    <row r="242" spans="2:37" x14ac:dyDescent="0.35">
      <c r="B242" s="54" t="s">
        <v>263</v>
      </c>
      <c r="C242" s="52" t="s">
        <v>232</v>
      </c>
      <c r="D242" s="52" t="s">
        <v>31</v>
      </c>
      <c r="E242" s="52" t="s">
        <v>21</v>
      </c>
      <c r="F242" s="72" t="str">
        <f t="shared" si="23"/>
        <v/>
      </c>
      <c r="G242" s="59">
        <f t="shared" si="23"/>
        <v>4.0574374236190952E-3</v>
      </c>
      <c r="H242" s="59">
        <f t="shared" si="23"/>
        <v>9.1852694242065807E-3</v>
      </c>
      <c r="I242" s="59">
        <f t="shared" si="23"/>
        <v>1.2305008764737922E-2</v>
      </c>
      <c r="J242" s="62">
        <f t="shared" si="23"/>
        <v>1.5014442320736626E-2</v>
      </c>
      <c r="K242" s="59" t="str">
        <f t="shared" si="24"/>
        <v/>
      </c>
      <c r="L242" s="59">
        <f t="shared" si="24"/>
        <v>8.4523312361909492E-4</v>
      </c>
      <c r="M242" s="59">
        <f t="shared" si="24"/>
        <v>4.9583559242065822E-3</v>
      </c>
      <c r="N242" s="59">
        <f t="shared" si="24"/>
        <v>7.1965773647379196E-3</v>
      </c>
      <c r="O242" s="62">
        <f t="shared" si="24"/>
        <v>8.5968801207366285E-3</v>
      </c>
      <c r="P242" s="54" t="s">
        <v>21</v>
      </c>
      <c r="Q242" s="52" t="s">
        <v>21</v>
      </c>
      <c r="R242" s="93" t="s">
        <v>21</v>
      </c>
      <c r="S242" s="72">
        <v>0</v>
      </c>
      <c r="T242" s="62">
        <f t="shared" si="20"/>
        <v>9.1852694242065807E-3</v>
      </c>
      <c r="V242" s="113">
        <v>1.11138801</v>
      </c>
      <c r="W242" s="71">
        <v>2.8517160699999997</v>
      </c>
      <c r="X242" s="71">
        <v>4.3982125099999996</v>
      </c>
      <c r="Y242" s="71">
        <v>5.7396067999999998</v>
      </c>
      <c r="Z242" s="114">
        <v>7.4291663999999997</v>
      </c>
      <c r="AB242" s="70" t="s">
        <v>21</v>
      </c>
      <c r="AC242" s="70">
        <v>4.0574374236190952E-3</v>
      </c>
      <c r="AD242" s="70">
        <v>9.1852694242065807E-3</v>
      </c>
      <c r="AE242" s="70">
        <v>1.2305008764737922E-2</v>
      </c>
      <c r="AF242" s="62">
        <v>1.5014442320736626E-2</v>
      </c>
      <c r="AG242" s="70" t="s">
        <v>21</v>
      </c>
      <c r="AH242" s="70">
        <v>8.4523312361909492E-4</v>
      </c>
      <c r="AI242" s="70">
        <v>4.9583559242065822E-3</v>
      </c>
      <c r="AJ242" s="70">
        <v>7.1965773647379196E-3</v>
      </c>
      <c r="AK242" s="70">
        <v>8.5968801207366285E-3</v>
      </c>
    </row>
    <row r="243" spans="2:37" x14ac:dyDescent="0.35">
      <c r="B243" s="54" t="s">
        <v>376</v>
      </c>
      <c r="C243" s="52" t="s">
        <v>232</v>
      </c>
      <c r="D243" s="52" t="s">
        <v>20</v>
      </c>
      <c r="E243" s="52" t="s">
        <v>21</v>
      </c>
      <c r="F243" s="72" t="str">
        <f t="shared" si="23"/>
        <v/>
      </c>
      <c r="G243" s="59">
        <f t="shared" si="23"/>
        <v>4.1125301600972147E-3</v>
      </c>
      <c r="H243" s="59">
        <f t="shared" si="23"/>
        <v>9.6211556836511818E-3</v>
      </c>
      <c r="I243" s="59">
        <f t="shared" si="23"/>
        <v>1.2560703316589032E-2</v>
      </c>
      <c r="J243" s="62">
        <f t="shared" si="23"/>
        <v>1.5550984700130568E-2</v>
      </c>
      <c r="K243" s="59" t="str">
        <f t="shared" si="24"/>
        <v/>
      </c>
      <c r="L243" s="59">
        <f t="shared" si="24"/>
        <v>9.0503416009721531E-4</v>
      </c>
      <c r="M243" s="59">
        <f t="shared" si="24"/>
        <v>5.4243437836511785E-3</v>
      </c>
      <c r="N243" s="59">
        <f t="shared" si="24"/>
        <v>7.4704543165890315E-3</v>
      </c>
      <c r="O243" s="62">
        <f t="shared" si="24"/>
        <v>9.1667853001305682E-3</v>
      </c>
      <c r="P243" s="54" t="s">
        <v>405</v>
      </c>
      <c r="Q243" s="52" t="s">
        <v>406</v>
      </c>
      <c r="R243" s="93">
        <v>47825</v>
      </c>
      <c r="S243" s="72">
        <v>9.4031900000000005E-3</v>
      </c>
      <c r="T243" s="62">
        <f t="shared" si="20"/>
        <v>2.1796568365118132E-4</v>
      </c>
      <c r="V243" s="113">
        <v>1.11163254</v>
      </c>
      <c r="W243" s="71">
        <v>2.85203155</v>
      </c>
      <c r="X243" s="71">
        <v>4.3942620899999998</v>
      </c>
      <c r="Y243" s="71">
        <v>5.7286718200000006</v>
      </c>
      <c r="Z243" s="114">
        <v>7.40337289</v>
      </c>
      <c r="AB243" s="70" t="s">
        <v>21</v>
      </c>
      <c r="AC243" s="70">
        <v>4.1125301600972147E-3</v>
      </c>
      <c r="AD243" s="70">
        <v>9.6211556836511818E-3</v>
      </c>
      <c r="AE243" s="70">
        <v>1.2560703316589032E-2</v>
      </c>
      <c r="AF243" s="62">
        <v>1.5550984700130568E-2</v>
      </c>
      <c r="AG243" s="70" t="s">
        <v>21</v>
      </c>
      <c r="AH243" s="70">
        <v>9.0503416009721531E-4</v>
      </c>
      <c r="AI243" s="70">
        <v>5.4243437836511785E-3</v>
      </c>
      <c r="AJ243" s="70">
        <v>7.4704543165890315E-3</v>
      </c>
      <c r="AK243" s="70">
        <v>9.1667853001305682E-3</v>
      </c>
    </row>
    <row r="244" spans="2:37" x14ac:dyDescent="0.35">
      <c r="B244" s="54" t="s">
        <v>362</v>
      </c>
      <c r="C244" s="52" t="s">
        <v>232</v>
      </c>
      <c r="D244" s="52" t="s">
        <v>20</v>
      </c>
      <c r="E244" s="52" t="s">
        <v>21</v>
      </c>
      <c r="F244" s="72" t="str">
        <f t="shared" si="23"/>
        <v/>
      </c>
      <c r="G244" s="59">
        <f t="shared" si="23"/>
        <v>4.5620199887680801E-3</v>
      </c>
      <c r="H244" s="59">
        <f t="shared" si="23"/>
        <v>9.5046719345200092E-3</v>
      </c>
      <c r="I244" s="59">
        <f t="shared" si="23"/>
        <v>1.2211531949518449E-2</v>
      </c>
      <c r="J244" s="62">
        <f t="shared" si="23"/>
        <v>1.4938623591950372E-2</v>
      </c>
      <c r="K244" s="59" t="str">
        <f t="shared" si="24"/>
        <v/>
      </c>
      <c r="L244" s="59">
        <f t="shared" si="24"/>
        <v>1.3954359887680822E-3</v>
      </c>
      <c r="M244" s="59">
        <f t="shared" si="24"/>
        <v>5.3012715345200087E-3</v>
      </c>
      <c r="N244" s="59">
        <f t="shared" si="24"/>
        <v>7.1008399495184529E-3</v>
      </c>
      <c r="O244" s="62">
        <f t="shared" si="24"/>
        <v>8.5211773919503676E-3</v>
      </c>
      <c r="P244" s="54" t="s">
        <v>21</v>
      </c>
      <c r="Q244" s="52" t="s">
        <v>21</v>
      </c>
      <c r="R244" s="93" t="s">
        <v>21</v>
      </c>
      <c r="S244" s="72">
        <v>0</v>
      </c>
      <c r="T244" s="62">
        <f t="shared" si="20"/>
        <v>9.5046719345200092E-3</v>
      </c>
      <c r="V244" s="113">
        <v>1.11159363</v>
      </c>
      <c r="W244" s="71">
        <v>2.8490968200000002</v>
      </c>
      <c r="X244" s="71">
        <v>4.3914989100000001</v>
      </c>
      <c r="Y244" s="71">
        <v>5.7307460199999998</v>
      </c>
      <c r="Z244" s="114">
        <v>7.4150382200000005</v>
      </c>
      <c r="AB244" s="70" t="s">
        <v>21</v>
      </c>
      <c r="AC244" s="70">
        <v>4.5620199887680801E-3</v>
      </c>
      <c r="AD244" s="70">
        <v>9.5046719345200092E-3</v>
      </c>
      <c r="AE244" s="70">
        <v>1.2211531949518449E-2</v>
      </c>
      <c r="AF244" s="62">
        <v>1.4938623591950372E-2</v>
      </c>
      <c r="AG244" s="70" t="s">
        <v>21</v>
      </c>
      <c r="AH244" s="70">
        <v>1.3954359887680822E-3</v>
      </c>
      <c r="AI244" s="70">
        <v>5.3012715345200087E-3</v>
      </c>
      <c r="AJ244" s="70">
        <v>7.1008399495184529E-3</v>
      </c>
      <c r="AK244" s="70">
        <v>8.5211773919503676E-3</v>
      </c>
    </row>
    <row r="245" spans="2:37" x14ac:dyDescent="0.35">
      <c r="B245" s="54" t="s">
        <v>363</v>
      </c>
      <c r="C245" s="52" t="s">
        <v>232</v>
      </c>
      <c r="D245" s="52" t="s">
        <v>20</v>
      </c>
      <c r="E245" s="52" t="s">
        <v>21</v>
      </c>
      <c r="F245" s="72" t="str">
        <f t="shared" si="23"/>
        <v/>
      </c>
      <c r="G245" s="59">
        <f t="shared" si="23"/>
        <v>4.3922018571821916E-3</v>
      </c>
      <c r="H245" s="59">
        <f t="shared" si="23"/>
        <v>9.4828268376315195E-3</v>
      </c>
      <c r="I245" s="59">
        <f t="shared" si="23"/>
        <v>1.2701646670944639E-2</v>
      </c>
      <c r="J245" s="62">
        <f t="shared" si="23"/>
        <v>1.6044440700040106E-2</v>
      </c>
      <c r="K245" s="59" t="str">
        <f t="shared" si="24"/>
        <v/>
      </c>
      <c r="L245" s="59">
        <f t="shared" si="24"/>
        <v>1.2109792571821927E-3</v>
      </c>
      <c r="M245" s="59">
        <f t="shared" si="24"/>
        <v>5.2774697376315226E-3</v>
      </c>
      <c r="N245" s="59">
        <f t="shared" si="24"/>
        <v>7.6163887709446362E-3</v>
      </c>
      <c r="O245" s="62">
        <f t="shared" si="24"/>
        <v>9.6838402000401086E-3</v>
      </c>
      <c r="P245" s="54" t="s">
        <v>21</v>
      </c>
      <c r="Q245" s="52" t="s">
        <v>21</v>
      </c>
      <c r="R245" s="93" t="s">
        <v>21</v>
      </c>
      <c r="S245" s="72">
        <v>0</v>
      </c>
      <c r="T245" s="62">
        <f t="shared" si="20"/>
        <v>9.4828268376315195E-3</v>
      </c>
      <c r="V245" s="113">
        <v>1.1116802100000001</v>
      </c>
      <c r="W245" s="71">
        <v>2.8503157200000002</v>
      </c>
      <c r="X245" s="71">
        <v>4.3936556900000001</v>
      </c>
      <c r="Y245" s="71">
        <v>5.7298380099999999</v>
      </c>
      <c r="Z245" s="114">
        <v>7.3934865500000004</v>
      </c>
      <c r="AB245" s="70" t="s">
        <v>21</v>
      </c>
      <c r="AC245" s="70">
        <v>4.3922018571821916E-3</v>
      </c>
      <c r="AD245" s="70">
        <v>9.4828268376315195E-3</v>
      </c>
      <c r="AE245" s="70">
        <v>1.2701646670944639E-2</v>
      </c>
      <c r="AF245" s="62">
        <v>1.6044440700040106E-2</v>
      </c>
      <c r="AG245" s="70" t="s">
        <v>21</v>
      </c>
      <c r="AH245" s="70">
        <v>1.2109792571821927E-3</v>
      </c>
      <c r="AI245" s="70">
        <v>5.2774697376315226E-3</v>
      </c>
      <c r="AJ245" s="70">
        <v>7.6163887709446362E-3</v>
      </c>
      <c r="AK245" s="70">
        <v>9.6838402000401086E-3</v>
      </c>
    </row>
    <row r="246" spans="2:37" x14ac:dyDescent="0.35">
      <c r="B246" s="54" t="s">
        <v>366</v>
      </c>
      <c r="C246" s="52" t="s">
        <v>232</v>
      </c>
      <c r="D246" s="52" t="s">
        <v>20</v>
      </c>
      <c r="E246" s="52" t="s">
        <v>264</v>
      </c>
      <c r="F246" s="72" t="str">
        <f t="shared" si="23"/>
        <v/>
      </c>
      <c r="G246" s="59">
        <f t="shared" si="23"/>
        <v>4.4378434487627591E-3</v>
      </c>
      <c r="H246" s="59">
        <f t="shared" si="23"/>
        <v>9.4630424369602818E-3</v>
      </c>
      <c r="I246" s="59">
        <f t="shared" si="23"/>
        <v>1.2682643496460574E-2</v>
      </c>
      <c r="J246" s="62">
        <f t="shared" si="23"/>
        <v>1.6200942398708673E-2</v>
      </c>
      <c r="K246" s="59" t="str">
        <f t="shared" si="24"/>
        <v/>
      </c>
      <c r="L246" s="59">
        <f t="shared" si="24"/>
        <v>1.2604141487627596E-3</v>
      </c>
      <c r="M246" s="59">
        <f t="shared" si="24"/>
        <v>5.256462136960279E-3</v>
      </c>
      <c r="N246" s="59">
        <f t="shared" si="24"/>
        <v>7.5973384964605761E-3</v>
      </c>
      <c r="O246" s="62">
        <f t="shared" si="24"/>
        <v>9.8480846987086743E-3</v>
      </c>
      <c r="P246" s="54" t="s">
        <v>397</v>
      </c>
      <c r="Q246" s="52" t="s">
        <v>398</v>
      </c>
      <c r="R246" s="93">
        <v>47710</v>
      </c>
      <c r="S246" s="72">
        <v>1.010899E-2</v>
      </c>
      <c r="T246" s="62">
        <f t="shared" si="20"/>
        <v>-6.4594756303971816E-4</v>
      </c>
      <c r="V246" s="113">
        <v>1.1115125100000001</v>
      </c>
      <c r="W246" s="71">
        <v>2.8500954900000002</v>
      </c>
      <c r="X246" s="71">
        <v>4.3932516100000001</v>
      </c>
      <c r="Y246" s="71">
        <v>5.7279436099999996</v>
      </c>
      <c r="Z246" s="114">
        <v>7.3874734799999997</v>
      </c>
      <c r="AB246" s="70" t="s">
        <v>21</v>
      </c>
      <c r="AC246" s="70">
        <v>4.4378434487627591E-3</v>
      </c>
      <c r="AD246" s="70">
        <v>9.4630424369602818E-3</v>
      </c>
      <c r="AE246" s="70">
        <v>1.2682643496460574E-2</v>
      </c>
      <c r="AF246" s="62">
        <v>1.6200942398708673E-2</v>
      </c>
      <c r="AG246" s="70" t="s">
        <v>21</v>
      </c>
      <c r="AH246" s="70">
        <v>1.2604141487627596E-3</v>
      </c>
      <c r="AI246" s="70">
        <v>5.256462136960279E-3</v>
      </c>
      <c r="AJ246" s="70">
        <v>7.5973384964605761E-3</v>
      </c>
      <c r="AK246" s="70">
        <v>9.8480846987086743E-3</v>
      </c>
    </row>
    <row r="247" spans="2:37" x14ac:dyDescent="0.35">
      <c r="B247" s="54" t="s">
        <v>364</v>
      </c>
      <c r="C247" s="52" t="s">
        <v>232</v>
      </c>
      <c r="D247" s="52" t="s">
        <v>20</v>
      </c>
      <c r="E247" s="52" t="s">
        <v>112</v>
      </c>
      <c r="F247" s="72" t="str">
        <f t="shared" si="23"/>
        <v/>
      </c>
      <c r="G247" s="59">
        <f t="shared" si="23"/>
        <v>4.1202825958321452E-3</v>
      </c>
      <c r="H247" s="59">
        <f t="shared" si="23"/>
        <v>9.4724897187733435E-3</v>
      </c>
      <c r="I247" s="59">
        <f t="shared" si="23"/>
        <v>1.2548844076728493E-2</v>
      </c>
      <c r="J247" s="62">
        <f t="shared" si="23"/>
        <v>1.5645658438076963E-2</v>
      </c>
      <c r="K247" s="59" t="str">
        <f t="shared" si="24"/>
        <v/>
      </c>
      <c r="L247" s="59">
        <f t="shared" si="24"/>
        <v>9.1405719583214718E-4</v>
      </c>
      <c r="M247" s="59">
        <f t="shared" si="24"/>
        <v>5.2651638187733441E-3</v>
      </c>
      <c r="N247" s="59">
        <f t="shared" si="24"/>
        <v>7.4559664767284931E-3</v>
      </c>
      <c r="O247" s="62">
        <f t="shared" si="24"/>
        <v>9.2657864380769651E-3</v>
      </c>
      <c r="P247" s="54" t="s">
        <v>395</v>
      </c>
      <c r="Q247" s="52" t="s">
        <v>396</v>
      </c>
      <c r="R247" s="93">
        <v>47708</v>
      </c>
      <c r="S247" s="72">
        <v>7.3634900000000003E-3</v>
      </c>
      <c r="T247" s="62">
        <f t="shared" si="20"/>
        <v>2.1089997187733432E-3</v>
      </c>
      <c r="V247" s="113">
        <v>1.1114313500000002</v>
      </c>
      <c r="W247" s="71">
        <v>2.85115827</v>
      </c>
      <c r="X247" s="71">
        <v>4.3957344699999998</v>
      </c>
      <c r="Y247" s="71">
        <v>5.7319831600000004</v>
      </c>
      <c r="Z247" s="114">
        <v>7.4038067900000009</v>
      </c>
      <c r="AB247" s="70" t="s">
        <v>21</v>
      </c>
      <c r="AC247" s="70">
        <v>4.1202825958321452E-3</v>
      </c>
      <c r="AD247" s="70">
        <v>9.4724897187733435E-3</v>
      </c>
      <c r="AE247" s="70">
        <v>1.2548844076728493E-2</v>
      </c>
      <c r="AF247" s="62">
        <v>1.5645658438076963E-2</v>
      </c>
      <c r="AG247" s="70" t="s">
        <v>21</v>
      </c>
      <c r="AH247" s="70">
        <v>9.1405719583214718E-4</v>
      </c>
      <c r="AI247" s="70">
        <v>5.2651638187733441E-3</v>
      </c>
      <c r="AJ247" s="70">
        <v>7.4559664767284931E-3</v>
      </c>
      <c r="AK247" s="70">
        <v>9.2657864380769651E-3</v>
      </c>
    </row>
    <row r="248" spans="2:37" x14ac:dyDescent="0.35">
      <c r="B248" s="54" t="s">
        <v>355</v>
      </c>
      <c r="C248" s="52" t="s">
        <v>232</v>
      </c>
      <c r="D248" s="52" t="s">
        <v>20</v>
      </c>
      <c r="E248" s="52" t="s">
        <v>21</v>
      </c>
      <c r="F248" s="72" t="str">
        <f t="shared" si="23"/>
        <v/>
      </c>
      <c r="G248" s="59">
        <f t="shared" si="23"/>
        <v>4.0983720680951418E-3</v>
      </c>
      <c r="H248" s="59">
        <f t="shared" si="23"/>
        <v>9.455602424014024E-3</v>
      </c>
      <c r="I248" s="59">
        <f t="shared" si="23"/>
        <v>1.3067866918036949E-2</v>
      </c>
      <c r="J248" s="62">
        <f t="shared" si="23"/>
        <v>1.6619268900969649E-2</v>
      </c>
      <c r="K248" s="59" t="str">
        <f t="shared" si="24"/>
        <v/>
      </c>
      <c r="L248" s="59">
        <f t="shared" si="24"/>
        <v>8.8979976809514102E-4</v>
      </c>
      <c r="M248" s="59">
        <f t="shared" si="24"/>
        <v>5.247625024014024E-3</v>
      </c>
      <c r="N248" s="59">
        <f t="shared" si="24"/>
        <v>8.0026995180369487E-3</v>
      </c>
      <c r="O248" s="62">
        <f t="shared" si="24"/>
        <v>1.0288128300969649E-2</v>
      </c>
      <c r="P248" s="54" t="s">
        <v>21</v>
      </c>
      <c r="Q248" s="52" t="s">
        <v>21</v>
      </c>
      <c r="R248" s="93" t="s">
        <v>21</v>
      </c>
      <c r="S248" s="72">
        <v>0</v>
      </c>
      <c r="T248" s="62">
        <f t="shared" si="20"/>
        <v>9.455602424014024E-3</v>
      </c>
      <c r="V248" s="113">
        <v>1.11192811</v>
      </c>
      <c r="W248" s="71">
        <v>2.8526688199999999</v>
      </c>
      <c r="X248" s="71">
        <v>4.3972369200000001</v>
      </c>
      <c r="Y248" s="71">
        <v>5.7265629300000001</v>
      </c>
      <c r="Z248" s="114">
        <v>7.3750543900000007</v>
      </c>
      <c r="AB248" s="70" t="s">
        <v>21</v>
      </c>
      <c r="AC248" s="70">
        <v>4.0983720680951418E-3</v>
      </c>
      <c r="AD248" s="70">
        <v>9.455602424014024E-3</v>
      </c>
      <c r="AE248" s="70">
        <v>1.3067866918036949E-2</v>
      </c>
      <c r="AF248" s="62">
        <v>1.6619268900969649E-2</v>
      </c>
      <c r="AG248" s="70" t="s">
        <v>21</v>
      </c>
      <c r="AH248" s="70">
        <v>8.8979976809514102E-4</v>
      </c>
      <c r="AI248" s="70">
        <v>5.247625024014024E-3</v>
      </c>
      <c r="AJ248" s="70">
        <v>8.0026995180369487E-3</v>
      </c>
      <c r="AK248" s="70">
        <v>1.0288128300969649E-2</v>
      </c>
    </row>
    <row r="249" spans="2:37" x14ac:dyDescent="0.35">
      <c r="B249" s="54" t="s">
        <v>358</v>
      </c>
      <c r="C249" s="52" t="s">
        <v>232</v>
      </c>
      <c r="D249" s="52" t="s">
        <v>20</v>
      </c>
      <c r="E249" s="52" t="s">
        <v>21</v>
      </c>
      <c r="F249" s="72" t="str">
        <f t="shared" si="23"/>
        <v/>
      </c>
      <c r="G249" s="59">
        <f t="shared" si="23"/>
        <v>4.2824106872735041E-3</v>
      </c>
      <c r="H249" s="59">
        <f t="shared" si="23"/>
        <v>9.3975674042493466E-3</v>
      </c>
      <c r="I249" s="59">
        <f t="shared" si="23"/>
        <v>1.3116330105199536E-2</v>
      </c>
      <c r="J249" s="62">
        <f t="shared" si="23"/>
        <v>1.6729932993661521E-2</v>
      </c>
      <c r="K249" s="59" t="str">
        <f t="shared" si="24"/>
        <v/>
      </c>
      <c r="L249" s="59">
        <f t="shared" si="24"/>
        <v>1.0908493872735024E-3</v>
      </c>
      <c r="M249" s="59">
        <f t="shared" si="24"/>
        <v>5.186063904249345E-3</v>
      </c>
      <c r="N249" s="59">
        <f t="shared" si="24"/>
        <v>8.0518321051995349E-3</v>
      </c>
      <c r="O249" s="62">
        <f t="shared" si="24"/>
        <v>1.0402514693661519E-2</v>
      </c>
      <c r="P249" s="54" t="s">
        <v>21</v>
      </c>
      <c r="Q249" s="52" t="s">
        <v>21</v>
      </c>
      <c r="R249" s="93" t="s">
        <v>21</v>
      </c>
      <c r="S249" s="72">
        <v>0</v>
      </c>
      <c r="T249" s="62">
        <f t="shared" si="20"/>
        <v>9.3975674042493466E-3</v>
      </c>
      <c r="V249" s="113">
        <v>1.1115839599999999</v>
      </c>
      <c r="W249" s="71">
        <v>2.8511841599999999</v>
      </c>
      <c r="X249" s="71">
        <v>4.3952329399999996</v>
      </c>
      <c r="Y249" s="71">
        <v>5.7258969899999999</v>
      </c>
      <c r="Z249" s="114">
        <v>7.3715720999999998</v>
      </c>
      <c r="AB249" s="70" t="s">
        <v>21</v>
      </c>
      <c r="AC249" s="70">
        <v>4.2824106872735041E-3</v>
      </c>
      <c r="AD249" s="70">
        <v>9.3975674042493466E-3</v>
      </c>
      <c r="AE249" s="70">
        <v>1.3116330105199536E-2</v>
      </c>
      <c r="AF249" s="62">
        <v>1.6729932993661521E-2</v>
      </c>
      <c r="AG249" s="70" t="s">
        <v>21</v>
      </c>
      <c r="AH249" s="70">
        <v>1.0908493872735024E-3</v>
      </c>
      <c r="AI249" s="70">
        <v>5.186063904249345E-3</v>
      </c>
      <c r="AJ249" s="70">
        <v>8.0518321051995349E-3</v>
      </c>
      <c r="AK249" s="70">
        <v>1.0402514693661519E-2</v>
      </c>
    </row>
    <row r="250" spans="2:37" x14ac:dyDescent="0.35">
      <c r="B250" s="54" t="s">
        <v>262</v>
      </c>
      <c r="C250" s="52" t="s">
        <v>232</v>
      </c>
      <c r="D250" s="52" t="s">
        <v>97</v>
      </c>
      <c r="E250" s="52" t="s">
        <v>21</v>
      </c>
      <c r="F250" s="72" t="str">
        <f t="shared" si="23"/>
        <v/>
      </c>
      <c r="G250" s="59">
        <f t="shared" si="23"/>
        <v>4.1382024763748446E-3</v>
      </c>
      <c r="H250" s="59">
        <f t="shared" si="23"/>
        <v>8.8280008827768906E-3</v>
      </c>
      <c r="I250" s="59">
        <f t="shared" si="23"/>
        <v>1.1715443619338697E-2</v>
      </c>
      <c r="J250" s="62">
        <f t="shared" si="23"/>
        <v>1.4338437800047328E-2</v>
      </c>
      <c r="K250" s="59" t="str">
        <f t="shared" si="24"/>
        <v/>
      </c>
      <c r="L250" s="59">
        <f t="shared" si="24"/>
        <v>9.3349107637484682E-4</v>
      </c>
      <c r="M250" s="59">
        <f t="shared" si="24"/>
        <v>4.5739612827768918E-3</v>
      </c>
      <c r="N250" s="59">
        <f t="shared" si="24"/>
        <v>6.5680088193386978E-3</v>
      </c>
      <c r="O250" s="62">
        <f t="shared" si="24"/>
        <v>7.8730750000473304E-3</v>
      </c>
      <c r="P250" s="54" t="s">
        <v>559</v>
      </c>
      <c r="Q250" s="52" t="s">
        <v>560</v>
      </c>
      <c r="R250" s="93">
        <v>47648</v>
      </c>
      <c r="S250" s="72">
        <v>6.3792700000000003E-3</v>
      </c>
      <c r="T250" s="62">
        <f t="shared" si="20"/>
        <v>2.4487308827768903E-3</v>
      </c>
      <c r="V250" s="113">
        <v>1.1116952899999999</v>
      </c>
      <c r="W250" s="71">
        <v>2.8517897300000001</v>
      </c>
      <c r="X250" s="71">
        <v>4.4016352000000003</v>
      </c>
      <c r="Y250" s="71">
        <v>5.7519379599999994</v>
      </c>
      <c r="Z250" s="114">
        <v>7.4604390800000004</v>
      </c>
      <c r="AB250" s="70" t="s">
        <v>21</v>
      </c>
      <c r="AC250" s="70">
        <v>4.1382024763748446E-3</v>
      </c>
      <c r="AD250" s="70">
        <v>8.8280008827768906E-3</v>
      </c>
      <c r="AE250" s="70">
        <v>1.1715443619338697E-2</v>
      </c>
      <c r="AF250" s="62">
        <v>1.4338437800047328E-2</v>
      </c>
      <c r="AG250" s="70" t="s">
        <v>21</v>
      </c>
      <c r="AH250" s="70">
        <v>9.3349107637484682E-4</v>
      </c>
      <c r="AI250" s="70">
        <v>4.5739612827768918E-3</v>
      </c>
      <c r="AJ250" s="70">
        <v>6.5680088193386978E-3</v>
      </c>
      <c r="AK250" s="70">
        <v>7.8730750000473304E-3</v>
      </c>
    </row>
    <row r="251" spans="2:37" x14ac:dyDescent="0.35">
      <c r="B251" s="54" t="s">
        <v>371</v>
      </c>
      <c r="C251" s="52" t="s">
        <v>232</v>
      </c>
      <c r="D251" s="52" t="s">
        <v>31</v>
      </c>
      <c r="E251" s="52" t="s">
        <v>289</v>
      </c>
      <c r="F251" s="72" t="str">
        <f t="shared" si="23"/>
        <v/>
      </c>
      <c r="G251" s="59">
        <f t="shared" si="23"/>
        <v>3.9251421148471591E-3</v>
      </c>
      <c r="H251" s="59">
        <f t="shared" si="23"/>
        <v>8.730823055467218E-3</v>
      </c>
      <c r="I251" s="59">
        <f t="shared" si="23"/>
        <v>1.1621906613931896E-2</v>
      </c>
      <c r="J251" s="62">
        <f t="shared" si="23"/>
        <v>1.4555030771384696E-2</v>
      </c>
      <c r="K251" s="59" t="str">
        <f t="shared" si="24"/>
        <v/>
      </c>
      <c r="L251" s="59">
        <f t="shared" si="24"/>
        <v>6.9954061484715823E-4</v>
      </c>
      <c r="M251" s="59">
        <f t="shared" si="24"/>
        <v>4.4683185554672189E-3</v>
      </c>
      <c r="N251" s="59">
        <f t="shared" si="24"/>
        <v>6.4674807139318939E-3</v>
      </c>
      <c r="O251" s="62">
        <f t="shared" si="24"/>
        <v>8.1026555713846933E-3</v>
      </c>
      <c r="P251" s="54" t="s">
        <v>21</v>
      </c>
      <c r="Q251" s="52" t="s">
        <v>21</v>
      </c>
      <c r="R251" s="93" t="s">
        <v>21</v>
      </c>
      <c r="S251" s="72">
        <v>0</v>
      </c>
      <c r="T251" s="62">
        <f t="shared" si="20"/>
        <v>8.730823055467218E-3</v>
      </c>
      <c r="V251" s="113">
        <v>1.1115282200000001</v>
      </c>
      <c r="W251" s="71">
        <v>2.8528263799999998</v>
      </c>
      <c r="X251" s="71">
        <v>4.4042000799999999</v>
      </c>
      <c r="Y251" s="71">
        <v>5.7560057699999998</v>
      </c>
      <c r="Z251" s="114">
        <v>7.4607445800000001</v>
      </c>
      <c r="AB251" s="70" t="s">
        <v>21</v>
      </c>
      <c r="AC251" s="70">
        <v>3.9251421148471591E-3</v>
      </c>
      <c r="AD251" s="70">
        <v>8.730823055467218E-3</v>
      </c>
      <c r="AE251" s="70">
        <v>1.1621906613931896E-2</v>
      </c>
      <c r="AF251" s="62">
        <v>1.4555030771384696E-2</v>
      </c>
      <c r="AG251" s="70" t="s">
        <v>21</v>
      </c>
      <c r="AH251" s="70">
        <v>6.9954061484715823E-4</v>
      </c>
      <c r="AI251" s="70">
        <v>4.4683185554672189E-3</v>
      </c>
      <c r="AJ251" s="70">
        <v>6.4674807139318939E-3</v>
      </c>
      <c r="AK251" s="70">
        <v>8.1026555713846933E-3</v>
      </c>
    </row>
    <row r="252" spans="2:37" x14ac:dyDescent="0.35">
      <c r="B252" s="54" t="s">
        <v>147</v>
      </c>
      <c r="C252" s="52" t="s">
        <v>232</v>
      </c>
      <c r="D252" s="52" t="s">
        <v>20</v>
      </c>
      <c r="E252" s="52" t="s">
        <v>21</v>
      </c>
      <c r="F252" s="72" t="str">
        <f t="shared" si="23"/>
        <v/>
      </c>
      <c r="G252" s="59">
        <f t="shared" si="23"/>
        <v>3.5491460888648092E-3</v>
      </c>
      <c r="H252" s="59">
        <f t="shared" si="23"/>
        <v>8.7373711796385443E-3</v>
      </c>
      <c r="I252" s="59">
        <f t="shared" si="23"/>
        <v>1.2234225516695512E-2</v>
      </c>
      <c r="J252" s="62">
        <f t="shared" si="23"/>
        <v>1.561783073492793E-2</v>
      </c>
      <c r="K252" s="59" t="str">
        <f t="shared" si="24"/>
        <v/>
      </c>
      <c r="L252" s="59">
        <f t="shared" si="24"/>
        <v>2.8209278886480969E-4</v>
      </c>
      <c r="M252" s="59">
        <f t="shared" si="24"/>
        <v>4.4738389796385447E-3</v>
      </c>
      <c r="N252" s="59">
        <f t="shared" si="24"/>
        <v>7.1194682166955178E-3</v>
      </c>
      <c r="O252" s="62">
        <f t="shared" si="24"/>
        <v>9.2342429349279304E-3</v>
      </c>
      <c r="P252" s="54" t="s">
        <v>561</v>
      </c>
      <c r="Q252" s="52" t="s">
        <v>562</v>
      </c>
      <c r="R252" s="93">
        <v>47515</v>
      </c>
      <c r="S252" s="72">
        <v>9.1439099999999999E-3</v>
      </c>
      <c r="T252" s="62">
        <f t="shared" si="20"/>
        <v>-4.0653882036145554E-4</v>
      </c>
      <c r="V252" s="113">
        <v>1.1122782600000001</v>
      </c>
      <c r="W252" s="71">
        <v>2.8568941400000001</v>
      </c>
      <c r="X252" s="71">
        <v>4.4095700199999994</v>
      </c>
      <c r="Y252" s="71">
        <v>5.7522674299999998</v>
      </c>
      <c r="Z252" s="114">
        <v>7.4270886599999999</v>
      </c>
      <c r="AB252" s="70" t="s">
        <v>21</v>
      </c>
      <c r="AC252" s="70">
        <v>3.5491460888648092E-3</v>
      </c>
      <c r="AD252" s="70">
        <v>8.7373711796385443E-3</v>
      </c>
      <c r="AE252" s="70">
        <v>1.2234225516695512E-2</v>
      </c>
      <c r="AF252" s="62">
        <v>1.561783073492793E-2</v>
      </c>
      <c r="AG252" s="70" t="s">
        <v>21</v>
      </c>
      <c r="AH252" s="70">
        <v>2.8209278886480969E-4</v>
      </c>
      <c r="AI252" s="70">
        <v>4.4738389796385447E-3</v>
      </c>
      <c r="AJ252" s="70">
        <v>7.1194682166955178E-3</v>
      </c>
      <c r="AK252" s="70">
        <v>9.2342429349279304E-3</v>
      </c>
    </row>
    <row r="253" spans="2:37" x14ac:dyDescent="0.35">
      <c r="B253" s="54" t="s">
        <v>372</v>
      </c>
      <c r="C253" s="52" t="s">
        <v>232</v>
      </c>
      <c r="D253" s="52" t="s">
        <v>20</v>
      </c>
      <c r="E253" s="52" t="s">
        <v>21</v>
      </c>
      <c r="F253" s="72" t="str">
        <f t="shared" si="23"/>
        <v/>
      </c>
      <c r="G253" s="59">
        <f t="shared" si="23"/>
        <v>3.9796858825055783E-3</v>
      </c>
      <c r="H253" s="59">
        <f t="shared" si="23"/>
        <v>8.7020493707468741E-3</v>
      </c>
      <c r="I253" s="59">
        <f t="shared" si="23"/>
        <v>1.1420550311378824E-2</v>
      </c>
      <c r="J253" s="62">
        <f t="shared" si="23"/>
        <v>1.4404594317314761E-2</v>
      </c>
      <c r="K253" s="59" t="str">
        <f t="shared" si="24"/>
        <v/>
      </c>
      <c r="L253" s="59">
        <f t="shared" si="24"/>
        <v>7.5934498250558157E-4</v>
      </c>
      <c r="M253" s="59">
        <f t="shared" si="24"/>
        <v>4.4370245707468746E-3</v>
      </c>
      <c r="N253" s="59">
        <f t="shared" si="24"/>
        <v>6.2520690113788248E-3</v>
      </c>
      <c r="O253" s="62">
        <f t="shared" si="24"/>
        <v>7.9417222173147652E-3</v>
      </c>
      <c r="P253" s="54" t="s">
        <v>21</v>
      </c>
      <c r="Q253" s="52" t="s">
        <v>21</v>
      </c>
      <c r="R253" s="93" t="s">
        <v>21</v>
      </c>
      <c r="S253" s="72">
        <v>0</v>
      </c>
      <c r="T253" s="62">
        <f t="shared" si="20"/>
        <v>8.7020493707468741E-3</v>
      </c>
      <c r="V253" s="113">
        <v>1.11166447</v>
      </c>
      <c r="W253" s="71">
        <v>2.85278316</v>
      </c>
      <c r="X253" s="71">
        <v>4.40462051</v>
      </c>
      <c r="Y253" s="71">
        <v>5.7585688599999996</v>
      </c>
      <c r="Z253" s="114">
        <v>7.4662056300000001</v>
      </c>
      <c r="AB253" s="70" t="s">
        <v>21</v>
      </c>
      <c r="AC253" s="70">
        <v>3.9796858825055783E-3</v>
      </c>
      <c r="AD253" s="70">
        <v>8.7020493707468741E-3</v>
      </c>
      <c r="AE253" s="70">
        <v>1.1420550311378824E-2</v>
      </c>
      <c r="AF253" s="62">
        <v>1.4404594317314761E-2</v>
      </c>
      <c r="AG253" s="70" t="s">
        <v>21</v>
      </c>
      <c r="AH253" s="70">
        <v>7.5934498250558157E-4</v>
      </c>
      <c r="AI253" s="70">
        <v>4.4370245707468746E-3</v>
      </c>
      <c r="AJ253" s="70">
        <v>6.2520690113788248E-3</v>
      </c>
      <c r="AK253" s="70">
        <v>7.9417222173147652E-3</v>
      </c>
    </row>
    <row r="254" spans="2:37" x14ac:dyDescent="0.35">
      <c r="B254" s="54" t="s">
        <v>369</v>
      </c>
      <c r="C254" s="52" t="s">
        <v>232</v>
      </c>
      <c r="D254" s="52" t="s">
        <v>20</v>
      </c>
      <c r="E254" s="52" t="s">
        <v>256</v>
      </c>
      <c r="F254" s="72" t="str">
        <f t="shared" si="23"/>
        <v/>
      </c>
      <c r="G254" s="59">
        <f t="shared" si="23"/>
        <v>3.8013718339859671E-3</v>
      </c>
      <c r="H254" s="59">
        <f t="shared" si="23"/>
        <v>8.7067377047070332E-3</v>
      </c>
      <c r="I254" s="59">
        <f t="shared" si="23"/>
        <v>1.1732823063399766E-2</v>
      </c>
      <c r="J254" s="62">
        <f t="shared" si="23"/>
        <v>1.458430660252124E-2</v>
      </c>
      <c r="K254" s="59" t="str">
        <f t="shared" si="24"/>
        <v/>
      </c>
      <c r="L254" s="59">
        <f t="shared" si="24"/>
        <v>5.6202273398596675E-4</v>
      </c>
      <c r="M254" s="59">
        <f t="shared" si="24"/>
        <v>4.4414938047070331E-3</v>
      </c>
      <c r="N254" s="59">
        <f t="shared" si="24"/>
        <v>6.5859494633997654E-3</v>
      </c>
      <c r="O254" s="62">
        <f t="shared" si="24"/>
        <v>8.1360739025212389E-3</v>
      </c>
      <c r="P254" s="54" t="s">
        <v>21</v>
      </c>
      <c r="Q254" s="52" t="s">
        <v>21</v>
      </c>
      <c r="R254" s="93" t="s">
        <v>21</v>
      </c>
      <c r="S254" s="72">
        <v>0</v>
      </c>
      <c r="T254" s="62">
        <f t="shared" si="20"/>
        <v>8.7067377047070332E-3</v>
      </c>
      <c r="V254" s="113">
        <v>1.11229512</v>
      </c>
      <c r="W254" s="71">
        <v>2.8552483999999998</v>
      </c>
      <c r="X254" s="71">
        <v>4.4075838000000003</v>
      </c>
      <c r="Y254" s="71">
        <v>5.7575178899999999</v>
      </c>
      <c r="Z254" s="114">
        <v>7.4597442300000001</v>
      </c>
      <c r="AB254" s="70" t="s">
        <v>21</v>
      </c>
      <c r="AC254" s="70">
        <v>3.8013718339859671E-3</v>
      </c>
      <c r="AD254" s="70">
        <v>8.7067377047070332E-3</v>
      </c>
      <c r="AE254" s="70">
        <v>1.1732823063399766E-2</v>
      </c>
      <c r="AF254" s="62">
        <v>1.458430660252124E-2</v>
      </c>
      <c r="AG254" s="70" t="s">
        <v>21</v>
      </c>
      <c r="AH254" s="70">
        <v>5.6202273398596675E-4</v>
      </c>
      <c r="AI254" s="70">
        <v>4.4414938047070331E-3</v>
      </c>
      <c r="AJ254" s="70">
        <v>6.5859494633997654E-3</v>
      </c>
      <c r="AK254" s="70">
        <v>8.1360739025212389E-3</v>
      </c>
    </row>
    <row r="255" spans="2:37" x14ac:dyDescent="0.35">
      <c r="B255" s="54" t="s">
        <v>368</v>
      </c>
      <c r="C255" s="52" t="s">
        <v>232</v>
      </c>
      <c r="D255" s="52" t="s">
        <v>20</v>
      </c>
      <c r="E255" s="52" t="s">
        <v>292</v>
      </c>
      <c r="F255" s="72" t="str">
        <f t="shared" si="23"/>
        <v/>
      </c>
      <c r="G255" s="59">
        <f t="shared" si="23"/>
        <v>3.7514427994878165E-3</v>
      </c>
      <c r="H255" s="59">
        <f t="shared" si="23"/>
        <v>8.5953445880287832E-3</v>
      </c>
      <c r="I255" s="59">
        <f t="shared" si="23"/>
        <v>1.1885165451161609E-2</v>
      </c>
      <c r="J255" s="62">
        <f t="shared" si="23"/>
        <v>1.5026207976073878E-2</v>
      </c>
      <c r="K255" s="59" t="str">
        <f t="shared" si="24"/>
        <v/>
      </c>
      <c r="L255" s="59">
        <f t="shared" si="24"/>
        <v>5.0669149948781578E-4</v>
      </c>
      <c r="M255" s="59">
        <f t="shared" si="24"/>
        <v>4.3202894880287838E-3</v>
      </c>
      <c r="N255" s="59">
        <f t="shared" si="24"/>
        <v>6.7479521511616108E-3</v>
      </c>
      <c r="O255" s="62">
        <f t="shared" si="24"/>
        <v>8.6121303760738795E-3</v>
      </c>
      <c r="P255" s="54" t="s">
        <v>21</v>
      </c>
      <c r="Q255" s="52" t="s">
        <v>21</v>
      </c>
      <c r="R255" s="93" t="s">
        <v>21</v>
      </c>
      <c r="S255" s="72">
        <v>0</v>
      </c>
      <c r="T255" s="62">
        <f t="shared" si="20"/>
        <v>8.5953445880287832E-3</v>
      </c>
      <c r="V255" s="113">
        <v>1.11222778</v>
      </c>
      <c r="W255" s="71">
        <v>2.8555041400000003</v>
      </c>
      <c r="X255" s="71">
        <v>4.4095263099999995</v>
      </c>
      <c r="Y255" s="71">
        <v>5.75694062</v>
      </c>
      <c r="Z255" s="114">
        <v>7.4395425400000006</v>
      </c>
      <c r="AB255" s="70" t="s">
        <v>21</v>
      </c>
      <c r="AC255" s="70">
        <v>3.7514427994878165E-3</v>
      </c>
      <c r="AD255" s="70">
        <v>8.5953445880287832E-3</v>
      </c>
      <c r="AE255" s="70">
        <v>1.1885165451161609E-2</v>
      </c>
      <c r="AF255" s="62">
        <v>1.5026207976073878E-2</v>
      </c>
      <c r="AG255" s="70" t="s">
        <v>21</v>
      </c>
      <c r="AH255" s="70">
        <v>5.0669149948781578E-4</v>
      </c>
      <c r="AI255" s="70">
        <v>4.3202894880287838E-3</v>
      </c>
      <c r="AJ255" s="70">
        <v>6.7479521511616108E-3</v>
      </c>
      <c r="AK255" s="70">
        <v>8.6121303760738795E-3</v>
      </c>
    </row>
    <row r="256" spans="2:37" x14ac:dyDescent="0.35">
      <c r="B256" s="54" t="s">
        <v>266</v>
      </c>
      <c r="C256" s="52" t="s">
        <v>232</v>
      </c>
      <c r="D256" s="52" t="s">
        <v>20</v>
      </c>
      <c r="E256" s="52" t="s">
        <v>21</v>
      </c>
      <c r="F256" s="72" t="str">
        <f t="shared" si="23"/>
        <v/>
      </c>
      <c r="G256" s="59">
        <f t="shared" si="23"/>
        <v>3.8678449198934358E-3</v>
      </c>
      <c r="H256" s="59">
        <f t="shared" si="23"/>
        <v>8.286938568873841E-3</v>
      </c>
      <c r="I256" s="59">
        <f t="shared" si="23"/>
        <v>1.0954120662340718E-2</v>
      </c>
      <c r="J256" s="62">
        <f t="shared" si="23"/>
        <v>1.3579491326067745E-2</v>
      </c>
      <c r="K256" s="59" t="str">
        <f t="shared" si="24"/>
        <v/>
      </c>
      <c r="L256" s="59">
        <f t="shared" si="24"/>
        <v>6.3583501989343582E-4</v>
      </c>
      <c r="M256" s="59">
        <f t="shared" si="24"/>
        <v>3.985209468873839E-3</v>
      </c>
      <c r="N256" s="59">
        <f t="shared" si="24"/>
        <v>5.747381762340722E-3</v>
      </c>
      <c r="O256" s="62">
        <f t="shared" si="24"/>
        <v>7.0525360260677416E-3</v>
      </c>
      <c r="P256" s="54" t="s">
        <v>563</v>
      </c>
      <c r="Q256" s="52" t="s">
        <v>564</v>
      </c>
      <c r="R256" s="93" t="s">
        <v>32</v>
      </c>
      <c r="S256" s="72">
        <v>6.0146900000000005E-3</v>
      </c>
      <c r="T256" s="62">
        <f t="shared" si="20"/>
        <v>2.2722485688738405E-3</v>
      </c>
      <c r="V256" s="113">
        <v>1.1114435600000001</v>
      </c>
      <c r="W256" s="71">
        <v>2.8531493399999999</v>
      </c>
      <c r="X256" s="71">
        <v>4.4097824899999996</v>
      </c>
      <c r="Y256" s="71">
        <v>5.77127488</v>
      </c>
      <c r="Z256" s="114">
        <v>7.5004727199999994</v>
      </c>
      <c r="AB256" s="70" t="s">
        <v>21</v>
      </c>
      <c r="AC256" s="70">
        <v>3.8678449198934358E-3</v>
      </c>
      <c r="AD256" s="70">
        <v>8.286938568873841E-3</v>
      </c>
      <c r="AE256" s="70">
        <v>1.0954120662340718E-2</v>
      </c>
      <c r="AF256" s="62">
        <v>1.3579491326067745E-2</v>
      </c>
      <c r="AG256" s="70" t="s">
        <v>21</v>
      </c>
      <c r="AH256" s="70">
        <v>6.3583501989343582E-4</v>
      </c>
      <c r="AI256" s="70">
        <v>3.985209468873839E-3</v>
      </c>
      <c r="AJ256" s="70">
        <v>5.747381762340722E-3</v>
      </c>
      <c r="AK256" s="70">
        <v>7.0525360260677416E-3</v>
      </c>
    </row>
    <row r="257" spans="2:37" x14ac:dyDescent="0.35">
      <c r="B257" s="54" t="s">
        <v>349</v>
      </c>
      <c r="C257" s="52" t="s">
        <v>232</v>
      </c>
      <c r="D257" s="52" t="s">
        <v>20</v>
      </c>
      <c r="E257" s="52" t="s">
        <v>316</v>
      </c>
      <c r="F257" s="72" t="str">
        <f t="shared" si="23"/>
        <v/>
      </c>
      <c r="G257" s="59">
        <f t="shared" si="23"/>
        <v>7.7907956036028202E-3</v>
      </c>
      <c r="H257" s="59">
        <f t="shared" si="23"/>
        <v>1.571484102868206E-2</v>
      </c>
      <c r="I257" s="59">
        <f t="shared" si="23"/>
        <v>1.9045971992881838E-2</v>
      </c>
      <c r="J257" s="62">
        <f t="shared" si="23"/>
        <v>2.2399634823798604E-2</v>
      </c>
      <c r="K257" s="59" t="str">
        <f t="shared" si="24"/>
        <v/>
      </c>
      <c r="L257" s="59">
        <f t="shared" si="24"/>
        <v>4.8062383036028208E-3</v>
      </c>
      <c r="M257" s="59">
        <f t="shared" si="24"/>
        <v>1.1723786428682059E-2</v>
      </c>
      <c r="N257" s="59">
        <f t="shared" si="24"/>
        <v>1.4142807992881838E-2</v>
      </c>
      <c r="O257" s="62">
        <f t="shared" si="24"/>
        <v>1.6219162423798606E-2</v>
      </c>
      <c r="P257" s="54" t="s">
        <v>389</v>
      </c>
      <c r="Q257" s="52" t="s">
        <v>390</v>
      </c>
      <c r="R257" s="93">
        <v>47507</v>
      </c>
      <c r="S257" s="72">
        <v>1.398889E-2</v>
      </c>
      <c r="T257" s="62">
        <f t="shared" si="20"/>
        <v>1.7259510286820601E-3</v>
      </c>
      <c r="V257" s="113">
        <v>1.10819454</v>
      </c>
      <c r="W257" s="71">
        <v>2.8233013000000002</v>
      </c>
      <c r="X257" s="71">
        <v>4.29797809</v>
      </c>
      <c r="Y257" s="71">
        <v>5.5314484799999999</v>
      </c>
      <c r="Z257" s="114">
        <v>7.0255311099999993</v>
      </c>
      <c r="AB257" s="70" t="s">
        <v>21</v>
      </c>
      <c r="AC257" s="70">
        <v>7.7907956036028202E-3</v>
      </c>
      <c r="AD257" s="70">
        <v>1.571484102868206E-2</v>
      </c>
      <c r="AE257" s="70">
        <v>1.9045971992881838E-2</v>
      </c>
      <c r="AF257" s="62">
        <v>2.2399634823798604E-2</v>
      </c>
      <c r="AG257" s="70" t="s">
        <v>21</v>
      </c>
      <c r="AH257" s="70">
        <v>4.8062383036028208E-3</v>
      </c>
      <c r="AI257" s="70">
        <v>1.1723786428682059E-2</v>
      </c>
      <c r="AJ257" s="70">
        <v>1.4142807992881838E-2</v>
      </c>
      <c r="AK257" s="70">
        <v>1.6219162423798606E-2</v>
      </c>
    </row>
    <row r="258" spans="2:37" x14ac:dyDescent="0.35">
      <c r="B258" s="54" t="s">
        <v>375</v>
      </c>
      <c r="C258" s="52" t="s">
        <v>232</v>
      </c>
      <c r="D258" s="52" t="s">
        <v>20</v>
      </c>
      <c r="E258" s="52" t="s">
        <v>264</v>
      </c>
      <c r="F258" s="73" t="str">
        <f t="shared" si="23"/>
        <v/>
      </c>
      <c r="G258" s="75">
        <f t="shared" si="23"/>
        <v>3.7319424082069745E-3</v>
      </c>
      <c r="H258" s="75">
        <f t="shared" si="23"/>
        <v>8.189175413838904E-3</v>
      </c>
      <c r="I258" s="75">
        <f t="shared" si="23"/>
        <v>1.0824754766857292E-2</v>
      </c>
      <c r="J258" s="63">
        <f t="shared" si="23"/>
        <v>1.3560981417905956E-2</v>
      </c>
      <c r="K258" s="75" t="str">
        <f t="shared" si="24"/>
        <v/>
      </c>
      <c r="L258" s="75">
        <f t="shared" si="24"/>
        <v>4.8526990820697575E-4</v>
      </c>
      <c r="M258" s="75">
        <f t="shared" si="24"/>
        <v>3.8787604138389069E-3</v>
      </c>
      <c r="N258" s="75">
        <f t="shared" si="24"/>
        <v>5.6075381668572941E-3</v>
      </c>
      <c r="O258" s="63">
        <f t="shared" si="24"/>
        <v>7.0389566179059598E-3</v>
      </c>
      <c r="P258" s="54" t="s">
        <v>403</v>
      </c>
      <c r="Q258" s="52" t="s">
        <v>404</v>
      </c>
      <c r="R258" s="93">
        <v>47515</v>
      </c>
      <c r="S258" s="72">
        <v>8.4672899999999988E-3</v>
      </c>
      <c r="T258" s="62">
        <f t="shared" si="20"/>
        <v>-2.781145861610948E-4</v>
      </c>
      <c r="V258" s="113">
        <v>1.1122905699999999</v>
      </c>
      <c r="W258" s="71">
        <v>2.85547548</v>
      </c>
      <c r="X258" s="71">
        <v>4.4128477799999999</v>
      </c>
      <c r="Y258" s="71">
        <v>5.7764099</v>
      </c>
      <c r="Z258" s="114">
        <v>7.49716497</v>
      </c>
      <c r="AB258" s="70" t="s">
        <v>21</v>
      </c>
      <c r="AC258" s="70">
        <v>3.7319424082069745E-3</v>
      </c>
      <c r="AD258" s="70">
        <v>8.189175413838904E-3</v>
      </c>
      <c r="AE258" s="70">
        <v>1.0824754766857292E-2</v>
      </c>
      <c r="AF258" s="62">
        <v>1.3560981417905956E-2</v>
      </c>
      <c r="AG258" s="70" t="s">
        <v>21</v>
      </c>
      <c r="AH258" s="70">
        <v>4.8526990820697575E-4</v>
      </c>
      <c r="AI258" s="70">
        <v>3.8787604138389069E-3</v>
      </c>
      <c r="AJ258" s="70">
        <v>5.6075381668572941E-3</v>
      </c>
      <c r="AK258" s="70">
        <v>7.0389566179059598E-3</v>
      </c>
    </row>
    <row r="259" spans="2:37" x14ac:dyDescent="0.35">
      <c r="B259" s="78" t="s">
        <v>160</v>
      </c>
      <c r="C259" s="135"/>
      <c r="D259" s="77"/>
      <c r="E259" s="77"/>
      <c r="F259" s="77" t="str">
        <f t="shared" si="23"/>
        <v/>
      </c>
      <c r="G259" s="77" t="str">
        <f>IF(ISNUMBER(AC259),AC259-((D$4-D$3)/W259),"")</f>
        <v/>
      </c>
      <c r="H259" s="77" t="str">
        <f t="shared" si="23"/>
        <v/>
      </c>
      <c r="I259" s="77" t="str">
        <f t="shared" si="23"/>
        <v/>
      </c>
      <c r="J259" s="77" t="str">
        <f t="shared" si="23"/>
        <v/>
      </c>
      <c r="K259" s="77" t="str">
        <f t="shared" si="24"/>
        <v/>
      </c>
      <c r="L259" s="77" t="str">
        <f t="shared" si="24"/>
        <v/>
      </c>
      <c r="M259" s="77" t="str">
        <f t="shared" si="24"/>
        <v/>
      </c>
      <c r="N259" s="77" t="str">
        <f t="shared" si="24"/>
        <v/>
      </c>
      <c r="O259" s="76" t="str">
        <f t="shared" si="24"/>
        <v/>
      </c>
      <c r="P259" s="78"/>
      <c r="Q259" s="77"/>
      <c r="R259" s="94"/>
      <c r="S259" s="77"/>
      <c r="T259" s="76" t="str">
        <f t="shared" si="20"/>
        <v/>
      </c>
      <c r="V259" s="119"/>
      <c r="W259" s="108"/>
      <c r="X259" s="108"/>
      <c r="Y259" s="108"/>
      <c r="Z259" s="120"/>
      <c r="AB259" s="77"/>
      <c r="AC259" s="77"/>
      <c r="AD259" s="77"/>
      <c r="AE259" s="77"/>
      <c r="AF259" s="77"/>
      <c r="AG259" s="77"/>
      <c r="AH259" s="77"/>
      <c r="AI259" s="77"/>
      <c r="AJ259" s="77"/>
      <c r="AK259" s="77"/>
    </row>
    <row r="260" spans="2:37" x14ac:dyDescent="0.35">
      <c r="B260" s="55" t="s">
        <v>162</v>
      </c>
      <c r="C260" s="52" t="s">
        <v>232</v>
      </c>
      <c r="D260" s="65" t="s">
        <v>20</v>
      </c>
      <c r="E260" s="65" t="s">
        <v>290</v>
      </c>
      <c r="F260" s="72">
        <f t="shared" si="23"/>
        <v>5.0487194200035364E-3</v>
      </c>
      <c r="G260" s="59">
        <f t="shared" si="23"/>
        <v>2.5906381885807708E-2</v>
      </c>
      <c r="H260" s="59">
        <f t="shared" si="23"/>
        <v>4.4374659442498542E-2</v>
      </c>
      <c r="I260" s="59">
        <f t="shared" si="23"/>
        <v>5.5187657439709006E-2</v>
      </c>
      <c r="J260" s="62">
        <f t="shared" si="23"/>
        <v>5.9609686507444207E-2</v>
      </c>
      <c r="K260" s="59">
        <f t="shared" si="24"/>
        <v>3.4959676200035381E-3</v>
      </c>
      <c r="L260" s="59">
        <f t="shared" si="24"/>
        <v>2.2690683085807708E-2</v>
      </c>
      <c r="M260" s="59">
        <f t="shared" si="24"/>
        <v>3.9417317842498543E-2</v>
      </c>
      <c r="N260" s="59">
        <f t="shared" si="24"/>
        <v>4.8740855239709016E-2</v>
      </c>
      <c r="O260" s="62">
        <f t="shared" si="24"/>
        <v>5.1858351107444203E-2</v>
      </c>
      <c r="P260" s="55" t="s">
        <v>21</v>
      </c>
      <c r="Q260" s="65" t="s">
        <v>21</v>
      </c>
      <c r="R260" s="99" t="s">
        <v>21</v>
      </c>
      <c r="S260" s="74">
        <v>0</v>
      </c>
      <c r="T260" s="62">
        <f t="shared" si="20"/>
        <v>4.4374659442498542E-2</v>
      </c>
      <c r="V260" s="117">
        <v>1.0930043999999999</v>
      </c>
      <c r="W260" s="60">
        <v>2.6838700200000001</v>
      </c>
      <c r="X260" s="60">
        <v>3.8594037900000004</v>
      </c>
      <c r="Y260" s="60">
        <v>4.63952732</v>
      </c>
      <c r="Z260" s="118">
        <v>5.3921830100000001</v>
      </c>
      <c r="AB260" s="79">
        <v>5.0487194200035364E-3</v>
      </c>
      <c r="AC260" s="79">
        <v>2.5906381885807708E-2</v>
      </c>
      <c r="AD260" s="79">
        <v>4.4374659442498542E-2</v>
      </c>
      <c r="AE260" s="79">
        <v>5.5187657439709006E-2</v>
      </c>
      <c r="AF260" s="61">
        <v>5.9609686507444207E-2</v>
      </c>
      <c r="AG260" s="79">
        <v>3.4959676200035381E-3</v>
      </c>
      <c r="AH260" s="79">
        <v>2.2690683085807708E-2</v>
      </c>
      <c r="AI260" s="79">
        <v>3.9417317842498543E-2</v>
      </c>
      <c r="AJ260" s="79">
        <v>4.8740855239709016E-2</v>
      </c>
      <c r="AK260" s="79">
        <v>5.1858351107444203E-2</v>
      </c>
    </row>
    <row r="261" spans="2:37" x14ac:dyDescent="0.35">
      <c r="B261" s="54" t="s">
        <v>166</v>
      </c>
      <c r="C261" s="52" t="s">
        <v>232</v>
      </c>
      <c r="D261" s="52" t="s">
        <v>167</v>
      </c>
      <c r="E261" s="52" t="s">
        <v>234</v>
      </c>
      <c r="F261" s="72">
        <f t="shared" si="23"/>
        <v>1.1804745479154555E-2</v>
      </c>
      <c r="G261" s="59">
        <f t="shared" si="23"/>
        <v>2.6715147564547695E-2</v>
      </c>
      <c r="H261" s="59">
        <f t="shared" si="23"/>
        <v>3.1928997445080147E-2</v>
      </c>
      <c r="I261" s="59">
        <f t="shared" si="23"/>
        <v>3.4062420348527023E-2</v>
      </c>
      <c r="J261" s="62">
        <f t="shared" si="23"/>
        <v>3.6131454042291351E-2</v>
      </c>
      <c r="K261" s="59">
        <f t="shared" si="24"/>
        <v>1.0015215379154556E-2</v>
      </c>
      <c r="L261" s="59">
        <f t="shared" si="24"/>
        <v>2.3419800864547698E-2</v>
      </c>
      <c r="M261" s="59">
        <f t="shared" si="24"/>
        <v>2.757047124508015E-2</v>
      </c>
      <c r="N261" s="59">
        <f t="shared" si="24"/>
        <v>2.8798704948527022E-2</v>
      </c>
      <c r="O261" s="62">
        <f t="shared" si="24"/>
        <v>2.9651274542291349E-2</v>
      </c>
      <c r="P261" s="54" t="s">
        <v>21</v>
      </c>
      <c r="Q261" s="52" t="s">
        <v>21</v>
      </c>
      <c r="R261" s="93" t="s">
        <v>21</v>
      </c>
      <c r="S261" s="72">
        <v>0</v>
      </c>
      <c r="T261" s="62">
        <f t="shared" si="20"/>
        <v>3.1928997445080147E-2</v>
      </c>
      <c r="V261" s="113">
        <v>1.0785706500000001</v>
      </c>
      <c r="W261" s="71">
        <v>2.6460543400000001</v>
      </c>
      <c r="X261" s="71">
        <v>3.92613199</v>
      </c>
      <c r="Y261" s="71">
        <v>4.9564406099999996</v>
      </c>
      <c r="Z261" s="114">
        <v>6.1439939600000004</v>
      </c>
      <c r="AB261" s="70">
        <v>1.1804745479154555E-2</v>
      </c>
      <c r="AC261" s="70">
        <v>2.6715147564547695E-2</v>
      </c>
      <c r="AD261" s="70">
        <v>3.1928997445080147E-2</v>
      </c>
      <c r="AE261" s="70">
        <v>3.4062420348527023E-2</v>
      </c>
      <c r="AF261" s="62">
        <v>3.6131454042291351E-2</v>
      </c>
      <c r="AG261" s="70">
        <v>1.0015215379154556E-2</v>
      </c>
      <c r="AH261" s="70">
        <v>2.3419800864547698E-2</v>
      </c>
      <c r="AI261" s="70">
        <v>2.757047124508015E-2</v>
      </c>
      <c r="AJ261" s="70">
        <v>2.8798704948527022E-2</v>
      </c>
      <c r="AK261" s="70">
        <v>2.9651274542291349E-2</v>
      </c>
    </row>
    <row r="262" spans="2:37" x14ac:dyDescent="0.35">
      <c r="B262" s="54" t="s">
        <v>165</v>
      </c>
      <c r="C262" s="52" t="s">
        <v>232</v>
      </c>
      <c r="D262" s="52" t="s">
        <v>97</v>
      </c>
      <c r="E262" s="52" t="s">
        <v>565</v>
      </c>
      <c r="F262" s="72">
        <f t="shared" si="23"/>
        <v>1.1566016380933231E-3</v>
      </c>
      <c r="G262" s="59">
        <f t="shared" si="23"/>
        <v>1.7152692979597945E-2</v>
      </c>
      <c r="H262" s="59">
        <f t="shared" si="23"/>
        <v>3.0273198230321943E-2</v>
      </c>
      <c r="I262" s="59">
        <f t="shared" si="23"/>
        <v>3.4714934619088048E-2</v>
      </c>
      <c r="J262" s="62">
        <f t="shared" si="23"/>
        <v>3.8469713879332304E-2</v>
      </c>
      <c r="K262" s="59" t="str">
        <f t="shared" si="24"/>
        <v/>
      </c>
      <c r="L262" s="59">
        <f t="shared" si="24"/>
        <v>1.4201292179597948E-2</v>
      </c>
      <c r="M262" s="59">
        <f t="shared" si="24"/>
        <v>2.6032813530321941E-2</v>
      </c>
      <c r="N262" s="59">
        <f t="shared" si="24"/>
        <v>2.9488759419088045E-2</v>
      </c>
      <c r="O262" s="62">
        <f t="shared" si="24"/>
        <v>3.1981483679332304E-2</v>
      </c>
      <c r="P262" s="54" t="s">
        <v>21</v>
      </c>
      <c r="Q262" s="52" t="s">
        <v>21</v>
      </c>
      <c r="R262" s="93" t="s">
        <v>21</v>
      </c>
      <c r="S262" s="72">
        <v>0</v>
      </c>
      <c r="T262" s="62">
        <f t="shared" si="20"/>
        <v>3.0273198230321943E-2</v>
      </c>
      <c r="V262" s="113">
        <v>1.10263497</v>
      </c>
      <c r="W262" s="71">
        <v>2.7522974499999999</v>
      </c>
      <c r="X262" s="71">
        <v>4.0657109400000007</v>
      </c>
      <c r="Y262" s="71">
        <v>5.0819189200000006</v>
      </c>
      <c r="Z262" s="114">
        <v>6.21088475</v>
      </c>
      <c r="AB262" s="70">
        <v>1.1566016380933231E-3</v>
      </c>
      <c r="AC262" s="70">
        <v>1.7152692979597945E-2</v>
      </c>
      <c r="AD262" s="70">
        <v>3.0273198230321943E-2</v>
      </c>
      <c r="AE262" s="70">
        <v>3.4714934619088048E-2</v>
      </c>
      <c r="AF262" s="62">
        <v>3.8469713879332304E-2</v>
      </c>
      <c r="AG262" s="70" t="s">
        <v>21</v>
      </c>
      <c r="AH262" s="70">
        <v>1.4201292179597948E-2</v>
      </c>
      <c r="AI262" s="70">
        <v>2.6032813530321941E-2</v>
      </c>
      <c r="AJ262" s="70">
        <v>2.9488759419088045E-2</v>
      </c>
      <c r="AK262" s="70">
        <v>3.1981483679332304E-2</v>
      </c>
    </row>
    <row r="263" spans="2:37" x14ac:dyDescent="0.35">
      <c r="B263" s="54" t="s">
        <v>233</v>
      </c>
      <c r="C263" s="52" t="s">
        <v>232</v>
      </c>
      <c r="D263" s="52" t="s">
        <v>43</v>
      </c>
      <c r="E263" s="52" t="s">
        <v>116</v>
      </c>
      <c r="F263" s="72">
        <f t="shared" si="23"/>
        <v>5.1891427801289275E-4</v>
      </c>
      <c r="G263" s="59">
        <f t="shared" si="23"/>
        <v>1.3155159664469611E-2</v>
      </c>
      <c r="H263" s="59">
        <f t="shared" si="23"/>
        <v>2.6145211078912545E-2</v>
      </c>
      <c r="I263" s="59">
        <f t="shared" si="23"/>
        <v>3.3178468224728391E-2</v>
      </c>
      <c r="J263" s="62">
        <f t="shared" si="23"/>
        <v>3.7469053404755412E-2</v>
      </c>
      <c r="K263" s="59" t="str">
        <f t="shared" si="24"/>
        <v/>
      </c>
      <c r="L263" s="59">
        <f t="shared" si="24"/>
        <v>1.0240820264469612E-2</v>
      </c>
      <c r="M263" s="59">
        <f t="shared" si="24"/>
        <v>2.2032717178912552E-2</v>
      </c>
      <c r="N263" s="59">
        <f t="shared" si="24"/>
        <v>2.8002280324728398E-2</v>
      </c>
      <c r="O263" s="62">
        <f t="shared" si="24"/>
        <v>3.1022798104755417E-2</v>
      </c>
      <c r="P263" s="54" t="s">
        <v>21</v>
      </c>
      <c r="Q263" s="52" t="s">
        <v>21</v>
      </c>
      <c r="R263" s="93" t="s">
        <v>21</v>
      </c>
      <c r="S263" s="72">
        <v>0</v>
      </c>
      <c r="T263" s="62">
        <f t="shared" si="20"/>
        <v>2.6145211078912545E-2</v>
      </c>
      <c r="V263" s="113">
        <v>1.1044844200000001</v>
      </c>
      <c r="W263" s="71">
        <v>2.7843307099999999</v>
      </c>
      <c r="X263" s="71">
        <v>4.1434636499999993</v>
      </c>
      <c r="Y263" s="71">
        <v>5.1847677799999996</v>
      </c>
      <c r="Z263" s="114">
        <v>6.3295884600000001</v>
      </c>
      <c r="AB263" s="70">
        <v>5.1891427801289275E-4</v>
      </c>
      <c r="AC263" s="70">
        <v>1.3155159664469611E-2</v>
      </c>
      <c r="AD263" s="70">
        <v>2.6145211078912545E-2</v>
      </c>
      <c r="AE263" s="70">
        <v>3.3178468224728391E-2</v>
      </c>
      <c r="AF263" s="62">
        <v>3.7469053404755412E-2</v>
      </c>
      <c r="AG263" s="70" t="s">
        <v>21</v>
      </c>
      <c r="AH263" s="70">
        <v>1.0240820264469612E-2</v>
      </c>
      <c r="AI263" s="70">
        <v>2.2032717178912552E-2</v>
      </c>
      <c r="AJ263" s="70">
        <v>2.8002280324728398E-2</v>
      </c>
      <c r="AK263" s="70">
        <v>3.1022798104755417E-2</v>
      </c>
    </row>
    <row r="264" spans="2:37" x14ac:dyDescent="0.35">
      <c r="B264" s="54" t="s">
        <v>161</v>
      </c>
      <c r="C264" s="52" t="s">
        <v>232</v>
      </c>
      <c r="D264" s="52" t="s">
        <v>97</v>
      </c>
      <c r="E264" s="52" t="s">
        <v>566</v>
      </c>
      <c r="F264" s="72" t="str">
        <f t="shared" si="23"/>
        <v/>
      </c>
      <c r="G264" s="59">
        <f t="shared" si="23"/>
        <v>1.2293090501219926E-2</v>
      </c>
      <c r="H264" s="59">
        <f t="shared" si="23"/>
        <v>2.2528850291020672E-2</v>
      </c>
      <c r="I264" s="59">
        <f t="shared" si="23"/>
        <v>2.8334282328198079E-2</v>
      </c>
      <c r="J264" s="62">
        <f t="shared" si="23"/>
        <v>3.2854019841797803E-2</v>
      </c>
      <c r="K264" s="59" t="str">
        <f t="shared" si="24"/>
        <v/>
      </c>
      <c r="L264" s="59">
        <f t="shared" si="24"/>
        <v>9.3785876012199253E-3</v>
      </c>
      <c r="M264" s="59">
        <f t="shared" si="24"/>
        <v>1.8499482191020673E-2</v>
      </c>
      <c r="N264" s="59">
        <f t="shared" si="24"/>
        <v>2.3312119028198078E-2</v>
      </c>
      <c r="O264" s="62">
        <f t="shared" si="24"/>
        <v>2.6551093741797805E-2</v>
      </c>
      <c r="P264" s="54" t="s">
        <v>567</v>
      </c>
      <c r="Q264" s="52" t="s">
        <v>568</v>
      </c>
      <c r="R264" s="93">
        <v>47542</v>
      </c>
      <c r="S264" s="72">
        <v>1.2790429999999998E-2</v>
      </c>
      <c r="T264" s="62">
        <f t="shared" si="20"/>
        <v>9.7384202910206739E-3</v>
      </c>
      <c r="V264" s="113">
        <v>1.10640056</v>
      </c>
      <c r="W264" s="71">
        <v>2.7868099699999997</v>
      </c>
      <c r="X264" s="71">
        <v>4.18339018</v>
      </c>
      <c r="Y264" s="71">
        <v>5.2910431999999998</v>
      </c>
      <c r="Z264" s="114">
        <v>6.5375485600000003</v>
      </c>
      <c r="AB264" s="70" t="s">
        <v>21</v>
      </c>
      <c r="AC264" s="70">
        <v>1.2293090501219926E-2</v>
      </c>
      <c r="AD264" s="70">
        <v>2.2528850291020672E-2</v>
      </c>
      <c r="AE264" s="70">
        <v>2.8334282328198079E-2</v>
      </c>
      <c r="AF264" s="62">
        <v>3.2854019841797803E-2</v>
      </c>
      <c r="AG264" s="70" t="s">
        <v>21</v>
      </c>
      <c r="AH264" s="70">
        <v>9.3785876012199253E-3</v>
      </c>
      <c r="AI264" s="70">
        <v>1.8499482191020673E-2</v>
      </c>
      <c r="AJ264" s="70">
        <v>2.3312119028198078E-2</v>
      </c>
      <c r="AK264" s="70">
        <v>2.6551093741797805E-2</v>
      </c>
    </row>
    <row r="265" spans="2:37" x14ac:dyDescent="0.35">
      <c r="B265" s="54" t="s">
        <v>173</v>
      </c>
      <c r="C265" s="52" t="s">
        <v>232</v>
      </c>
      <c r="D265" s="52" t="s">
        <v>43</v>
      </c>
      <c r="E265" s="52" t="s">
        <v>569</v>
      </c>
      <c r="F265" s="72">
        <f t="shared" si="23"/>
        <v>3.3115257829238421E-3</v>
      </c>
      <c r="G265" s="59">
        <f t="shared" si="23"/>
        <v>1.2335943383996026E-2</v>
      </c>
      <c r="H265" s="59">
        <f t="shared" si="23"/>
        <v>2.0007040969297726E-2</v>
      </c>
      <c r="I265" s="59">
        <f t="shared" si="23"/>
        <v>2.5446513102228147E-2</v>
      </c>
      <c r="J265" s="62">
        <f t="shared" si="23"/>
        <v>3.0936719662836877E-2</v>
      </c>
      <c r="K265" s="59">
        <f t="shared" si="24"/>
        <v>1.7651434829238427E-3</v>
      </c>
      <c r="L265" s="59">
        <f t="shared" si="24"/>
        <v>9.4169675839960252E-3</v>
      </c>
      <c r="M265" s="59">
        <f t="shared" si="24"/>
        <v>1.6008506969297728E-2</v>
      </c>
      <c r="N265" s="59">
        <f t="shared" si="24"/>
        <v>2.0481053902228145E-2</v>
      </c>
      <c r="O265" s="62">
        <f t="shared" si="24"/>
        <v>2.4663744562836876E-2</v>
      </c>
      <c r="P265" s="54" t="s">
        <v>21</v>
      </c>
      <c r="Q265" s="52" t="s">
        <v>21</v>
      </c>
      <c r="R265" s="93" t="s">
        <v>21</v>
      </c>
      <c r="S265" s="72">
        <v>0</v>
      </c>
      <c r="T265" s="62">
        <f t="shared" si="20"/>
        <v>2.0007040969297726E-2</v>
      </c>
      <c r="V265" s="113">
        <v>1.09753268</v>
      </c>
      <c r="W265" s="71">
        <v>2.77566997</v>
      </c>
      <c r="X265" s="71">
        <v>4.1956803199999992</v>
      </c>
      <c r="Y265" s="71">
        <v>5.3416744700000001</v>
      </c>
      <c r="Z265" s="114">
        <v>6.6370096800000002</v>
      </c>
      <c r="AB265" s="70">
        <v>3.3115257829238421E-3</v>
      </c>
      <c r="AC265" s="70">
        <v>1.2335943383996026E-2</v>
      </c>
      <c r="AD265" s="70">
        <v>2.0007040969297726E-2</v>
      </c>
      <c r="AE265" s="70">
        <v>2.5446513102228147E-2</v>
      </c>
      <c r="AF265" s="62">
        <v>3.0936719662836877E-2</v>
      </c>
      <c r="AG265" s="70">
        <v>1.7651434829238427E-3</v>
      </c>
      <c r="AH265" s="70">
        <v>9.4169675839960252E-3</v>
      </c>
      <c r="AI265" s="70">
        <v>1.6008506969297728E-2</v>
      </c>
      <c r="AJ265" s="70">
        <v>2.0481053902228145E-2</v>
      </c>
      <c r="AK265" s="70">
        <v>2.4663744562836876E-2</v>
      </c>
    </row>
    <row r="266" spans="2:37" x14ac:dyDescent="0.35">
      <c r="B266" s="54" t="s">
        <v>172</v>
      </c>
      <c r="C266" s="52" t="s">
        <v>232</v>
      </c>
      <c r="D266" s="52" t="s">
        <v>43</v>
      </c>
      <c r="E266" s="52" t="s">
        <v>140</v>
      </c>
      <c r="F266" s="72">
        <f t="shared" si="23"/>
        <v>1.9326941740950565E-4</v>
      </c>
      <c r="G266" s="59">
        <f t="shared" si="23"/>
        <v>1.0484128647577754E-2</v>
      </c>
      <c r="H266" s="59">
        <f t="shared" si="23"/>
        <v>2.0093046331016745E-2</v>
      </c>
      <c r="I266" s="59">
        <f t="shared" si="23"/>
        <v>2.5839890056479995E-2</v>
      </c>
      <c r="J266" s="62">
        <f t="shared" si="23"/>
        <v>2.9879522114603679E-2</v>
      </c>
      <c r="K266" s="59" t="str">
        <f t="shared" si="24"/>
        <v/>
      </c>
      <c r="L266" s="59">
        <f t="shared" si="24"/>
        <v>7.5586642475777531E-3</v>
      </c>
      <c r="M266" s="59">
        <f t="shared" si="24"/>
        <v>1.6098871231016745E-2</v>
      </c>
      <c r="N266" s="59">
        <f t="shared" si="24"/>
        <v>2.0874899356479994E-2</v>
      </c>
      <c r="O266" s="62">
        <f t="shared" si="24"/>
        <v>2.3646273214603677E-2</v>
      </c>
      <c r="P266" s="54" t="s">
        <v>570</v>
      </c>
      <c r="Q266" s="52" t="s">
        <v>571</v>
      </c>
      <c r="R266" s="93">
        <v>47535</v>
      </c>
      <c r="S266" s="72">
        <v>9.3175099999999993E-3</v>
      </c>
      <c r="T266" s="62">
        <f t="shared" si="20"/>
        <v>1.0775536331016746E-2</v>
      </c>
      <c r="V266" s="113">
        <v>1.10535746</v>
      </c>
      <c r="W266" s="71">
        <v>2.8012271500000003</v>
      </c>
      <c r="X266" s="71">
        <v>4.22457481</v>
      </c>
      <c r="Y266" s="71">
        <v>5.3659586199999998</v>
      </c>
      <c r="Z266" s="114">
        <v>6.6787359199999994</v>
      </c>
      <c r="AB266" s="70">
        <v>1.9326941740950565E-4</v>
      </c>
      <c r="AC266" s="70">
        <v>1.0484128647577754E-2</v>
      </c>
      <c r="AD266" s="70">
        <v>2.0093046331016745E-2</v>
      </c>
      <c r="AE266" s="70">
        <v>2.5839890056479995E-2</v>
      </c>
      <c r="AF266" s="62">
        <v>2.9879522114603679E-2</v>
      </c>
      <c r="AG266" s="70" t="s">
        <v>21</v>
      </c>
      <c r="AH266" s="70">
        <v>7.5586642475777531E-3</v>
      </c>
      <c r="AI266" s="70">
        <v>1.6098871231016745E-2</v>
      </c>
      <c r="AJ266" s="70">
        <v>2.0874899356479994E-2</v>
      </c>
      <c r="AK266" s="70">
        <v>2.3646273214603677E-2</v>
      </c>
    </row>
    <row r="267" spans="2:37" x14ac:dyDescent="0.35">
      <c r="B267" s="54" t="s">
        <v>170</v>
      </c>
      <c r="C267" s="52" t="s">
        <v>232</v>
      </c>
      <c r="D267" s="52" t="s">
        <v>31</v>
      </c>
      <c r="E267" s="52" t="s">
        <v>572</v>
      </c>
      <c r="F267" s="72" t="str">
        <f t="shared" si="23"/>
        <v/>
      </c>
      <c r="G267" s="59">
        <f t="shared" si="23"/>
        <v>9.5890762666036751E-3</v>
      </c>
      <c r="H267" s="59">
        <f t="shared" si="23"/>
        <v>1.9942981808922632E-2</v>
      </c>
      <c r="I267" s="59">
        <f t="shared" si="23"/>
        <v>2.7172114397560086E-2</v>
      </c>
      <c r="J267" s="62">
        <f t="shared" si="23"/>
        <v>3.2889731186226741E-2</v>
      </c>
      <c r="K267" s="59" t="str">
        <f t="shared" si="24"/>
        <v/>
      </c>
      <c r="L267" s="59">
        <f t="shared" si="24"/>
        <v>6.6499601666036787E-3</v>
      </c>
      <c r="M267" s="59">
        <f t="shared" si="24"/>
        <v>1.594996420892263E-2</v>
      </c>
      <c r="N267" s="59">
        <f t="shared" si="24"/>
        <v>2.2176908797560093E-2</v>
      </c>
      <c r="O267" s="62">
        <f t="shared" si="24"/>
        <v>2.6585552086226736E-2</v>
      </c>
      <c r="P267" s="54" t="s">
        <v>573</v>
      </c>
      <c r="Q267" s="52" t="s">
        <v>574</v>
      </c>
      <c r="R267" s="93">
        <v>47664</v>
      </c>
      <c r="S267" s="72">
        <v>1.1841340000000001E-2</v>
      </c>
      <c r="T267" s="62">
        <f t="shared" si="20"/>
        <v>8.1016418089226317E-3</v>
      </c>
      <c r="V267" s="113">
        <v>1.10757598</v>
      </c>
      <c r="W267" s="71">
        <v>2.8111219199999997</v>
      </c>
      <c r="X267" s="71">
        <v>4.2380865600000002</v>
      </c>
      <c r="Y267" s="71">
        <v>5.3635838700000003</v>
      </c>
      <c r="Z267" s="114">
        <v>6.6126834800000003</v>
      </c>
      <c r="AB267" s="70" t="s">
        <v>21</v>
      </c>
      <c r="AC267" s="70">
        <v>9.5890762666036751E-3</v>
      </c>
      <c r="AD267" s="70">
        <v>1.9942981808922632E-2</v>
      </c>
      <c r="AE267" s="70">
        <v>2.7172114397560086E-2</v>
      </c>
      <c r="AF267" s="62">
        <v>3.2889731186226741E-2</v>
      </c>
      <c r="AG267" s="70" t="s">
        <v>21</v>
      </c>
      <c r="AH267" s="70">
        <v>6.6499601666036787E-3</v>
      </c>
      <c r="AI267" s="70">
        <v>1.594996420892263E-2</v>
      </c>
      <c r="AJ267" s="70">
        <v>2.2176908797560093E-2</v>
      </c>
      <c r="AK267" s="70">
        <v>2.6585552086226736E-2</v>
      </c>
    </row>
    <row r="268" spans="2:37" x14ac:dyDescent="0.35">
      <c r="B268" s="54" t="s">
        <v>129</v>
      </c>
      <c r="C268" s="52" t="s">
        <v>232</v>
      </c>
      <c r="D268" s="52" t="s">
        <v>62</v>
      </c>
      <c r="E268" s="52" t="s">
        <v>286</v>
      </c>
      <c r="F268" s="72">
        <f t="shared" si="23"/>
        <v>5.4776596756842856E-4</v>
      </c>
      <c r="G268" s="59">
        <f t="shared" si="23"/>
        <v>1.107142390674214E-2</v>
      </c>
      <c r="H268" s="59">
        <f t="shared" si="23"/>
        <v>1.9100013366209548E-2</v>
      </c>
      <c r="I268" s="59">
        <f t="shared" si="23"/>
        <v>2.4040581852684952E-2</v>
      </c>
      <c r="J268" s="62">
        <f t="shared" si="23"/>
        <v>2.7845957974579547E-2</v>
      </c>
      <c r="K268" s="59" t="str">
        <f t="shared" si="24"/>
        <v/>
      </c>
      <c r="L268" s="59">
        <f t="shared" si="24"/>
        <v>8.1521769067421437E-3</v>
      </c>
      <c r="M268" s="59">
        <f t="shared" si="24"/>
        <v>1.5115066066209548E-2</v>
      </c>
      <c r="N268" s="59">
        <f t="shared" si="24"/>
        <v>1.9105842952684953E-2</v>
      </c>
      <c r="O268" s="62">
        <f t="shared" si="24"/>
        <v>2.1641085774579551E-2</v>
      </c>
      <c r="P268" s="54" t="s">
        <v>21</v>
      </c>
      <c r="Q268" s="52" t="s">
        <v>21</v>
      </c>
      <c r="R268" s="93" t="s">
        <v>21</v>
      </c>
      <c r="S268" s="72">
        <v>0</v>
      </c>
      <c r="T268" s="62">
        <f t="shared" si="20"/>
        <v>1.9100013366209548E-2</v>
      </c>
      <c r="V268" s="113">
        <v>1.10441934</v>
      </c>
      <c r="W268" s="71">
        <v>2.7945652299999999</v>
      </c>
      <c r="X268" s="71">
        <v>4.2261539399999997</v>
      </c>
      <c r="Y268" s="71">
        <v>5.3921968700000003</v>
      </c>
      <c r="Z268" s="114">
        <v>6.7535491000000007</v>
      </c>
      <c r="AB268" s="70">
        <v>5.4776596756842856E-4</v>
      </c>
      <c r="AC268" s="70">
        <v>1.107142390674214E-2</v>
      </c>
      <c r="AD268" s="70">
        <v>1.9100013366209548E-2</v>
      </c>
      <c r="AE268" s="70">
        <v>2.4040581852684952E-2</v>
      </c>
      <c r="AF268" s="62">
        <v>2.7845957974579547E-2</v>
      </c>
      <c r="AG268" s="70" t="s">
        <v>21</v>
      </c>
      <c r="AH268" s="70">
        <v>8.1521769067421437E-3</v>
      </c>
      <c r="AI268" s="70">
        <v>1.5115066066209548E-2</v>
      </c>
      <c r="AJ268" s="70">
        <v>1.9105842952684953E-2</v>
      </c>
      <c r="AK268" s="70">
        <v>2.1641085774579551E-2</v>
      </c>
    </row>
    <row r="269" spans="2:37" x14ac:dyDescent="0.35">
      <c r="B269" s="54" t="s">
        <v>407</v>
      </c>
      <c r="C269" s="52" t="s">
        <v>232</v>
      </c>
      <c r="D269" s="52" t="s">
        <v>20</v>
      </c>
      <c r="E269" s="52" t="s">
        <v>48</v>
      </c>
      <c r="F269" s="72" t="str">
        <f t="shared" si="23"/>
        <v/>
      </c>
      <c r="G269" s="59">
        <f t="shared" si="23"/>
        <v>9.4554305682909914E-3</v>
      </c>
      <c r="H269" s="59">
        <f t="shared" si="23"/>
        <v>1.768907266424808E-2</v>
      </c>
      <c r="I269" s="59">
        <f t="shared" si="23"/>
        <v>2.3423889785165679E-2</v>
      </c>
      <c r="J269" s="62">
        <f t="shared" si="23"/>
        <v>2.6448291528876657E-2</v>
      </c>
      <c r="K269" s="59" t="str">
        <f t="shared" si="24"/>
        <v/>
      </c>
      <c r="L269" s="59">
        <f t="shared" si="24"/>
        <v>6.5118309682909914E-3</v>
      </c>
      <c r="M269" s="59">
        <f t="shared" si="24"/>
        <v>1.3706430964248079E-2</v>
      </c>
      <c r="N269" s="59">
        <f t="shared" si="24"/>
        <v>1.8496034585165681E-2</v>
      </c>
      <c r="O269" s="62">
        <f t="shared" si="24"/>
        <v>2.0267674528876661E-2</v>
      </c>
      <c r="P269" s="54" t="s">
        <v>409</v>
      </c>
      <c r="Q269" s="52" t="s">
        <v>410</v>
      </c>
      <c r="R269" s="93">
        <v>47771</v>
      </c>
      <c r="S269" s="72">
        <v>1.3968309999999999E-2</v>
      </c>
      <c r="T269" s="62">
        <f t="shared" si="20"/>
        <v>3.7207626642480809E-3</v>
      </c>
      <c r="V269" s="113">
        <v>1.10798793</v>
      </c>
      <c r="W269" s="71">
        <v>2.8110558299999999</v>
      </c>
      <c r="X269" s="71">
        <v>4.2616371399999995</v>
      </c>
      <c r="Y269" s="71">
        <v>5.4381796900000001</v>
      </c>
      <c r="Z269" s="114">
        <v>6.8279380099999996</v>
      </c>
      <c r="AB269" s="70" t="s">
        <v>21</v>
      </c>
      <c r="AC269" s="70">
        <v>9.4554305682909914E-3</v>
      </c>
      <c r="AD269" s="70">
        <v>1.768907266424808E-2</v>
      </c>
      <c r="AE269" s="70">
        <v>2.3423889785165679E-2</v>
      </c>
      <c r="AF269" s="62">
        <v>2.6448291528876657E-2</v>
      </c>
      <c r="AG269" s="70" t="s">
        <v>21</v>
      </c>
      <c r="AH269" s="70">
        <v>6.5118309682909914E-3</v>
      </c>
      <c r="AI269" s="70">
        <v>1.3706430964248079E-2</v>
      </c>
      <c r="AJ269" s="70">
        <v>1.8496034585165681E-2</v>
      </c>
      <c r="AK269" s="70">
        <v>2.0267674528876661E-2</v>
      </c>
    </row>
    <row r="270" spans="2:37" x14ac:dyDescent="0.35">
      <c r="B270" s="54" t="s">
        <v>163</v>
      </c>
      <c r="C270" s="52" t="s">
        <v>232</v>
      </c>
      <c r="D270" s="52" t="s">
        <v>47</v>
      </c>
      <c r="E270" s="52" t="s">
        <v>575</v>
      </c>
      <c r="F270" s="72" t="str">
        <f t="shared" si="23"/>
        <v/>
      </c>
      <c r="G270" s="59">
        <f t="shared" si="23"/>
        <v>8.5376419204500186E-3</v>
      </c>
      <c r="H270" s="59">
        <f t="shared" si="23"/>
        <v>1.6474848482113044E-2</v>
      </c>
      <c r="I270" s="59">
        <f t="shared" si="23"/>
        <v>2.2230009044372674E-2</v>
      </c>
      <c r="J270" s="62">
        <f t="shared" si="23"/>
        <v>2.7359801838744084E-2</v>
      </c>
      <c r="K270" s="59" t="str">
        <f t="shared" si="24"/>
        <v/>
      </c>
      <c r="L270" s="59">
        <f t="shared" si="24"/>
        <v>5.5761581204500175E-3</v>
      </c>
      <c r="M270" s="59">
        <f t="shared" si="24"/>
        <v>1.2491336782113043E-2</v>
      </c>
      <c r="N270" s="59">
        <f t="shared" si="24"/>
        <v>1.7314351544372674E-2</v>
      </c>
      <c r="O270" s="62">
        <f t="shared" si="24"/>
        <v>2.1159311438744086E-2</v>
      </c>
      <c r="P270" s="54" t="s">
        <v>21</v>
      </c>
      <c r="Q270" s="52" t="s">
        <v>21</v>
      </c>
      <c r="R270" s="93" t="s">
        <v>21</v>
      </c>
      <c r="S270" s="72">
        <v>0</v>
      </c>
      <c r="T270" s="62">
        <f t="shared" si="20"/>
        <v>1.6474848482113044E-2</v>
      </c>
      <c r="V270" s="113">
        <v>1.1072442999999998</v>
      </c>
      <c r="W270" s="71">
        <v>2.81676635</v>
      </c>
      <c r="X270" s="71">
        <v>4.2802269700000002</v>
      </c>
      <c r="Y270" s="71">
        <v>5.4748388400000003</v>
      </c>
      <c r="Z270" s="114">
        <v>6.8530578699999998</v>
      </c>
      <c r="AB270" s="70" t="s">
        <v>21</v>
      </c>
      <c r="AC270" s="70">
        <v>8.5376419204500186E-3</v>
      </c>
      <c r="AD270" s="70">
        <v>1.6474848482113044E-2</v>
      </c>
      <c r="AE270" s="70">
        <v>2.2230009044372674E-2</v>
      </c>
      <c r="AF270" s="62">
        <v>2.7359801838744084E-2</v>
      </c>
      <c r="AG270" s="70" t="s">
        <v>21</v>
      </c>
      <c r="AH270" s="70">
        <v>5.5761581204500175E-3</v>
      </c>
      <c r="AI270" s="70">
        <v>1.2491336782113043E-2</v>
      </c>
      <c r="AJ270" s="70">
        <v>1.7314351544372674E-2</v>
      </c>
      <c r="AK270" s="70">
        <v>2.1159311438744086E-2</v>
      </c>
    </row>
    <row r="271" spans="2:37" x14ac:dyDescent="0.35">
      <c r="B271" s="54" t="s">
        <v>164</v>
      </c>
      <c r="C271" s="52" t="s">
        <v>232</v>
      </c>
      <c r="D271" s="52" t="s">
        <v>43</v>
      </c>
      <c r="E271" s="52" t="s">
        <v>291</v>
      </c>
      <c r="F271" s="72" t="str">
        <f t="shared" si="23"/>
        <v/>
      </c>
      <c r="G271" s="59">
        <f t="shared" si="23"/>
        <v>8.1537422114240261E-3</v>
      </c>
      <c r="H271" s="59">
        <f t="shared" si="23"/>
        <v>1.5827671232477941E-2</v>
      </c>
      <c r="I271" s="59">
        <f t="shared" si="23"/>
        <v>1.9360554695557322E-2</v>
      </c>
      <c r="J271" s="62">
        <f t="shared" si="23"/>
        <v>2.1979636555856042E-2</v>
      </c>
      <c r="K271" s="59" t="str">
        <f t="shared" si="24"/>
        <v/>
      </c>
      <c r="L271" s="59">
        <f t="shared" si="24"/>
        <v>5.1795965114240254E-3</v>
      </c>
      <c r="M271" s="59">
        <f t="shared" si="24"/>
        <v>1.1837748632477938E-2</v>
      </c>
      <c r="N271" s="59">
        <f t="shared" si="24"/>
        <v>1.4456989795557323E-2</v>
      </c>
      <c r="O271" s="62">
        <f t="shared" si="24"/>
        <v>1.5797751555856041E-2</v>
      </c>
      <c r="P271" s="54" t="s">
        <v>21</v>
      </c>
      <c r="Q271" s="52" t="s">
        <v>21</v>
      </c>
      <c r="R271" s="93" t="s">
        <v>21</v>
      </c>
      <c r="S271" s="72">
        <v>0</v>
      </c>
      <c r="T271" s="62">
        <f t="shared" si="20"/>
        <v>1.5827671232477941E-2</v>
      </c>
      <c r="V271" s="113">
        <v>1.1084106999999999</v>
      </c>
      <c r="W271" s="71">
        <v>2.8212301200000001</v>
      </c>
      <c r="X271" s="71">
        <v>4.2927914700000001</v>
      </c>
      <c r="Y271" s="71">
        <v>5.5231743600000005</v>
      </c>
      <c r="Z271" s="114">
        <v>7.0253188499999997</v>
      </c>
      <c r="AB271" s="70" t="s">
        <v>21</v>
      </c>
      <c r="AC271" s="70">
        <v>8.1537422114240261E-3</v>
      </c>
      <c r="AD271" s="70">
        <v>1.5827671232477941E-2</v>
      </c>
      <c r="AE271" s="70">
        <v>1.9360554695557322E-2</v>
      </c>
      <c r="AF271" s="62">
        <v>2.1979636555856042E-2</v>
      </c>
      <c r="AG271" s="70" t="s">
        <v>21</v>
      </c>
      <c r="AH271" s="70">
        <v>5.1795965114240254E-3</v>
      </c>
      <c r="AI271" s="70">
        <v>1.1837748632477938E-2</v>
      </c>
      <c r="AJ271" s="70">
        <v>1.4456989795557323E-2</v>
      </c>
      <c r="AK271" s="70">
        <v>1.5797751555856041E-2</v>
      </c>
    </row>
    <row r="272" spans="2:37" x14ac:dyDescent="0.35">
      <c r="B272" s="54" t="s">
        <v>168</v>
      </c>
      <c r="C272" s="52" t="s">
        <v>232</v>
      </c>
      <c r="D272" s="52" t="s">
        <v>20</v>
      </c>
      <c r="E272" s="52" t="s">
        <v>408</v>
      </c>
      <c r="F272" s="72">
        <f t="shared" si="23"/>
        <v>2.4059515537219666E-3</v>
      </c>
      <c r="G272" s="59">
        <f t="shared" si="23"/>
        <v>1.4154731957968715E-2</v>
      </c>
      <c r="H272" s="59">
        <f t="shared" si="23"/>
        <v>2.4751190781487815E-2</v>
      </c>
      <c r="I272" s="59">
        <f t="shared" si="23"/>
        <v>2.9744830380813478E-2</v>
      </c>
      <c r="J272" s="62">
        <f t="shared" si="23"/>
        <v>3.4204731019972026E-2</v>
      </c>
      <c r="K272" s="59">
        <f t="shared" si="24"/>
        <v>8.6122175372196734E-4</v>
      </c>
      <c r="L272" s="59">
        <f t="shared" si="24"/>
        <v>1.1235591457968715E-2</v>
      </c>
      <c r="M272" s="59">
        <f t="shared" si="24"/>
        <v>2.0672871781487818E-2</v>
      </c>
      <c r="N272" s="59">
        <f t="shared" si="24"/>
        <v>2.4688124680813477E-2</v>
      </c>
      <c r="O272" s="62">
        <f t="shared" si="24"/>
        <v>2.7859855319972027E-2</v>
      </c>
      <c r="P272" s="54" t="s">
        <v>474</v>
      </c>
      <c r="Q272" s="52" t="s">
        <v>475</v>
      </c>
      <c r="R272" s="93">
        <v>47505</v>
      </c>
      <c r="S272" s="72">
        <v>1.9523260000000001E-2</v>
      </c>
      <c r="T272" s="62">
        <f t="shared" si="20"/>
        <v>5.2279307814878141E-3</v>
      </c>
      <c r="V272" s="113">
        <v>1.09957186</v>
      </c>
      <c r="W272" s="71">
        <v>2.7661951500000002</v>
      </c>
      <c r="X272" s="71">
        <v>4.1414903000000001</v>
      </c>
      <c r="Y272" s="71">
        <v>5.2169818399999999</v>
      </c>
      <c r="Z272" s="114">
        <v>6.43635716</v>
      </c>
      <c r="AB272" s="70">
        <v>2.4059515537219666E-3</v>
      </c>
      <c r="AC272" s="70">
        <v>1.4154731957968715E-2</v>
      </c>
      <c r="AD272" s="70">
        <v>2.4751190781487815E-2</v>
      </c>
      <c r="AE272" s="70">
        <v>2.9744830380813478E-2</v>
      </c>
      <c r="AF272" s="62">
        <v>3.4204731019972026E-2</v>
      </c>
      <c r="AG272" s="70">
        <v>8.6122175372196734E-4</v>
      </c>
      <c r="AH272" s="70">
        <v>1.1235591457968715E-2</v>
      </c>
      <c r="AI272" s="70">
        <v>2.0672871781487818E-2</v>
      </c>
      <c r="AJ272" s="70">
        <v>2.4688124680813477E-2</v>
      </c>
      <c r="AK272" s="70">
        <v>2.7859855319972027E-2</v>
      </c>
    </row>
    <row r="273" spans="2:37" x14ac:dyDescent="0.35">
      <c r="B273" s="54" t="s">
        <v>168</v>
      </c>
      <c r="C273" s="52" t="s">
        <v>232</v>
      </c>
      <c r="D273" s="52" t="s">
        <v>20</v>
      </c>
      <c r="E273" s="52" t="s">
        <v>576</v>
      </c>
      <c r="F273" s="72">
        <f t="shared" si="23"/>
        <v>2.4059515537219666E-3</v>
      </c>
      <c r="G273" s="59">
        <f t="shared" si="23"/>
        <v>1.4154731957968715E-2</v>
      </c>
      <c r="H273" s="59">
        <f t="shared" si="23"/>
        <v>2.4751190781487815E-2</v>
      </c>
      <c r="I273" s="59">
        <f t="shared" si="23"/>
        <v>2.9744830380813478E-2</v>
      </c>
      <c r="J273" s="62">
        <f t="shared" si="23"/>
        <v>3.4204731019972026E-2</v>
      </c>
      <c r="K273" s="59">
        <f t="shared" si="24"/>
        <v>8.6122175372196734E-4</v>
      </c>
      <c r="L273" s="59">
        <f t="shared" si="24"/>
        <v>1.1235591457968715E-2</v>
      </c>
      <c r="M273" s="59">
        <f t="shared" si="24"/>
        <v>2.0672871781487818E-2</v>
      </c>
      <c r="N273" s="59">
        <f t="shared" si="24"/>
        <v>2.4688124680813477E-2</v>
      </c>
      <c r="O273" s="62">
        <f t="shared" si="24"/>
        <v>2.7859855319972027E-2</v>
      </c>
      <c r="P273" s="54" t="s">
        <v>474</v>
      </c>
      <c r="Q273" s="52" t="s">
        <v>475</v>
      </c>
      <c r="R273" s="93">
        <v>47505</v>
      </c>
      <c r="S273" s="72">
        <v>1.9523260000000001E-2</v>
      </c>
      <c r="T273" s="62">
        <f t="shared" si="20"/>
        <v>5.2279307814878141E-3</v>
      </c>
      <c r="V273" s="113">
        <v>1.09957186</v>
      </c>
      <c r="W273" s="71">
        <v>2.7661951500000002</v>
      </c>
      <c r="X273" s="71">
        <v>4.1414903000000001</v>
      </c>
      <c r="Y273" s="71">
        <v>5.2169818399999999</v>
      </c>
      <c r="Z273" s="114">
        <v>6.43635716</v>
      </c>
      <c r="AB273" s="70">
        <v>2.4059515537219666E-3</v>
      </c>
      <c r="AC273" s="70">
        <v>1.4154731957968715E-2</v>
      </c>
      <c r="AD273" s="70">
        <v>2.4751190781487815E-2</v>
      </c>
      <c r="AE273" s="70">
        <v>2.9744830380813478E-2</v>
      </c>
      <c r="AF273" s="62">
        <v>3.4204731019972026E-2</v>
      </c>
      <c r="AG273" s="70">
        <v>8.6122175372196734E-4</v>
      </c>
      <c r="AH273" s="70">
        <v>1.1235591457968715E-2</v>
      </c>
      <c r="AI273" s="70">
        <v>2.0672871781487818E-2</v>
      </c>
      <c r="AJ273" s="70">
        <v>2.4688124680813477E-2</v>
      </c>
      <c r="AK273" s="70">
        <v>2.7859855319972027E-2</v>
      </c>
    </row>
    <row r="274" spans="2:37" x14ac:dyDescent="0.35">
      <c r="B274" s="54" t="s">
        <v>117</v>
      </c>
      <c r="C274" s="52" t="s">
        <v>232</v>
      </c>
      <c r="D274" s="52" t="s">
        <v>31</v>
      </c>
      <c r="E274" s="52" t="s">
        <v>123</v>
      </c>
      <c r="F274" s="72" t="str">
        <f t="shared" si="23"/>
        <v/>
      </c>
      <c r="G274" s="59">
        <f t="shared" si="23"/>
        <v>8.1359709634323141E-3</v>
      </c>
      <c r="H274" s="59">
        <f t="shared" si="23"/>
        <v>1.3006674267291827E-2</v>
      </c>
      <c r="I274" s="59">
        <f t="shared" si="23"/>
        <v>1.6704123324059246E-2</v>
      </c>
      <c r="J274" s="62">
        <f t="shared" si="23"/>
        <v>1.9556974193052173E-2</v>
      </c>
      <c r="K274" s="59" t="str">
        <f t="shared" si="24"/>
        <v/>
      </c>
      <c r="L274" s="59">
        <f t="shared" si="24"/>
        <v>5.1622242634323124E-3</v>
      </c>
      <c r="M274" s="59">
        <f t="shared" si="24"/>
        <v>8.9694630672918253E-3</v>
      </c>
      <c r="N274" s="59">
        <f t="shared" si="24"/>
        <v>1.1767414124059244E-2</v>
      </c>
      <c r="O274" s="62">
        <f t="shared" si="24"/>
        <v>1.3331913693052172E-2</v>
      </c>
      <c r="P274" s="54" t="s">
        <v>21</v>
      </c>
      <c r="Q274" s="52" t="s">
        <v>21</v>
      </c>
      <c r="R274" s="93" t="s">
        <v>21</v>
      </c>
      <c r="S274" s="72">
        <v>0</v>
      </c>
      <c r="T274" s="62">
        <f t="shared" si="20"/>
        <v>1.3006674267291827E-2</v>
      </c>
      <c r="V274" s="113">
        <v>1.10972848</v>
      </c>
      <c r="W274" s="71">
        <v>2.82342476</v>
      </c>
      <c r="X274" s="71">
        <v>4.3240381000000001</v>
      </c>
      <c r="Y274" s="71">
        <v>5.5974635500000005</v>
      </c>
      <c r="Z274" s="114">
        <v>7.1628876400000001</v>
      </c>
      <c r="AB274" s="70" t="s">
        <v>21</v>
      </c>
      <c r="AC274" s="70">
        <v>8.1359709634323141E-3</v>
      </c>
      <c r="AD274" s="70">
        <v>1.3006674267291827E-2</v>
      </c>
      <c r="AE274" s="70">
        <v>1.6704123324059246E-2</v>
      </c>
      <c r="AF274" s="62">
        <v>1.9556974193052173E-2</v>
      </c>
      <c r="AG274" s="70" t="s">
        <v>21</v>
      </c>
      <c r="AH274" s="70">
        <v>5.1622242634323124E-3</v>
      </c>
      <c r="AI274" s="70">
        <v>8.9694630672918253E-3</v>
      </c>
      <c r="AJ274" s="70">
        <v>1.1767414124059244E-2</v>
      </c>
      <c r="AK274" s="70">
        <v>1.3331913693052172E-2</v>
      </c>
    </row>
    <row r="275" spans="2:37" x14ac:dyDescent="0.35">
      <c r="B275" s="54" t="s">
        <v>138</v>
      </c>
      <c r="C275" s="52" t="s">
        <v>232</v>
      </c>
      <c r="D275" s="52" t="s">
        <v>139</v>
      </c>
      <c r="E275" s="52" t="s">
        <v>159</v>
      </c>
      <c r="F275" s="72" t="str">
        <f t="shared" si="23"/>
        <v/>
      </c>
      <c r="G275" s="59">
        <f t="shared" si="23"/>
        <v>6.3964258170799001E-3</v>
      </c>
      <c r="H275" s="59">
        <f t="shared" si="23"/>
        <v>1.2089464097415417E-2</v>
      </c>
      <c r="I275" s="59">
        <f t="shared" si="23"/>
        <v>1.6265071908844107E-2</v>
      </c>
      <c r="J275" s="62">
        <f t="shared" si="23"/>
        <v>2.081605163178225E-2</v>
      </c>
      <c r="K275" s="59" t="str">
        <f t="shared" si="24"/>
        <v/>
      </c>
      <c r="L275" s="59">
        <f t="shared" si="24"/>
        <v>3.3548605170799009E-3</v>
      </c>
      <c r="M275" s="59">
        <f t="shared" si="24"/>
        <v>8.0206997974154211E-3</v>
      </c>
      <c r="N275" s="59">
        <f t="shared" si="24"/>
        <v>1.1315657308844106E-2</v>
      </c>
      <c r="O275" s="62">
        <f t="shared" si="24"/>
        <v>1.4604088131782253E-2</v>
      </c>
      <c r="P275" s="54" t="s">
        <v>21</v>
      </c>
      <c r="Q275" s="52" t="s">
        <v>21</v>
      </c>
      <c r="R275" s="93" t="s">
        <v>21</v>
      </c>
      <c r="S275" s="72">
        <v>0</v>
      </c>
      <c r="T275" s="62">
        <f t="shared" si="20"/>
        <v>1.2089464097415417E-2</v>
      </c>
      <c r="V275" s="113">
        <v>1.1076598799999999</v>
      </c>
      <c r="W275" s="71">
        <v>2.8298714199999999</v>
      </c>
      <c r="X275" s="71">
        <v>4.3414526000000002</v>
      </c>
      <c r="Y275" s="71">
        <v>5.6234118899999999</v>
      </c>
      <c r="Z275" s="114">
        <v>7.1677576000000007</v>
      </c>
      <c r="AA275" s="136"/>
      <c r="AB275" s="70" t="s">
        <v>21</v>
      </c>
      <c r="AC275" s="70">
        <v>6.3964258170799001E-3</v>
      </c>
      <c r="AD275" s="70">
        <v>1.2089464097415417E-2</v>
      </c>
      <c r="AE275" s="70">
        <v>1.6265071908844107E-2</v>
      </c>
      <c r="AF275" s="62">
        <v>2.081605163178225E-2</v>
      </c>
      <c r="AG275" s="70" t="s">
        <v>21</v>
      </c>
      <c r="AH275" s="70">
        <v>3.3548605170799009E-3</v>
      </c>
      <c r="AI275" s="70">
        <v>8.0206997974154211E-3</v>
      </c>
      <c r="AJ275" s="70">
        <v>1.1315657308844106E-2</v>
      </c>
      <c r="AK275" s="70">
        <v>1.4604088131782253E-2</v>
      </c>
    </row>
    <row r="276" spans="2:37" x14ac:dyDescent="0.35">
      <c r="B276" s="56" t="s">
        <v>169</v>
      </c>
      <c r="C276" s="66" t="s">
        <v>232</v>
      </c>
      <c r="D276" s="66" t="s">
        <v>69</v>
      </c>
      <c r="E276" s="66" t="s">
        <v>110</v>
      </c>
      <c r="F276" s="73" t="str">
        <f t="shared" ref="F276:J276" si="25">IF(ISNUMBER(AB276),AB276-((C$4-C$3)/V276),"")</f>
        <v/>
      </c>
      <c r="G276" s="75">
        <f t="shared" si="25"/>
        <v>5.1485382513340502E-3</v>
      </c>
      <c r="H276" s="75">
        <f t="shared" si="25"/>
        <v>1.0925337388303672E-2</v>
      </c>
      <c r="I276" s="75">
        <f t="shared" si="25"/>
        <v>1.4210105464407385E-2</v>
      </c>
      <c r="J276" s="63">
        <f t="shared" si="25"/>
        <v>1.8352947412268665E-2</v>
      </c>
      <c r="K276" s="75" t="str">
        <f t="shared" ref="K276:O276" si="26">IF(ISNUMBER(AG276),IF(AG276-((C$4-C$3)/V276)&lt;0,"",AG276-((C$4-C$3)/V276)),"")</f>
        <v/>
      </c>
      <c r="L276" s="75">
        <f t="shared" si="26"/>
        <v>2.0290061513340498E-3</v>
      </c>
      <c r="M276" s="75">
        <f t="shared" si="26"/>
        <v>6.805649788303671E-3</v>
      </c>
      <c r="N276" s="75">
        <f t="shared" si="26"/>
        <v>9.2003808644073835E-3</v>
      </c>
      <c r="O276" s="63">
        <f t="shared" si="26"/>
        <v>1.208541991226867E-2</v>
      </c>
      <c r="P276" s="56" t="s">
        <v>21</v>
      </c>
      <c r="Q276" s="66" t="s">
        <v>21</v>
      </c>
      <c r="R276" s="95" t="s">
        <v>21</v>
      </c>
      <c r="S276" s="73">
        <v>0</v>
      </c>
      <c r="T276" s="63">
        <f t="shared" si="20"/>
        <v>1.0925337388303672E-2</v>
      </c>
      <c r="V276" s="115">
        <v>1.11071914</v>
      </c>
      <c r="W276" s="107">
        <v>2.8435161199999999</v>
      </c>
      <c r="X276" s="107">
        <v>4.3698779200000004</v>
      </c>
      <c r="Y276" s="107">
        <v>5.6810595899999994</v>
      </c>
      <c r="Z276" s="116">
        <v>7.2881801199999998</v>
      </c>
      <c r="AA276" s="66"/>
      <c r="AB276" s="75" t="s">
        <v>21</v>
      </c>
      <c r="AC276" s="75">
        <v>5.1485382513340502E-3</v>
      </c>
      <c r="AD276" s="75">
        <v>1.0925337388303672E-2</v>
      </c>
      <c r="AE276" s="75">
        <v>1.4210105464407385E-2</v>
      </c>
      <c r="AF276" s="63">
        <v>1.8352947412268665E-2</v>
      </c>
      <c r="AG276" s="75" t="s">
        <v>21</v>
      </c>
      <c r="AH276" s="75">
        <v>2.0290061513340498E-3</v>
      </c>
      <c r="AI276" s="75">
        <v>6.805649788303671E-3</v>
      </c>
      <c r="AJ276" s="75">
        <v>9.2003808644073835E-3</v>
      </c>
      <c r="AK276" s="75">
        <v>1.208541991226867E-2</v>
      </c>
    </row>
    <row r="277" spans="2:37" x14ac:dyDescent="0.35">
      <c r="P277" s="127"/>
      <c r="Q277" s="127"/>
      <c r="R277" s="44"/>
      <c r="S277" s="127"/>
      <c r="V277" s="71"/>
      <c r="W277" s="71"/>
      <c r="X277" s="71"/>
      <c r="Y277" s="71"/>
      <c r="Z277" s="71"/>
    </row>
    <row r="278" spans="2:37" ht="15.5" x14ac:dyDescent="0.35">
      <c r="B278" s="121" t="s">
        <v>177</v>
      </c>
      <c r="R278" s="93"/>
      <c r="S278" s="70"/>
      <c r="T278" s="70"/>
      <c r="V278" s="71"/>
      <c r="W278" s="71"/>
      <c r="X278" s="71"/>
      <c r="Y278" s="71"/>
      <c r="Z278" s="71"/>
    </row>
    <row r="279" spans="2:37" x14ac:dyDescent="0.35">
      <c r="B279" s="84" t="s">
        <v>5</v>
      </c>
      <c r="C279" s="83" t="s">
        <v>6</v>
      </c>
      <c r="D279" s="83" t="s">
        <v>7</v>
      </c>
      <c r="E279" s="83" t="s">
        <v>8</v>
      </c>
      <c r="F279" s="82" t="s">
        <v>9</v>
      </c>
      <c r="G279" s="81" t="s">
        <v>10</v>
      </c>
      <c r="H279" s="81" t="s">
        <v>11</v>
      </c>
      <c r="I279" s="81" t="s">
        <v>12</v>
      </c>
      <c r="J279" s="80" t="s">
        <v>13</v>
      </c>
      <c r="K279" s="82" t="s">
        <v>9</v>
      </c>
      <c r="L279" s="81" t="s">
        <v>10</v>
      </c>
      <c r="M279" s="81" t="s">
        <v>11</v>
      </c>
      <c r="N279" s="81" t="s">
        <v>12</v>
      </c>
      <c r="O279" s="80" t="s">
        <v>13</v>
      </c>
      <c r="P279" s="69" t="s">
        <v>14</v>
      </c>
      <c r="Q279" s="57" t="s">
        <v>15</v>
      </c>
      <c r="R279" s="57" t="s">
        <v>16</v>
      </c>
      <c r="S279" s="57" t="s">
        <v>415</v>
      </c>
      <c r="T279" s="57" t="s">
        <v>18</v>
      </c>
      <c r="V279" s="105" t="s">
        <v>9</v>
      </c>
      <c r="W279" s="105" t="s">
        <v>10</v>
      </c>
      <c r="X279" s="105" t="s">
        <v>11</v>
      </c>
      <c r="Y279" s="105" t="s">
        <v>12</v>
      </c>
      <c r="Z279" s="110" t="s">
        <v>13</v>
      </c>
      <c r="AB279" s="82" t="s">
        <v>9</v>
      </c>
      <c r="AC279" s="81" t="s">
        <v>10</v>
      </c>
      <c r="AD279" s="81" t="s">
        <v>11</v>
      </c>
      <c r="AE279" s="81" t="s">
        <v>12</v>
      </c>
      <c r="AF279" s="80" t="s">
        <v>13</v>
      </c>
      <c r="AG279" s="57" t="s">
        <v>9</v>
      </c>
      <c r="AH279" s="57" t="s">
        <v>10</v>
      </c>
      <c r="AI279" s="57" t="s">
        <v>11</v>
      </c>
      <c r="AJ279" s="57" t="s">
        <v>12</v>
      </c>
      <c r="AK279" s="57" t="s">
        <v>13</v>
      </c>
    </row>
    <row r="280" spans="2:37" x14ac:dyDescent="0.35">
      <c r="B280" s="55" t="s">
        <v>178</v>
      </c>
      <c r="C280" s="52" t="s">
        <v>232</v>
      </c>
      <c r="D280" s="65" t="s">
        <v>47</v>
      </c>
      <c r="E280" s="65" t="s">
        <v>577</v>
      </c>
      <c r="F280" s="72" t="str">
        <f>IF(ISNUMBER(AB280),AB280-((C$4-C$3)/V280),"")</f>
        <v/>
      </c>
      <c r="G280" s="59" t="str">
        <f>IF(ISNUMBER(AC280),AC280-((D$4-D$3)/W280),"")</f>
        <v/>
      </c>
      <c r="H280" s="59" t="str">
        <f>IF(ISNUMBER(AD280),AD280-((E$4-E$3)/X280),"")</f>
        <v/>
      </c>
      <c r="I280" s="59" t="str">
        <f>IF(ISNUMBER(AE280),AE280-((F$4-F$3)/Y280),"")</f>
        <v/>
      </c>
      <c r="J280" s="62" t="str">
        <f>IF(ISNUMBER(AF280),AF280-((G$4-G$3)/Z280),"")</f>
        <v/>
      </c>
      <c r="K280" s="59" t="str">
        <f>IF(ISNUMBER(AG280),IF(AG280-((C$4-C$3)/V280)&lt;0,"",AG280-((C$4-C$3)/V280)),"")</f>
        <v/>
      </c>
      <c r="L280" s="59" t="str">
        <f>IF(ISNUMBER(AH280),IF(AH280-((D$4-D$3)/W280)&lt;0,"",AH280-((D$4-D$3)/W280)),"")</f>
        <v/>
      </c>
      <c r="M280" s="59" t="str">
        <f>IF(ISNUMBER(AI280),IF(AI280-((E$4-E$3)/X280)&lt;0,"",AI280-((E$4-E$3)/X280)),"")</f>
        <v/>
      </c>
      <c r="N280" s="59" t="str">
        <f>IF(ISNUMBER(AJ280),IF(AJ280-((F$4-F$3)/Y280)&lt;0,"",AJ280-((F$4-F$3)/Y280)),"")</f>
        <v/>
      </c>
      <c r="O280" s="62" t="str">
        <f>IF(ISNUMBER(AK280),IF(AK280-((G$4-G$3)/Z280)&lt;0,"",AK280-((G$4-G$3)/Z280)),"")</f>
        <v/>
      </c>
      <c r="P280" s="55" t="s">
        <v>578</v>
      </c>
      <c r="Q280" s="65" t="s">
        <v>579</v>
      </c>
      <c r="R280" s="99" t="s">
        <v>32</v>
      </c>
      <c r="S280" s="74">
        <v>6.2020799999999996E-3</v>
      </c>
      <c r="T280" s="62" t="e">
        <f t="shared" ref="T280:T286" si="27">IF(S280="","",H280-S280)</f>
        <v>#VALUE!</v>
      </c>
      <c r="V280" s="71">
        <v>1.1114097700000001</v>
      </c>
      <c r="W280" s="71">
        <v>2.8492216699999999</v>
      </c>
      <c r="X280" s="71">
        <v>4.3888681099999998</v>
      </c>
      <c r="Y280" s="71">
        <v>5.71817581</v>
      </c>
      <c r="Z280" s="114">
        <v>7.3689944899999995</v>
      </c>
      <c r="AB280" s="79"/>
      <c r="AC280" s="79"/>
      <c r="AD280" s="79"/>
      <c r="AE280" s="79"/>
      <c r="AF280" s="61"/>
      <c r="AG280" s="79"/>
      <c r="AH280" s="79"/>
      <c r="AI280" s="79"/>
      <c r="AJ280" s="79"/>
      <c r="AK280" s="79"/>
    </row>
    <row r="281" spans="2:37" x14ac:dyDescent="0.35">
      <c r="B281" s="54" t="s">
        <v>269</v>
      </c>
      <c r="C281" s="52" t="s">
        <v>232</v>
      </c>
      <c r="D281" s="52" t="s">
        <v>20</v>
      </c>
      <c r="E281" s="52" t="s">
        <v>580</v>
      </c>
      <c r="F281" s="72" t="str">
        <f t="shared" ref="F281:J286" si="28">IF(ISNUMBER(AB281),AB281-((C$4-C$3)/V281),"")</f>
        <v/>
      </c>
      <c r="G281" s="59">
        <f t="shared" si="28"/>
        <v>6.4842861001199606E-3</v>
      </c>
      <c r="H281" s="59">
        <f t="shared" si="28"/>
        <v>1.0256982103449028E-2</v>
      </c>
      <c r="I281" s="59">
        <f t="shared" si="28"/>
        <v>1.32414165817894E-2</v>
      </c>
      <c r="J281" s="62">
        <f t="shared" si="28"/>
        <v>1.5465775232606761E-2</v>
      </c>
      <c r="K281" s="59" t="str">
        <f t="shared" ref="K281:O286" si="29">IF(ISNUMBER(AG281),IF(AG281-((C$4-C$3)/V281)&lt;0,"",AG281-((C$4-C$3)/V281)),"")</f>
        <v/>
      </c>
      <c r="L281" s="59">
        <f t="shared" si="29"/>
        <v>3.3884188001199605E-3</v>
      </c>
      <c r="M281" s="59">
        <f t="shared" si="29"/>
        <v>6.0761303034490262E-3</v>
      </c>
      <c r="N281" s="59">
        <f t="shared" si="29"/>
        <v>8.1369108817894026E-3</v>
      </c>
      <c r="O281" s="62">
        <f t="shared" si="29"/>
        <v>9.0120506326067662E-3</v>
      </c>
      <c r="P281" s="54" t="s">
        <v>581</v>
      </c>
      <c r="Q281" s="52" t="s">
        <v>582</v>
      </c>
      <c r="R281" s="93" t="s">
        <v>32</v>
      </c>
      <c r="S281" s="72">
        <v>4.1417700000000003E-3</v>
      </c>
      <c r="T281" s="62">
        <f t="shared" si="27"/>
        <v>6.1152121034490281E-3</v>
      </c>
      <c r="V281" s="71">
        <v>1.11010122</v>
      </c>
      <c r="W281" s="71">
        <v>2.8393299999999999</v>
      </c>
      <c r="X281" s="71">
        <v>4.3758233000000004</v>
      </c>
      <c r="Y281" s="71">
        <v>5.7151946699999998</v>
      </c>
      <c r="Z281" s="114">
        <v>7.4170029299999998</v>
      </c>
      <c r="AB281" s="70" t="s">
        <v>21</v>
      </c>
      <c r="AC281" s="70">
        <v>6.4842861001199606E-3</v>
      </c>
      <c r="AD281" s="70">
        <v>1.0256982103449028E-2</v>
      </c>
      <c r="AE281" s="70">
        <v>1.32414165817894E-2</v>
      </c>
      <c r="AF281" s="62">
        <v>1.5465775232606761E-2</v>
      </c>
      <c r="AG281" s="70" t="s">
        <v>21</v>
      </c>
      <c r="AH281" s="70">
        <v>3.3884188001199605E-3</v>
      </c>
      <c r="AI281" s="70">
        <v>6.0761303034490262E-3</v>
      </c>
      <c r="AJ281" s="70">
        <v>8.1369108817894026E-3</v>
      </c>
      <c r="AK281" s="70">
        <v>9.0120506326067662E-3</v>
      </c>
    </row>
    <row r="282" spans="2:37" x14ac:dyDescent="0.35">
      <c r="B282" s="54" t="s">
        <v>180</v>
      </c>
      <c r="C282" s="52" t="s">
        <v>232</v>
      </c>
      <c r="D282" s="52" t="s">
        <v>69</v>
      </c>
      <c r="E282" s="52" t="s">
        <v>270</v>
      </c>
      <c r="F282" s="72" t="str">
        <f t="shared" si="28"/>
        <v/>
      </c>
      <c r="G282" s="59">
        <f t="shared" si="28"/>
        <v>4.3400435227796148E-3</v>
      </c>
      <c r="H282" s="59">
        <f t="shared" si="28"/>
        <v>8.440981084191234E-3</v>
      </c>
      <c r="I282" s="59">
        <f t="shared" si="28"/>
        <v>1.1593825016181562E-2</v>
      </c>
      <c r="J282" s="62">
        <f t="shared" si="28"/>
        <v>1.44910095315301E-2</v>
      </c>
      <c r="K282" s="59" t="str">
        <f t="shared" si="29"/>
        <v/>
      </c>
      <c r="L282" s="59">
        <f t="shared" si="29"/>
        <v>1.0573654227796136E-3</v>
      </c>
      <c r="M282" s="59">
        <f t="shared" si="29"/>
        <v>4.1182595841912318E-3</v>
      </c>
      <c r="N282" s="59">
        <f t="shared" si="29"/>
        <v>6.3737479161815628E-3</v>
      </c>
      <c r="O282" s="62">
        <f t="shared" si="29"/>
        <v>7.9622164315301044E-3</v>
      </c>
      <c r="P282" s="54" t="s">
        <v>583</v>
      </c>
      <c r="Q282" s="52" t="s">
        <v>584</v>
      </c>
      <c r="R282" s="93" t="s">
        <v>32</v>
      </c>
      <c r="S282" s="72">
        <v>3.3538499999999998E-3</v>
      </c>
      <c r="T282" s="62">
        <f t="shared" si="27"/>
        <v>5.0871310841912338E-3</v>
      </c>
      <c r="V282" s="71">
        <v>1.11228467</v>
      </c>
      <c r="W282" s="71">
        <v>2.8575374399999998</v>
      </c>
      <c r="X282" s="71">
        <v>4.4169640299999999</v>
      </c>
      <c r="Y282" s="71">
        <v>5.7817171600000004</v>
      </c>
      <c r="Z282" s="114">
        <v>7.5135918100000003</v>
      </c>
      <c r="AB282" s="70" t="s">
        <v>21</v>
      </c>
      <c r="AC282" s="70">
        <v>4.3400435227796148E-3</v>
      </c>
      <c r="AD282" s="70">
        <v>8.440981084191234E-3</v>
      </c>
      <c r="AE282" s="70">
        <v>1.1593825016181562E-2</v>
      </c>
      <c r="AF282" s="62">
        <v>1.44910095315301E-2</v>
      </c>
      <c r="AG282" s="70" t="s">
        <v>21</v>
      </c>
      <c r="AH282" s="70">
        <v>1.0573654227796136E-3</v>
      </c>
      <c r="AI282" s="70">
        <v>4.1182595841912318E-3</v>
      </c>
      <c r="AJ282" s="70">
        <v>6.3737479161815628E-3</v>
      </c>
      <c r="AK282" s="70">
        <v>7.9622164315301044E-3</v>
      </c>
    </row>
    <row r="283" spans="2:37" x14ac:dyDescent="0.35">
      <c r="B283" s="54" t="s">
        <v>181</v>
      </c>
      <c r="C283" s="52" t="s">
        <v>232</v>
      </c>
      <c r="D283" s="52" t="s">
        <v>182</v>
      </c>
      <c r="E283" s="52" t="s">
        <v>321</v>
      </c>
      <c r="F283" s="72" t="str">
        <f t="shared" si="28"/>
        <v/>
      </c>
      <c r="G283" s="59">
        <f t="shared" si="28"/>
        <v>5.2819132361231333E-3</v>
      </c>
      <c r="H283" s="59">
        <f t="shared" si="28"/>
        <v>9.9645397630579655E-3</v>
      </c>
      <c r="I283" s="59">
        <f t="shared" si="28"/>
        <v>1.431461990798711E-2</v>
      </c>
      <c r="J283" s="62">
        <f t="shared" si="28"/>
        <v>1.8622600926907564E-2</v>
      </c>
      <c r="K283" s="59" t="str">
        <f t="shared" si="29"/>
        <v/>
      </c>
      <c r="L283" s="59">
        <f t="shared" si="29"/>
        <v>2.0941139361231329E-3</v>
      </c>
      <c r="M283" s="59">
        <f t="shared" si="29"/>
        <v>5.762844263057963E-3</v>
      </c>
      <c r="N283" s="59">
        <f t="shared" si="29"/>
        <v>9.2617725079871087E-3</v>
      </c>
      <c r="O283" s="62">
        <f t="shared" si="29"/>
        <v>1.2320651426907563E-2</v>
      </c>
      <c r="P283" s="54" t="s">
        <v>585</v>
      </c>
      <c r="Q283" s="52" t="s">
        <v>586</v>
      </c>
      <c r="R283" s="93" t="s">
        <v>32</v>
      </c>
      <c r="S283" s="72">
        <v>9.4413199999999996E-3</v>
      </c>
      <c r="T283" s="62">
        <f t="shared" si="27"/>
        <v>5.2321976305796589E-4</v>
      </c>
      <c r="V283" s="71">
        <v>1.1122799799999998</v>
      </c>
      <c r="W283" s="71">
        <v>2.8517285600000002</v>
      </c>
      <c r="X283" s="71">
        <v>4.3941512899999999</v>
      </c>
      <c r="Y283" s="71">
        <v>5.7212750899999998</v>
      </c>
      <c r="Z283" s="114">
        <v>7.3538683899999997</v>
      </c>
      <c r="AB283" s="70" t="s">
        <v>21</v>
      </c>
      <c r="AC283" s="70">
        <v>5.2819132361231333E-3</v>
      </c>
      <c r="AD283" s="70">
        <v>9.9645397630579655E-3</v>
      </c>
      <c r="AE283" s="70">
        <v>1.431461990798711E-2</v>
      </c>
      <c r="AF283" s="62">
        <v>1.8622600926907564E-2</v>
      </c>
      <c r="AG283" s="70" t="s">
        <v>21</v>
      </c>
      <c r="AH283" s="70">
        <v>2.0941139361231329E-3</v>
      </c>
      <c r="AI283" s="70">
        <v>5.762844263057963E-3</v>
      </c>
      <c r="AJ283" s="70">
        <v>9.2617725079871087E-3</v>
      </c>
      <c r="AK283" s="70">
        <v>1.2320651426907563E-2</v>
      </c>
    </row>
    <row r="284" spans="2:37" x14ac:dyDescent="0.35">
      <c r="B284" s="54" t="s">
        <v>183</v>
      </c>
      <c r="C284" s="52" t="s">
        <v>232</v>
      </c>
      <c r="D284" s="52" t="s">
        <v>53</v>
      </c>
      <c r="E284" s="52" t="s">
        <v>179</v>
      </c>
      <c r="F284" s="72" t="str">
        <f t="shared" si="28"/>
        <v/>
      </c>
      <c r="G284" s="59">
        <f t="shared" si="28"/>
        <v>4.301965808440676E-3</v>
      </c>
      <c r="H284" s="59">
        <f t="shared" si="28"/>
        <v>8.3423446920421855E-3</v>
      </c>
      <c r="I284" s="59">
        <f t="shared" si="28"/>
        <v>1.1718020466037496E-2</v>
      </c>
      <c r="J284" s="62">
        <f t="shared" si="28"/>
        <v>1.4721330023796764E-2</v>
      </c>
      <c r="K284" s="59" t="str">
        <f t="shared" si="29"/>
        <v/>
      </c>
      <c r="L284" s="59">
        <f t="shared" si="29"/>
        <v>1.0145944084406751E-3</v>
      </c>
      <c r="M284" s="59">
        <f t="shared" si="29"/>
        <v>4.0103490920421845E-3</v>
      </c>
      <c r="N284" s="59">
        <f t="shared" si="29"/>
        <v>6.5069009660374969E-3</v>
      </c>
      <c r="O284" s="62">
        <f t="shared" si="29"/>
        <v>8.2100225237967672E-3</v>
      </c>
      <c r="P284" s="54" t="s">
        <v>587</v>
      </c>
      <c r="Q284" s="52" t="s">
        <v>588</v>
      </c>
      <c r="R284" s="93" t="s">
        <v>32</v>
      </c>
      <c r="S284" s="72">
        <v>4.0076800000000004E-3</v>
      </c>
      <c r="T284" s="62">
        <f t="shared" si="27"/>
        <v>4.3346646920421851E-3</v>
      </c>
      <c r="V284" s="71">
        <v>1.1127002699999999</v>
      </c>
      <c r="W284" s="71">
        <v>2.8585598299999999</v>
      </c>
      <c r="X284" s="71">
        <v>4.4190616299999999</v>
      </c>
      <c r="Y284" s="71">
        <v>5.7826425400000003</v>
      </c>
      <c r="Z284" s="114">
        <v>7.5089634500000004</v>
      </c>
      <c r="AB284" s="70" t="s">
        <v>21</v>
      </c>
      <c r="AC284" s="70">
        <v>4.301965808440676E-3</v>
      </c>
      <c r="AD284" s="70">
        <v>8.3423446920421855E-3</v>
      </c>
      <c r="AE284" s="70">
        <v>1.1718020466037496E-2</v>
      </c>
      <c r="AF284" s="62">
        <v>1.4721330023796764E-2</v>
      </c>
      <c r="AG284" s="70" t="s">
        <v>21</v>
      </c>
      <c r="AH284" s="70">
        <v>1.0145944084406751E-3</v>
      </c>
      <c r="AI284" s="70">
        <v>4.0103490920421845E-3</v>
      </c>
      <c r="AJ284" s="70">
        <v>6.5069009660374969E-3</v>
      </c>
      <c r="AK284" s="70">
        <v>8.2100225237967672E-3</v>
      </c>
    </row>
    <row r="285" spans="2:37" x14ac:dyDescent="0.35">
      <c r="B285" s="54" t="s">
        <v>184</v>
      </c>
      <c r="C285" s="52" t="s">
        <v>232</v>
      </c>
      <c r="D285" s="52" t="s">
        <v>31</v>
      </c>
      <c r="E285" s="52" t="s">
        <v>589</v>
      </c>
      <c r="F285" s="72" t="str">
        <f t="shared" si="28"/>
        <v/>
      </c>
      <c r="G285" s="59">
        <f t="shared" si="28"/>
        <v>4.9800795054102667E-3</v>
      </c>
      <c r="H285" s="59">
        <f t="shared" si="28"/>
        <v>9.4964490691331546E-3</v>
      </c>
      <c r="I285" s="59">
        <f t="shared" si="28"/>
        <v>1.3154596694600909E-2</v>
      </c>
      <c r="J285" s="62">
        <f t="shared" si="28"/>
        <v>1.6595085708251477E-2</v>
      </c>
      <c r="K285" s="59" t="str">
        <f t="shared" si="29"/>
        <v/>
      </c>
      <c r="L285" s="59">
        <f t="shared" si="29"/>
        <v>1.7645891054102643E-3</v>
      </c>
      <c r="M285" s="59">
        <f t="shared" si="29"/>
        <v>5.2616699691331531E-3</v>
      </c>
      <c r="N285" s="59">
        <f t="shared" si="29"/>
        <v>8.0423806946009098E-3</v>
      </c>
      <c r="O285" s="62">
        <f t="shared" si="29"/>
        <v>1.0204249708251473E-2</v>
      </c>
      <c r="P285" s="54" t="s">
        <v>590</v>
      </c>
      <c r="Q285" s="52" t="s">
        <v>591</v>
      </c>
      <c r="R285" s="93" t="s">
        <v>32</v>
      </c>
      <c r="S285" s="72">
        <v>5.4230400000000005E-3</v>
      </c>
      <c r="T285" s="62">
        <f t="shared" si="27"/>
        <v>4.0734090691331541E-3</v>
      </c>
      <c r="V285" s="71">
        <v>1.1119377699999999</v>
      </c>
      <c r="W285" s="71">
        <v>2.8529412500000002</v>
      </c>
      <c r="X285" s="71">
        <v>4.4005935000000003</v>
      </c>
      <c r="Y285" s="71">
        <v>5.7430981599999997</v>
      </c>
      <c r="Z285" s="114">
        <v>7.4227827100000008</v>
      </c>
      <c r="AB285" s="70" t="s">
        <v>21</v>
      </c>
      <c r="AC285" s="70">
        <v>4.9800795054102667E-3</v>
      </c>
      <c r="AD285" s="70">
        <v>9.4964490691331546E-3</v>
      </c>
      <c r="AE285" s="70">
        <v>1.3154596694600909E-2</v>
      </c>
      <c r="AF285" s="62">
        <v>1.6595085708251477E-2</v>
      </c>
      <c r="AG285" s="70" t="s">
        <v>21</v>
      </c>
      <c r="AH285" s="70">
        <v>1.7645891054102643E-3</v>
      </c>
      <c r="AI285" s="70">
        <v>5.2616699691331531E-3</v>
      </c>
      <c r="AJ285" s="70">
        <v>8.0423806946009098E-3</v>
      </c>
      <c r="AK285" s="70">
        <v>1.0204249708251473E-2</v>
      </c>
    </row>
    <row r="286" spans="2:37" x14ac:dyDescent="0.35">
      <c r="B286" s="56" t="s">
        <v>185</v>
      </c>
      <c r="C286" s="66" t="s">
        <v>232</v>
      </c>
      <c r="D286" s="66" t="s">
        <v>139</v>
      </c>
      <c r="E286" s="66" t="s">
        <v>592</v>
      </c>
      <c r="F286" s="73" t="str">
        <f t="shared" si="28"/>
        <v/>
      </c>
      <c r="G286" s="75">
        <f t="shared" si="28"/>
        <v>4.3007352842493402E-3</v>
      </c>
      <c r="H286" s="75">
        <f t="shared" si="28"/>
        <v>8.1828446813544814E-3</v>
      </c>
      <c r="I286" s="75">
        <f t="shared" si="28"/>
        <v>1.2007882459780322E-2</v>
      </c>
      <c r="J286" s="63">
        <f t="shared" si="28"/>
        <v>1.505376621390488E-2</v>
      </c>
      <c r="K286" s="75" t="str">
        <f t="shared" si="29"/>
        <v/>
      </c>
      <c r="L286" s="75">
        <f t="shared" si="29"/>
        <v>1.0130797842493417E-3</v>
      </c>
      <c r="M286" s="75">
        <f t="shared" si="29"/>
        <v>3.8355392813544794E-3</v>
      </c>
      <c r="N286" s="75">
        <f t="shared" si="29"/>
        <v>6.8169351597803249E-3</v>
      </c>
      <c r="O286" s="63">
        <f t="shared" si="29"/>
        <v>8.5671670139048813E-3</v>
      </c>
      <c r="P286" s="56" t="s">
        <v>593</v>
      </c>
      <c r="Q286" s="66" t="s">
        <v>594</v>
      </c>
      <c r="R286" s="95" t="s">
        <v>32</v>
      </c>
      <c r="S286" s="73">
        <v>2.8143299999999999E-3</v>
      </c>
      <c r="T286" s="63">
        <f t="shared" si="27"/>
        <v>5.3685146813544811E-3</v>
      </c>
      <c r="V286" s="107">
        <v>1.1128335499999999</v>
      </c>
      <c r="W286" s="107">
        <v>2.8588218200000002</v>
      </c>
      <c r="X286" s="107">
        <v>4.4208728700000002</v>
      </c>
      <c r="Y286" s="107">
        <v>5.7814701500000005</v>
      </c>
      <c r="Z286" s="116">
        <v>7.49888713</v>
      </c>
      <c r="AB286" s="75" t="s">
        <v>21</v>
      </c>
      <c r="AC286" s="75">
        <v>4.3007352842493402E-3</v>
      </c>
      <c r="AD286" s="75">
        <v>8.1828446813544814E-3</v>
      </c>
      <c r="AE286" s="75">
        <v>1.2007882459780322E-2</v>
      </c>
      <c r="AF286" s="63">
        <v>1.505376621390488E-2</v>
      </c>
      <c r="AG286" s="75" t="s">
        <v>21</v>
      </c>
      <c r="AH286" s="75">
        <v>1.0130797842493417E-3</v>
      </c>
      <c r="AI286" s="75">
        <v>3.8355392813544794E-3</v>
      </c>
      <c r="AJ286" s="75">
        <v>6.8169351597803249E-3</v>
      </c>
      <c r="AK286" s="75">
        <v>8.5671670139048813E-3</v>
      </c>
    </row>
    <row r="287" spans="2:37" x14ac:dyDescent="0.35">
      <c r="V287" s="71"/>
      <c r="W287" s="71"/>
      <c r="X287" s="71"/>
      <c r="Y287" s="71"/>
      <c r="Z287" s="71"/>
    </row>
    <row r="288" spans="2:37" ht="15.5" x14ac:dyDescent="0.35">
      <c r="B288" s="121" t="s">
        <v>186</v>
      </c>
      <c r="R288" s="93"/>
      <c r="S288" s="70"/>
      <c r="T288" s="70"/>
      <c r="V288" s="71"/>
      <c r="W288" s="71"/>
      <c r="X288" s="71"/>
      <c r="Y288" s="71"/>
      <c r="Z288" s="71"/>
    </row>
    <row r="289" spans="2:37" x14ac:dyDescent="0.35">
      <c r="B289" s="84" t="s">
        <v>5</v>
      </c>
      <c r="C289" s="83" t="s">
        <v>6</v>
      </c>
      <c r="D289" s="83" t="s">
        <v>7</v>
      </c>
      <c r="E289" s="83" t="s">
        <v>8</v>
      </c>
      <c r="F289" s="82" t="s">
        <v>9</v>
      </c>
      <c r="G289" s="81" t="s">
        <v>10</v>
      </c>
      <c r="H289" s="81" t="s">
        <v>11</v>
      </c>
      <c r="I289" s="81" t="s">
        <v>12</v>
      </c>
      <c r="J289" s="80" t="s">
        <v>13</v>
      </c>
      <c r="K289" s="82" t="s">
        <v>9</v>
      </c>
      <c r="L289" s="81" t="s">
        <v>10</v>
      </c>
      <c r="M289" s="81" t="s">
        <v>11</v>
      </c>
      <c r="N289" s="81" t="s">
        <v>12</v>
      </c>
      <c r="O289" s="80" t="s">
        <v>13</v>
      </c>
      <c r="P289" s="69" t="s">
        <v>14</v>
      </c>
      <c r="Q289" s="57" t="s">
        <v>15</v>
      </c>
      <c r="R289" s="57" t="s">
        <v>16</v>
      </c>
      <c r="S289" s="57" t="s">
        <v>415</v>
      </c>
      <c r="T289" s="80" t="s">
        <v>18</v>
      </c>
      <c r="V289" s="105" t="s">
        <v>9</v>
      </c>
      <c r="W289" s="105" t="s">
        <v>10</v>
      </c>
      <c r="X289" s="105" t="s">
        <v>11</v>
      </c>
      <c r="Y289" s="105" t="s">
        <v>12</v>
      </c>
      <c r="Z289" s="110" t="s">
        <v>13</v>
      </c>
      <c r="AB289" s="82" t="s">
        <v>9</v>
      </c>
      <c r="AC289" s="81" t="s">
        <v>10</v>
      </c>
      <c r="AD289" s="81" t="s">
        <v>11</v>
      </c>
      <c r="AE289" s="81" t="s">
        <v>12</v>
      </c>
      <c r="AF289" s="80" t="s">
        <v>13</v>
      </c>
      <c r="AG289" s="57" t="s">
        <v>9</v>
      </c>
      <c r="AH289" s="57" t="s">
        <v>10</v>
      </c>
      <c r="AI289" s="57" t="s">
        <v>11</v>
      </c>
      <c r="AJ289" s="57" t="s">
        <v>12</v>
      </c>
      <c r="AK289" s="57" t="s">
        <v>13</v>
      </c>
    </row>
    <row r="290" spans="2:37" x14ac:dyDescent="0.35">
      <c r="B290" s="56" t="s">
        <v>296</v>
      </c>
      <c r="C290" s="66"/>
      <c r="D290" s="68"/>
      <c r="E290" s="68"/>
      <c r="F290" s="101" t="str">
        <f t="shared" ref="F290:J305" si="30">IF(ISNUMBER(AB290),AB290-((C$4-C$3)/V290),"")</f>
        <v/>
      </c>
      <c r="G290" s="102" t="str">
        <f t="shared" si="30"/>
        <v/>
      </c>
      <c r="H290" s="102">
        <f t="shared" si="30"/>
        <v>1.7816521231702274E-2</v>
      </c>
      <c r="I290" s="102" t="str">
        <f t="shared" si="30"/>
        <v/>
      </c>
      <c r="J290" s="103" t="str">
        <f t="shared" si="30"/>
        <v/>
      </c>
      <c r="K290" s="102" t="str">
        <f t="shared" ref="K290:O305" si="31">IF(ISNUMBER(AG290),IF(AG290-((C$4-C$3)/V290)&lt;0,"",AG290-((C$4-C$3)/V290)),"")</f>
        <v/>
      </c>
      <c r="L290" s="102" t="str">
        <f t="shared" si="31"/>
        <v/>
      </c>
      <c r="M290" s="102">
        <f t="shared" si="31"/>
        <v>1.3862347731702274E-2</v>
      </c>
      <c r="N290" s="102" t="str">
        <f t="shared" si="31"/>
        <v/>
      </c>
      <c r="O290" s="103" t="str">
        <f t="shared" si="31"/>
        <v/>
      </c>
      <c r="P290" s="55"/>
      <c r="Q290" s="68"/>
      <c r="R290" s="104"/>
      <c r="S290" s="74"/>
      <c r="T290" s="103"/>
      <c r="V290" s="71">
        <v>1.09573436</v>
      </c>
      <c r="W290" s="71">
        <v>2.7788944600000001</v>
      </c>
      <c r="X290" s="71">
        <v>4.2532734200000002</v>
      </c>
      <c r="Y290" s="71">
        <v>5.5261558400000004</v>
      </c>
      <c r="Z290" s="114">
        <v>7.1251554199999996</v>
      </c>
      <c r="AB290" s="102" t="s">
        <v>21</v>
      </c>
      <c r="AC290" s="102"/>
      <c r="AD290" s="102">
        <v>1.7816521231702274E-2</v>
      </c>
      <c r="AE290" s="102" t="s">
        <v>21</v>
      </c>
      <c r="AF290" s="103" t="s">
        <v>21</v>
      </c>
      <c r="AG290" s="79" t="s">
        <v>21</v>
      </c>
      <c r="AH290" s="79"/>
      <c r="AI290" s="79">
        <v>1.3862347731702274E-2</v>
      </c>
      <c r="AJ290" s="79" t="s">
        <v>21</v>
      </c>
      <c r="AK290" s="79" t="s">
        <v>21</v>
      </c>
    </row>
    <row r="291" spans="2:37" x14ac:dyDescent="0.35">
      <c r="B291" s="54" t="s">
        <v>187</v>
      </c>
      <c r="C291" s="52" t="s">
        <v>232</v>
      </c>
      <c r="D291" s="65" t="s">
        <v>188</v>
      </c>
      <c r="E291" s="65" t="s">
        <v>271</v>
      </c>
      <c r="F291" s="74" t="str">
        <f t="shared" si="30"/>
        <v/>
      </c>
      <c r="G291" s="79">
        <f t="shared" si="30"/>
        <v>4.8207365534276621E-3</v>
      </c>
      <c r="H291" s="79">
        <f t="shared" si="30"/>
        <v>1.0004930165019948E-2</v>
      </c>
      <c r="I291" s="79" t="str">
        <f t="shared" si="30"/>
        <v/>
      </c>
      <c r="J291" s="61" t="str">
        <f t="shared" si="30"/>
        <v/>
      </c>
      <c r="K291" s="79" t="str">
        <f t="shared" si="31"/>
        <v/>
      </c>
      <c r="L291" s="79">
        <f t="shared" si="31"/>
        <v>1.5487615534276623E-3</v>
      </c>
      <c r="M291" s="79">
        <f t="shared" si="31"/>
        <v>5.7352909650199464E-3</v>
      </c>
      <c r="N291" s="79" t="str">
        <f t="shared" si="31"/>
        <v/>
      </c>
      <c r="O291" s="61" t="str">
        <f t="shared" si="31"/>
        <v/>
      </c>
      <c r="P291" s="55" t="s">
        <v>21</v>
      </c>
      <c r="Q291" s="65" t="s">
        <v>21</v>
      </c>
      <c r="R291" s="99" t="s">
        <v>21</v>
      </c>
      <c r="S291" s="74">
        <v>0</v>
      </c>
      <c r="T291" s="62">
        <f t="shared" ref="T291:T316" si="32">IF(S291="","",H291-S291)</f>
        <v>1.0004930165019948E-2</v>
      </c>
      <c r="V291" s="71">
        <v>1.11254407</v>
      </c>
      <c r="W291" s="71">
        <v>2.85917763</v>
      </c>
      <c r="X291" s="71">
        <v>4.4188470899999999</v>
      </c>
      <c r="Y291" s="71">
        <v>5.7781956799999996</v>
      </c>
      <c r="Z291" s="114">
        <v>7.4975491699999992</v>
      </c>
      <c r="AB291" s="79" t="s">
        <v>21</v>
      </c>
      <c r="AC291" s="79">
        <v>4.8207365534276621E-3</v>
      </c>
      <c r="AD291" s="79">
        <v>1.0004930165019948E-2</v>
      </c>
      <c r="AE291" s="79" t="s">
        <v>21</v>
      </c>
      <c r="AF291" s="61" t="s">
        <v>21</v>
      </c>
      <c r="AG291" s="79" t="s">
        <v>21</v>
      </c>
      <c r="AH291" s="79">
        <v>1.5487615534276623E-3</v>
      </c>
      <c r="AI291" s="79">
        <v>5.7352909650199464E-3</v>
      </c>
      <c r="AJ291" s="79" t="s">
        <v>21</v>
      </c>
      <c r="AK291" s="79" t="s">
        <v>21</v>
      </c>
    </row>
    <row r="292" spans="2:37" x14ac:dyDescent="0.35">
      <c r="B292" s="54" t="s">
        <v>189</v>
      </c>
      <c r="C292" s="52" t="s">
        <v>232</v>
      </c>
      <c r="D292" s="52" t="s">
        <v>190</v>
      </c>
      <c r="E292" s="52" t="s">
        <v>595</v>
      </c>
      <c r="F292" s="72" t="str">
        <f t="shared" si="30"/>
        <v/>
      </c>
      <c r="G292" s="59">
        <f t="shared" si="30"/>
        <v>7.632361741888952E-3</v>
      </c>
      <c r="H292" s="59">
        <f t="shared" si="30"/>
        <v>1.3710868844335753E-2</v>
      </c>
      <c r="I292" s="59" t="str">
        <f t="shared" si="30"/>
        <v/>
      </c>
      <c r="J292" s="62" t="str">
        <f t="shared" si="30"/>
        <v/>
      </c>
      <c r="K292" s="59" t="str">
        <f t="shared" si="31"/>
        <v/>
      </c>
      <c r="L292" s="59">
        <f t="shared" si="31"/>
        <v>4.5999341418889519E-3</v>
      </c>
      <c r="M292" s="59">
        <f t="shared" si="31"/>
        <v>9.6659804443357585E-3</v>
      </c>
      <c r="N292" s="59" t="str">
        <f t="shared" si="31"/>
        <v/>
      </c>
      <c r="O292" s="62" t="str">
        <f t="shared" si="31"/>
        <v/>
      </c>
      <c r="P292" s="54" t="s">
        <v>596</v>
      </c>
      <c r="Q292" s="52" t="s">
        <v>597</v>
      </c>
      <c r="R292" s="93" t="s">
        <v>32</v>
      </c>
      <c r="S292" s="72">
        <v>1.1007389999999999E-2</v>
      </c>
      <c r="T292" s="62">
        <f t="shared" si="32"/>
        <v>2.7034788443357546E-3</v>
      </c>
      <c r="V292" s="71">
        <v>1.10811047</v>
      </c>
      <c r="W292" s="71">
        <v>2.8359082999999998</v>
      </c>
      <c r="X292" s="71">
        <v>4.35789589</v>
      </c>
      <c r="Y292" s="71">
        <v>5.6665717899999999</v>
      </c>
      <c r="Z292" s="114">
        <v>7.2882079700000002</v>
      </c>
      <c r="AB292" s="70" t="s">
        <v>21</v>
      </c>
      <c r="AC292" s="70">
        <v>7.632361741888952E-3</v>
      </c>
      <c r="AD292" s="70">
        <v>1.3710868844335753E-2</v>
      </c>
      <c r="AE292" s="70" t="s">
        <v>21</v>
      </c>
      <c r="AF292" s="62" t="s">
        <v>21</v>
      </c>
      <c r="AG292" s="70" t="s">
        <v>21</v>
      </c>
      <c r="AH292" s="70">
        <v>4.5999341418889519E-3</v>
      </c>
      <c r="AI292" s="70">
        <v>9.6659804443357585E-3</v>
      </c>
      <c r="AJ292" s="70" t="s">
        <v>21</v>
      </c>
      <c r="AK292" s="70" t="s">
        <v>21</v>
      </c>
    </row>
    <row r="293" spans="2:37" x14ac:dyDescent="0.35">
      <c r="B293" s="54" t="s">
        <v>192</v>
      </c>
      <c r="C293" s="52" t="s">
        <v>232</v>
      </c>
      <c r="D293" s="52" t="s">
        <v>193</v>
      </c>
      <c r="E293" s="52" t="s">
        <v>292</v>
      </c>
      <c r="F293" s="72" t="str">
        <f t="shared" si="30"/>
        <v/>
      </c>
      <c r="G293" s="59">
        <f t="shared" si="30"/>
        <v>4.8650698055592162E-3</v>
      </c>
      <c r="H293" s="59">
        <f t="shared" si="30"/>
        <v>1.0039535238473904E-2</v>
      </c>
      <c r="I293" s="59" t="str">
        <f t="shared" si="30"/>
        <v/>
      </c>
      <c r="J293" s="62" t="str">
        <f t="shared" si="30"/>
        <v/>
      </c>
      <c r="K293" s="59" t="str">
        <f t="shared" si="31"/>
        <v/>
      </c>
      <c r="L293" s="59">
        <f t="shared" si="31"/>
        <v>1.5989716055592159E-3</v>
      </c>
      <c r="M293" s="59">
        <f t="shared" si="31"/>
        <v>5.773101438473904E-3</v>
      </c>
      <c r="N293" s="59" t="str">
        <f t="shared" si="31"/>
        <v/>
      </c>
      <c r="O293" s="62" t="str">
        <f t="shared" si="31"/>
        <v/>
      </c>
      <c r="P293" s="54" t="s">
        <v>598</v>
      </c>
      <c r="Q293" s="52" t="s">
        <v>599</v>
      </c>
      <c r="R293" s="93" t="s">
        <v>32</v>
      </c>
      <c r="S293" s="72">
        <v>9.1379100000000008E-3</v>
      </c>
      <c r="T293" s="62">
        <f t="shared" si="32"/>
        <v>9.0162523847390347E-4</v>
      </c>
      <c r="V293" s="71">
        <v>1.11221467</v>
      </c>
      <c r="W293" s="71">
        <v>2.8583820800000002</v>
      </c>
      <c r="X293" s="71">
        <v>4.4177867900000001</v>
      </c>
      <c r="Y293" s="71">
        <v>5.7780746199999999</v>
      </c>
      <c r="Z293" s="114">
        <v>7.4853094699999998</v>
      </c>
      <c r="AB293" s="70" t="s">
        <v>21</v>
      </c>
      <c r="AC293" s="70">
        <v>4.8650698055592162E-3</v>
      </c>
      <c r="AD293" s="70">
        <v>1.0039535238473904E-2</v>
      </c>
      <c r="AE293" s="70" t="s">
        <v>21</v>
      </c>
      <c r="AF293" s="62" t="s">
        <v>21</v>
      </c>
      <c r="AG293" s="70" t="s">
        <v>21</v>
      </c>
      <c r="AH293" s="70">
        <v>1.5989716055592159E-3</v>
      </c>
      <c r="AI293" s="70">
        <v>5.773101438473904E-3</v>
      </c>
      <c r="AJ293" s="70" t="s">
        <v>21</v>
      </c>
      <c r="AK293" s="70" t="s">
        <v>21</v>
      </c>
    </row>
    <row r="294" spans="2:37" x14ac:dyDescent="0.35">
      <c r="B294" s="54" t="s">
        <v>194</v>
      </c>
      <c r="C294" s="52" t="s">
        <v>232</v>
      </c>
      <c r="D294" s="52" t="s">
        <v>195</v>
      </c>
      <c r="E294" s="52" t="s">
        <v>600</v>
      </c>
      <c r="F294" s="72" t="str">
        <f t="shared" si="30"/>
        <v/>
      </c>
      <c r="G294" s="59">
        <f t="shared" si="30"/>
        <v>1.0832977560564751E-2</v>
      </c>
      <c r="H294" s="59">
        <f t="shared" si="30"/>
        <v>2.0394352255407686E-2</v>
      </c>
      <c r="I294" s="59" t="str">
        <f t="shared" si="30"/>
        <v/>
      </c>
      <c r="J294" s="62" t="str">
        <f t="shared" si="30"/>
        <v/>
      </c>
      <c r="K294" s="59" t="str">
        <f t="shared" si="31"/>
        <v/>
      </c>
      <c r="L294" s="59">
        <f t="shared" si="31"/>
        <v>7.9137329605647507E-3</v>
      </c>
      <c r="M294" s="59">
        <f t="shared" si="31"/>
        <v>1.6436906755407685E-2</v>
      </c>
      <c r="N294" s="59" t="str">
        <f t="shared" si="31"/>
        <v/>
      </c>
      <c r="O294" s="62" t="str">
        <f t="shared" si="31"/>
        <v/>
      </c>
      <c r="P294" s="54" t="s">
        <v>601</v>
      </c>
      <c r="Q294" s="52" t="s">
        <v>602</v>
      </c>
      <c r="R294" s="93" t="s">
        <v>32</v>
      </c>
      <c r="S294" s="72">
        <v>1.7951809999999999E-2</v>
      </c>
      <c r="T294" s="62">
        <f t="shared" si="32"/>
        <v>2.442542255407687E-3</v>
      </c>
      <c r="V294" s="71">
        <v>1.1081657899999999</v>
      </c>
      <c r="W294" s="71">
        <v>2.81998536</v>
      </c>
      <c r="X294" s="71">
        <v>4.27755785</v>
      </c>
      <c r="Y294" s="71">
        <v>5.4688975299999996</v>
      </c>
      <c r="Z294" s="114">
        <v>6.83161635</v>
      </c>
      <c r="AB294" s="70" t="s">
        <v>21</v>
      </c>
      <c r="AC294" s="70">
        <v>1.0832977560564751E-2</v>
      </c>
      <c r="AD294" s="70">
        <v>2.0394352255407686E-2</v>
      </c>
      <c r="AE294" s="70" t="s">
        <v>21</v>
      </c>
      <c r="AF294" s="62" t="s">
        <v>21</v>
      </c>
      <c r="AG294" s="70" t="s">
        <v>21</v>
      </c>
      <c r="AH294" s="70">
        <v>7.9137329605647507E-3</v>
      </c>
      <c r="AI294" s="70">
        <v>1.6436906755407685E-2</v>
      </c>
      <c r="AJ294" s="70" t="s">
        <v>21</v>
      </c>
      <c r="AK294" s="70" t="s">
        <v>21</v>
      </c>
    </row>
    <row r="295" spans="2:37" x14ac:dyDescent="0.35">
      <c r="B295" s="54" t="s">
        <v>196</v>
      </c>
      <c r="C295" s="52" t="s">
        <v>232</v>
      </c>
      <c r="D295" s="52" t="s">
        <v>197</v>
      </c>
      <c r="E295" s="52" t="s">
        <v>55</v>
      </c>
      <c r="F295" s="72" t="str">
        <f t="shared" si="30"/>
        <v/>
      </c>
      <c r="G295" s="59">
        <f t="shared" si="30"/>
        <v>9.6933809007196843E-3</v>
      </c>
      <c r="H295" s="59">
        <f t="shared" si="30"/>
        <v>1.6904904492610048E-2</v>
      </c>
      <c r="I295" s="59" t="str">
        <f t="shared" si="30"/>
        <v/>
      </c>
      <c r="J295" s="62" t="str">
        <f t="shared" si="30"/>
        <v/>
      </c>
      <c r="K295" s="59" t="str">
        <f t="shared" si="31"/>
        <v/>
      </c>
      <c r="L295" s="59">
        <f t="shared" si="31"/>
        <v>6.746804200719686E-3</v>
      </c>
      <c r="M295" s="59">
        <f t="shared" si="31"/>
        <v>1.2937305392610048E-2</v>
      </c>
      <c r="N295" s="59" t="str">
        <f t="shared" si="31"/>
        <v/>
      </c>
      <c r="O295" s="62" t="str">
        <f t="shared" si="31"/>
        <v/>
      </c>
      <c r="P295" s="54" t="s">
        <v>603</v>
      </c>
      <c r="Q295" s="52" t="s">
        <v>604</v>
      </c>
      <c r="R295" s="93">
        <v>47586</v>
      </c>
      <c r="S295" s="72">
        <v>1.4191870000000001E-2</v>
      </c>
      <c r="T295" s="62">
        <f t="shared" si="32"/>
        <v>2.7130344926100478E-3</v>
      </c>
      <c r="V295" s="71">
        <v>1.1076774899999999</v>
      </c>
      <c r="W295" s="71">
        <v>2.8240909299999997</v>
      </c>
      <c r="X295" s="71">
        <v>4.3146340099999998</v>
      </c>
      <c r="Y295" s="71">
        <v>5.5626989</v>
      </c>
      <c r="Z295" s="114">
        <v>7.0479586299999992</v>
      </c>
      <c r="AB295" s="70" t="s">
        <v>21</v>
      </c>
      <c r="AC295" s="70">
        <v>9.6933809007196843E-3</v>
      </c>
      <c r="AD295" s="70">
        <v>1.6904904492610048E-2</v>
      </c>
      <c r="AE295" s="70" t="s">
        <v>21</v>
      </c>
      <c r="AF295" s="62" t="s">
        <v>21</v>
      </c>
      <c r="AG295" s="70" t="s">
        <v>21</v>
      </c>
      <c r="AH295" s="70">
        <v>6.746804200719686E-3</v>
      </c>
      <c r="AI295" s="70">
        <v>1.2937305392610048E-2</v>
      </c>
      <c r="AJ295" s="70" t="s">
        <v>21</v>
      </c>
      <c r="AK295" s="70" t="s">
        <v>21</v>
      </c>
    </row>
    <row r="296" spans="2:37" x14ac:dyDescent="0.35">
      <c r="B296" s="54" t="s">
        <v>198</v>
      </c>
      <c r="C296" s="52" t="s">
        <v>232</v>
      </c>
      <c r="D296" s="52" t="s">
        <v>199</v>
      </c>
      <c r="E296" s="52" t="s">
        <v>293</v>
      </c>
      <c r="F296" s="72" t="str">
        <f t="shared" si="30"/>
        <v/>
      </c>
      <c r="G296" s="59">
        <f t="shared" si="30"/>
        <v>1.1643801906050371E-2</v>
      </c>
      <c r="H296" s="59">
        <f t="shared" si="30"/>
        <v>2.0057853505650543E-2</v>
      </c>
      <c r="I296" s="59" t="str">
        <f t="shared" si="30"/>
        <v/>
      </c>
      <c r="J296" s="62" t="str">
        <f t="shared" si="30"/>
        <v/>
      </c>
      <c r="K296" s="59" t="str">
        <f t="shared" si="31"/>
        <v/>
      </c>
      <c r="L296" s="59">
        <f t="shared" si="31"/>
        <v>8.73885730605037E-3</v>
      </c>
      <c r="M296" s="59">
        <f t="shared" si="31"/>
        <v>1.6105445205650545E-2</v>
      </c>
      <c r="N296" s="59" t="str">
        <f t="shared" si="31"/>
        <v/>
      </c>
      <c r="O296" s="62" t="str">
        <f t="shared" si="31"/>
        <v/>
      </c>
      <c r="P296" s="54" t="s">
        <v>605</v>
      </c>
      <c r="Q296" s="52" t="s">
        <v>606</v>
      </c>
      <c r="R296" s="93" t="s">
        <v>32</v>
      </c>
      <c r="S296" s="72">
        <v>1.423198E-2</v>
      </c>
      <c r="T296" s="62">
        <f t="shared" si="32"/>
        <v>5.8258735056505428E-3</v>
      </c>
      <c r="V296" s="71">
        <v>1.10626643</v>
      </c>
      <c r="W296" s="71">
        <v>2.8112674699999998</v>
      </c>
      <c r="X296" s="71">
        <v>4.2715588599999998</v>
      </c>
      <c r="Y296" s="71">
        <v>5.4701874699999999</v>
      </c>
      <c r="Z296" s="114">
        <v>6.8561725899999999</v>
      </c>
      <c r="AB296" s="70" t="s">
        <v>21</v>
      </c>
      <c r="AC296" s="70">
        <v>1.1643801906050371E-2</v>
      </c>
      <c r="AD296" s="70">
        <v>2.0057853505650543E-2</v>
      </c>
      <c r="AE296" s="70" t="s">
        <v>21</v>
      </c>
      <c r="AF296" s="62" t="s">
        <v>21</v>
      </c>
      <c r="AG296" s="70" t="s">
        <v>21</v>
      </c>
      <c r="AH296" s="70">
        <v>8.73885730605037E-3</v>
      </c>
      <c r="AI296" s="70">
        <v>1.6105445205650545E-2</v>
      </c>
      <c r="AJ296" s="70" t="s">
        <v>21</v>
      </c>
      <c r="AK296" s="70" t="s">
        <v>21</v>
      </c>
    </row>
    <row r="297" spans="2:37" x14ac:dyDescent="0.35">
      <c r="B297" s="54" t="s">
        <v>200</v>
      </c>
      <c r="C297" s="52" t="s">
        <v>232</v>
      </c>
      <c r="D297" s="52" t="s">
        <v>201</v>
      </c>
      <c r="E297" s="52" t="s">
        <v>179</v>
      </c>
      <c r="F297" s="72" t="str">
        <f t="shared" si="30"/>
        <v/>
      </c>
      <c r="G297" s="59">
        <f t="shared" si="30"/>
        <v>8.48923294771654E-3</v>
      </c>
      <c r="H297" s="59">
        <f t="shared" si="30"/>
        <v>1.4954507138502084E-2</v>
      </c>
      <c r="I297" s="59" t="str">
        <f t="shared" si="30"/>
        <v/>
      </c>
      <c r="J297" s="62" t="str">
        <f t="shared" si="30"/>
        <v/>
      </c>
      <c r="K297" s="59" t="str">
        <f t="shared" si="31"/>
        <v/>
      </c>
      <c r="L297" s="59">
        <f t="shared" si="31"/>
        <v>5.506952447716539E-3</v>
      </c>
      <c r="M297" s="59">
        <f t="shared" si="31"/>
        <v>1.0954492138502088E-2</v>
      </c>
      <c r="N297" s="59" t="str">
        <f t="shared" si="31"/>
        <v/>
      </c>
      <c r="O297" s="62" t="str">
        <f t="shared" si="31"/>
        <v/>
      </c>
      <c r="P297" s="54" t="s">
        <v>607</v>
      </c>
      <c r="Q297" s="52" t="s">
        <v>608</v>
      </c>
      <c r="R297" s="93" t="s">
        <v>32</v>
      </c>
      <c r="S297" s="72">
        <v>-3.2065410000000003E-2</v>
      </c>
      <c r="T297" s="62">
        <f t="shared" si="32"/>
        <v>4.7019917138502086E-2</v>
      </c>
      <c r="V297" s="71">
        <v>1.1081578300000001</v>
      </c>
      <c r="W297" s="71">
        <v>2.8305225100000002</v>
      </c>
      <c r="X297" s="71">
        <v>4.3380130399999999</v>
      </c>
      <c r="Y297" s="71">
        <v>5.6178019699999995</v>
      </c>
      <c r="Z297" s="114">
        <v>7.18134579</v>
      </c>
      <c r="AB297" s="70" t="s">
        <v>21</v>
      </c>
      <c r="AC297" s="70">
        <v>8.48923294771654E-3</v>
      </c>
      <c r="AD297" s="70">
        <v>1.4954507138502084E-2</v>
      </c>
      <c r="AE297" s="70" t="s">
        <v>21</v>
      </c>
      <c r="AF297" s="62" t="s">
        <v>21</v>
      </c>
      <c r="AG297" s="70" t="s">
        <v>21</v>
      </c>
      <c r="AH297" s="70">
        <v>5.506952447716539E-3</v>
      </c>
      <c r="AI297" s="70">
        <v>1.0954492138502088E-2</v>
      </c>
      <c r="AJ297" s="70" t="s">
        <v>21</v>
      </c>
      <c r="AK297" s="70" t="s">
        <v>21</v>
      </c>
    </row>
    <row r="298" spans="2:37" x14ac:dyDescent="0.35">
      <c r="B298" s="54" t="s">
        <v>202</v>
      </c>
      <c r="C298" s="52" t="s">
        <v>232</v>
      </c>
      <c r="D298" s="52" t="s">
        <v>203</v>
      </c>
      <c r="E298" s="52" t="s">
        <v>609</v>
      </c>
      <c r="F298" s="72" t="str">
        <f t="shared" si="30"/>
        <v/>
      </c>
      <c r="G298" s="59">
        <f t="shared" si="30"/>
        <v>1.7749178649560698E-2</v>
      </c>
      <c r="H298" s="59">
        <f t="shared" si="30"/>
        <v>2.815116222930461E-2</v>
      </c>
      <c r="I298" s="59" t="str">
        <f t="shared" si="30"/>
        <v/>
      </c>
      <c r="J298" s="62" t="str">
        <f t="shared" si="30"/>
        <v/>
      </c>
      <c r="K298" s="59" t="str">
        <f t="shared" si="31"/>
        <v/>
      </c>
      <c r="L298" s="59">
        <f t="shared" si="31"/>
        <v>1.4834018649560698E-2</v>
      </c>
      <c r="M298" s="59">
        <f t="shared" si="31"/>
        <v>2.4072254229304611E-2</v>
      </c>
      <c r="N298" s="59" t="str">
        <f t="shared" si="31"/>
        <v/>
      </c>
      <c r="O298" s="62" t="str">
        <f t="shared" si="31"/>
        <v/>
      </c>
      <c r="P298" s="54" t="s">
        <v>21</v>
      </c>
      <c r="Q298" s="52" t="s">
        <v>21</v>
      </c>
      <c r="R298" s="93" t="s">
        <v>21</v>
      </c>
      <c r="S298" s="72">
        <v>0</v>
      </c>
      <c r="T298" s="62">
        <f t="shared" si="32"/>
        <v>2.815116222930461E-2</v>
      </c>
      <c r="V298" s="71">
        <v>1.09973973</v>
      </c>
      <c r="W298" s="71">
        <v>2.7642694200000002</v>
      </c>
      <c r="X298" s="71">
        <v>4.1468868800000003</v>
      </c>
      <c r="Y298" s="71">
        <v>5.2358322199999998</v>
      </c>
      <c r="Z298" s="114">
        <v>6.4418228900000001</v>
      </c>
      <c r="AB298" s="70" t="s">
        <v>21</v>
      </c>
      <c r="AC298" s="70">
        <v>1.7749178649560698E-2</v>
      </c>
      <c r="AD298" s="70">
        <v>2.815116222930461E-2</v>
      </c>
      <c r="AE298" s="70" t="s">
        <v>21</v>
      </c>
      <c r="AF298" s="62" t="s">
        <v>21</v>
      </c>
      <c r="AG298" s="70" t="s">
        <v>21</v>
      </c>
      <c r="AH298" s="70">
        <v>1.4834018649560698E-2</v>
      </c>
      <c r="AI298" s="70">
        <v>2.4072254229304611E-2</v>
      </c>
      <c r="AJ298" s="70" t="s">
        <v>21</v>
      </c>
      <c r="AK298" s="70" t="s">
        <v>21</v>
      </c>
    </row>
    <row r="299" spans="2:37" x14ac:dyDescent="0.35">
      <c r="B299" s="54" t="s">
        <v>204</v>
      </c>
      <c r="C299" s="52" t="s">
        <v>232</v>
      </c>
      <c r="D299" s="52" t="s">
        <v>205</v>
      </c>
      <c r="E299" s="52" t="s">
        <v>191</v>
      </c>
      <c r="F299" s="72" t="str">
        <f t="shared" si="30"/>
        <v/>
      </c>
      <c r="G299" s="59">
        <f t="shared" si="30"/>
        <v>7.2793417387241122E-3</v>
      </c>
      <c r="H299" s="59">
        <f t="shared" si="30"/>
        <v>1.2901877951648941E-2</v>
      </c>
      <c r="I299" s="59" t="str">
        <f t="shared" si="30"/>
        <v/>
      </c>
      <c r="J299" s="62" t="str">
        <f t="shared" si="30"/>
        <v/>
      </c>
      <c r="K299" s="59" t="str">
        <f t="shared" si="31"/>
        <v/>
      </c>
      <c r="L299" s="59">
        <f t="shared" si="31"/>
        <v>4.2269163387241128E-3</v>
      </c>
      <c r="M299" s="59">
        <f t="shared" si="31"/>
        <v>8.8250464516489418E-3</v>
      </c>
      <c r="N299" s="59" t="str">
        <f t="shared" si="31"/>
        <v/>
      </c>
      <c r="O299" s="62" t="str">
        <f t="shared" si="31"/>
        <v/>
      </c>
      <c r="P299" s="54" t="s">
        <v>610</v>
      </c>
      <c r="Q299" s="52" t="s">
        <v>611</v>
      </c>
      <c r="R299" s="93" t="s">
        <v>32</v>
      </c>
      <c r="S299" s="72">
        <v>7.67039E-3</v>
      </c>
      <c r="T299" s="62">
        <f t="shared" si="32"/>
        <v>5.231487951648941E-3</v>
      </c>
      <c r="V299" s="71">
        <v>1.1094098300000002</v>
      </c>
      <c r="W299" s="71">
        <v>2.8399845399999997</v>
      </c>
      <c r="X299" s="71">
        <v>4.3695280800000003</v>
      </c>
      <c r="Y299" s="71">
        <v>5.68512138</v>
      </c>
      <c r="Z299" s="114">
        <v>7.3205148600000003</v>
      </c>
      <c r="AB299" s="70" t="s">
        <v>21</v>
      </c>
      <c r="AC299" s="70">
        <v>7.2793417387241122E-3</v>
      </c>
      <c r="AD299" s="70">
        <v>1.2901877951648941E-2</v>
      </c>
      <c r="AE299" s="70" t="s">
        <v>21</v>
      </c>
      <c r="AF299" s="62" t="s">
        <v>21</v>
      </c>
      <c r="AG299" s="70" t="s">
        <v>21</v>
      </c>
      <c r="AH299" s="70">
        <v>4.2269163387241128E-3</v>
      </c>
      <c r="AI299" s="70">
        <v>8.8250464516489418E-3</v>
      </c>
      <c r="AJ299" s="70" t="s">
        <v>21</v>
      </c>
      <c r="AK299" s="70" t="s">
        <v>21</v>
      </c>
    </row>
    <row r="300" spans="2:37" x14ac:dyDescent="0.35">
      <c r="B300" s="54" t="s">
        <v>206</v>
      </c>
      <c r="C300" s="52" t="s">
        <v>232</v>
      </c>
      <c r="D300" s="52" t="s">
        <v>207</v>
      </c>
      <c r="E300" s="52" t="s">
        <v>179</v>
      </c>
      <c r="F300" s="72" t="str">
        <f t="shared" si="30"/>
        <v/>
      </c>
      <c r="G300" s="59">
        <f t="shared" si="30"/>
        <v>1.0981718552788663E-2</v>
      </c>
      <c r="H300" s="59">
        <f t="shared" si="30"/>
        <v>1.884459513514735E-2</v>
      </c>
      <c r="I300" s="59" t="str">
        <f t="shared" si="30"/>
        <v/>
      </c>
      <c r="J300" s="62" t="str">
        <f t="shared" si="30"/>
        <v/>
      </c>
      <c r="K300" s="59" t="str">
        <f t="shared" si="31"/>
        <v/>
      </c>
      <c r="L300" s="59">
        <f t="shared" si="31"/>
        <v>8.0676213527886668E-3</v>
      </c>
      <c r="M300" s="59">
        <f t="shared" si="31"/>
        <v>1.4891603435147347E-2</v>
      </c>
      <c r="N300" s="59" t="str">
        <f t="shared" si="31"/>
        <v/>
      </c>
      <c r="O300" s="62" t="str">
        <f t="shared" si="31"/>
        <v/>
      </c>
      <c r="P300" s="54" t="s">
        <v>21</v>
      </c>
      <c r="Q300" s="52" t="s">
        <v>21</v>
      </c>
      <c r="R300" s="93" t="s">
        <v>21</v>
      </c>
      <c r="S300" s="72">
        <v>0</v>
      </c>
      <c r="T300" s="62">
        <f t="shared" si="32"/>
        <v>1.884459513514735E-2</v>
      </c>
      <c r="V300" s="71">
        <v>1.1061139100000001</v>
      </c>
      <c r="W300" s="71">
        <v>2.8136448599999997</v>
      </c>
      <c r="X300" s="71">
        <v>4.2847900799999996</v>
      </c>
      <c r="Y300" s="71">
        <v>5.5039446999999999</v>
      </c>
      <c r="Z300" s="114">
        <v>6.9335231100000003</v>
      </c>
      <c r="AB300" s="70" t="s">
        <v>21</v>
      </c>
      <c r="AC300" s="70">
        <v>1.0981718552788663E-2</v>
      </c>
      <c r="AD300" s="70">
        <v>1.884459513514735E-2</v>
      </c>
      <c r="AE300" s="70" t="s">
        <v>21</v>
      </c>
      <c r="AF300" s="62" t="s">
        <v>21</v>
      </c>
      <c r="AG300" s="70" t="s">
        <v>21</v>
      </c>
      <c r="AH300" s="70">
        <v>8.0676213527886668E-3</v>
      </c>
      <c r="AI300" s="70">
        <v>1.4891603435147347E-2</v>
      </c>
      <c r="AJ300" s="70" t="s">
        <v>21</v>
      </c>
      <c r="AK300" s="70" t="s">
        <v>21</v>
      </c>
    </row>
    <row r="301" spans="2:37" x14ac:dyDescent="0.35">
      <c r="B301" s="54" t="s">
        <v>411</v>
      </c>
      <c r="C301" s="52" t="s">
        <v>232</v>
      </c>
      <c r="D301" s="52" t="s">
        <v>411</v>
      </c>
      <c r="E301" s="52" t="s">
        <v>612</v>
      </c>
      <c r="F301" s="72" t="str">
        <f t="shared" si="30"/>
        <v/>
      </c>
      <c r="G301" s="59">
        <f t="shared" si="30"/>
        <v>3.314614802591314E-2</v>
      </c>
      <c r="H301" s="59">
        <f t="shared" si="30"/>
        <v>4.2717386870429613E-2</v>
      </c>
      <c r="I301" s="59" t="str">
        <f t="shared" si="30"/>
        <v/>
      </c>
      <c r="J301" s="62" t="str">
        <f t="shared" si="30"/>
        <v/>
      </c>
      <c r="K301" s="59" t="str">
        <f t="shared" si="31"/>
        <v/>
      </c>
      <c r="L301" s="59">
        <f t="shared" si="31"/>
        <v>2.974061002591314E-2</v>
      </c>
      <c r="M301" s="59">
        <f t="shared" si="31"/>
        <v>3.8018164270429616E-2</v>
      </c>
      <c r="N301" s="59" t="str">
        <f t="shared" si="31"/>
        <v/>
      </c>
      <c r="O301" s="62" t="str">
        <f t="shared" si="31"/>
        <v/>
      </c>
      <c r="P301" s="54" t="s">
        <v>613</v>
      </c>
      <c r="Q301" s="52" t="s">
        <v>614</v>
      </c>
      <c r="R301" s="93" t="s">
        <v>32</v>
      </c>
      <c r="S301" s="72">
        <v>3.6169550000000002E-2</v>
      </c>
      <c r="T301" s="62">
        <f t="shared" si="32"/>
        <v>6.5478368704296117E-3</v>
      </c>
      <c r="V301" s="71">
        <v>1.06842679</v>
      </c>
      <c r="W301" s="71">
        <v>2.6276051900000001</v>
      </c>
      <c r="X301" s="71">
        <v>3.8657377899999998</v>
      </c>
      <c r="Y301" s="71">
        <v>4.8178316600000004</v>
      </c>
      <c r="Z301" s="114">
        <v>5.8501526399999992</v>
      </c>
      <c r="AB301" s="70" t="s">
        <v>21</v>
      </c>
      <c r="AC301" s="70">
        <v>3.314614802591314E-2</v>
      </c>
      <c r="AD301" s="70">
        <v>4.2717386870429613E-2</v>
      </c>
      <c r="AE301" s="70" t="s">
        <v>21</v>
      </c>
      <c r="AF301" s="62" t="s">
        <v>21</v>
      </c>
      <c r="AG301" s="70" t="s">
        <v>21</v>
      </c>
      <c r="AH301" s="70">
        <v>2.974061002591314E-2</v>
      </c>
      <c r="AI301" s="70">
        <v>3.8018164270429616E-2</v>
      </c>
      <c r="AJ301" s="70" t="s">
        <v>21</v>
      </c>
      <c r="AK301" s="70" t="s">
        <v>21</v>
      </c>
    </row>
    <row r="302" spans="2:37" x14ac:dyDescent="0.35">
      <c r="B302" s="54" t="s">
        <v>208</v>
      </c>
      <c r="C302" s="52" t="s">
        <v>232</v>
      </c>
      <c r="D302" s="52" t="s">
        <v>208</v>
      </c>
      <c r="E302" s="52" t="s">
        <v>615</v>
      </c>
      <c r="F302" s="72" t="str">
        <f t="shared" si="30"/>
        <v/>
      </c>
      <c r="G302" s="59">
        <f t="shared" si="30"/>
        <v>8.792689491676416E-3</v>
      </c>
      <c r="H302" s="59">
        <f t="shared" si="30"/>
        <v>1.4641838535739351E-2</v>
      </c>
      <c r="I302" s="59" t="str">
        <f t="shared" si="30"/>
        <v/>
      </c>
      <c r="J302" s="62" t="str">
        <f t="shared" si="30"/>
        <v/>
      </c>
      <c r="K302" s="59" t="str">
        <f t="shared" si="31"/>
        <v/>
      </c>
      <c r="L302" s="59">
        <f t="shared" si="31"/>
        <v>5.8157334916764149E-3</v>
      </c>
      <c r="M302" s="59">
        <f t="shared" si="31"/>
        <v>1.0630119335739357E-2</v>
      </c>
      <c r="N302" s="59" t="str">
        <f t="shared" si="31"/>
        <v/>
      </c>
      <c r="O302" s="62" t="str">
        <f t="shared" si="31"/>
        <v/>
      </c>
      <c r="P302" s="54" t="s">
        <v>616</v>
      </c>
      <c r="Q302" s="52" t="s">
        <v>617</v>
      </c>
      <c r="R302" s="93" t="s">
        <v>32</v>
      </c>
      <c r="S302" s="72">
        <v>1.2032830000000001E-2</v>
      </c>
      <c r="T302" s="62">
        <f t="shared" si="32"/>
        <v>2.6090085357393499E-3</v>
      </c>
      <c r="V302" s="71">
        <v>1.10820049</v>
      </c>
      <c r="W302" s="71">
        <v>2.8298670399999999</v>
      </c>
      <c r="X302" s="71">
        <v>4.3406847099999997</v>
      </c>
      <c r="Y302" s="71">
        <v>5.6358699999999997</v>
      </c>
      <c r="Z302" s="114">
        <v>7.2407372499999996</v>
      </c>
      <c r="AB302" s="70" t="s">
        <v>21</v>
      </c>
      <c r="AC302" s="70">
        <v>8.792689491676416E-3</v>
      </c>
      <c r="AD302" s="70">
        <v>1.4641838535739351E-2</v>
      </c>
      <c r="AE302" s="70" t="s">
        <v>21</v>
      </c>
      <c r="AF302" s="62" t="s">
        <v>21</v>
      </c>
      <c r="AG302" s="70" t="s">
        <v>21</v>
      </c>
      <c r="AH302" s="70">
        <v>5.8157334916764149E-3</v>
      </c>
      <c r="AI302" s="70">
        <v>1.0630119335739357E-2</v>
      </c>
      <c r="AJ302" s="70" t="s">
        <v>21</v>
      </c>
      <c r="AK302" s="70" t="s">
        <v>21</v>
      </c>
    </row>
    <row r="303" spans="2:37" x14ac:dyDescent="0.35">
      <c r="B303" s="54" t="s">
        <v>209</v>
      </c>
      <c r="C303" s="52" t="s">
        <v>232</v>
      </c>
      <c r="D303" s="52" t="s">
        <v>209</v>
      </c>
      <c r="E303" s="52" t="s">
        <v>618</v>
      </c>
      <c r="F303" s="72" t="str">
        <f t="shared" si="30"/>
        <v/>
      </c>
      <c r="G303" s="59">
        <f t="shared" si="30"/>
        <v>1.5263581374394078E-2</v>
      </c>
      <c r="H303" s="59">
        <f t="shared" si="30"/>
        <v>2.3824983316515325E-2</v>
      </c>
      <c r="I303" s="59" t="str">
        <f t="shared" si="30"/>
        <v/>
      </c>
      <c r="J303" s="62" t="str">
        <f t="shared" si="30"/>
        <v/>
      </c>
      <c r="K303" s="59" t="str">
        <f t="shared" si="31"/>
        <v/>
      </c>
      <c r="L303" s="59">
        <f t="shared" si="31"/>
        <v>1.2353973174394078E-2</v>
      </c>
      <c r="M303" s="59">
        <f t="shared" si="31"/>
        <v>1.9801701516515325E-2</v>
      </c>
      <c r="N303" s="59" t="str">
        <f t="shared" si="31"/>
        <v/>
      </c>
      <c r="O303" s="62" t="str">
        <f t="shared" si="31"/>
        <v/>
      </c>
      <c r="P303" s="54" t="s">
        <v>619</v>
      </c>
      <c r="Q303" s="52" t="s">
        <v>620</v>
      </c>
      <c r="R303" s="93" t="s">
        <v>32</v>
      </c>
      <c r="S303" s="72">
        <v>3.343322E-2</v>
      </c>
      <c r="T303" s="62">
        <f t="shared" si="32"/>
        <v>-9.6082366834846743E-3</v>
      </c>
      <c r="V303" s="71">
        <v>1.09895232</v>
      </c>
      <c r="W303" s="71">
        <v>2.7677831300000002</v>
      </c>
      <c r="X303" s="71">
        <v>4.1708521999999997</v>
      </c>
      <c r="Y303" s="71">
        <v>5.3121286400000001</v>
      </c>
      <c r="Z303" s="114">
        <v>6.6469019899999999</v>
      </c>
      <c r="AB303" s="70" t="s">
        <v>21</v>
      </c>
      <c r="AC303" s="70">
        <v>1.5263581374394078E-2</v>
      </c>
      <c r="AD303" s="70">
        <v>2.3824983316515325E-2</v>
      </c>
      <c r="AE303" s="70" t="s">
        <v>21</v>
      </c>
      <c r="AF303" s="62" t="s">
        <v>21</v>
      </c>
      <c r="AG303" s="70" t="s">
        <v>21</v>
      </c>
      <c r="AH303" s="70">
        <v>1.2353973174394078E-2</v>
      </c>
      <c r="AI303" s="70">
        <v>1.9801701516515325E-2</v>
      </c>
      <c r="AJ303" s="70" t="s">
        <v>21</v>
      </c>
      <c r="AK303" s="70" t="s">
        <v>21</v>
      </c>
    </row>
    <row r="304" spans="2:37" x14ac:dyDescent="0.35">
      <c r="B304" s="54" t="s">
        <v>210</v>
      </c>
      <c r="C304" s="52" t="s">
        <v>232</v>
      </c>
      <c r="D304" s="52" t="s">
        <v>210</v>
      </c>
      <c r="E304" s="52" t="s">
        <v>572</v>
      </c>
      <c r="F304" s="72" t="str">
        <f t="shared" si="30"/>
        <v/>
      </c>
      <c r="G304" s="59">
        <f t="shared" si="30"/>
        <v>2.547726114075281E-2</v>
      </c>
      <c r="H304" s="59">
        <f t="shared" si="30"/>
        <v>3.7088160610844301E-2</v>
      </c>
      <c r="I304" s="59" t="str">
        <f t="shared" si="30"/>
        <v/>
      </c>
      <c r="J304" s="62" t="str">
        <f t="shared" si="30"/>
        <v/>
      </c>
      <c r="K304" s="59" t="str">
        <f t="shared" si="31"/>
        <v/>
      </c>
      <c r="L304" s="59">
        <f t="shared" si="31"/>
        <v>2.2375329340752811E-2</v>
      </c>
      <c r="M304" s="59">
        <f t="shared" si="31"/>
        <v>3.2685084210844303E-2</v>
      </c>
      <c r="N304" s="59" t="str">
        <f t="shared" si="31"/>
        <v/>
      </c>
      <c r="O304" s="62" t="str">
        <f t="shared" si="31"/>
        <v/>
      </c>
      <c r="P304" s="54" t="s">
        <v>621</v>
      </c>
      <c r="Q304" s="52" t="s">
        <v>622</v>
      </c>
      <c r="R304" s="93" t="s">
        <v>32</v>
      </c>
      <c r="S304" s="72">
        <v>2.8718689999999998E-2</v>
      </c>
      <c r="T304" s="62">
        <f t="shared" si="32"/>
        <v>8.3694706108443026E-3</v>
      </c>
      <c r="V304" s="71">
        <v>1.08746984</v>
      </c>
      <c r="W304" s="71">
        <v>2.7031565999999998</v>
      </c>
      <c r="X304" s="71">
        <v>4.0011619099999995</v>
      </c>
      <c r="Y304" s="71">
        <v>5.01009072</v>
      </c>
      <c r="Z304" s="114">
        <v>6.12122206</v>
      </c>
      <c r="AB304" s="70" t="s">
        <v>21</v>
      </c>
      <c r="AC304" s="70">
        <v>2.547726114075281E-2</v>
      </c>
      <c r="AD304" s="70">
        <v>3.7088160610844301E-2</v>
      </c>
      <c r="AE304" s="70" t="s">
        <v>21</v>
      </c>
      <c r="AF304" s="62" t="s">
        <v>21</v>
      </c>
      <c r="AG304" s="70" t="s">
        <v>21</v>
      </c>
      <c r="AH304" s="70">
        <v>2.2375329340752811E-2</v>
      </c>
      <c r="AI304" s="70">
        <v>3.2685084210844303E-2</v>
      </c>
      <c r="AJ304" s="70" t="s">
        <v>21</v>
      </c>
      <c r="AK304" s="70" t="s">
        <v>21</v>
      </c>
    </row>
    <row r="305" spans="2:37" x14ac:dyDescent="0.35">
      <c r="B305" s="54" t="s">
        <v>211</v>
      </c>
      <c r="C305" s="52" t="s">
        <v>232</v>
      </c>
      <c r="D305" s="52" t="s">
        <v>211</v>
      </c>
      <c r="E305" s="52" t="s">
        <v>623</v>
      </c>
      <c r="F305" s="72" t="str">
        <f t="shared" si="30"/>
        <v/>
      </c>
      <c r="G305" s="59">
        <f t="shared" si="30"/>
        <v>2.3048862778134251E-2</v>
      </c>
      <c r="H305" s="59">
        <f t="shared" si="30"/>
        <v>3.3330304708470614E-2</v>
      </c>
      <c r="I305" s="59" t="str">
        <f t="shared" si="30"/>
        <v/>
      </c>
      <c r="J305" s="62" t="str">
        <f t="shared" si="30"/>
        <v/>
      </c>
      <c r="K305" s="59" t="str">
        <f t="shared" si="31"/>
        <v/>
      </c>
      <c r="L305" s="59">
        <f t="shared" si="31"/>
        <v>2.001097017813425E-2</v>
      </c>
      <c r="M305" s="59">
        <f t="shared" si="31"/>
        <v>2.9070460208470612E-2</v>
      </c>
      <c r="N305" s="59" t="str">
        <f t="shared" si="31"/>
        <v/>
      </c>
      <c r="O305" s="62" t="str">
        <f t="shared" si="31"/>
        <v/>
      </c>
      <c r="P305" s="54" t="s">
        <v>624</v>
      </c>
      <c r="Q305" s="52" t="s">
        <v>625</v>
      </c>
      <c r="R305" s="93" t="s">
        <v>32</v>
      </c>
      <c r="S305" s="72">
        <v>2.540806E-2</v>
      </c>
      <c r="T305" s="62">
        <f t="shared" si="32"/>
        <v>7.9222447084706139E-3</v>
      </c>
      <c r="V305" s="71">
        <v>1.09206202</v>
      </c>
      <c r="W305" s="71">
        <v>2.72063173</v>
      </c>
      <c r="X305" s="71">
        <v>4.0490385199999999</v>
      </c>
      <c r="Y305" s="71">
        <v>5.0897024599999998</v>
      </c>
      <c r="Z305" s="114">
        <v>6.2400305400000002</v>
      </c>
      <c r="AB305" s="70" t="s">
        <v>21</v>
      </c>
      <c r="AC305" s="70">
        <v>2.3048862778134251E-2</v>
      </c>
      <c r="AD305" s="70">
        <v>3.3330304708470614E-2</v>
      </c>
      <c r="AE305" s="70" t="s">
        <v>21</v>
      </c>
      <c r="AF305" s="62" t="s">
        <v>21</v>
      </c>
      <c r="AG305" s="70" t="s">
        <v>21</v>
      </c>
      <c r="AH305" s="70">
        <v>2.001097017813425E-2</v>
      </c>
      <c r="AI305" s="70">
        <v>2.9070460208470612E-2</v>
      </c>
      <c r="AJ305" s="70" t="s">
        <v>21</v>
      </c>
      <c r="AK305" s="70" t="s">
        <v>21</v>
      </c>
    </row>
    <row r="306" spans="2:37" x14ac:dyDescent="0.35">
      <c r="B306" s="54" t="s">
        <v>272</v>
      </c>
      <c r="C306" s="52" t="s">
        <v>232</v>
      </c>
      <c r="D306" s="52" t="s">
        <v>272</v>
      </c>
      <c r="E306" s="52" t="s">
        <v>286</v>
      </c>
      <c r="F306" s="72" t="str">
        <f t="shared" ref="F306:J316" si="33">IF(ISNUMBER(AB306),AB306-((C$4-C$3)/V306),"")</f>
        <v/>
      </c>
      <c r="G306" s="59">
        <f t="shared" si="33"/>
        <v>7.1355117999832452E-3</v>
      </c>
      <c r="H306" s="59">
        <f t="shared" si="33"/>
        <v>1.4185912688976669E-2</v>
      </c>
      <c r="I306" s="59" t="str">
        <f t="shared" si="33"/>
        <v/>
      </c>
      <c r="J306" s="62" t="str">
        <f t="shared" si="33"/>
        <v/>
      </c>
      <c r="K306" s="59" t="str">
        <f t="shared" ref="K306:O316" si="34">IF(ISNUMBER(AG306),IF(AG306-((C$4-C$3)/V306)&lt;0,"",AG306-((C$4-C$3)/V306)),"")</f>
        <v/>
      </c>
      <c r="L306" s="59">
        <f t="shared" si="34"/>
        <v>4.0747434999832445E-3</v>
      </c>
      <c r="M306" s="59">
        <f t="shared" si="34"/>
        <v>1.0158058688976672E-2</v>
      </c>
      <c r="N306" s="59" t="str">
        <f t="shared" si="34"/>
        <v/>
      </c>
      <c r="O306" s="62" t="str">
        <f t="shared" si="34"/>
        <v/>
      </c>
      <c r="P306" s="54" t="s">
        <v>21</v>
      </c>
      <c r="Q306" s="52" t="s">
        <v>21</v>
      </c>
      <c r="R306" s="93" t="s">
        <v>21</v>
      </c>
      <c r="S306" s="72">
        <v>0</v>
      </c>
      <c r="T306" s="62">
        <f t="shared" si="32"/>
        <v>1.4185912688976669E-2</v>
      </c>
      <c r="V306" s="71">
        <v>1.11026471</v>
      </c>
      <c r="W306" s="71">
        <v>2.8427046300000001</v>
      </c>
      <c r="X306" s="71">
        <v>4.3625165200000007</v>
      </c>
      <c r="Y306" s="71">
        <v>5.6462589400000001</v>
      </c>
      <c r="Z306" s="114">
        <v>7.2263678299999992</v>
      </c>
      <c r="AB306" s="70" t="s">
        <v>21</v>
      </c>
      <c r="AC306" s="70">
        <v>7.1355117999832452E-3</v>
      </c>
      <c r="AD306" s="70">
        <v>1.4185912688976669E-2</v>
      </c>
      <c r="AE306" s="70" t="s">
        <v>21</v>
      </c>
      <c r="AF306" s="62" t="s">
        <v>21</v>
      </c>
      <c r="AG306" s="70" t="s">
        <v>21</v>
      </c>
      <c r="AH306" s="70">
        <v>4.0747434999832445E-3</v>
      </c>
      <c r="AI306" s="70">
        <v>1.0158058688976672E-2</v>
      </c>
      <c r="AJ306" s="70" t="s">
        <v>21</v>
      </c>
      <c r="AK306" s="70" t="s">
        <v>21</v>
      </c>
    </row>
    <row r="307" spans="2:37" x14ac:dyDescent="0.35">
      <c r="B307" s="54" t="s">
        <v>273</v>
      </c>
      <c r="C307" s="52" t="s">
        <v>232</v>
      </c>
      <c r="D307" s="52" t="s">
        <v>273</v>
      </c>
      <c r="E307" s="52" t="s">
        <v>274</v>
      </c>
      <c r="F307" s="72" t="str">
        <f t="shared" si="33"/>
        <v/>
      </c>
      <c r="G307" s="59">
        <f t="shared" si="33"/>
        <v>1.0600795322951672E-2</v>
      </c>
      <c r="H307" s="59">
        <f t="shared" si="33"/>
        <v>1.7723548418429436E-2</v>
      </c>
      <c r="I307" s="59" t="str">
        <f t="shared" si="33"/>
        <v/>
      </c>
      <c r="J307" s="62" t="str">
        <f t="shared" si="33"/>
        <v/>
      </c>
      <c r="K307" s="59" t="str">
        <f t="shared" si="34"/>
        <v/>
      </c>
      <c r="L307" s="59">
        <f t="shared" si="34"/>
        <v>7.6746562229516764E-3</v>
      </c>
      <c r="M307" s="59">
        <f t="shared" si="34"/>
        <v>1.3763975718429432E-2</v>
      </c>
      <c r="N307" s="59" t="str">
        <f t="shared" si="34"/>
        <v/>
      </c>
      <c r="O307" s="62" t="str">
        <f t="shared" si="34"/>
        <v/>
      </c>
      <c r="P307" s="54" t="s">
        <v>626</v>
      </c>
      <c r="Q307" s="52" t="s">
        <v>627</v>
      </c>
      <c r="R307" s="93" t="s">
        <v>32</v>
      </c>
      <c r="S307" s="72">
        <v>1.5018689999999999E-2</v>
      </c>
      <c r="T307" s="62">
        <f t="shared" si="32"/>
        <v>2.7048584184294362E-3</v>
      </c>
      <c r="V307" s="71">
        <v>1.1085607200000001</v>
      </c>
      <c r="W307" s="71">
        <v>2.8214269700000001</v>
      </c>
      <c r="X307" s="71">
        <v>4.3028212699999999</v>
      </c>
      <c r="Y307" s="71">
        <v>5.5460887400000001</v>
      </c>
      <c r="Z307" s="114">
        <v>7.0504722199999996</v>
      </c>
      <c r="AB307" s="70" t="s">
        <v>21</v>
      </c>
      <c r="AC307" s="70">
        <v>1.0600795322951672E-2</v>
      </c>
      <c r="AD307" s="70">
        <v>1.7723548418429436E-2</v>
      </c>
      <c r="AE307" s="70" t="s">
        <v>21</v>
      </c>
      <c r="AF307" s="62" t="s">
        <v>21</v>
      </c>
      <c r="AG307" s="70" t="s">
        <v>21</v>
      </c>
      <c r="AH307" s="70">
        <v>7.6746562229516764E-3</v>
      </c>
      <c r="AI307" s="70">
        <v>1.3763975718429432E-2</v>
      </c>
      <c r="AJ307" s="70" t="s">
        <v>21</v>
      </c>
      <c r="AK307" s="70" t="s">
        <v>21</v>
      </c>
    </row>
    <row r="308" spans="2:37" x14ac:dyDescent="0.35">
      <c r="B308" s="137" t="s">
        <v>277</v>
      </c>
      <c r="C308" s="138" t="s">
        <v>232</v>
      </c>
      <c r="D308" s="138" t="s">
        <v>277</v>
      </c>
      <c r="E308" s="138" t="s">
        <v>278</v>
      </c>
      <c r="F308" s="72" t="str">
        <f t="shared" si="33"/>
        <v/>
      </c>
      <c r="G308" s="59">
        <f t="shared" si="33"/>
        <v>7.2519634968280164E-3</v>
      </c>
      <c r="H308" s="59">
        <f t="shared" si="33"/>
        <v>1.3177037570463963E-2</v>
      </c>
      <c r="I308" s="59" t="str">
        <f t="shared" si="33"/>
        <v/>
      </c>
      <c r="J308" s="62" t="str">
        <f t="shared" si="33"/>
        <v/>
      </c>
      <c r="K308" s="59" t="str">
        <f t="shared" si="34"/>
        <v/>
      </c>
      <c r="L308" s="59">
        <f t="shared" si="34"/>
        <v>4.1979638968280171E-3</v>
      </c>
      <c r="M308" s="59">
        <f t="shared" si="34"/>
        <v>9.1128202704639678E-3</v>
      </c>
      <c r="N308" s="59" t="str">
        <f t="shared" si="34"/>
        <v/>
      </c>
      <c r="O308" s="62" t="str">
        <f t="shared" si="34"/>
        <v/>
      </c>
      <c r="P308" s="137" t="s">
        <v>628</v>
      </c>
      <c r="Q308" s="138" t="s">
        <v>629</v>
      </c>
      <c r="R308" s="142" t="s">
        <v>32</v>
      </c>
      <c r="S308" s="139">
        <v>6.6814500000000002E-3</v>
      </c>
      <c r="T308" s="62">
        <f t="shared" si="32"/>
        <v>6.4955875704639631E-3</v>
      </c>
      <c r="V308" s="144">
        <v>1.11038065</v>
      </c>
      <c r="W308" s="144">
        <v>2.8416580800000002</v>
      </c>
      <c r="X308" s="144">
        <v>4.3683934299999994</v>
      </c>
      <c r="Y308" s="144">
        <v>5.6811392099999996</v>
      </c>
      <c r="Z308" s="145">
        <v>7.3120042999999999</v>
      </c>
      <c r="AB308" s="140" t="s">
        <v>21</v>
      </c>
      <c r="AC308" s="140">
        <v>7.2519634968280164E-3</v>
      </c>
      <c r="AD308" s="140">
        <v>1.3177037570463963E-2</v>
      </c>
      <c r="AE308" s="140" t="s">
        <v>21</v>
      </c>
      <c r="AF308" s="141" t="s">
        <v>21</v>
      </c>
      <c r="AG308" s="140" t="s">
        <v>21</v>
      </c>
      <c r="AH308" s="140">
        <v>4.1979638968280171E-3</v>
      </c>
      <c r="AI308" s="140">
        <v>9.1128202704639678E-3</v>
      </c>
      <c r="AJ308" s="140" t="s">
        <v>21</v>
      </c>
      <c r="AK308" s="140" t="s">
        <v>21</v>
      </c>
    </row>
    <row r="309" spans="2:37" x14ac:dyDescent="0.35">
      <c r="B309" s="137" t="s">
        <v>279</v>
      </c>
      <c r="C309" s="138" t="s">
        <v>232</v>
      </c>
      <c r="D309" s="138" t="s">
        <v>279</v>
      </c>
      <c r="E309" s="138" t="s">
        <v>48</v>
      </c>
      <c r="F309" s="72" t="str">
        <f t="shared" si="33"/>
        <v/>
      </c>
      <c r="G309" s="59">
        <f t="shared" si="33"/>
        <v>1.3938923200035196E-2</v>
      </c>
      <c r="H309" s="59">
        <f t="shared" si="33"/>
        <v>2.2242573899082973E-2</v>
      </c>
      <c r="I309" s="59" t="str">
        <f t="shared" si="33"/>
        <v/>
      </c>
      <c r="J309" s="62" t="str">
        <f t="shared" si="33"/>
        <v/>
      </c>
      <c r="K309" s="59" t="str">
        <f t="shared" si="34"/>
        <v/>
      </c>
      <c r="L309" s="59">
        <f t="shared" si="34"/>
        <v>1.1051620000035194E-2</v>
      </c>
      <c r="M309" s="59">
        <f t="shared" si="34"/>
        <v>1.8275375499082973E-2</v>
      </c>
      <c r="N309" s="59" t="str">
        <f t="shared" si="34"/>
        <v/>
      </c>
      <c r="O309" s="62" t="str">
        <f t="shared" si="34"/>
        <v/>
      </c>
      <c r="P309" s="137" t="s">
        <v>630</v>
      </c>
      <c r="Q309" s="138" t="s">
        <v>631</v>
      </c>
      <c r="R309" s="142" t="s">
        <v>32</v>
      </c>
      <c r="S309" s="139">
        <v>1.7873239999999999E-2</v>
      </c>
      <c r="T309" s="62">
        <f t="shared" si="32"/>
        <v>4.3693338990829743E-3</v>
      </c>
      <c r="V309" s="144">
        <v>1.1036777899999999</v>
      </c>
      <c r="W309" s="144">
        <v>2.7919774099999999</v>
      </c>
      <c r="X309" s="144">
        <v>4.2283059200000004</v>
      </c>
      <c r="Y309" s="144">
        <v>5.4073851099999999</v>
      </c>
      <c r="Z309" s="145">
        <v>6.7696739199999998</v>
      </c>
      <c r="AB309" s="140" t="s">
        <v>21</v>
      </c>
      <c r="AC309" s="140">
        <v>1.3938923200035196E-2</v>
      </c>
      <c r="AD309" s="140">
        <v>2.2242573899082973E-2</v>
      </c>
      <c r="AE309" s="140" t="s">
        <v>21</v>
      </c>
      <c r="AF309" s="141" t="s">
        <v>21</v>
      </c>
      <c r="AG309" s="140" t="s">
        <v>21</v>
      </c>
      <c r="AH309" s="140">
        <v>1.1051620000035194E-2</v>
      </c>
      <c r="AI309" s="140">
        <v>1.8275375499082973E-2</v>
      </c>
      <c r="AJ309" s="140" t="s">
        <v>21</v>
      </c>
      <c r="AK309" s="140" t="s">
        <v>21</v>
      </c>
    </row>
    <row r="310" spans="2:37" x14ac:dyDescent="0.35">
      <c r="B310" s="146" t="s">
        <v>275</v>
      </c>
      <c r="C310" s="147" t="s">
        <v>232</v>
      </c>
      <c r="D310" s="147" t="s">
        <v>276</v>
      </c>
      <c r="E310" s="147" t="s">
        <v>123</v>
      </c>
      <c r="F310" s="72" t="str">
        <f t="shared" si="33"/>
        <v/>
      </c>
      <c r="G310" s="59">
        <f t="shared" si="33"/>
        <v>1.0407360518546521E-2</v>
      </c>
      <c r="H310" s="59">
        <f t="shared" si="33"/>
        <v>1.6575336740540767E-2</v>
      </c>
      <c r="I310" s="59" t="str">
        <f t="shared" si="33"/>
        <v/>
      </c>
      <c r="J310" s="62" t="str">
        <f t="shared" si="33"/>
        <v/>
      </c>
      <c r="K310" s="59" t="str">
        <f t="shared" si="34"/>
        <v/>
      </c>
      <c r="L310" s="59">
        <f t="shared" si="34"/>
        <v>7.4649180185465177E-3</v>
      </c>
      <c r="M310" s="59">
        <f t="shared" si="34"/>
        <v>1.2585285840540767E-2</v>
      </c>
      <c r="N310" s="59" t="str">
        <f t="shared" si="34"/>
        <v/>
      </c>
      <c r="O310" s="62" t="str">
        <f t="shared" si="34"/>
        <v/>
      </c>
      <c r="P310" s="146" t="s">
        <v>632</v>
      </c>
      <c r="Q310" s="147" t="s">
        <v>633</v>
      </c>
      <c r="R310" s="151" t="s">
        <v>32</v>
      </c>
      <c r="S310" s="148">
        <v>1.1508570000000001E-2</v>
      </c>
      <c r="T310" s="62">
        <f t="shared" si="32"/>
        <v>5.0667667405407662E-3</v>
      </c>
      <c r="V310" s="153">
        <v>1.1044839799999999</v>
      </c>
      <c r="W310" s="153">
        <v>2.8058260900000001</v>
      </c>
      <c r="X310" s="153">
        <v>4.2770026400000001</v>
      </c>
      <c r="Y310" s="153">
        <v>5.51327181</v>
      </c>
      <c r="Z310" s="154">
        <v>6.9817553199999995</v>
      </c>
      <c r="AB310" s="149" t="s">
        <v>21</v>
      </c>
      <c r="AC310" s="149">
        <v>1.0407360518546521E-2</v>
      </c>
      <c r="AD310" s="149">
        <v>1.6575336740540767E-2</v>
      </c>
      <c r="AE310" s="149" t="s">
        <v>21</v>
      </c>
      <c r="AF310" s="150" t="s">
        <v>21</v>
      </c>
      <c r="AG310" s="149" t="s">
        <v>21</v>
      </c>
      <c r="AH310" s="149">
        <v>7.4649180185465177E-3</v>
      </c>
      <c r="AI310" s="149">
        <v>1.2585285840540767E-2</v>
      </c>
      <c r="AJ310" s="149" t="s">
        <v>21</v>
      </c>
      <c r="AK310" s="149" t="s">
        <v>21</v>
      </c>
    </row>
    <row r="311" spans="2:37" x14ac:dyDescent="0.35">
      <c r="B311" s="54" t="s">
        <v>212</v>
      </c>
      <c r="C311" s="52" t="s">
        <v>232</v>
      </c>
      <c r="D311" s="52" t="s">
        <v>199</v>
      </c>
      <c r="E311" s="52" t="s">
        <v>293</v>
      </c>
      <c r="F311" s="74" t="str">
        <f t="shared" si="33"/>
        <v/>
      </c>
      <c r="G311" s="79">
        <f t="shared" si="33"/>
        <v>1.1070564353994377E-2</v>
      </c>
      <c r="H311" s="79">
        <f t="shared" si="33"/>
        <v>2.0308767601406579E-2</v>
      </c>
      <c r="I311" s="79" t="str">
        <f t="shared" si="33"/>
        <v/>
      </c>
      <c r="J311" s="61" t="str">
        <f t="shared" si="33"/>
        <v/>
      </c>
      <c r="K311" s="79" t="str">
        <f t="shared" si="34"/>
        <v/>
      </c>
      <c r="L311" s="79">
        <f t="shared" si="34"/>
        <v>8.1643943539943756E-3</v>
      </c>
      <c r="M311" s="79">
        <f t="shared" si="34"/>
        <v>1.6351426701406581E-2</v>
      </c>
      <c r="N311" s="79" t="str">
        <f t="shared" si="34"/>
        <v/>
      </c>
      <c r="O311" s="61" t="str">
        <f t="shared" si="34"/>
        <v/>
      </c>
      <c r="P311" s="54" t="s">
        <v>634</v>
      </c>
      <c r="Q311" s="52" t="s">
        <v>635</v>
      </c>
      <c r="R311" s="93" t="s">
        <v>32</v>
      </c>
      <c r="S311" s="72">
        <v>1.546616E-2</v>
      </c>
      <c r="T311" s="61">
        <f t="shared" si="32"/>
        <v>4.8426076014065796E-3</v>
      </c>
      <c r="V311" s="71">
        <v>1.1077070200000001</v>
      </c>
      <c r="W311" s="71">
        <v>2.8135609700000002</v>
      </c>
      <c r="X311" s="71">
        <v>4.2664761699999998</v>
      </c>
      <c r="Y311" s="71">
        <v>5.4524312900000007</v>
      </c>
      <c r="Z311" s="114">
        <v>6.823554549999999</v>
      </c>
      <c r="AB311" s="70" t="s">
        <v>21</v>
      </c>
      <c r="AC311" s="70">
        <v>1.1070564353994377E-2</v>
      </c>
      <c r="AD311" s="70">
        <v>2.0308767601406579E-2</v>
      </c>
      <c r="AE311" s="70" t="s">
        <v>21</v>
      </c>
      <c r="AF311" s="62" t="s">
        <v>21</v>
      </c>
      <c r="AG311" s="70" t="s">
        <v>21</v>
      </c>
      <c r="AH311" s="70">
        <v>8.1643943539943756E-3</v>
      </c>
      <c r="AI311" s="70">
        <v>1.6351426701406581E-2</v>
      </c>
      <c r="AJ311" s="70" t="s">
        <v>21</v>
      </c>
      <c r="AK311" s="70" t="s">
        <v>21</v>
      </c>
    </row>
    <row r="312" spans="2:37" x14ac:dyDescent="0.35">
      <c r="B312" s="54" t="s">
        <v>213</v>
      </c>
      <c r="C312" s="52" t="s">
        <v>232</v>
      </c>
      <c r="D312" s="52" t="s">
        <v>197</v>
      </c>
      <c r="E312" s="52" t="s">
        <v>636</v>
      </c>
      <c r="F312" s="72" t="str">
        <f t="shared" si="33"/>
        <v/>
      </c>
      <c r="G312" s="59">
        <f t="shared" si="33"/>
        <v>2.5599519317768677E-2</v>
      </c>
      <c r="H312" s="59">
        <f t="shared" si="33"/>
        <v>3.4686676153584513E-2</v>
      </c>
      <c r="I312" s="59" t="str">
        <f t="shared" si="33"/>
        <v/>
      </c>
      <c r="J312" s="62" t="str">
        <f t="shared" si="33"/>
        <v/>
      </c>
      <c r="K312" s="59" t="str">
        <f t="shared" si="34"/>
        <v/>
      </c>
      <c r="L312" s="59">
        <f t="shared" si="34"/>
        <v>2.2483582017768674E-2</v>
      </c>
      <c r="M312" s="59">
        <f t="shared" si="34"/>
        <v>3.036285765358452E-2</v>
      </c>
      <c r="N312" s="59" t="str">
        <f t="shared" si="34"/>
        <v/>
      </c>
      <c r="O312" s="62" t="str">
        <f t="shared" si="34"/>
        <v/>
      </c>
      <c r="P312" s="54" t="s">
        <v>21</v>
      </c>
      <c r="Q312" s="52" t="s">
        <v>21</v>
      </c>
      <c r="R312" s="93" t="s">
        <v>21</v>
      </c>
      <c r="S312" s="72">
        <v>0</v>
      </c>
      <c r="T312" s="62">
        <f t="shared" si="32"/>
        <v>3.4686676153584513E-2</v>
      </c>
      <c r="V312" s="71">
        <v>1.0819724500000001</v>
      </c>
      <c r="W312" s="71">
        <v>2.68740187</v>
      </c>
      <c r="X312" s="71">
        <v>3.9999037899999998</v>
      </c>
      <c r="Y312" s="71">
        <v>5.0197931100000002</v>
      </c>
      <c r="Z312" s="114">
        <v>6.1446861300000002</v>
      </c>
      <c r="AB312" s="70" t="s">
        <v>21</v>
      </c>
      <c r="AC312" s="70">
        <v>2.5599519317768677E-2</v>
      </c>
      <c r="AD312" s="70">
        <v>3.4686676153584513E-2</v>
      </c>
      <c r="AE312" s="70" t="s">
        <v>21</v>
      </c>
      <c r="AF312" s="62" t="s">
        <v>21</v>
      </c>
      <c r="AG312" s="70" t="s">
        <v>21</v>
      </c>
      <c r="AH312" s="70">
        <v>2.2483582017768674E-2</v>
      </c>
      <c r="AI312" s="70">
        <v>3.036285765358452E-2</v>
      </c>
      <c r="AJ312" s="70" t="s">
        <v>21</v>
      </c>
      <c r="AK312" s="70" t="s">
        <v>21</v>
      </c>
    </row>
    <row r="313" spans="2:37" x14ac:dyDescent="0.35">
      <c r="B313" s="54" t="s">
        <v>280</v>
      </c>
      <c r="C313" s="52" t="s">
        <v>232</v>
      </c>
      <c r="D313" s="52" t="s">
        <v>199</v>
      </c>
      <c r="E313" s="52" t="s">
        <v>133</v>
      </c>
      <c r="F313" s="72" t="str">
        <f t="shared" si="33"/>
        <v/>
      </c>
      <c r="G313" s="59" t="str">
        <f t="shared" si="33"/>
        <v/>
      </c>
      <c r="H313" s="59">
        <f t="shared" si="33"/>
        <v>1.0572590095414185E-2</v>
      </c>
      <c r="I313" s="59" t="str">
        <f t="shared" si="33"/>
        <v/>
      </c>
      <c r="J313" s="62" t="str">
        <f t="shared" si="33"/>
        <v/>
      </c>
      <c r="K313" s="59" t="str">
        <f t="shared" si="34"/>
        <v/>
      </c>
      <c r="L313" s="59" t="str">
        <f t="shared" si="34"/>
        <v/>
      </c>
      <c r="M313" s="59">
        <f t="shared" si="34"/>
        <v>6.5206350954141873E-3</v>
      </c>
      <c r="N313" s="59" t="str">
        <f t="shared" si="34"/>
        <v/>
      </c>
      <c r="O313" s="62" t="str">
        <f t="shared" si="34"/>
        <v/>
      </c>
      <c r="P313" s="54" t="s">
        <v>294</v>
      </c>
      <c r="Q313" s="52" t="s">
        <v>295</v>
      </c>
      <c r="R313" s="93">
        <v>47581</v>
      </c>
      <c r="S313" s="72">
        <v>1.3005640000000001E-2</v>
      </c>
      <c r="T313" s="62">
        <f t="shared" si="32"/>
        <v>-2.4330499045858156E-3</v>
      </c>
      <c r="V313" s="71">
        <v>1.10812504</v>
      </c>
      <c r="W313" s="71">
        <v>2.8364326799999997</v>
      </c>
      <c r="X313" s="71">
        <v>4.3599992700000003</v>
      </c>
      <c r="Y313" s="71">
        <v>5.6676335799999995</v>
      </c>
      <c r="Z313" s="114">
        <v>7.2675980400000011</v>
      </c>
      <c r="AB313" s="70" t="s">
        <v>21</v>
      </c>
      <c r="AC313" s="70"/>
      <c r="AD313" s="70">
        <v>1.0572590095414185E-2</v>
      </c>
      <c r="AE313" s="70" t="s">
        <v>21</v>
      </c>
      <c r="AF313" s="62" t="s">
        <v>21</v>
      </c>
      <c r="AG313" s="70" t="s">
        <v>21</v>
      </c>
      <c r="AH313" s="70"/>
      <c r="AI313" s="70">
        <v>6.5206350954141873E-3</v>
      </c>
      <c r="AJ313" s="70" t="s">
        <v>21</v>
      </c>
      <c r="AK313" s="70" t="s">
        <v>21</v>
      </c>
    </row>
    <row r="314" spans="2:37" x14ac:dyDescent="0.35">
      <c r="B314" s="54" t="s">
        <v>281</v>
      </c>
      <c r="C314" s="52" t="s">
        <v>232</v>
      </c>
      <c r="D314" s="52" t="s">
        <v>195</v>
      </c>
      <c r="E314" s="52" t="s">
        <v>637</v>
      </c>
      <c r="F314" s="72" t="str">
        <f t="shared" si="33"/>
        <v/>
      </c>
      <c r="G314" s="59" t="str">
        <f t="shared" si="33"/>
        <v/>
      </c>
      <c r="H314" s="59">
        <f t="shared" si="33"/>
        <v>3.5804448484815031E-2</v>
      </c>
      <c r="I314" s="59" t="str">
        <f t="shared" si="33"/>
        <v/>
      </c>
      <c r="J314" s="62" t="str">
        <f t="shared" si="33"/>
        <v/>
      </c>
      <c r="K314" s="59" t="str">
        <f t="shared" si="34"/>
        <v/>
      </c>
      <c r="L314" s="59" t="str">
        <f t="shared" si="34"/>
        <v/>
      </c>
      <c r="M314" s="59">
        <f t="shared" si="34"/>
        <v>3.1423282084815034E-2</v>
      </c>
      <c r="N314" s="59" t="str">
        <f t="shared" si="34"/>
        <v/>
      </c>
      <c r="O314" s="62" t="str">
        <f t="shared" si="34"/>
        <v/>
      </c>
      <c r="P314" s="54" t="s">
        <v>21</v>
      </c>
      <c r="Q314" s="52" t="s">
        <v>21</v>
      </c>
      <c r="R314" s="93" t="s">
        <v>21</v>
      </c>
      <c r="S314" s="72">
        <v>0</v>
      </c>
      <c r="T314" s="62">
        <f t="shared" si="32"/>
        <v>3.5804448484815031E-2</v>
      </c>
      <c r="V314" s="71">
        <v>1.0779897199999999</v>
      </c>
      <c r="W314" s="71">
        <v>2.6574630899999998</v>
      </c>
      <c r="X314" s="71">
        <v>3.9487366399999999</v>
      </c>
      <c r="Y314" s="71">
        <v>4.9900968400000005</v>
      </c>
      <c r="Z314" s="114">
        <v>6.1964512899999997</v>
      </c>
      <c r="AB314" s="70" t="s">
        <v>21</v>
      </c>
      <c r="AC314" s="70"/>
      <c r="AD314" s="70">
        <v>3.5804448484815031E-2</v>
      </c>
      <c r="AE314" s="70" t="s">
        <v>21</v>
      </c>
      <c r="AF314" s="62" t="s">
        <v>21</v>
      </c>
      <c r="AG314" s="70" t="s">
        <v>21</v>
      </c>
      <c r="AH314" s="70"/>
      <c r="AI314" s="70">
        <v>3.1423282084815034E-2</v>
      </c>
      <c r="AJ314" s="70" t="s">
        <v>21</v>
      </c>
      <c r="AK314" s="70" t="s">
        <v>21</v>
      </c>
    </row>
    <row r="315" spans="2:37" x14ac:dyDescent="0.35">
      <c r="B315" s="54" t="s">
        <v>282</v>
      </c>
      <c r="C315" s="52" t="s">
        <v>232</v>
      </c>
      <c r="D315" s="52" t="s">
        <v>195</v>
      </c>
      <c r="E315" s="52" t="s">
        <v>638</v>
      </c>
      <c r="F315" s="72" t="str">
        <f t="shared" si="33"/>
        <v/>
      </c>
      <c r="G315" s="59" t="str">
        <f t="shared" si="33"/>
        <v/>
      </c>
      <c r="H315" s="59">
        <f t="shared" si="33"/>
        <v>3.8535602760760797E-2</v>
      </c>
      <c r="I315" s="59" t="str">
        <f t="shared" si="33"/>
        <v/>
      </c>
      <c r="J315" s="62" t="str">
        <f t="shared" si="33"/>
        <v/>
      </c>
      <c r="K315" s="59" t="str">
        <f t="shared" si="34"/>
        <v/>
      </c>
      <c r="L315" s="59" t="str">
        <f t="shared" si="34"/>
        <v/>
      </c>
      <c r="M315" s="59">
        <f t="shared" si="34"/>
        <v>3.4261579560760792E-2</v>
      </c>
      <c r="N315" s="59" t="str">
        <f t="shared" si="34"/>
        <v/>
      </c>
      <c r="O315" s="62" t="str">
        <f t="shared" si="34"/>
        <v/>
      </c>
      <c r="P315" s="54" t="s">
        <v>21</v>
      </c>
      <c r="Q315" s="52" t="s">
        <v>21</v>
      </c>
      <c r="R315" s="93" t="s">
        <v>21</v>
      </c>
      <c r="S315" s="72">
        <v>0</v>
      </c>
      <c r="T315" s="62">
        <f t="shared" si="32"/>
        <v>3.8535602760760797E-2</v>
      </c>
      <c r="V315" s="71">
        <v>1.08388112</v>
      </c>
      <c r="W315" s="71">
        <v>2.6985210400000001</v>
      </c>
      <c r="X315" s="71">
        <v>4.01912498</v>
      </c>
      <c r="Y315" s="71">
        <v>5.0556612200000002</v>
      </c>
      <c r="Z315" s="114">
        <v>6.1816211399999998</v>
      </c>
      <c r="AB315" s="70" t="s">
        <v>21</v>
      </c>
      <c r="AC315" s="70"/>
      <c r="AD315" s="70">
        <v>3.8535602760760797E-2</v>
      </c>
      <c r="AE315" s="70" t="s">
        <v>21</v>
      </c>
      <c r="AF315" s="62" t="s">
        <v>21</v>
      </c>
      <c r="AG315" s="70" t="s">
        <v>21</v>
      </c>
      <c r="AH315" s="70"/>
      <c r="AI315" s="70">
        <v>3.4261579560760792E-2</v>
      </c>
      <c r="AJ315" s="70" t="s">
        <v>21</v>
      </c>
      <c r="AK315" s="70" t="s">
        <v>21</v>
      </c>
    </row>
    <row r="316" spans="2:37" x14ac:dyDescent="0.35">
      <c r="B316" s="56" t="s">
        <v>283</v>
      </c>
      <c r="C316" s="52" t="s">
        <v>232</v>
      </c>
      <c r="D316" s="66" t="s">
        <v>195</v>
      </c>
      <c r="E316" s="66" t="s">
        <v>268</v>
      </c>
      <c r="F316" s="73" t="str">
        <f t="shared" si="33"/>
        <v/>
      </c>
      <c r="G316" s="75" t="str">
        <f t="shared" si="33"/>
        <v/>
      </c>
      <c r="H316" s="75">
        <f t="shared" si="33"/>
        <v>4.2470934276734609E-2</v>
      </c>
      <c r="I316" s="75" t="str">
        <f t="shared" si="33"/>
        <v/>
      </c>
      <c r="J316" s="63" t="str">
        <f t="shared" si="33"/>
        <v/>
      </c>
      <c r="K316" s="75" t="str">
        <f t="shared" si="34"/>
        <v/>
      </c>
      <c r="L316" s="75" t="str">
        <f t="shared" si="34"/>
        <v/>
      </c>
      <c r="M316" s="75">
        <f t="shared" si="34"/>
        <v>3.7536350676734609E-2</v>
      </c>
      <c r="N316" s="75" t="str">
        <f t="shared" si="34"/>
        <v/>
      </c>
      <c r="O316" s="63" t="str">
        <f t="shared" si="34"/>
        <v/>
      </c>
      <c r="P316" s="56" t="s">
        <v>639</v>
      </c>
      <c r="Q316" s="66" t="s">
        <v>640</v>
      </c>
      <c r="R316" s="95">
        <v>47560</v>
      </c>
      <c r="S316" s="73">
        <v>3.746041E-2</v>
      </c>
      <c r="T316" s="63">
        <f t="shared" si="32"/>
        <v>5.0105242767346098E-3</v>
      </c>
      <c r="V316" s="107">
        <v>1.0726093299999999</v>
      </c>
      <c r="W316" s="107">
        <v>2.60756663</v>
      </c>
      <c r="X316" s="107">
        <v>3.81070742</v>
      </c>
      <c r="Y316" s="107">
        <v>4.7373408800000005</v>
      </c>
      <c r="Z316" s="116">
        <v>5.6963576199999997</v>
      </c>
      <c r="AB316" s="75" t="s">
        <v>21</v>
      </c>
      <c r="AC316" s="75"/>
      <c r="AD316" s="75">
        <v>4.2470934276734609E-2</v>
      </c>
      <c r="AE316" s="75" t="s">
        <v>21</v>
      </c>
      <c r="AF316" s="63" t="s">
        <v>21</v>
      </c>
      <c r="AG316" s="75" t="s">
        <v>21</v>
      </c>
      <c r="AH316" s="75"/>
      <c r="AI316" s="75">
        <v>3.7536350676734609E-2</v>
      </c>
      <c r="AJ316" s="75" t="s">
        <v>21</v>
      </c>
      <c r="AK316" s="75" t="s">
        <v>21</v>
      </c>
    </row>
    <row r="317" spans="2:37" x14ac:dyDescent="0.35">
      <c r="B317" s="65"/>
      <c r="C317" s="65"/>
      <c r="D317" s="65"/>
      <c r="E317" s="65"/>
      <c r="P317" s="65"/>
      <c r="Q317" s="65"/>
      <c r="R317" s="65"/>
      <c r="S317" s="65"/>
      <c r="V317" s="65"/>
      <c r="W317" s="65"/>
      <c r="X317" s="65"/>
      <c r="Y317" s="65"/>
      <c r="Z317" s="65"/>
      <c r="AB317" s="65"/>
      <c r="AC317" s="65"/>
      <c r="AD317" s="65"/>
      <c r="AE317" s="65"/>
      <c r="AF317" s="65"/>
      <c r="AG317" s="65"/>
      <c r="AH317" s="65"/>
      <c r="AI317" s="65"/>
      <c r="AJ317" s="65"/>
      <c r="AK317" s="65"/>
    </row>
    <row r="318" spans="2:37" ht="15.5" x14ac:dyDescent="0.35">
      <c r="B318" s="121" t="s">
        <v>284</v>
      </c>
    </row>
    <row r="319" spans="2:37" x14ac:dyDescent="0.35">
      <c r="B319" s="84" t="s">
        <v>5</v>
      </c>
      <c r="C319" s="83" t="s">
        <v>6</v>
      </c>
      <c r="D319" s="83" t="s">
        <v>7</v>
      </c>
      <c r="E319" s="83" t="s">
        <v>8</v>
      </c>
      <c r="F319" s="82" t="s">
        <v>9</v>
      </c>
      <c r="G319" s="81" t="s">
        <v>10</v>
      </c>
      <c r="H319" s="81" t="s">
        <v>11</v>
      </c>
      <c r="I319" s="81" t="s">
        <v>12</v>
      </c>
      <c r="J319" s="80" t="s">
        <v>13</v>
      </c>
      <c r="K319" s="82" t="s">
        <v>9</v>
      </c>
      <c r="L319" s="81" t="s">
        <v>10</v>
      </c>
      <c r="M319" s="81" t="s">
        <v>11</v>
      </c>
      <c r="N319" s="81" t="s">
        <v>12</v>
      </c>
      <c r="O319" s="80" t="s">
        <v>13</v>
      </c>
      <c r="P319" s="82" t="s">
        <v>14</v>
      </c>
      <c r="Q319" s="81" t="s">
        <v>15</v>
      </c>
      <c r="R319" s="81" t="s">
        <v>16</v>
      </c>
      <c r="S319" s="81" t="s">
        <v>415</v>
      </c>
      <c r="T319" s="57" t="s">
        <v>18</v>
      </c>
      <c r="V319" s="105" t="s">
        <v>9</v>
      </c>
      <c r="W319" s="105" t="s">
        <v>10</v>
      </c>
      <c r="X319" s="105" t="s">
        <v>11</v>
      </c>
      <c r="Y319" s="105" t="s">
        <v>12</v>
      </c>
      <c r="Z319" s="110" t="s">
        <v>13</v>
      </c>
      <c r="AB319" s="82" t="s">
        <v>9</v>
      </c>
      <c r="AC319" s="81" t="s">
        <v>10</v>
      </c>
      <c r="AD319" s="81" t="s">
        <v>11</v>
      </c>
      <c r="AE319" s="81" t="s">
        <v>12</v>
      </c>
      <c r="AF319" s="80" t="s">
        <v>13</v>
      </c>
      <c r="AG319" s="81" t="s">
        <v>9</v>
      </c>
      <c r="AH319" s="81" t="s">
        <v>10</v>
      </c>
      <c r="AI319" s="81" t="s">
        <v>11</v>
      </c>
      <c r="AJ319" s="81" t="s">
        <v>12</v>
      </c>
      <c r="AK319" s="81" t="s">
        <v>13</v>
      </c>
    </row>
    <row r="320" spans="2:37" x14ac:dyDescent="0.35">
      <c r="B320" s="54" t="s">
        <v>641</v>
      </c>
      <c r="C320" s="52" t="s">
        <v>232</v>
      </c>
      <c r="D320" s="52" t="s">
        <v>642</v>
      </c>
      <c r="E320" s="52" t="s">
        <v>643</v>
      </c>
      <c r="F320" s="72" t="str">
        <f>IF(ISNUMBER(AB320),AB320-((C$4-C$3)/V320),"")</f>
        <v/>
      </c>
      <c r="G320" s="59">
        <f>IF(ISNUMBER(AC320),AC320-((D$4-D$3)/W320),"")</f>
        <v>6.8921439343822451E-3</v>
      </c>
      <c r="H320" s="59">
        <f>IF(ISNUMBER(AD320),AD320-((E$4-E$3)/X320),"")</f>
        <v>1.3566980606038063E-2</v>
      </c>
      <c r="I320" s="59">
        <f>IF(ISNUMBER(AE320),AE320-((F$4-F$3)/Y320),"")</f>
        <v>1.6408397063595301E-2</v>
      </c>
      <c r="J320" s="62">
        <f>IF(ISNUMBER(AF320),AF320-((G$4-G$3)/Z320),"")</f>
        <v>1.905760909390853E-2</v>
      </c>
      <c r="K320" s="59" t="str">
        <f>IF(ISNUMBER(AG320),IF(AG320-((C$4-C$3)/V320)&lt;0,"",AG320-((C$4-C$3)/V320)),"")</f>
        <v/>
      </c>
      <c r="L320" s="59">
        <f>IF(ISNUMBER(AH320),IF(AH320-((D$4-D$3)/W320)&lt;0,"",AH320-((D$4-D$3)/W320)),"")</f>
        <v>3.8742383343822466E-3</v>
      </c>
      <c r="M320" s="59">
        <f>IF(ISNUMBER(AI320),IF(AI320-((E$4-E$3)/X320)&lt;0,"",AI320-((E$4-E$3)/X320)),"")</f>
        <v>9.5426252060380658E-3</v>
      </c>
      <c r="N320" s="59">
        <f>IF(ISNUMBER(AJ320),IF(AJ320-((F$4-F$3)/Y320)&lt;0,"",AJ320-((F$4-F$3)/Y320)),"")</f>
        <v>1.1470166263595299E-2</v>
      </c>
      <c r="O320" s="62">
        <f>IF(ISNUMBER(AK320),IF(AK320-((G$4-G$3)/Z320)&lt;0,"",AK320-((G$4-G$3)/Z320)),"")</f>
        <v>1.2823271093908533E-2</v>
      </c>
      <c r="P320" s="54" t="s">
        <v>644</v>
      </c>
      <c r="Q320" s="52" t="s">
        <v>645</v>
      </c>
      <c r="R320" s="93">
        <v>47545</v>
      </c>
      <c r="S320" s="72">
        <v>6.5849500000000009E-3</v>
      </c>
      <c r="T320" s="62">
        <f t="shared" ref="T320:T325" si="35">IF(S320="","",H320-S320)</f>
        <v>6.9820306060380619E-3</v>
      </c>
      <c r="V320" s="71">
        <v>1.1083273500000002</v>
      </c>
      <c r="W320" s="71">
        <v>2.82809227</v>
      </c>
      <c r="X320" s="71">
        <v>4.3239869899999999</v>
      </c>
      <c r="Y320" s="71">
        <v>5.5984151000000004</v>
      </c>
      <c r="Z320" s="114">
        <v>7.17569576</v>
      </c>
      <c r="AB320" s="70" t="s">
        <v>21</v>
      </c>
      <c r="AC320" s="70">
        <v>6.8921439343822451E-3</v>
      </c>
      <c r="AD320" s="70">
        <v>1.3566980606038063E-2</v>
      </c>
      <c r="AE320" s="70">
        <v>1.6408397063595301E-2</v>
      </c>
      <c r="AF320" s="62">
        <v>1.905760909390853E-2</v>
      </c>
      <c r="AG320" s="70" t="s">
        <v>21</v>
      </c>
      <c r="AH320" s="70">
        <v>3.8742383343822466E-3</v>
      </c>
      <c r="AI320" s="70">
        <v>9.5426252060380658E-3</v>
      </c>
      <c r="AJ320" s="70">
        <v>1.1470166263595299E-2</v>
      </c>
      <c r="AK320" s="70">
        <v>1.2823271093908533E-2</v>
      </c>
    </row>
    <row r="321" spans="2:37" x14ac:dyDescent="0.35">
      <c r="B321" s="54" t="s">
        <v>646</v>
      </c>
      <c r="C321" s="52" t="s">
        <v>232</v>
      </c>
      <c r="D321" s="52" t="s">
        <v>647</v>
      </c>
      <c r="E321" s="52" t="s">
        <v>264</v>
      </c>
      <c r="F321" s="72" t="str">
        <f t="shared" ref="F321:J325" si="36">IF(ISNUMBER(AB321),AB321-((C$4-C$3)/V321),"")</f>
        <v/>
      </c>
      <c r="G321" s="59">
        <f t="shared" si="36"/>
        <v>7.4342898447265675E-3</v>
      </c>
      <c r="H321" s="59">
        <f t="shared" si="36"/>
        <v>1.3813355976904345E-2</v>
      </c>
      <c r="I321" s="59">
        <f t="shared" si="36"/>
        <v>1.6502734658367945E-2</v>
      </c>
      <c r="J321" s="62">
        <f t="shared" si="36"/>
        <v>1.9216034243370303E-2</v>
      </c>
      <c r="K321" s="59" t="str">
        <f t="shared" ref="K321:O325" si="37">IF(ISNUMBER(AG321),IF(AG321-((C$4-C$3)/V321)&lt;0,"",AG321-((C$4-C$3)/V321)),"")</f>
        <v/>
      </c>
      <c r="L321" s="59">
        <f t="shared" si="37"/>
        <v>4.4395694447265698E-3</v>
      </c>
      <c r="M321" s="59">
        <f t="shared" si="37"/>
        <v>9.795534476904344E-3</v>
      </c>
      <c r="N321" s="59">
        <f t="shared" si="37"/>
        <v>1.1566397058367945E-2</v>
      </c>
      <c r="O321" s="62">
        <f t="shared" si="37"/>
        <v>1.2983646443370302E-2</v>
      </c>
      <c r="P321" s="54" t="s">
        <v>21</v>
      </c>
      <c r="Q321" s="52" t="s">
        <v>21</v>
      </c>
      <c r="R321" s="93" t="s">
        <v>21</v>
      </c>
      <c r="S321" s="72">
        <v>0</v>
      </c>
      <c r="T321" s="62">
        <f t="shared" si="35"/>
        <v>1.3813355976904345E-2</v>
      </c>
      <c r="V321" s="71">
        <v>1.1067097099999998</v>
      </c>
      <c r="W321" s="71">
        <v>2.8213653999999999</v>
      </c>
      <c r="X321" s="71">
        <v>4.3131523999999999</v>
      </c>
      <c r="Y321" s="71">
        <v>5.58631688</v>
      </c>
      <c r="Z321" s="114">
        <v>7.1600765499999994</v>
      </c>
      <c r="AB321" s="70" t="s">
        <v>21</v>
      </c>
      <c r="AC321" s="70">
        <v>7.4342898447265675E-3</v>
      </c>
      <c r="AD321" s="70">
        <v>1.3813355976904345E-2</v>
      </c>
      <c r="AE321" s="70">
        <v>1.6502734658367945E-2</v>
      </c>
      <c r="AF321" s="62">
        <v>1.9216034243370303E-2</v>
      </c>
      <c r="AG321" s="70" t="s">
        <v>21</v>
      </c>
      <c r="AH321" s="70">
        <v>4.4395694447265698E-3</v>
      </c>
      <c r="AI321" s="70">
        <v>9.795534476904344E-3</v>
      </c>
      <c r="AJ321" s="70">
        <v>1.1566397058367945E-2</v>
      </c>
      <c r="AK321" s="70">
        <v>1.2983646443370302E-2</v>
      </c>
    </row>
    <row r="322" spans="2:37" x14ac:dyDescent="0.35">
      <c r="B322" s="54" t="s">
        <v>287</v>
      </c>
      <c r="C322" s="52" t="s">
        <v>232</v>
      </c>
      <c r="D322" s="52" t="s">
        <v>285</v>
      </c>
      <c r="E322" s="52" t="s">
        <v>179</v>
      </c>
      <c r="F322" s="72" t="str">
        <f t="shared" si="36"/>
        <v/>
      </c>
      <c r="G322" s="59">
        <f t="shared" si="36"/>
        <v>5.6314253384127187E-3</v>
      </c>
      <c r="H322" s="59">
        <f t="shared" si="36"/>
        <v>1.151984624411433E-2</v>
      </c>
      <c r="I322" s="59">
        <f t="shared" si="36"/>
        <v>1.4813876634858522E-2</v>
      </c>
      <c r="J322" s="62">
        <f t="shared" si="36"/>
        <v>1.7868917556643642E-2</v>
      </c>
      <c r="K322" s="59" t="str">
        <f t="shared" si="37"/>
        <v/>
      </c>
      <c r="L322" s="59">
        <f t="shared" si="37"/>
        <v>2.5440588384127174E-3</v>
      </c>
      <c r="M322" s="59">
        <f t="shared" si="37"/>
        <v>7.4266898441143316E-3</v>
      </c>
      <c r="N322" s="59">
        <f t="shared" si="37"/>
        <v>9.8282796348585187E-3</v>
      </c>
      <c r="O322" s="62">
        <f t="shared" si="37"/>
        <v>1.1596368756643643E-2</v>
      </c>
      <c r="P322" s="54" t="s">
        <v>648</v>
      </c>
      <c r="Q322" s="52" t="s">
        <v>649</v>
      </c>
      <c r="R322" s="93" t="s">
        <v>32</v>
      </c>
      <c r="S322" s="72">
        <v>7.4395599999999996E-3</v>
      </c>
      <c r="T322" s="62">
        <f t="shared" si="35"/>
        <v>4.0802862441143301E-3</v>
      </c>
      <c r="V322" s="71">
        <v>1.11029924</v>
      </c>
      <c r="W322" s="71">
        <v>2.8406027899999997</v>
      </c>
      <c r="X322" s="71">
        <v>4.3614993000000002</v>
      </c>
      <c r="Y322" s="71">
        <v>5.6606207700000004</v>
      </c>
      <c r="Z322" s="114">
        <v>7.2689027200000007</v>
      </c>
      <c r="AB322" s="70" t="s">
        <v>21</v>
      </c>
      <c r="AC322" s="70">
        <v>5.6314253384127187E-3</v>
      </c>
      <c r="AD322" s="70">
        <v>1.151984624411433E-2</v>
      </c>
      <c r="AE322" s="70">
        <v>1.4813876634858522E-2</v>
      </c>
      <c r="AF322" s="62">
        <v>1.7868917556643642E-2</v>
      </c>
      <c r="AG322" s="70" t="s">
        <v>21</v>
      </c>
      <c r="AH322" s="70">
        <v>2.5440588384127174E-3</v>
      </c>
      <c r="AI322" s="70">
        <v>7.4266898441143316E-3</v>
      </c>
      <c r="AJ322" s="70">
        <v>9.8282796348585187E-3</v>
      </c>
      <c r="AK322" s="70">
        <v>1.1596368756643643E-2</v>
      </c>
    </row>
    <row r="323" spans="2:37" x14ac:dyDescent="0.35">
      <c r="B323" s="54" t="s">
        <v>650</v>
      </c>
      <c r="C323" s="52" t="s">
        <v>232</v>
      </c>
      <c r="D323" s="52" t="s">
        <v>642</v>
      </c>
      <c r="E323" s="52" t="s">
        <v>651</v>
      </c>
      <c r="F323" s="72" t="str">
        <f t="shared" si="36"/>
        <v/>
      </c>
      <c r="G323" s="59">
        <f t="shared" si="36"/>
        <v>8.6371209562397418E-3</v>
      </c>
      <c r="H323" s="59">
        <f t="shared" si="36"/>
        <v>1.5141290891203897E-2</v>
      </c>
      <c r="I323" s="59">
        <f t="shared" si="36"/>
        <v>1.8803095213884843E-2</v>
      </c>
      <c r="J323" s="62">
        <f t="shared" si="36"/>
        <v>2.2743799812676949E-2</v>
      </c>
      <c r="K323" s="59" t="str">
        <f t="shared" si="37"/>
        <v/>
      </c>
      <c r="L323" s="59">
        <f t="shared" si="37"/>
        <v>5.6783526562397433E-3</v>
      </c>
      <c r="M323" s="59">
        <f t="shared" si="37"/>
        <v>1.1146683291203897E-2</v>
      </c>
      <c r="N323" s="59">
        <f t="shared" si="37"/>
        <v>1.3895209413884842E-2</v>
      </c>
      <c r="O323" s="62">
        <f t="shared" si="37"/>
        <v>1.655952201267695E-2</v>
      </c>
      <c r="P323" s="54" t="s">
        <v>652</v>
      </c>
      <c r="Q323" s="52" t="s">
        <v>653</v>
      </c>
      <c r="R323" s="93">
        <v>47651</v>
      </c>
      <c r="S323" s="72">
        <v>8.3463200000000008E-3</v>
      </c>
      <c r="T323" s="62">
        <f t="shared" si="35"/>
        <v>6.7949708912038963E-3</v>
      </c>
      <c r="V323" s="71">
        <v>1.1072332600000001</v>
      </c>
      <c r="W323" s="71">
        <v>2.8157626000000002</v>
      </c>
      <c r="X323" s="71">
        <v>4.29199222</v>
      </c>
      <c r="Y323" s="71">
        <v>5.5328509200000004</v>
      </c>
      <c r="Z323" s="114">
        <v>7.0206038199999998</v>
      </c>
      <c r="AB323" s="70" t="s">
        <v>21</v>
      </c>
      <c r="AC323" s="70">
        <v>8.6371209562397418E-3</v>
      </c>
      <c r="AD323" s="70">
        <v>1.5141290891203897E-2</v>
      </c>
      <c r="AE323" s="70">
        <v>1.8803095213884843E-2</v>
      </c>
      <c r="AF323" s="62">
        <v>2.2743799812676949E-2</v>
      </c>
      <c r="AG323" s="70" t="s">
        <v>21</v>
      </c>
      <c r="AH323" s="70">
        <v>5.6783526562397433E-3</v>
      </c>
      <c r="AI323" s="70">
        <v>1.1146683291203897E-2</v>
      </c>
      <c r="AJ323" s="70">
        <v>1.3895209413884842E-2</v>
      </c>
      <c r="AK323" s="70">
        <v>1.655952201267695E-2</v>
      </c>
    </row>
    <row r="324" spans="2:37" x14ac:dyDescent="0.35">
      <c r="B324" s="54" t="s">
        <v>654</v>
      </c>
      <c r="C324" s="52" t="s">
        <v>232</v>
      </c>
      <c r="D324" s="52" t="s">
        <v>642</v>
      </c>
      <c r="E324" s="52" t="s">
        <v>643</v>
      </c>
      <c r="F324" s="72" t="str">
        <f t="shared" si="36"/>
        <v/>
      </c>
      <c r="G324" s="59">
        <f t="shared" si="36"/>
        <v>8.8282632140325827E-3</v>
      </c>
      <c r="H324" s="59">
        <f t="shared" si="36"/>
        <v>1.5520003609749866E-2</v>
      </c>
      <c r="I324" s="59">
        <f t="shared" si="36"/>
        <v>1.8446515666036542E-2</v>
      </c>
      <c r="J324" s="62">
        <f t="shared" si="36"/>
        <v>2.1726104329013458E-2</v>
      </c>
      <c r="K324" s="59" t="str">
        <f t="shared" si="37"/>
        <v/>
      </c>
      <c r="L324" s="59">
        <f t="shared" si="37"/>
        <v>5.8757537140325831E-3</v>
      </c>
      <c r="M324" s="59">
        <f t="shared" si="37"/>
        <v>1.1530309109749868E-2</v>
      </c>
      <c r="N324" s="59">
        <f t="shared" si="37"/>
        <v>1.3538483166036543E-2</v>
      </c>
      <c r="O324" s="62">
        <f t="shared" si="37"/>
        <v>1.5534565929013458E-2</v>
      </c>
      <c r="P324" s="54" t="s">
        <v>655</v>
      </c>
      <c r="Q324" s="52" t="s">
        <v>656</v>
      </c>
      <c r="R324" s="93">
        <v>47599</v>
      </c>
      <c r="S324" s="72">
        <v>7.4036199999999996E-3</v>
      </c>
      <c r="T324" s="62">
        <f t="shared" si="35"/>
        <v>8.1163836097498665E-3</v>
      </c>
      <c r="V324" s="71">
        <v>1.1059953500000002</v>
      </c>
      <c r="W324" s="71">
        <v>2.8113589700000001</v>
      </c>
      <c r="X324" s="71">
        <v>4.2832809300000001</v>
      </c>
      <c r="Y324" s="71">
        <v>5.5273437100000002</v>
      </c>
      <c r="Z324" s="114">
        <v>7.0401392100000004</v>
      </c>
      <c r="AB324" s="70" t="s">
        <v>21</v>
      </c>
      <c r="AC324" s="70">
        <v>8.8282632140325827E-3</v>
      </c>
      <c r="AD324" s="70">
        <v>1.5520003609749866E-2</v>
      </c>
      <c r="AE324" s="70">
        <v>1.8446515666036542E-2</v>
      </c>
      <c r="AF324" s="62">
        <v>2.1726104329013458E-2</v>
      </c>
      <c r="AG324" s="70" t="s">
        <v>21</v>
      </c>
      <c r="AH324" s="70">
        <v>5.8757537140325831E-3</v>
      </c>
      <c r="AI324" s="70">
        <v>1.1530309109749868E-2</v>
      </c>
      <c r="AJ324" s="70">
        <v>1.3538483166036543E-2</v>
      </c>
      <c r="AK324" s="70">
        <v>1.5534565929013458E-2</v>
      </c>
    </row>
    <row r="325" spans="2:37" x14ac:dyDescent="0.35">
      <c r="B325" s="56" t="s">
        <v>657</v>
      </c>
      <c r="C325" s="66" t="s">
        <v>232</v>
      </c>
      <c r="D325" s="66" t="s">
        <v>642</v>
      </c>
      <c r="E325" s="66" t="s">
        <v>658</v>
      </c>
      <c r="F325" s="73">
        <f t="shared" si="36"/>
        <v>9.5218534903795948E-5</v>
      </c>
      <c r="G325" s="75">
        <f t="shared" si="36"/>
        <v>9.5540253163460456E-3</v>
      </c>
      <c r="H325" s="75">
        <f t="shared" si="36"/>
        <v>1.5886467179720525E-2</v>
      </c>
      <c r="I325" s="75">
        <f t="shared" si="36"/>
        <v>1.901564811916661E-2</v>
      </c>
      <c r="J325" s="63">
        <f t="shared" si="36"/>
        <v>2.2128986753139832E-2</v>
      </c>
      <c r="K325" s="75" t="str">
        <f t="shared" si="37"/>
        <v/>
      </c>
      <c r="L325" s="75">
        <f t="shared" si="37"/>
        <v>6.6174120163460474E-3</v>
      </c>
      <c r="M325" s="75">
        <f t="shared" si="37"/>
        <v>1.1901916379720524E-2</v>
      </c>
      <c r="N325" s="75">
        <f t="shared" si="37"/>
        <v>1.411139801916661E-2</v>
      </c>
      <c r="O325" s="63">
        <f t="shared" si="37"/>
        <v>1.5942462553139834E-2</v>
      </c>
      <c r="P325" s="56" t="s">
        <v>659</v>
      </c>
      <c r="Q325" s="66" t="s">
        <v>660</v>
      </c>
      <c r="R325" s="95">
        <v>47490</v>
      </c>
      <c r="S325" s="73">
        <v>7.80373E-3</v>
      </c>
      <c r="T325" s="63">
        <f t="shared" si="35"/>
        <v>8.0827371797205245E-3</v>
      </c>
      <c r="V325" s="107">
        <v>1.10547708</v>
      </c>
      <c r="W325" s="107">
        <v>2.8057642199999999</v>
      </c>
      <c r="X325" s="107">
        <v>4.2718241499999996</v>
      </c>
      <c r="Y325" s="107">
        <v>5.5079770699999999</v>
      </c>
      <c r="Z325" s="116">
        <v>7.0085922900000002</v>
      </c>
      <c r="AB325" s="75">
        <v>9.5218534903795948E-5</v>
      </c>
      <c r="AC325" s="75">
        <v>9.5540253163460456E-3</v>
      </c>
      <c r="AD325" s="75">
        <v>1.5886467179720525E-2</v>
      </c>
      <c r="AE325" s="75">
        <v>1.901564811916661E-2</v>
      </c>
      <c r="AF325" s="63">
        <v>2.2128986753139832E-2</v>
      </c>
      <c r="AG325" s="75" t="s">
        <v>21</v>
      </c>
      <c r="AH325" s="75">
        <v>6.6174120163460474E-3</v>
      </c>
      <c r="AI325" s="75">
        <v>1.1901916379720524E-2</v>
      </c>
      <c r="AJ325" s="75">
        <v>1.411139801916661E-2</v>
      </c>
      <c r="AK325" s="75">
        <v>1.5942462553139834E-2</v>
      </c>
    </row>
  </sheetData>
  <mergeCells count="10">
    <mergeCell ref="V10:Z10"/>
    <mergeCell ref="V19:Z19"/>
    <mergeCell ref="F8:J8"/>
    <mergeCell ref="K8:O8"/>
    <mergeCell ref="AB8:AF8"/>
    <mergeCell ref="AG8:AK8"/>
    <mergeCell ref="F9:J9"/>
    <mergeCell ref="K9:O9"/>
    <mergeCell ref="AB9:AF9"/>
    <mergeCell ref="AG9:AK9"/>
  </mergeCells>
  <conditionalFormatting sqref="F31">
    <cfRule type="colorScale" priority="151">
      <colorScale>
        <cfvo type="min"/>
        <cfvo type="max"/>
        <color rgb="FFFFEF9C"/>
        <color rgb="FF63BE7B"/>
      </colorScale>
    </cfRule>
  </conditionalFormatting>
  <conditionalFormatting sqref="F12:J17">
    <cfRule type="colorScale" priority="159">
      <colorScale>
        <cfvo type="min"/>
        <cfvo type="max"/>
        <color rgb="FFFFEF9C"/>
        <color rgb="FF63BE7B"/>
      </colorScale>
    </cfRule>
  </conditionalFormatting>
  <conditionalFormatting sqref="F21:J27">
    <cfRule type="colorScale" priority="110">
      <colorScale>
        <cfvo type="min"/>
        <cfvo type="max"/>
        <color rgb="FFFFEF9C"/>
        <color rgb="FF63BE7B"/>
      </colorScale>
    </cfRule>
  </conditionalFormatting>
  <conditionalFormatting sqref="F31:J70 F72:J78 F80:J110">
    <cfRule type="colorScale" priority="157">
      <colorScale>
        <cfvo type="min"/>
        <cfvo type="max"/>
        <color rgb="FFFFEF9C"/>
        <color rgb="FF63BE7B"/>
      </colorScale>
    </cfRule>
  </conditionalFormatting>
  <conditionalFormatting sqref="F31:J70 F72:J78">
    <cfRule type="colorScale" priority="179">
      <colorScale>
        <cfvo type="min"/>
        <cfvo type="max"/>
        <color rgb="FFFFEF9C"/>
        <color rgb="FF63BE7B"/>
      </colorScale>
    </cfRule>
  </conditionalFormatting>
  <conditionalFormatting sqref="F31:J70 F72:J110">
    <cfRule type="colorScale" priority="181">
      <colorScale>
        <cfvo type="min"/>
        <cfvo type="max"/>
        <color rgb="FFFFEF9C"/>
        <color rgb="FF63BE7B"/>
      </colorScale>
    </cfRule>
  </conditionalFormatting>
  <conditionalFormatting sqref="F32:J50 G31:J31 F52:J70 F72:J78 F80:J110">
    <cfRule type="colorScale" priority="156">
      <colorScale>
        <cfvo type="min"/>
        <cfvo type="max"/>
        <color rgb="FFFFEF9C"/>
        <color rgb="FF63BE7B"/>
      </colorScale>
    </cfRule>
  </conditionalFormatting>
  <conditionalFormatting sqref="F45:J53 F290:J316">
    <cfRule type="cellIs" dxfId="31" priority="153" operator="lessThan">
      <formula>0</formula>
    </cfRule>
  </conditionalFormatting>
  <conditionalFormatting sqref="F51:J51">
    <cfRule type="colorScale" priority="152">
      <colorScale>
        <cfvo type="min"/>
        <cfvo type="max"/>
        <color rgb="FFFFEF9C"/>
        <color rgb="FF63BE7B"/>
      </colorScale>
    </cfRule>
  </conditionalFormatting>
  <conditionalFormatting sqref="F55:J60 F62:J65 F73:J75 F77:J78 F80:J98">
    <cfRule type="cellIs" dxfId="30" priority="155" operator="lessThan">
      <formula>0</formula>
    </cfRule>
  </conditionalFormatting>
  <conditionalFormatting sqref="F67:J71">
    <cfRule type="cellIs" dxfId="29" priority="50" operator="lessThan">
      <formula>0</formula>
    </cfRule>
  </conditionalFormatting>
  <conditionalFormatting sqref="F71:J71">
    <cfRule type="colorScale" priority="53">
      <colorScale>
        <cfvo type="min"/>
        <cfvo type="max"/>
        <color rgb="FFFFEF9C"/>
        <color rgb="FF63BE7B"/>
      </colorScale>
    </cfRule>
    <cfRule type="colorScale" priority="51">
      <colorScale>
        <cfvo type="min"/>
        <cfvo type="max"/>
        <color rgb="FFFFEF9C"/>
        <color rgb="FF63BE7B"/>
      </colorScale>
    </cfRule>
    <cfRule type="colorScale" priority="55">
      <colorScale>
        <cfvo type="min"/>
        <cfvo type="max"/>
        <color rgb="FFFFEF9C"/>
        <color rgb="FF63BE7B"/>
      </colorScale>
    </cfRule>
    <cfRule type="colorScale" priority="52">
      <colorScale>
        <cfvo type="min"/>
        <cfvo type="max"/>
        <color rgb="FFFFEF9C"/>
        <color rgb="FF63BE7B"/>
      </colorScale>
    </cfRule>
  </conditionalFormatting>
  <conditionalFormatting sqref="F79:J79">
    <cfRule type="colorScale" priority="148">
      <colorScale>
        <cfvo type="min"/>
        <cfvo type="max"/>
        <color rgb="FFFFEF9C"/>
        <color rgb="FF63BE7B"/>
      </colorScale>
    </cfRule>
    <cfRule type="colorScale" priority="149">
      <colorScale>
        <cfvo type="min"/>
        <cfvo type="max"/>
        <color rgb="FFFFEF9C"/>
        <color rgb="FF63BE7B"/>
      </colorScale>
    </cfRule>
    <cfRule type="colorScale" priority="150">
      <colorScale>
        <cfvo type="min"/>
        <cfvo type="max"/>
        <color rgb="FFFFEF9C"/>
        <color rgb="FF63BE7B"/>
      </colorScale>
    </cfRule>
  </conditionalFormatting>
  <conditionalFormatting sqref="F111:J113">
    <cfRule type="colorScale" priority="164">
      <colorScale>
        <cfvo type="min"/>
        <cfvo type="max"/>
        <color rgb="FFFFEF9C"/>
        <color rgb="FF63BE7B"/>
      </colorScale>
    </cfRule>
  </conditionalFormatting>
  <conditionalFormatting sqref="F114:J114">
    <cfRule type="colorScale" priority="162">
      <colorScale>
        <cfvo type="min"/>
        <cfvo type="max"/>
        <color rgb="FFFFEF9C"/>
        <color rgb="FF63BE7B"/>
      </colorScale>
    </cfRule>
    <cfRule type="colorScale" priority="160">
      <colorScale>
        <cfvo type="min"/>
        <cfvo type="max"/>
        <color rgb="FFFFEF9C"/>
        <color rgb="FF63BE7B"/>
      </colorScale>
    </cfRule>
    <cfRule type="colorScale" priority="161">
      <colorScale>
        <cfvo type="min"/>
        <cfvo type="max"/>
        <color rgb="FFFFEF9C"/>
        <color rgb="FF63BE7B"/>
      </colorScale>
    </cfRule>
  </conditionalFormatting>
  <conditionalFormatting sqref="F115:J134 F136:J138">
    <cfRule type="cellIs" dxfId="28" priority="143" operator="lessThan">
      <formula>0</formula>
    </cfRule>
  </conditionalFormatting>
  <conditionalFormatting sqref="F115:J134">
    <cfRule type="colorScale" priority="145">
      <colorScale>
        <cfvo type="min"/>
        <cfvo type="max"/>
        <color rgb="FFFFEF9C"/>
        <color rgb="FF63BE7B"/>
      </colorScale>
    </cfRule>
    <cfRule type="colorScale" priority="144">
      <colorScale>
        <cfvo type="min"/>
        <cfvo type="max"/>
        <color rgb="FFFFEF9C"/>
        <color rgb="FF63BE7B"/>
      </colorScale>
    </cfRule>
  </conditionalFormatting>
  <conditionalFormatting sqref="F115:J138">
    <cfRule type="colorScale" priority="147">
      <colorScale>
        <cfvo type="min"/>
        <cfvo type="max"/>
        <color rgb="FFFFEF9C"/>
        <color rgb="FF63BE7B"/>
      </colorScale>
    </cfRule>
  </conditionalFormatting>
  <conditionalFormatting sqref="F135:J135">
    <cfRule type="colorScale" priority="142">
      <colorScale>
        <cfvo type="min"/>
        <cfvo type="max"/>
        <color rgb="FFFFEF9C"/>
        <color rgb="FF63BE7B"/>
      </colorScale>
    </cfRule>
    <cfRule type="colorScale" priority="141">
      <colorScale>
        <cfvo type="min"/>
        <cfvo type="max"/>
        <color rgb="FFFFEF9C"/>
        <color rgb="FF63BE7B"/>
      </colorScale>
    </cfRule>
  </conditionalFormatting>
  <conditionalFormatting sqref="F136:J138">
    <cfRule type="colorScale" priority="146">
      <colorScale>
        <cfvo type="min"/>
        <cfvo type="max"/>
        <color rgb="FFFFEF9C"/>
        <color rgb="FF63BE7B"/>
      </colorScale>
    </cfRule>
  </conditionalFormatting>
  <conditionalFormatting sqref="F142:J142">
    <cfRule type="colorScale" priority="138">
      <colorScale>
        <cfvo type="min"/>
        <cfvo type="max"/>
        <color rgb="FFFFEF9C"/>
        <color rgb="FF63BE7B"/>
      </colorScale>
    </cfRule>
    <cfRule type="colorScale" priority="139">
      <colorScale>
        <cfvo type="min"/>
        <cfvo type="max"/>
        <color rgb="FFFFEF9C"/>
        <color rgb="FF63BE7B"/>
      </colorScale>
    </cfRule>
  </conditionalFormatting>
  <conditionalFormatting sqref="F143:J258 F260:J276 F320:J325">
    <cfRule type="cellIs" dxfId="27" priority="163" operator="lessThan">
      <formula>0</formula>
    </cfRule>
  </conditionalFormatting>
  <conditionalFormatting sqref="F143:J258">
    <cfRule type="colorScale" priority="168">
      <colorScale>
        <cfvo type="min"/>
        <cfvo type="max"/>
        <color rgb="FFFFEF9C"/>
        <color rgb="FF63BE7B"/>
      </colorScale>
    </cfRule>
  </conditionalFormatting>
  <conditionalFormatting sqref="F259:J259">
    <cfRule type="colorScale" priority="137">
      <colorScale>
        <cfvo type="min"/>
        <cfvo type="max"/>
        <color rgb="FFFFEF9C"/>
        <color rgb="FF63BE7B"/>
      </colorScale>
    </cfRule>
    <cfRule type="colorScale" priority="136">
      <colorScale>
        <cfvo type="min"/>
        <cfvo type="max"/>
        <color rgb="FFFFEF9C"/>
        <color rgb="FF63BE7B"/>
      </colorScale>
    </cfRule>
  </conditionalFormatting>
  <conditionalFormatting sqref="F260:J276">
    <cfRule type="colorScale" priority="175">
      <colorScale>
        <cfvo type="min"/>
        <cfvo type="max"/>
        <color rgb="FFFFEF9C"/>
        <color rgb="FF63BE7B"/>
      </colorScale>
    </cfRule>
  </conditionalFormatting>
  <conditionalFormatting sqref="F280:J286">
    <cfRule type="cellIs" dxfId="26" priority="134" operator="lessThan">
      <formula>0</formula>
    </cfRule>
    <cfRule type="colorScale" priority="135">
      <colorScale>
        <cfvo type="min"/>
        <cfvo type="max"/>
        <color rgb="FFFFEF9C"/>
        <color rgb="FF63BE7B"/>
      </colorScale>
    </cfRule>
  </conditionalFormatting>
  <conditionalFormatting sqref="F300:J310">
    <cfRule type="colorScale" priority="185">
      <colorScale>
        <cfvo type="min"/>
        <cfvo type="max"/>
        <color rgb="FFFFEF9C"/>
        <color rgb="FF63BE7B"/>
      </colorScale>
    </cfRule>
  </conditionalFormatting>
  <conditionalFormatting sqref="F311:J316 F290:J299">
    <cfRule type="colorScale" priority="132">
      <colorScale>
        <cfvo type="min"/>
        <cfvo type="max"/>
        <color rgb="FFFFEF9C"/>
        <color rgb="FF63BE7B"/>
      </colorScale>
    </cfRule>
  </conditionalFormatting>
  <conditionalFormatting sqref="F320:J325">
    <cfRule type="colorScale" priority="165">
      <colorScale>
        <cfvo type="min"/>
        <cfvo type="max"/>
        <color rgb="FFFFEF9C"/>
        <color rgb="FF63BE7B"/>
      </colorScale>
    </cfRule>
  </conditionalFormatting>
  <conditionalFormatting sqref="G31:J31 F32:J39 F41:J43 F100:J112">
    <cfRule type="cellIs" dxfId="25" priority="154" operator="lessThan">
      <formula>0</formula>
    </cfRule>
  </conditionalFormatting>
  <conditionalFormatting sqref="K12:O17">
    <cfRule type="colorScale" priority="158">
      <colorScale>
        <cfvo type="min"/>
        <cfvo type="max"/>
        <color theme="0"/>
        <color theme="8" tint="0.39997558519241921"/>
      </colorScale>
    </cfRule>
  </conditionalFormatting>
  <conditionalFormatting sqref="K21:O27">
    <cfRule type="colorScale" priority="109">
      <colorScale>
        <cfvo type="min"/>
        <cfvo type="max"/>
        <color theme="0"/>
        <color theme="8" tint="0.39997558519241921"/>
      </colorScale>
    </cfRule>
  </conditionalFormatting>
  <conditionalFormatting sqref="K31:O70 K72:O110">
    <cfRule type="colorScale" priority="180">
      <colorScale>
        <cfvo type="min"/>
        <cfvo type="max"/>
        <color theme="0"/>
        <color theme="8" tint="0.39997558519241921"/>
      </colorScale>
    </cfRule>
  </conditionalFormatting>
  <conditionalFormatting sqref="K71:O71">
    <cfRule type="colorScale" priority="54">
      <colorScale>
        <cfvo type="min"/>
        <cfvo type="max"/>
        <color theme="0"/>
        <color theme="8" tint="0.39997558519241921"/>
      </colorScale>
    </cfRule>
  </conditionalFormatting>
  <conditionalFormatting sqref="K115:O138">
    <cfRule type="colorScale" priority="140">
      <colorScale>
        <cfvo type="min"/>
        <cfvo type="max"/>
        <color theme="0"/>
        <color theme="8" tint="0.39997558519241921"/>
      </colorScale>
    </cfRule>
  </conditionalFormatting>
  <conditionalFormatting sqref="K143:O258">
    <cfRule type="colorScale" priority="169">
      <colorScale>
        <cfvo type="min"/>
        <cfvo type="max"/>
        <color theme="0"/>
        <color theme="8" tint="0.39997558519241921"/>
      </colorScale>
    </cfRule>
  </conditionalFormatting>
  <conditionalFormatting sqref="K260:O276">
    <cfRule type="colorScale" priority="176">
      <colorScale>
        <cfvo type="min"/>
        <cfvo type="max"/>
        <color theme="0"/>
        <color theme="8" tint="0.39997558519241921"/>
      </colorScale>
    </cfRule>
  </conditionalFormatting>
  <conditionalFormatting sqref="K280:O286">
    <cfRule type="colorScale" priority="133">
      <colorScale>
        <cfvo type="min"/>
        <cfvo type="max"/>
        <color theme="0"/>
        <color theme="8" tint="0.39997558519241921"/>
      </colorScale>
    </cfRule>
  </conditionalFormatting>
  <conditionalFormatting sqref="K290:O316">
    <cfRule type="colorScale" priority="186">
      <colorScale>
        <cfvo type="min"/>
        <cfvo type="max"/>
        <color theme="0"/>
        <color theme="8" tint="0.39997558519241921"/>
      </colorScale>
    </cfRule>
  </conditionalFormatting>
  <conditionalFormatting sqref="K320:O325">
    <cfRule type="colorScale" priority="166">
      <colorScale>
        <cfvo type="min"/>
        <cfvo type="max"/>
        <color theme="0"/>
        <color theme="8" tint="0.39997558519241921"/>
      </colorScale>
    </cfRule>
  </conditionalFormatting>
  <conditionalFormatting sqref="T31:T110">
    <cfRule type="colorScale" priority="182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14">
    <cfRule type="colorScale" priority="1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15:T138">
    <cfRule type="colorScale" priority="112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16:T134">
    <cfRule type="colorScale" priority="1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5">
    <cfRule type="colorScale" priority="1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6:T138">
    <cfRule type="colorScale" priority="1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9:T140">
    <cfRule type="colorScale" priority="1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42">
    <cfRule type="colorScale" priority="1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43:T276">
    <cfRule type="colorScale" priority="178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44:T258">
    <cfRule type="colorScale" priority="1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59">
    <cfRule type="colorScale" priority="1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60:T276">
    <cfRule type="colorScale" priority="1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78">
    <cfRule type="colorScale" priority="1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80:T286">
    <cfRule type="colorScale" priority="111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288">
    <cfRule type="colorScale" priority="1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90 T311 T292:T299">
    <cfRule type="colorScale" priority="1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91:T316">
    <cfRule type="colorScale" priority="187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292:T316">
    <cfRule type="colorScale" priority="1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00:T304">
    <cfRule type="colorScale" priority="1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05:T310">
    <cfRule type="colorScale" priority="1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2">
    <cfRule type="colorScale" priority="1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3:T314">
    <cfRule type="colorScale" priority="1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5">
    <cfRule type="colorScale" priority="1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6">
    <cfRule type="colorScale" priority="1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20:T325">
    <cfRule type="colorScale" priority="167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AB31">
    <cfRule type="colorScale" priority="13">
      <colorScale>
        <cfvo type="min"/>
        <cfvo type="max"/>
        <color rgb="FFFFEF9C"/>
        <color rgb="FF63BE7B"/>
      </colorScale>
    </cfRule>
  </conditionalFormatting>
  <conditionalFormatting sqref="AB12:AF17">
    <cfRule type="colorScale" priority="17">
      <colorScale>
        <cfvo type="min"/>
        <cfvo type="max"/>
        <color rgb="FFFFEF9C"/>
        <color rgb="FF63BE7B"/>
      </colorScale>
    </cfRule>
  </conditionalFormatting>
  <conditionalFormatting sqref="AB21:AF26">
    <cfRule type="colorScale" priority="4">
      <colorScale>
        <cfvo type="min"/>
        <cfvo type="max"/>
        <color rgb="FFFFEF9C"/>
        <color rgb="FF63BE7B"/>
      </colorScale>
    </cfRule>
  </conditionalFormatting>
  <conditionalFormatting sqref="AB31:AF110">
    <cfRule type="colorScale" priority="41">
      <colorScale>
        <cfvo type="min"/>
        <cfvo type="max"/>
        <color rgb="FFFFEF9C"/>
        <color rgb="FF63BE7B"/>
      </colorScale>
    </cfRule>
  </conditionalFormatting>
  <conditionalFormatting sqref="AB45:AF53">
    <cfRule type="cellIs" dxfId="24" priority="15" operator="lessThan">
      <formula>0</formula>
    </cfRule>
  </conditionalFormatting>
  <conditionalFormatting sqref="AB51:AF51">
    <cfRule type="colorScale" priority="14">
      <colorScale>
        <cfvo type="min"/>
        <cfvo type="max"/>
        <color rgb="FFFFEF9C"/>
        <color rgb="FF63BE7B"/>
      </colorScale>
    </cfRule>
  </conditionalFormatting>
  <conditionalFormatting sqref="AB55:AF60 AB62:AF65 AB67:AF71 AB73:AF75 AB77:AF78 AB80:AF98 AB115:AF134 AB136:AF138 AB143:AF258 AB260:AF276 AB320:AF325">
    <cfRule type="cellIs" dxfId="23" priority="18" operator="lessThan">
      <formula>0</formula>
    </cfRule>
  </conditionalFormatting>
  <conditionalFormatting sqref="AB62:AF65 AB52:AF53 AB32:AF39 AC31:AF31 AB41:AF43 AB45:AF50 AB55:AF60 AB80:AF98 AB67:AF71 AB73:AF75 AB100:AF110 AB77:AF78">
    <cfRule type="colorScale" priority="20">
      <colorScale>
        <cfvo type="min"/>
        <cfvo type="max"/>
        <color rgb="FFFFEF9C"/>
        <color rgb="FF63BE7B"/>
      </colorScale>
    </cfRule>
  </conditionalFormatting>
  <conditionalFormatting sqref="AB62:AF65 AB55:AF60 AB31:AF39 AB41:AF43 AB45:AF53 AB80:AF98 AB67:AF71 AB73:AF75 AB100:AF110 AB77:AF78">
    <cfRule type="colorScale" priority="21">
      <colorScale>
        <cfvo type="min"/>
        <cfvo type="max"/>
        <color rgb="FFFFEF9C"/>
        <color rgb="FF63BE7B"/>
      </colorScale>
    </cfRule>
  </conditionalFormatting>
  <conditionalFormatting sqref="AB115:AF134">
    <cfRule type="colorScale" priority="19">
      <colorScale>
        <cfvo type="min"/>
        <cfvo type="max"/>
        <color rgb="FFFFEF9C"/>
        <color rgb="FF63BE7B"/>
      </colorScale>
    </cfRule>
  </conditionalFormatting>
  <conditionalFormatting sqref="AB136:AF138 AB115:AF134">
    <cfRule type="colorScale" priority="23">
      <colorScale>
        <cfvo type="min"/>
        <cfvo type="max"/>
        <color rgb="FFFFEF9C"/>
        <color rgb="FF63BE7B"/>
      </colorScale>
    </cfRule>
  </conditionalFormatting>
  <conditionalFormatting sqref="AB136:AF138">
    <cfRule type="colorScale" priority="22">
      <colorScale>
        <cfvo type="min"/>
        <cfvo type="max"/>
        <color rgb="FFFFEF9C"/>
        <color rgb="FF63BE7B"/>
      </colorScale>
    </cfRule>
  </conditionalFormatting>
  <conditionalFormatting sqref="AB143:AF258">
    <cfRule type="colorScale" priority="39">
      <colorScale>
        <cfvo type="min"/>
        <cfvo type="max"/>
        <color rgb="FFFFEF9C"/>
        <color rgb="FF63BE7B"/>
      </colorScale>
    </cfRule>
  </conditionalFormatting>
  <conditionalFormatting sqref="AB260:AF276">
    <cfRule type="colorScale" priority="43">
      <colorScale>
        <cfvo type="min"/>
        <cfvo type="max"/>
        <color rgb="FFFFEF9C"/>
        <color rgb="FF63BE7B"/>
      </colorScale>
    </cfRule>
  </conditionalFormatting>
  <conditionalFormatting sqref="AB280:AF286">
    <cfRule type="cellIs" dxfId="22" priority="11" operator="lessThan">
      <formula>0</formula>
    </cfRule>
    <cfRule type="colorScale" priority="12">
      <colorScale>
        <cfvo type="min"/>
        <cfvo type="max"/>
        <color rgb="FFFFEF9C"/>
        <color rgb="FF63BE7B"/>
      </colorScale>
    </cfRule>
  </conditionalFormatting>
  <conditionalFormatting sqref="AB290:AF299">
    <cfRule type="colorScale" priority="24">
      <colorScale>
        <cfvo type="min"/>
        <cfvo type="max"/>
        <color rgb="FFFFEF9C"/>
        <color rgb="FF63BE7B"/>
      </colorScale>
    </cfRule>
  </conditionalFormatting>
  <conditionalFormatting sqref="AB290:AF316">
    <cfRule type="cellIs" dxfId="21" priority="1" operator="lessThan">
      <formula>0</formula>
    </cfRule>
  </conditionalFormatting>
  <conditionalFormatting sqref="AB300:AF303">
    <cfRule type="colorScale" priority="25">
      <colorScale>
        <cfvo type="min"/>
        <cfvo type="max"/>
        <color rgb="FFFFEF9C"/>
        <color rgb="FF63BE7B"/>
      </colorScale>
    </cfRule>
  </conditionalFormatting>
  <conditionalFormatting sqref="AB304:AF310">
    <cfRule type="colorScale" priority="10">
      <colorScale>
        <cfvo type="min"/>
        <cfvo type="max"/>
        <color rgb="FFFFEF9C"/>
        <color rgb="FF63BE7B"/>
      </colorScale>
    </cfRule>
  </conditionalFormatting>
  <conditionalFormatting sqref="AB311:AF311">
    <cfRule type="colorScale" priority="2">
      <colorScale>
        <cfvo type="min"/>
        <cfvo type="max"/>
        <color rgb="FFFFEF9C"/>
        <color rgb="FF63BE7B"/>
      </colorScale>
    </cfRule>
  </conditionalFormatting>
  <conditionalFormatting sqref="AB312:AF315">
    <cfRule type="colorScale" priority="8">
      <colorScale>
        <cfvo type="min"/>
        <cfvo type="max"/>
        <color rgb="FFFFEF9C"/>
        <color rgb="FF63BE7B"/>
      </colorScale>
    </cfRule>
  </conditionalFormatting>
  <conditionalFormatting sqref="AB316:AF316">
    <cfRule type="colorScale" priority="6">
      <colorScale>
        <cfvo type="min"/>
        <cfvo type="max"/>
        <color rgb="FFFFEF9C"/>
        <color rgb="FF63BE7B"/>
      </colorScale>
    </cfRule>
  </conditionalFormatting>
  <conditionalFormatting sqref="AB320:AF325">
    <cfRule type="colorScale" priority="27">
      <colorScale>
        <cfvo type="min"/>
        <cfvo type="max"/>
        <color rgb="FFFFEF9C"/>
        <color rgb="FF63BE7B"/>
      </colorScale>
    </cfRule>
  </conditionalFormatting>
  <conditionalFormatting sqref="AC290:AD316">
    <cfRule type="colorScale" priority="26">
      <colorScale>
        <cfvo type="min"/>
        <cfvo type="max"/>
        <color rgb="FFFFEF9C"/>
        <color rgb="FF63BE7B"/>
      </colorScale>
    </cfRule>
  </conditionalFormatting>
  <conditionalFormatting sqref="AC320:AD325">
    <cfRule type="colorScale" priority="28">
      <colorScale>
        <cfvo type="min"/>
        <cfvo type="max"/>
        <color rgb="FFFFEF9C"/>
        <color rgb="FF63BE7B"/>
      </colorScale>
    </cfRule>
  </conditionalFormatting>
  <conditionalFormatting sqref="AC31:AF31 AB32:AF39 AB41:AF43 AB100:AF112">
    <cfRule type="cellIs" dxfId="20" priority="16" operator="lessThan">
      <formula>0</formula>
    </cfRule>
  </conditionalFormatting>
  <conditionalFormatting sqref="AG12:AK17">
    <cfRule type="colorScale" priority="35">
      <colorScale>
        <cfvo type="min"/>
        <cfvo type="max"/>
        <color theme="0"/>
        <color theme="8" tint="0.39997558519241921"/>
      </colorScale>
    </cfRule>
  </conditionalFormatting>
  <conditionalFormatting sqref="AG21:AK26">
    <cfRule type="colorScale" priority="29">
      <colorScale>
        <cfvo type="min"/>
        <cfvo type="max"/>
        <color theme="0"/>
        <color theme="8" tint="0.39997558519241921"/>
      </colorScale>
    </cfRule>
  </conditionalFormatting>
  <conditionalFormatting sqref="AG31:AK110">
    <cfRule type="colorScale" priority="40">
      <colorScale>
        <cfvo type="min"/>
        <cfvo type="max"/>
        <color theme="0"/>
        <color theme="8" tint="0.39997558519241921"/>
      </colorScale>
    </cfRule>
  </conditionalFormatting>
  <conditionalFormatting sqref="AG115:AK138">
    <cfRule type="colorScale" priority="34">
      <colorScale>
        <cfvo type="min"/>
        <cfvo type="max"/>
        <color theme="0"/>
        <color theme="8" tint="0.39997558519241921"/>
      </colorScale>
    </cfRule>
  </conditionalFormatting>
  <conditionalFormatting sqref="AG143:AK258">
    <cfRule type="colorScale" priority="38">
      <colorScale>
        <cfvo type="min"/>
        <cfvo type="max"/>
        <color theme="0"/>
        <color theme="8" tint="0.39997558519241921"/>
      </colorScale>
    </cfRule>
  </conditionalFormatting>
  <conditionalFormatting sqref="AG260:AK276">
    <cfRule type="colorScale" priority="42">
      <colorScale>
        <cfvo type="min"/>
        <cfvo type="max"/>
        <color theme="0"/>
        <color theme="8" tint="0.39997558519241921"/>
      </colorScale>
    </cfRule>
  </conditionalFormatting>
  <conditionalFormatting sqref="AG280:AK286">
    <cfRule type="colorScale" priority="33">
      <colorScale>
        <cfvo type="min"/>
        <cfvo type="max"/>
        <color theme="0"/>
        <color theme="8" tint="0.39997558519241921"/>
      </colorScale>
    </cfRule>
  </conditionalFormatting>
  <conditionalFormatting sqref="AG290:AK303">
    <cfRule type="colorScale" priority="36">
      <colorScale>
        <cfvo type="min"/>
        <cfvo type="max"/>
        <color theme="0"/>
        <color theme="8" tint="0.39997558519241921"/>
      </colorScale>
    </cfRule>
  </conditionalFormatting>
  <conditionalFormatting sqref="AG304:AK310">
    <cfRule type="colorScale" priority="32">
      <colorScale>
        <cfvo type="min"/>
        <cfvo type="max"/>
        <color theme="0"/>
        <color theme="8" tint="0.39997558519241921"/>
      </colorScale>
    </cfRule>
  </conditionalFormatting>
  <conditionalFormatting sqref="AG311:AK311">
    <cfRule type="colorScale" priority="3">
      <colorScale>
        <cfvo type="min"/>
        <cfvo type="max"/>
        <color theme="0"/>
        <color theme="8" tint="0.39997558519241921"/>
      </colorScale>
    </cfRule>
  </conditionalFormatting>
  <conditionalFormatting sqref="AG312:AK315">
    <cfRule type="colorScale" priority="31">
      <colorScale>
        <cfvo type="min"/>
        <cfvo type="max"/>
        <color theme="0"/>
        <color theme="8" tint="0.39997558519241921"/>
      </colorScale>
    </cfRule>
  </conditionalFormatting>
  <conditionalFormatting sqref="AG316:AK316">
    <cfRule type="colorScale" priority="30">
      <colorScale>
        <cfvo type="min"/>
        <cfvo type="max"/>
        <color theme="0"/>
        <color theme="8" tint="0.39997558519241921"/>
      </colorScale>
    </cfRule>
  </conditionalFormatting>
  <conditionalFormatting sqref="AG320:AK325">
    <cfRule type="colorScale" priority="37">
      <colorScale>
        <cfvo type="min"/>
        <cfvo type="max"/>
        <color theme="0"/>
        <color theme="8" tint="0.39997558519241921"/>
      </colorScale>
    </cfRule>
  </conditionalFormatting>
  <pageMargins left="0.7" right="0.7" top="0.75" bottom="0.75" header="0.3" footer="0.3"/>
  <pageSetup orientation="portrait" r:id="rId1"/>
  <headerFooter>
    <oddFooter>&amp;C&amp;1#&amp;"Calibri"&amp;10&amp;K000000 For internal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732EC-1FBF-4324-B241-D2AE0348EC22}">
  <sheetPr codeName="Sheet02"/>
  <dimension ref="B3:Z320"/>
  <sheetViews>
    <sheetView showGridLines="0" zoomScale="85" zoomScaleNormal="85" workbookViewId="0">
      <selection sqref="A1:XFD1048576"/>
    </sheetView>
  </sheetViews>
  <sheetFormatPr defaultColWidth="9.1796875" defaultRowHeight="14.5" x14ac:dyDescent="0.35"/>
  <cols>
    <col min="1" max="1" width="9.1796875" style="52"/>
    <col min="2" max="2" width="22.6328125" style="52" bestFit="1" customWidth="1"/>
    <col min="3" max="3" width="62.90625" style="52" bestFit="1" customWidth="1"/>
    <col min="4" max="4" width="39.90625" style="52" bestFit="1" customWidth="1"/>
    <col min="5" max="5" width="9.08984375" style="52" bestFit="1" customWidth="1"/>
    <col min="6" max="7" width="94.453125" style="52" bestFit="1" customWidth="1"/>
    <col min="8" max="9" width="95.1796875" style="52" bestFit="1" customWidth="1"/>
    <col min="10" max="11" width="93.81640625" style="52" bestFit="1" customWidth="1"/>
    <col min="12" max="12" width="94.7265625" style="52" bestFit="1" customWidth="1"/>
    <col min="13" max="13" width="94.26953125" style="52" bestFit="1" customWidth="1"/>
    <col min="14" max="14" width="96.08984375" style="52" bestFit="1" customWidth="1"/>
    <col min="15" max="15" width="95.1796875" style="52" bestFit="1" customWidth="1"/>
    <col min="16" max="16" width="54.90625" style="52" bestFit="1" customWidth="1"/>
    <col min="17" max="19" width="47" style="52" bestFit="1" customWidth="1"/>
    <col min="20" max="20" width="12.1796875" style="52" bestFit="1" customWidth="1"/>
    <col min="21" max="21" width="9.1796875" style="52"/>
    <col min="22" max="22" width="46.1796875" style="52" bestFit="1" customWidth="1"/>
    <col min="23" max="23" width="45.81640625" style="52" bestFit="1" customWidth="1"/>
    <col min="24" max="24" width="46.1796875" style="52" bestFit="1" customWidth="1"/>
    <col min="25" max="25" width="45.81640625" style="52" bestFit="1" customWidth="1"/>
    <col min="26" max="26" width="45.7265625" style="52" bestFit="1" customWidth="1"/>
    <col min="27" max="16384" width="9.1796875" style="52"/>
  </cols>
  <sheetData>
    <row r="3" spans="2:26" x14ac:dyDescent="0.35">
      <c r="F3" s="158" t="s">
        <v>220</v>
      </c>
      <c r="G3" s="159"/>
      <c r="H3" s="159"/>
      <c r="I3" s="159"/>
      <c r="J3" s="160"/>
      <c r="K3" s="158" t="s">
        <v>214</v>
      </c>
      <c r="L3" s="159"/>
      <c r="M3" s="159"/>
      <c r="N3" s="159"/>
      <c r="O3" s="160"/>
    </row>
    <row r="4" spans="2:26" x14ac:dyDescent="0.35">
      <c r="F4" s="155" t="s">
        <v>1</v>
      </c>
      <c r="G4" s="156"/>
      <c r="H4" s="156"/>
      <c r="I4" s="156"/>
      <c r="J4" s="157"/>
      <c r="K4" s="155" t="s">
        <v>2</v>
      </c>
      <c r="L4" s="156"/>
      <c r="M4" s="156"/>
      <c r="N4" s="156"/>
      <c r="O4" s="157"/>
    </row>
    <row r="5" spans="2:26" ht="15.5" x14ac:dyDescent="0.35">
      <c r="B5" s="121" t="s">
        <v>222</v>
      </c>
      <c r="C5" s="122"/>
      <c r="D5" s="122"/>
      <c r="E5" s="122"/>
      <c r="F5" s="125"/>
      <c r="G5" s="125"/>
      <c r="H5" s="125"/>
      <c r="I5" s="125"/>
      <c r="J5" s="125"/>
      <c r="K5" s="125"/>
      <c r="L5" s="125"/>
      <c r="M5" s="125"/>
      <c r="N5" s="125"/>
      <c r="O5" s="125"/>
      <c r="Q5" s="125"/>
      <c r="R5" s="125"/>
      <c r="V5" s="155" t="s">
        <v>215</v>
      </c>
      <c r="W5" s="156"/>
      <c r="X5" s="156"/>
      <c r="Y5" s="156"/>
      <c r="Z5" s="157"/>
    </row>
    <row r="6" spans="2:26" x14ac:dyDescent="0.35">
      <c r="B6" s="84" t="s">
        <v>5</v>
      </c>
      <c r="C6" s="83" t="s">
        <v>6</v>
      </c>
      <c r="D6" s="83" t="s">
        <v>7</v>
      </c>
      <c r="E6" s="83" t="s">
        <v>8</v>
      </c>
      <c r="F6" s="82" t="s">
        <v>9</v>
      </c>
      <c r="G6" s="81" t="s">
        <v>10</v>
      </c>
      <c r="H6" s="81" t="s">
        <v>11</v>
      </c>
      <c r="I6" s="81" t="s">
        <v>12</v>
      </c>
      <c r="J6" s="80" t="s">
        <v>13</v>
      </c>
      <c r="K6" s="82" t="s">
        <v>9</v>
      </c>
      <c r="L6" s="81" t="s">
        <v>10</v>
      </c>
      <c r="M6" s="81" t="s">
        <v>11</v>
      </c>
      <c r="N6" s="81" t="s">
        <v>12</v>
      </c>
      <c r="O6" s="80" t="s">
        <v>13</v>
      </c>
      <c r="P6" s="69" t="s">
        <v>14</v>
      </c>
      <c r="Q6" s="57" t="s">
        <v>15</v>
      </c>
      <c r="R6" s="57" t="s">
        <v>16</v>
      </c>
      <c r="S6" s="57" t="s">
        <v>216</v>
      </c>
      <c r="T6" s="57" t="s">
        <v>18</v>
      </c>
      <c r="V6" s="109" t="s">
        <v>9</v>
      </c>
      <c r="W6" s="105" t="s">
        <v>10</v>
      </c>
      <c r="X6" s="105" t="s">
        <v>11</v>
      </c>
      <c r="Y6" s="105" t="s">
        <v>12</v>
      </c>
      <c r="Z6" s="110" t="s">
        <v>13</v>
      </c>
    </row>
    <row r="7" spans="2:26" x14ac:dyDescent="0.35">
      <c r="B7" s="55" t="s">
        <v>19</v>
      </c>
      <c r="C7" s="123"/>
      <c r="D7" s="11" t="s">
        <v>20</v>
      </c>
      <c r="E7" s="123"/>
      <c r="F7" s="74"/>
      <c r="G7" s="79">
        <v>4.4023136069320887E-2</v>
      </c>
      <c r="H7" s="79">
        <v>4.9476380523429613E-2</v>
      </c>
      <c r="I7" s="79">
        <v>5.3742628853371319E-2</v>
      </c>
      <c r="J7" s="61">
        <v>5.8084006882631253E-2</v>
      </c>
      <c r="K7" s="74"/>
      <c r="L7" s="79">
        <v>7.2950865693208952E-3</v>
      </c>
      <c r="M7" s="79">
        <v>1.2171281623429614E-2</v>
      </c>
      <c r="N7" s="79">
        <v>1.5440011453371318E-2</v>
      </c>
      <c r="O7" s="61">
        <v>1.8444675382631254E-2</v>
      </c>
      <c r="P7" s="15"/>
      <c r="Q7" s="132"/>
      <c r="R7" s="132"/>
      <c r="S7" s="132"/>
      <c r="T7" s="16"/>
      <c r="V7" s="17">
        <v>1.11062455</v>
      </c>
      <c r="W7" s="18">
        <v>2.8580098399999998</v>
      </c>
      <c r="X7" s="18">
        <v>4.3982281700000003</v>
      </c>
      <c r="Y7" s="18">
        <v>5.7146113500000002</v>
      </c>
      <c r="Z7" s="19">
        <v>7.3324319099999995</v>
      </c>
    </row>
    <row r="8" spans="2:26" x14ac:dyDescent="0.35">
      <c r="B8" s="54" t="s">
        <v>22</v>
      </c>
      <c r="C8" s="122"/>
      <c r="D8" s="20" t="s">
        <v>23</v>
      </c>
      <c r="E8" s="122"/>
      <c r="F8" s="72">
        <v>3.8017453932628606E-2</v>
      </c>
      <c r="G8" s="70">
        <v>4.3854035634139366E-2</v>
      </c>
      <c r="H8" s="70">
        <v>4.965810877724202E-2</v>
      </c>
      <c r="I8" s="70">
        <v>5.3940527172642805E-2</v>
      </c>
      <c r="J8" s="62">
        <v>5.824064470259304E-2</v>
      </c>
      <c r="K8" s="72">
        <v>3.8850493262860848E-4</v>
      </c>
      <c r="L8" s="70">
        <v>7.106590734139372E-3</v>
      </c>
      <c r="M8" s="70">
        <v>1.2316765577242024E-2</v>
      </c>
      <c r="N8" s="70">
        <v>1.5603153972642794E-2</v>
      </c>
      <c r="O8" s="62">
        <v>1.8573017802593034E-2</v>
      </c>
      <c r="P8" s="24"/>
      <c r="Q8" s="25"/>
      <c r="R8" s="25"/>
      <c r="S8" s="25"/>
      <c r="T8" s="26"/>
      <c r="V8" s="27">
        <v>1.11501297</v>
      </c>
      <c r="W8" s="28">
        <v>2.86184694</v>
      </c>
      <c r="X8" s="28">
        <v>4.3940738700000006</v>
      </c>
      <c r="Y8" s="28">
        <v>5.6998341199999993</v>
      </c>
      <c r="Z8" s="29">
        <v>7.3012165000000007</v>
      </c>
    </row>
    <row r="9" spans="2:26" x14ac:dyDescent="0.35">
      <c r="B9" s="55" t="s">
        <v>24</v>
      </c>
      <c r="C9" s="123"/>
      <c r="D9" s="11" t="s">
        <v>20</v>
      </c>
      <c r="E9" s="123"/>
      <c r="F9" s="74">
        <v>6.2740831115374568E-2</v>
      </c>
      <c r="G9" s="79">
        <v>7.0004640845385088E-2</v>
      </c>
      <c r="H9" s="79">
        <v>7.8243902400498194E-2</v>
      </c>
      <c r="I9" s="79"/>
      <c r="J9" s="61"/>
      <c r="K9" s="74">
        <v>2.4043128315374581E-2</v>
      </c>
      <c r="L9" s="79">
        <v>3.1795162445385092E-2</v>
      </c>
      <c r="M9" s="79">
        <v>3.9155248300498199E-2</v>
      </c>
      <c r="N9" s="79"/>
      <c r="O9" s="61"/>
      <c r="P9" s="15"/>
      <c r="Q9" s="132"/>
      <c r="R9" s="132"/>
      <c r="S9" s="132"/>
      <c r="T9" s="16"/>
      <c r="V9" s="17">
        <v>1.0784823000000001</v>
      </c>
      <c r="W9" s="18">
        <v>2.6662056299999999</v>
      </c>
      <c r="X9" s="18">
        <v>3.9536605799999998</v>
      </c>
      <c r="Y9" s="18">
        <v>4.9855123099999998</v>
      </c>
      <c r="Z9" s="19">
        <v>6.1781157799999997</v>
      </c>
    </row>
    <row r="10" spans="2:26" x14ac:dyDescent="0.35">
      <c r="B10" s="56" t="s">
        <v>25</v>
      </c>
      <c r="C10" s="124"/>
      <c r="D10" s="20" t="s">
        <v>23</v>
      </c>
      <c r="E10" s="124"/>
      <c r="F10" s="73">
        <v>4.9841662549552683E-2</v>
      </c>
      <c r="G10" s="75">
        <v>6.5294066052170002E-2</v>
      </c>
      <c r="H10" s="75">
        <v>7.8201878323050755E-2</v>
      </c>
      <c r="I10" s="75">
        <v>8.4192297576634573E-2</v>
      </c>
      <c r="J10" s="63">
        <v>9.0297486026994431E-2</v>
      </c>
      <c r="K10" s="73">
        <v>1.1705497749552695E-2</v>
      </c>
      <c r="L10" s="75">
        <v>2.7264073652170009E-2</v>
      </c>
      <c r="M10" s="75">
        <v>3.8851829123050755E-2</v>
      </c>
      <c r="N10" s="75">
        <v>4.3677540376634585E-2</v>
      </c>
      <c r="O10" s="63">
        <v>4.8336216326994426E-2</v>
      </c>
      <c r="P10" s="33"/>
      <c r="Q10" s="133"/>
      <c r="R10" s="133"/>
      <c r="S10" s="133"/>
      <c r="T10" s="34"/>
      <c r="V10" s="27">
        <v>1.0708171500000001</v>
      </c>
      <c r="W10" s="28">
        <v>2.6627576100000003</v>
      </c>
      <c r="X10" s="28">
        <v>3.9068649099999999</v>
      </c>
      <c r="Y10" s="28">
        <v>4.8487798800000004</v>
      </c>
      <c r="Z10" s="29">
        <v>5.84969289</v>
      </c>
    </row>
    <row r="11" spans="2:26" x14ac:dyDescent="0.35">
      <c r="B11" s="54" t="s">
        <v>26</v>
      </c>
      <c r="C11" s="122"/>
      <c r="D11" s="11" t="s">
        <v>23</v>
      </c>
      <c r="E11" s="122"/>
      <c r="F11" s="72">
        <v>3.8272933293087577E-2</v>
      </c>
      <c r="G11" s="70">
        <v>4.407924664024785E-2</v>
      </c>
      <c r="H11" s="70">
        <v>5.0317357690092886E-2</v>
      </c>
      <c r="I11" s="70"/>
      <c r="J11" s="62"/>
      <c r="K11" s="72">
        <v>6.3465609308758011E-4</v>
      </c>
      <c r="L11" s="70">
        <v>7.3263374402478543E-3</v>
      </c>
      <c r="M11" s="70">
        <v>1.2945766590092887E-2</v>
      </c>
      <c r="N11" s="70"/>
      <c r="O11" s="62"/>
      <c r="P11" s="24"/>
      <c r="Q11" s="25"/>
      <c r="R11" s="25"/>
      <c r="S11" s="25"/>
      <c r="T11" s="26"/>
      <c r="V11" s="17">
        <v>1.1040885300000001</v>
      </c>
      <c r="W11" s="18">
        <v>2.8253561</v>
      </c>
      <c r="X11" s="18">
        <v>4.3483261199999994</v>
      </c>
      <c r="Y11" s="18">
        <v>5.6218750900000005</v>
      </c>
      <c r="Z11" s="19">
        <v>7.1402587399999993</v>
      </c>
    </row>
    <row r="12" spans="2:26" x14ac:dyDescent="0.35">
      <c r="B12" s="56" t="s">
        <v>27</v>
      </c>
      <c r="C12" s="124"/>
      <c r="D12" s="35" t="s">
        <v>23</v>
      </c>
      <c r="E12" s="124"/>
      <c r="F12" s="73"/>
      <c r="G12" s="75">
        <v>4.674764546541748E-2</v>
      </c>
      <c r="H12" s="75">
        <v>5.5104507516637868E-2</v>
      </c>
      <c r="I12" s="75"/>
      <c r="J12" s="63">
        <v>7.079711665836709E-2</v>
      </c>
      <c r="K12" s="73"/>
      <c r="L12" s="75">
        <v>9.9235337654174811E-3</v>
      </c>
      <c r="M12" s="75">
        <v>1.7574660616637872E-2</v>
      </c>
      <c r="N12" s="75"/>
      <c r="O12" s="63">
        <v>3.0561091358367098E-2</v>
      </c>
      <c r="P12" s="33"/>
      <c r="Q12" s="133"/>
      <c r="R12" s="133"/>
      <c r="S12" s="133"/>
      <c r="T12" s="34"/>
      <c r="V12" s="36">
        <v>1.1004231499999999</v>
      </c>
      <c r="W12" s="37">
        <v>2.8071467800000001</v>
      </c>
      <c r="X12" s="37">
        <v>4.3077624600000002</v>
      </c>
      <c r="Y12" s="37">
        <v>5.5394182199999999</v>
      </c>
      <c r="Z12" s="38">
        <v>6.9670829599999999</v>
      </c>
    </row>
    <row r="13" spans="2:26" x14ac:dyDescent="0.35">
      <c r="C13" s="122"/>
      <c r="D13" s="122"/>
      <c r="E13" s="122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V13" s="40"/>
      <c r="W13" s="40"/>
      <c r="X13" s="40"/>
      <c r="Y13" s="40"/>
      <c r="Z13" s="40"/>
    </row>
    <row r="14" spans="2:26" ht="15.5" x14ac:dyDescent="0.35">
      <c r="B14" s="121" t="s">
        <v>223</v>
      </c>
      <c r="C14" s="122"/>
      <c r="D14" s="122"/>
      <c r="E14" s="122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Q14" s="125"/>
      <c r="R14" s="125"/>
      <c r="V14" s="155" t="s">
        <v>215</v>
      </c>
      <c r="W14" s="156"/>
      <c r="X14" s="156"/>
      <c r="Y14" s="156"/>
      <c r="Z14" s="157"/>
    </row>
    <row r="15" spans="2:26" x14ac:dyDescent="0.35">
      <c r="B15" s="84" t="s">
        <v>5</v>
      </c>
      <c r="C15" s="83" t="s">
        <v>6</v>
      </c>
      <c r="D15" s="83" t="s">
        <v>7</v>
      </c>
      <c r="E15" s="83" t="s">
        <v>8</v>
      </c>
      <c r="F15" s="82" t="s">
        <v>9</v>
      </c>
      <c r="G15" s="81" t="s">
        <v>10</v>
      </c>
      <c r="H15" s="81" t="s">
        <v>11</v>
      </c>
      <c r="I15" s="81" t="s">
        <v>12</v>
      </c>
      <c r="J15" s="80" t="s">
        <v>13</v>
      </c>
      <c r="K15" s="82" t="s">
        <v>9</v>
      </c>
      <c r="L15" s="81" t="s">
        <v>10</v>
      </c>
      <c r="M15" s="81" t="s">
        <v>11</v>
      </c>
      <c r="N15" s="81" t="s">
        <v>12</v>
      </c>
      <c r="O15" s="80" t="s">
        <v>13</v>
      </c>
      <c r="P15" s="69" t="s">
        <v>14</v>
      </c>
      <c r="Q15" s="57" t="s">
        <v>15</v>
      </c>
      <c r="R15" s="57" t="s">
        <v>16</v>
      </c>
      <c r="S15" s="57" t="s">
        <v>216</v>
      </c>
      <c r="T15" s="57" t="s">
        <v>18</v>
      </c>
      <c r="V15" s="109" t="s">
        <v>9</v>
      </c>
      <c r="W15" s="105" t="s">
        <v>10</v>
      </c>
      <c r="X15" s="105" t="s">
        <v>11</v>
      </c>
      <c r="Y15" s="105" t="s">
        <v>12</v>
      </c>
      <c r="Z15" s="110" t="s">
        <v>13</v>
      </c>
    </row>
    <row r="16" spans="2:26" x14ac:dyDescent="0.35">
      <c r="B16" s="55" t="s">
        <v>19</v>
      </c>
      <c r="C16" s="123"/>
      <c r="D16" s="11" t="s">
        <v>20</v>
      </c>
      <c r="E16" s="123"/>
      <c r="F16" s="74"/>
      <c r="G16" s="79">
        <v>4.6650402236080413E-2</v>
      </c>
      <c r="H16" s="79">
        <v>5.2951529155571962E-2</v>
      </c>
      <c r="I16" s="79">
        <v>5.7824945279125753E-2</v>
      </c>
      <c r="J16" s="61">
        <v>6.2564869051006361E-2</v>
      </c>
      <c r="K16" s="74"/>
      <c r="L16" s="79">
        <v>9.8867397360804139E-3</v>
      </c>
      <c r="M16" s="79">
        <v>1.5583992255571961E-2</v>
      </c>
      <c r="N16" s="79">
        <v>1.9437090779125754E-2</v>
      </c>
      <c r="O16" s="61">
        <v>2.280208025100636E-2</v>
      </c>
      <c r="P16" s="15"/>
      <c r="Q16" s="132"/>
      <c r="R16" s="132"/>
      <c r="S16" s="132"/>
      <c r="T16" s="16"/>
      <c r="V16" s="17">
        <v>1.11062455</v>
      </c>
      <c r="W16" s="18">
        <v>2.8580098399999998</v>
      </c>
      <c r="X16" s="18">
        <v>4.3982281700000003</v>
      </c>
      <c r="Y16" s="18">
        <v>5.7146113500000002</v>
      </c>
      <c r="Z16" s="19">
        <v>7.3324319099999995</v>
      </c>
    </row>
    <row r="17" spans="2:26" x14ac:dyDescent="0.35">
      <c r="B17" s="54" t="s">
        <v>22</v>
      </c>
      <c r="C17" s="122"/>
      <c r="D17" s="20" t="s">
        <v>23</v>
      </c>
      <c r="E17" s="122"/>
      <c r="F17" s="72">
        <v>3.8725893127045018E-2</v>
      </c>
      <c r="G17" s="70">
        <v>4.6626756490211599E-2</v>
      </c>
      <c r="H17" s="70">
        <v>5.340362716685957E-2</v>
      </c>
      <c r="I17" s="70">
        <v>5.827341239165585E-2</v>
      </c>
      <c r="J17" s="62">
        <v>6.2921146180581464E-2</v>
      </c>
      <c r="K17" s="72">
        <v>1.0823304270450229E-3</v>
      </c>
      <c r="L17" s="70">
        <v>9.8392500902116029E-3</v>
      </c>
      <c r="M17" s="70">
        <v>1.5989622966859574E-2</v>
      </c>
      <c r="N17" s="70">
        <v>1.983578109165585E-2</v>
      </c>
      <c r="O17" s="62">
        <v>2.3115336880581469E-2</v>
      </c>
      <c r="P17" s="24"/>
      <c r="Q17" s="25"/>
      <c r="R17" s="25"/>
      <c r="S17" s="25"/>
      <c r="T17" s="26"/>
      <c r="V17" s="27">
        <v>1.11501297</v>
      </c>
      <c r="W17" s="28">
        <v>2.86184694</v>
      </c>
      <c r="X17" s="28">
        <v>4.3940738700000006</v>
      </c>
      <c r="Y17" s="28">
        <v>5.6998341199999993</v>
      </c>
      <c r="Z17" s="29">
        <v>7.3012165000000007</v>
      </c>
    </row>
    <row r="18" spans="2:26" x14ac:dyDescent="0.35">
      <c r="B18" s="55" t="s">
        <v>24</v>
      </c>
      <c r="C18" s="123"/>
      <c r="D18" s="11" t="s">
        <v>20</v>
      </c>
      <c r="E18" s="123"/>
      <c r="F18" s="74">
        <v>6.892761027456884E-2</v>
      </c>
      <c r="G18" s="79">
        <v>7.7729122579924342E-2</v>
      </c>
      <c r="H18" s="79">
        <v>8.6546322717215518E-2</v>
      </c>
      <c r="I18" s="79"/>
      <c r="J18" s="61"/>
      <c r="K18" s="74">
        <v>2.9948960574568841E-2</v>
      </c>
      <c r="L18" s="79">
        <v>3.9142457779924339E-2</v>
      </c>
      <c r="M18" s="79">
        <v>4.699527181721553E-2</v>
      </c>
      <c r="N18" s="79"/>
      <c r="O18" s="61"/>
      <c r="P18" s="15"/>
      <c r="Q18" s="132"/>
      <c r="R18" s="132"/>
      <c r="S18" s="132"/>
      <c r="T18" s="16"/>
      <c r="V18" s="17">
        <v>1.0784823000000001</v>
      </c>
      <c r="W18" s="18">
        <v>2.6662056299999999</v>
      </c>
      <c r="X18" s="18">
        <v>3.9536605799999998</v>
      </c>
      <c r="Y18" s="18">
        <v>4.9855123099999998</v>
      </c>
      <c r="Z18" s="19">
        <v>6.1781157799999997</v>
      </c>
    </row>
    <row r="19" spans="2:26" x14ac:dyDescent="0.35">
      <c r="B19" s="56" t="s">
        <v>25</v>
      </c>
      <c r="C19" s="124"/>
      <c r="D19" s="20" t="s">
        <v>23</v>
      </c>
      <c r="E19" s="124"/>
      <c r="F19" s="73">
        <v>5.4513613479525658E-2</v>
      </c>
      <c r="G19" s="75">
        <v>7.4491809153869326E-2</v>
      </c>
      <c r="H19" s="75">
        <v>8.9576306431142755E-2</v>
      </c>
      <c r="I19" s="75">
        <v>9.5472631045131665E-2</v>
      </c>
      <c r="J19" s="63">
        <v>0.10067825913503765</v>
      </c>
      <c r="K19" s="73">
        <v>1.6192754979525659E-2</v>
      </c>
      <c r="L19" s="75">
        <v>3.5972361553869334E-2</v>
      </c>
      <c r="M19" s="75">
        <v>4.9441625531142772E-2</v>
      </c>
      <c r="N19" s="75">
        <v>5.4104554745131657E-2</v>
      </c>
      <c r="O19" s="63">
        <v>5.7832356335037659E-2</v>
      </c>
      <c r="P19" s="33"/>
      <c r="Q19" s="133"/>
      <c r="R19" s="133"/>
      <c r="S19" s="133"/>
      <c r="T19" s="34"/>
      <c r="V19" s="27">
        <v>1.0708171500000001</v>
      </c>
      <c r="W19" s="28">
        <v>2.6627576100000003</v>
      </c>
      <c r="X19" s="28">
        <v>3.9068649099999999</v>
      </c>
      <c r="Y19" s="28">
        <v>4.8487798800000004</v>
      </c>
      <c r="Z19" s="29">
        <v>5.84969289</v>
      </c>
    </row>
    <row r="20" spans="2:26" x14ac:dyDescent="0.35">
      <c r="B20" s="54" t="s">
        <v>26</v>
      </c>
      <c r="C20" s="122"/>
      <c r="D20" s="11" t="s">
        <v>23</v>
      </c>
      <c r="E20" s="122"/>
      <c r="F20" s="72">
        <v>3.9089805418047831E-2</v>
      </c>
      <c r="G20" s="70">
        <v>4.6928283439638681E-2</v>
      </c>
      <c r="H20" s="70">
        <v>5.421510702912366E-2</v>
      </c>
      <c r="I20" s="70"/>
      <c r="J20" s="62"/>
      <c r="K20" s="72">
        <v>1.4344463180478335E-3</v>
      </c>
      <c r="L20" s="70">
        <v>1.0133217239638692E-2</v>
      </c>
      <c r="M20" s="70">
        <v>1.6764853629123659E-2</v>
      </c>
      <c r="N20" s="70"/>
      <c r="O20" s="62"/>
      <c r="P20" s="24"/>
      <c r="Q20" s="25"/>
      <c r="R20" s="25"/>
      <c r="S20" s="25"/>
      <c r="T20" s="26"/>
      <c r="V20" s="17">
        <v>1.1040885300000001</v>
      </c>
      <c r="W20" s="18">
        <v>2.8253561</v>
      </c>
      <c r="X20" s="18">
        <v>4.3483261199999994</v>
      </c>
      <c r="Y20" s="18">
        <v>5.6218750900000005</v>
      </c>
      <c r="Z20" s="19">
        <v>7.1402587399999993</v>
      </c>
    </row>
    <row r="21" spans="2:26" x14ac:dyDescent="0.35">
      <c r="B21" s="56" t="s">
        <v>27</v>
      </c>
      <c r="C21" s="124"/>
      <c r="D21" s="35" t="s">
        <v>23</v>
      </c>
      <c r="E21" s="124"/>
      <c r="F21" s="73"/>
      <c r="G21" s="75">
        <v>4.8803563573414775E-2</v>
      </c>
      <c r="H21" s="75">
        <v>5.7839422062070892E-2</v>
      </c>
      <c r="I21" s="75"/>
      <c r="J21" s="63">
        <v>7.4657091286974508E-2</v>
      </c>
      <c r="K21" s="73"/>
      <c r="L21" s="75">
        <v>1.1951877473414779E-2</v>
      </c>
      <c r="M21" s="75">
        <v>2.0251008262070897E-2</v>
      </c>
      <c r="N21" s="75"/>
      <c r="O21" s="63">
        <v>3.4281519686974522E-2</v>
      </c>
      <c r="P21" s="33"/>
      <c r="Q21" s="133"/>
      <c r="R21" s="133"/>
      <c r="S21" s="133"/>
      <c r="T21" s="34"/>
      <c r="V21" s="36">
        <v>1.1004231499999999</v>
      </c>
      <c r="W21" s="37">
        <v>2.8071467800000001</v>
      </c>
      <c r="X21" s="37">
        <v>4.3077624600000002</v>
      </c>
      <c r="Y21" s="37">
        <v>5.5394182199999999</v>
      </c>
      <c r="Z21" s="38">
        <v>6.9670829599999999</v>
      </c>
    </row>
    <row r="22" spans="2:26" x14ac:dyDescent="0.35">
      <c r="C22" s="122"/>
      <c r="D22" s="122"/>
      <c r="E22" s="122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V22" s="40"/>
      <c r="W22" s="40"/>
      <c r="X22" s="40"/>
      <c r="Y22" s="40"/>
      <c r="Z22" s="40"/>
    </row>
    <row r="23" spans="2:26" ht="15.5" x14ac:dyDescent="0.35">
      <c r="B23" s="121" t="s">
        <v>28</v>
      </c>
      <c r="C23" s="122"/>
      <c r="D23" s="122"/>
      <c r="E23" s="122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V23" s="40"/>
      <c r="W23" s="40"/>
      <c r="X23" s="40"/>
      <c r="Y23" s="40"/>
      <c r="Z23" s="40"/>
    </row>
    <row r="24" spans="2:26" x14ac:dyDescent="0.35">
      <c r="B24" s="84" t="s">
        <v>5</v>
      </c>
      <c r="C24" s="83" t="s">
        <v>6</v>
      </c>
      <c r="D24" s="83" t="s">
        <v>7</v>
      </c>
      <c r="E24" s="83" t="s">
        <v>8</v>
      </c>
      <c r="F24" s="82" t="s">
        <v>9</v>
      </c>
      <c r="G24" s="81" t="s">
        <v>10</v>
      </c>
      <c r="H24" s="81" t="s">
        <v>11</v>
      </c>
      <c r="I24" s="81" t="s">
        <v>12</v>
      </c>
      <c r="J24" s="80" t="s">
        <v>13</v>
      </c>
      <c r="K24" s="82" t="s">
        <v>9</v>
      </c>
      <c r="L24" s="81" t="s">
        <v>10</v>
      </c>
      <c r="M24" s="81" t="s">
        <v>11</v>
      </c>
      <c r="N24" s="81" t="s">
        <v>12</v>
      </c>
      <c r="O24" s="80" t="s">
        <v>13</v>
      </c>
      <c r="P24" s="69" t="s">
        <v>14</v>
      </c>
      <c r="Q24" s="57" t="s">
        <v>15</v>
      </c>
      <c r="R24" s="57" t="s">
        <v>16</v>
      </c>
      <c r="S24" s="57" t="s">
        <v>216</v>
      </c>
      <c r="T24" s="57" t="s">
        <v>18</v>
      </c>
      <c r="V24" s="109" t="s">
        <v>9</v>
      </c>
      <c r="W24" s="105" t="s">
        <v>10</v>
      </c>
      <c r="X24" s="105" t="s">
        <v>11</v>
      </c>
      <c r="Y24" s="105" t="s">
        <v>12</v>
      </c>
      <c r="Z24" s="110" t="s">
        <v>13</v>
      </c>
    </row>
    <row r="25" spans="2:26" x14ac:dyDescent="0.35">
      <c r="B25" s="78" t="s">
        <v>416</v>
      </c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6"/>
      <c r="P25" s="78"/>
      <c r="Q25" s="77"/>
      <c r="R25" s="77"/>
      <c r="S25" s="77"/>
      <c r="T25" s="76"/>
      <c r="V25" s="111"/>
      <c r="W25" s="106"/>
      <c r="X25" s="106"/>
      <c r="Y25" s="106"/>
      <c r="Z25" s="112"/>
    </row>
    <row r="26" spans="2:26" x14ac:dyDescent="0.35">
      <c r="B26" s="55" t="s">
        <v>29</v>
      </c>
      <c r="C26" s="52" t="s">
        <v>30</v>
      </c>
      <c r="D26" s="52" t="s">
        <v>31</v>
      </c>
      <c r="E26" s="52" t="s">
        <v>417</v>
      </c>
      <c r="F26" s="74">
        <v>3.71650675904205E-2</v>
      </c>
      <c r="G26" s="70">
        <v>4.1384129510110133E-2</v>
      </c>
      <c r="H26" s="70">
        <v>4.6938659130634698E-2</v>
      </c>
      <c r="I26" s="70">
        <v>5.0267012492058623E-2</v>
      </c>
      <c r="J26" s="62">
        <v>5.3327994530973838E-2</v>
      </c>
      <c r="K26" s="72" t="s">
        <v>21</v>
      </c>
      <c r="L26" s="70">
        <v>4.7056589101101363E-3</v>
      </c>
      <c r="M26" s="70">
        <v>9.7172878306346997E-3</v>
      </c>
      <c r="N26" s="70">
        <v>1.2073802292058625E-2</v>
      </c>
      <c r="O26" s="62">
        <v>1.3816565330973831E-2</v>
      </c>
      <c r="P26" s="54" t="s">
        <v>418</v>
      </c>
      <c r="Q26" s="52" t="s">
        <v>419</v>
      </c>
      <c r="R26" s="93" t="s">
        <v>32</v>
      </c>
      <c r="S26" s="70">
        <v>5.1674089999999999E-2</v>
      </c>
      <c r="T26" s="62">
        <v>-4.7354308693653008E-3</v>
      </c>
      <c r="V26" s="113">
        <v>1.1149594199999999</v>
      </c>
      <c r="W26" s="71">
        <v>2.87330211</v>
      </c>
      <c r="X26" s="71">
        <v>4.4350127000000006</v>
      </c>
      <c r="Y26" s="71">
        <v>5.7861477699999995</v>
      </c>
      <c r="Z26" s="114">
        <v>7.4819803299999998</v>
      </c>
    </row>
    <row r="27" spans="2:26" x14ac:dyDescent="0.35">
      <c r="B27" s="54" t="s">
        <v>29</v>
      </c>
      <c r="C27" s="52" t="s">
        <v>33</v>
      </c>
      <c r="D27" s="52" t="s">
        <v>31</v>
      </c>
      <c r="E27" s="52" t="s">
        <v>34</v>
      </c>
      <c r="F27" s="72">
        <v>3.7519680753353483E-2</v>
      </c>
      <c r="G27" s="70">
        <v>4.3134854948948212E-2</v>
      </c>
      <c r="H27" s="70">
        <v>4.9965990445940536E-2</v>
      </c>
      <c r="I27" s="70">
        <v>5.4150702238148052E-2</v>
      </c>
      <c r="J27" s="62">
        <v>5.7725055179136626E-2</v>
      </c>
      <c r="K27" s="72" t="s">
        <v>21</v>
      </c>
      <c r="L27" s="70">
        <v>6.3755532489482136E-3</v>
      </c>
      <c r="M27" s="70">
        <v>1.2596282845940547E-2</v>
      </c>
      <c r="N27" s="70">
        <v>1.5766665638148051E-2</v>
      </c>
      <c r="O27" s="62">
        <v>1.8023440979136628E-2</v>
      </c>
      <c r="P27" s="54" t="s">
        <v>21</v>
      </c>
      <c r="Q27" s="52" t="s">
        <v>21</v>
      </c>
      <c r="R27" s="93" t="s">
        <v>21</v>
      </c>
      <c r="S27" s="70" t="s">
        <v>21</v>
      </c>
      <c r="T27" s="62" t="s">
        <v>21</v>
      </c>
      <c r="V27" s="113">
        <v>1.11431334</v>
      </c>
      <c r="W27" s="71">
        <v>2.8613519300000001</v>
      </c>
      <c r="X27" s="71">
        <v>4.3897899200000001</v>
      </c>
      <c r="Y27" s="71">
        <v>5.6839228300000002</v>
      </c>
      <c r="Z27" s="114">
        <v>7.2684430300000002</v>
      </c>
    </row>
    <row r="28" spans="2:26" x14ac:dyDescent="0.35">
      <c r="B28" s="56" t="s">
        <v>29</v>
      </c>
      <c r="C28" s="66" t="s">
        <v>35</v>
      </c>
      <c r="D28" s="66" t="s">
        <v>31</v>
      </c>
      <c r="E28" s="66" t="s">
        <v>338</v>
      </c>
      <c r="F28" s="73">
        <v>3.8342557624647298E-2</v>
      </c>
      <c r="G28" s="75">
        <v>4.5386700683816901E-2</v>
      </c>
      <c r="H28" s="75">
        <v>5.3592649095949296E-2</v>
      </c>
      <c r="I28" s="75">
        <v>5.8721366595852559E-2</v>
      </c>
      <c r="J28" s="63">
        <v>6.3114856924052998E-2</v>
      </c>
      <c r="K28" s="73">
        <v>6.6568502464730075E-4</v>
      </c>
      <c r="L28" s="75">
        <v>8.5678346838169023E-3</v>
      </c>
      <c r="M28" s="75">
        <v>1.6115032095949295E-2</v>
      </c>
      <c r="N28" s="75">
        <v>2.0182843995852563E-2</v>
      </c>
      <c r="O28" s="63">
        <v>2.3214885724052996E-2</v>
      </c>
      <c r="P28" s="54" t="s">
        <v>21</v>
      </c>
      <c r="Q28" s="52" t="s">
        <v>21</v>
      </c>
      <c r="R28" s="93" t="s">
        <v>21</v>
      </c>
      <c r="S28" s="70" t="s">
        <v>21</v>
      </c>
      <c r="T28" s="62" t="s">
        <v>21</v>
      </c>
      <c r="V28" s="115">
        <v>1.1141570599999999</v>
      </c>
      <c r="W28" s="107">
        <v>2.8571017300000001</v>
      </c>
      <c r="X28" s="107">
        <v>4.3736548800000001</v>
      </c>
      <c r="Y28" s="107">
        <v>5.6469979400000003</v>
      </c>
      <c r="Z28" s="116">
        <v>7.1861846300000005</v>
      </c>
    </row>
    <row r="29" spans="2:26" x14ac:dyDescent="0.35">
      <c r="B29" s="54" t="s">
        <v>37</v>
      </c>
      <c r="C29" s="52" t="s">
        <v>30</v>
      </c>
      <c r="D29" s="52" t="s">
        <v>31</v>
      </c>
      <c r="E29" s="52" t="s">
        <v>338</v>
      </c>
      <c r="F29" s="72">
        <v>3.7642603681284484E-2</v>
      </c>
      <c r="G29" s="70">
        <v>4.2291400617269527E-2</v>
      </c>
      <c r="H29" s="70">
        <v>4.7586208120817895E-2</v>
      </c>
      <c r="I29" s="70">
        <v>5.0951631648681626E-2</v>
      </c>
      <c r="J29" s="62">
        <v>5.3979617352846537E-2</v>
      </c>
      <c r="K29" s="72" t="s">
        <v>21</v>
      </c>
      <c r="L29" s="70">
        <v>5.5721197172695341E-3</v>
      </c>
      <c r="M29" s="70">
        <v>1.0333930920817894E-2</v>
      </c>
      <c r="N29" s="70">
        <v>1.2725391848681621E-2</v>
      </c>
      <c r="O29" s="62">
        <v>1.4440257452846524E-2</v>
      </c>
      <c r="P29" s="55" t="s">
        <v>21</v>
      </c>
      <c r="Q29" s="65" t="s">
        <v>21</v>
      </c>
      <c r="R29" s="99" t="s">
        <v>21</v>
      </c>
      <c r="S29" s="79" t="s">
        <v>21</v>
      </c>
      <c r="T29" s="61" t="s">
        <v>21</v>
      </c>
      <c r="V29" s="113">
        <v>1.1140661300000001</v>
      </c>
      <c r="W29" s="71">
        <v>2.8661206099999998</v>
      </c>
      <c r="X29" s="71">
        <v>4.4197632999999996</v>
      </c>
      <c r="Y29" s="71">
        <v>5.7612569699999998</v>
      </c>
      <c r="Z29" s="114">
        <v>7.4412038699999998</v>
      </c>
    </row>
    <row r="30" spans="2:26" x14ac:dyDescent="0.35">
      <c r="B30" s="54" t="s">
        <v>37</v>
      </c>
      <c r="C30" s="52" t="s">
        <v>33</v>
      </c>
      <c r="D30" s="52" t="s">
        <v>31</v>
      </c>
      <c r="E30" s="52" t="s">
        <v>38</v>
      </c>
      <c r="F30" s="72">
        <v>3.7938710477346892E-2</v>
      </c>
      <c r="G30" s="70">
        <v>4.3269178996930467E-2</v>
      </c>
      <c r="H30" s="70">
        <v>5.0021572505542226E-2</v>
      </c>
      <c r="I30" s="70">
        <v>5.411151028504077E-2</v>
      </c>
      <c r="J30" s="62">
        <v>5.7774365776568824E-2</v>
      </c>
      <c r="K30" s="72">
        <v>2.7124347734688945E-4</v>
      </c>
      <c r="L30" s="70">
        <v>6.5052342969304693E-3</v>
      </c>
      <c r="M30" s="70">
        <v>1.2650013105542233E-2</v>
      </c>
      <c r="N30" s="70">
        <v>1.5730067685040768E-2</v>
      </c>
      <c r="O30" s="62">
        <v>1.8069323276568825E-2</v>
      </c>
      <c r="P30" s="54" t="s">
        <v>21</v>
      </c>
      <c r="Q30" s="52" t="s">
        <v>21</v>
      </c>
      <c r="R30" s="93" t="s">
        <v>21</v>
      </c>
      <c r="S30" s="70" t="s">
        <v>21</v>
      </c>
      <c r="T30" s="62" t="s">
        <v>21</v>
      </c>
      <c r="V30" s="113">
        <v>1.1135028</v>
      </c>
      <c r="W30" s="71">
        <v>2.8590983899999998</v>
      </c>
      <c r="X30" s="71">
        <v>4.3868445200000004</v>
      </c>
      <c r="Y30" s="71">
        <v>5.6816495900000001</v>
      </c>
      <c r="Z30" s="114">
        <v>7.2658531699999997</v>
      </c>
    </row>
    <row r="31" spans="2:26" x14ac:dyDescent="0.35">
      <c r="B31" s="56" t="s">
        <v>37</v>
      </c>
      <c r="C31" s="66" t="s">
        <v>35</v>
      </c>
      <c r="D31" s="66" t="s">
        <v>31</v>
      </c>
      <c r="E31" s="66" t="s">
        <v>39</v>
      </c>
      <c r="F31" s="73">
        <v>3.8376572619555717E-2</v>
      </c>
      <c r="G31" s="75">
        <v>4.554694891032357E-2</v>
      </c>
      <c r="H31" s="75">
        <v>5.368494102092785E-2</v>
      </c>
      <c r="I31" s="75">
        <v>5.8724184035243897E-2</v>
      </c>
      <c r="J31" s="63">
        <v>6.3204134129848558E-2</v>
      </c>
      <c r="K31" s="73">
        <v>7.1133441955571752E-4</v>
      </c>
      <c r="L31" s="75">
        <v>8.7272148103235744E-3</v>
      </c>
      <c r="M31" s="75">
        <v>1.6206988920927846E-2</v>
      </c>
      <c r="N31" s="75">
        <v>2.0188854635243884E-2</v>
      </c>
      <c r="O31" s="63">
        <v>2.3301637029848551E-2</v>
      </c>
      <c r="P31" s="56" t="s">
        <v>21</v>
      </c>
      <c r="Q31" s="66" t="s">
        <v>21</v>
      </c>
      <c r="R31" s="95" t="s">
        <v>21</v>
      </c>
      <c r="S31" s="75" t="s">
        <v>21</v>
      </c>
      <c r="T31" s="63" t="s">
        <v>21</v>
      </c>
      <c r="V31" s="115">
        <v>1.1140390899999999</v>
      </c>
      <c r="W31" s="107">
        <v>2.85611617</v>
      </c>
      <c r="X31" s="107">
        <v>4.3716618700000005</v>
      </c>
      <c r="Y31" s="107">
        <v>5.6448913899999997</v>
      </c>
      <c r="Z31" s="116">
        <v>7.1828872500000003</v>
      </c>
    </row>
    <row r="32" spans="2:26" x14ac:dyDescent="0.35">
      <c r="B32" s="54" t="s">
        <v>40</v>
      </c>
      <c r="C32" s="52" t="s">
        <v>30</v>
      </c>
      <c r="D32" s="52" t="s">
        <v>31</v>
      </c>
      <c r="E32" s="52" t="s">
        <v>21</v>
      </c>
      <c r="F32" s="72">
        <v>3.8014756149976993E-2</v>
      </c>
      <c r="G32" s="70">
        <v>4.2386829065316697E-2</v>
      </c>
      <c r="H32" s="70">
        <v>4.7949568927563434E-2</v>
      </c>
      <c r="I32" s="70">
        <v>5.1693918793632727E-2</v>
      </c>
      <c r="J32" s="62">
        <v>5.5206455868797855E-2</v>
      </c>
      <c r="K32" s="72">
        <v>3.4243004997699163E-4</v>
      </c>
      <c r="L32" s="70">
        <v>5.6629778653166964E-3</v>
      </c>
      <c r="M32" s="70">
        <v>1.0679842027563433E-2</v>
      </c>
      <c r="N32" s="70">
        <v>1.343206629363273E-2</v>
      </c>
      <c r="O32" s="62">
        <v>1.5615540068797852E-2</v>
      </c>
      <c r="P32" s="54" t="s">
        <v>21</v>
      </c>
      <c r="Q32" s="52" t="s">
        <v>21</v>
      </c>
      <c r="R32" s="93" t="s">
        <v>21</v>
      </c>
      <c r="S32" s="70" t="s">
        <v>21</v>
      </c>
      <c r="T32" s="62" t="s">
        <v>21</v>
      </c>
      <c r="V32" s="113">
        <v>1.1133708100000002</v>
      </c>
      <c r="W32" s="71">
        <v>2.8643167000000003</v>
      </c>
      <c r="X32" s="71">
        <v>4.4142707200000002</v>
      </c>
      <c r="Y32" s="71">
        <v>5.7451104099999997</v>
      </c>
      <c r="Z32" s="114">
        <v>7.3940612000000003</v>
      </c>
    </row>
    <row r="33" spans="2:26" x14ac:dyDescent="0.35">
      <c r="B33" s="54" t="s">
        <v>40</v>
      </c>
      <c r="C33" s="52" t="s">
        <v>33</v>
      </c>
      <c r="D33" s="52" t="s">
        <v>31</v>
      </c>
      <c r="E33" s="52" t="s">
        <v>41</v>
      </c>
      <c r="F33" s="72">
        <v>3.8306271858426388E-2</v>
      </c>
      <c r="G33" s="70">
        <v>4.4095523391388176E-2</v>
      </c>
      <c r="H33" s="70">
        <v>5.1378531450598487E-2</v>
      </c>
      <c r="I33" s="70">
        <v>5.6008095922208151E-2</v>
      </c>
      <c r="J33" s="62">
        <v>6.0078588710897468E-2</v>
      </c>
      <c r="K33" s="72">
        <v>6.1954365842638998E-4</v>
      </c>
      <c r="L33" s="70">
        <v>7.2904056913881809E-3</v>
      </c>
      <c r="M33" s="70">
        <v>1.3934599350598485E-2</v>
      </c>
      <c r="N33" s="70">
        <v>1.7523245322208152E-2</v>
      </c>
      <c r="O33" s="62">
        <v>2.0245591710897466E-2</v>
      </c>
      <c r="P33" s="54" t="s">
        <v>420</v>
      </c>
      <c r="Q33" s="52" t="s">
        <v>421</v>
      </c>
      <c r="R33" s="93">
        <v>47729</v>
      </c>
      <c r="S33" s="70">
        <v>4.8106530000000002E-2</v>
      </c>
      <c r="T33" s="62">
        <v>3.2720014505984857E-3</v>
      </c>
      <c r="V33" s="113">
        <v>1.1128384</v>
      </c>
      <c r="W33" s="71">
        <v>2.8528704</v>
      </c>
      <c r="X33" s="71">
        <v>4.3658999099999996</v>
      </c>
      <c r="Y33" s="71">
        <v>5.6338060600000004</v>
      </c>
      <c r="Z33" s="114">
        <v>7.1620708100000003</v>
      </c>
    </row>
    <row r="34" spans="2:26" x14ac:dyDescent="0.35">
      <c r="B34" s="56" t="s">
        <v>40</v>
      </c>
      <c r="C34" s="66" t="s">
        <v>35</v>
      </c>
      <c r="D34" s="66" t="s">
        <v>31</v>
      </c>
      <c r="E34" s="66" t="s">
        <v>21</v>
      </c>
      <c r="F34" s="73">
        <v>3.8747002057383594E-2</v>
      </c>
      <c r="G34" s="75">
        <v>4.6487652519821329E-2</v>
      </c>
      <c r="H34" s="75">
        <v>5.5349585092586931E-2</v>
      </c>
      <c r="I34" s="75">
        <v>6.1195191147382186E-2</v>
      </c>
      <c r="J34" s="63">
        <v>6.6190573243933445E-2</v>
      </c>
      <c r="K34" s="73">
        <v>1.0656829573835883E-3</v>
      </c>
      <c r="L34" s="75">
        <v>9.6268250198213202E-3</v>
      </c>
      <c r="M34" s="75">
        <v>1.7788409192586927E-2</v>
      </c>
      <c r="N34" s="75">
        <v>2.2524625547382198E-2</v>
      </c>
      <c r="O34" s="63">
        <v>2.6129358743933441E-2</v>
      </c>
      <c r="P34" s="54" t="s">
        <v>21</v>
      </c>
      <c r="Q34" s="52" t="s">
        <v>21</v>
      </c>
      <c r="R34" s="93" t="s">
        <v>21</v>
      </c>
      <c r="S34" s="70" t="s">
        <v>21</v>
      </c>
      <c r="T34" s="62" t="s">
        <v>21</v>
      </c>
      <c r="V34" s="115">
        <v>1.11353342</v>
      </c>
      <c r="W34" s="107">
        <v>2.8508406600000002</v>
      </c>
      <c r="X34" s="107">
        <v>4.3522981500000002</v>
      </c>
      <c r="Y34" s="107">
        <v>5.5985861400000001</v>
      </c>
      <c r="Z34" s="116">
        <v>7.0801746900000007</v>
      </c>
    </row>
    <row r="35" spans="2:26" x14ac:dyDescent="0.35">
      <c r="B35" s="78" t="s">
        <v>422</v>
      </c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6"/>
      <c r="P35" s="78"/>
      <c r="Q35" s="77"/>
      <c r="R35" s="94"/>
      <c r="S35" s="77"/>
      <c r="T35" s="76"/>
      <c r="V35" s="111"/>
      <c r="W35" s="106"/>
      <c r="X35" s="106"/>
      <c r="Y35" s="106"/>
      <c r="Z35" s="112"/>
    </row>
    <row r="36" spans="2:26" x14ac:dyDescent="0.35">
      <c r="B36" s="54" t="s">
        <v>42</v>
      </c>
      <c r="C36" s="52" t="s">
        <v>30</v>
      </c>
      <c r="D36" s="52" t="s">
        <v>43</v>
      </c>
      <c r="E36" s="52" t="s">
        <v>423</v>
      </c>
      <c r="F36" s="72">
        <v>3.774309320114741E-2</v>
      </c>
      <c r="G36" s="70">
        <v>4.2300702525150155E-2</v>
      </c>
      <c r="H36" s="70">
        <v>4.8202117991756874E-2</v>
      </c>
      <c r="I36" s="70">
        <v>5.1894219416265083E-2</v>
      </c>
      <c r="J36" s="62">
        <v>5.5180901687677558E-2</v>
      </c>
      <c r="K36" s="72">
        <v>8.0857501147417118E-5</v>
      </c>
      <c r="L36" s="70">
        <v>5.5803154251501553E-3</v>
      </c>
      <c r="M36" s="70">
        <v>1.0920181091756869E-2</v>
      </c>
      <c r="N36" s="70">
        <v>1.3623319816265089E-2</v>
      </c>
      <c r="O36" s="62">
        <v>1.5592897787677558E-2</v>
      </c>
      <c r="P36" s="54" t="s">
        <v>424</v>
      </c>
      <c r="Q36" s="52" t="s">
        <v>425</v>
      </c>
      <c r="R36" s="93" t="s">
        <v>32</v>
      </c>
      <c r="S36" s="70">
        <v>4.6257789999999993E-2</v>
      </c>
      <c r="T36" s="62">
        <v>1.9443279917568806E-3</v>
      </c>
      <c r="V36" s="113">
        <v>1.1138873199999999</v>
      </c>
      <c r="W36" s="71">
        <v>2.86575537</v>
      </c>
      <c r="X36" s="71">
        <v>4.4132895799999998</v>
      </c>
      <c r="Y36" s="71">
        <v>5.7406777800000004</v>
      </c>
      <c r="Z36" s="114">
        <v>7.3893742900000001</v>
      </c>
    </row>
    <row r="37" spans="2:26" x14ac:dyDescent="0.35">
      <c r="B37" s="54" t="s">
        <v>42</v>
      </c>
      <c r="C37" s="52" t="s">
        <v>33</v>
      </c>
      <c r="D37" s="52" t="s">
        <v>43</v>
      </c>
      <c r="E37" s="52" t="s">
        <v>426</v>
      </c>
      <c r="F37" s="72">
        <v>3.7625631454904052E-2</v>
      </c>
      <c r="G37" s="70">
        <v>4.4209500831570402E-2</v>
      </c>
      <c r="H37" s="70">
        <v>5.1526544826073058E-2</v>
      </c>
      <c r="I37" s="70">
        <v>5.6387104826788367E-2</v>
      </c>
      <c r="J37" s="62">
        <v>6.0425441861586326E-2</v>
      </c>
      <c r="K37" s="72" t="s">
        <v>21</v>
      </c>
      <c r="L37" s="70">
        <v>7.4023387315704046E-3</v>
      </c>
      <c r="M37" s="70">
        <v>1.4077382926073061E-2</v>
      </c>
      <c r="N37" s="70">
        <v>1.7883569426788374E-2</v>
      </c>
      <c r="O37" s="62">
        <v>2.0576185961586335E-2</v>
      </c>
      <c r="P37" s="54" t="s">
        <v>427</v>
      </c>
      <c r="Q37" s="52" t="s">
        <v>428</v>
      </c>
      <c r="R37" s="93" t="s">
        <v>32</v>
      </c>
      <c r="S37" s="70">
        <v>5.047194E-2</v>
      </c>
      <c r="T37" s="62">
        <v>1.0546048260730578E-3</v>
      </c>
      <c r="V37" s="113">
        <v>1.1140676</v>
      </c>
      <c r="W37" s="71">
        <v>2.8542840300000001</v>
      </c>
      <c r="X37" s="71">
        <v>4.3653988900000007</v>
      </c>
      <c r="Y37" s="71">
        <v>5.6278866399999998</v>
      </c>
      <c r="Z37" s="114">
        <v>7.1467687200000007</v>
      </c>
    </row>
    <row r="38" spans="2:26" x14ac:dyDescent="0.35">
      <c r="B38" s="54" t="s">
        <v>42</v>
      </c>
      <c r="C38" s="52" t="s">
        <v>35</v>
      </c>
      <c r="D38" s="52" t="s">
        <v>43</v>
      </c>
      <c r="E38" s="52" t="s">
        <v>429</v>
      </c>
      <c r="F38" s="72">
        <v>3.9098490495509244E-2</v>
      </c>
      <c r="G38" s="70">
        <v>4.7358303202093506E-2</v>
      </c>
      <c r="H38" s="70">
        <v>5.6723023389091673E-2</v>
      </c>
      <c r="I38" s="70">
        <v>6.2738781330978988E-2</v>
      </c>
      <c r="J38" s="62">
        <v>6.8234184555597627E-2</v>
      </c>
      <c r="K38" s="72">
        <v>1.3997390955092521E-3</v>
      </c>
      <c r="L38" s="70">
        <v>1.0457487102093512E-2</v>
      </c>
      <c r="M38" s="70">
        <v>1.9088512189091657E-2</v>
      </c>
      <c r="N38" s="70">
        <v>2.3979680730978975E-2</v>
      </c>
      <c r="O38" s="62">
        <v>2.8056548955597629E-2</v>
      </c>
      <c r="P38" s="54" t="s">
        <v>21</v>
      </c>
      <c r="Q38" s="52" t="s">
        <v>21</v>
      </c>
      <c r="R38" s="93" t="s">
        <v>21</v>
      </c>
      <c r="S38" s="70" t="s">
        <v>21</v>
      </c>
      <c r="T38" s="62" t="s">
        <v>21</v>
      </c>
      <c r="V38" s="113">
        <v>1.11306474</v>
      </c>
      <c r="W38" s="71">
        <v>2.8459736800000002</v>
      </c>
      <c r="X38" s="71">
        <v>4.3357729699999998</v>
      </c>
      <c r="Y38" s="71">
        <v>5.5651344700000003</v>
      </c>
      <c r="Z38" s="114">
        <v>7.0103917000000004</v>
      </c>
    </row>
    <row r="39" spans="2:26" x14ac:dyDescent="0.35">
      <c r="B39" s="78" t="s">
        <v>45</v>
      </c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6"/>
      <c r="P39" s="78"/>
      <c r="Q39" s="77"/>
      <c r="R39" s="94"/>
      <c r="S39" s="77"/>
      <c r="T39" s="76"/>
      <c r="V39" s="111"/>
      <c r="W39" s="106"/>
      <c r="X39" s="106"/>
      <c r="Y39" s="106"/>
      <c r="Z39" s="112"/>
    </row>
    <row r="40" spans="2:26" x14ac:dyDescent="0.35">
      <c r="B40" s="55" t="s">
        <v>46</v>
      </c>
      <c r="C40" s="65" t="s">
        <v>30</v>
      </c>
      <c r="D40" s="65" t="s">
        <v>47</v>
      </c>
      <c r="E40" s="65" t="s">
        <v>430</v>
      </c>
      <c r="F40" s="74">
        <v>3.7117064106169162E-2</v>
      </c>
      <c r="G40" s="79">
        <v>4.2017294154374614E-2</v>
      </c>
      <c r="H40" s="79">
        <v>4.7832410051580572E-2</v>
      </c>
      <c r="I40" s="79">
        <v>5.186513509456351E-2</v>
      </c>
      <c r="J40" s="61">
        <v>5.5568973726402592E-2</v>
      </c>
      <c r="K40" s="74" t="s">
        <v>21</v>
      </c>
      <c r="L40" s="79">
        <v>5.3095481543746076E-3</v>
      </c>
      <c r="M40" s="79">
        <v>1.0568299951580573E-2</v>
      </c>
      <c r="N40" s="79">
        <v>1.3595664194563511E-2</v>
      </c>
      <c r="O40" s="61">
        <v>1.59645817264026E-2</v>
      </c>
      <c r="P40" s="54" t="s">
        <v>431</v>
      </c>
      <c r="Q40" s="52" t="s">
        <v>432</v>
      </c>
      <c r="R40" s="93" t="s">
        <v>32</v>
      </c>
      <c r="S40" s="70">
        <v>4.2675229999999995E-2</v>
      </c>
      <c r="T40" s="62">
        <v>5.1571800515805774E-3</v>
      </c>
      <c r="V40" s="117">
        <v>1.1150665200000001</v>
      </c>
      <c r="W40" s="60">
        <v>2.86957313</v>
      </c>
      <c r="X40" s="60">
        <v>4.42114808</v>
      </c>
      <c r="Y40" s="60">
        <v>5.7492642199999997</v>
      </c>
      <c r="Z40" s="118">
        <v>7.3877832899999998</v>
      </c>
    </row>
    <row r="41" spans="2:26" x14ac:dyDescent="0.35">
      <c r="B41" s="54" t="s">
        <v>46</v>
      </c>
      <c r="C41" s="52" t="s">
        <v>33</v>
      </c>
      <c r="D41" s="52" t="s">
        <v>47</v>
      </c>
      <c r="E41" s="52" t="s">
        <v>433</v>
      </c>
      <c r="F41" s="72">
        <v>3.7812146639958626E-2</v>
      </c>
      <c r="G41" s="70">
        <v>4.3883627841376872E-2</v>
      </c>
      <c r="H41" s="70">
        <v>5.1317023194773215E-2</v>
      </c>
      <c r="I41" s="70">
        <v>5.594737879208652E-2</v>
      </c>
      <c r="J41" s="62">
        <v>5.9749876159688409E-2</v>
      </c>
      <c r="K41" s="72">
        <v>1.4483193995862807E-4</v>
      </c>
      <c r="L41" s="70">
        <v>7.0882836413768725E-3</v>
      </c>
      <c r="M41" s="70">
        <v>1.3876333894773215E-2</v>
      </c>
      <c r="N41" s="70">
        <v>1.7466370192086533E-2</v>
      </c>
      <c r="O41" s="62">
        <v>1.9937574659688404E-2</v>
      </c>
      <c r="P41" s="54" t="s">
        <v>21</v>
      </c>
      <c r="Q41" s="52" t="s">
        <v>21</v>
      </c>
      <c r="R41" s="93" t="s">
        <v>21</v>
      </c>
      <c r="S41" s="70" t="s">
        <v>21</v>
      </c>
      <c r="T41" s="62" t="s">
        <v>21</v>
      </c>
      <c r="V41" s="113">
        <v>1.1137716600000001</v>
      </c>
      <c r="W41" s="71">
        <v>2.8557998800000002</v>
      </c>
      <c r="X41" s="71">
        <v>4.3696663400000002</v>
      </c>
      <c r="Y41" s="71">
        <v>5.6380898699999999</v>
      </c>
      <c r="Z41" s="114">
        <v>7.1730648600000002</v>
      </c>
    </row>
    <row r="42" spans="2:26" x14ac:dyDescent="0.35">
      <c r="B42" s="56" t="s">
        <v>46</v>
      </c>
      <c r="C42" s="66" t="s">
        <v>35</v>
      </c>
      <c r="D42" s="66" t="s">
        <v>47</v>
      </c>
      <c r="E42" s="66" t="s">
        <v>21</v>
      </c>
      <c r="F42" s="73">
        <v>3.8775444731708832E-2</v>
      </c>
      <c r="G42" s="75">
        <v>4.6492606382505713E-2</v>
      </c>
      <c r="H42" s="75">
        <v>5.5552706525203138E-2</v>
      </c>
      <c r="I42" s="75">
        <v>6.1220254254184689E-2</v>
      </c>
      <c r="J42" s="63">
        <v>6.622203774561107E-2</v>
      </c>
      <c r="K42" s="73">
        <v>1.0798041317088315E-3</v>
      </c>
      <c r="L42" s="75">
        <v>9.6254830825057112E-3</v>
      </c>
      <c r="M42" s="75">
        <v>1.7976864425203142E-2</v>
      </c>
      <c r="N42" s="75">
        <v>2.2544817354184697E-2</v>
      </c>
      <c r="O42" s="63">
        <v>2.6155709445611075E-2</v>
      </c>
      <c r="P42" s="54" t="s">
        <v>21</v>
      </c>
      <c r="Q42" s="52" t="s">
        <v>21</v>
      </c>
      <c r="R42" s="93" t="s">
        <v>21</v>
      </c>
      <c r="S42" s="70" t="s">
        <v>21</v>
      </c>
      <c r="T42" s="62" t="s">
        <v>21</v>
      </c>
      <c r="V42" s="115">
        <v>1.1135653000000001</v>
      </c>
      <c r="W42" s="107">
        <v>2.8509033400000003</v>
      </c>
      <c r="X42" s="107">
        <v>4.3508703099999995</v>
      </c>
      <c r="Y42" s="107">
        <v>5.5966181800000001</v>
      </c>
      <c r="Z42" s="116">
        <v>7.0780715999999995</v>
      </c>
    </row>
    <row r="43" spans="2:26" x14ac:dyDescent="0.35">
      <c r="B43" s="54" t="s">
        <v>49</v>
      </c>
      <c r="C43" s="52" t="s">
        <v>30</v>
      </c>
      <c r="D43" s="52" t="s">
        <v>47</v>
      </c>
      <c r="E43" s="52" t="s">
        <v>356</v>
      </c>
      <c r="F43" s="72">
        <v>3.6906276920286432E-2</v>
      </c>
      <c r="G43" s="70">
        <v>4.1382862698417212E-2</v>
      </c>
      <c r="H43" s="70">
        <v>4.7092588068414917E-2</v>
      </c>
      <c r="I43" s="70">
        <v>5.0562749314632241E-2</v>
      </c>
      <c r="J43" s="62">
        <v>5.4375196952522249E-2</v>
      </c>
      <c r="K43" s="72" t="s">
        <v>21</v>
      </c>
      <c r="L43" s="70">
        <v>4.7038708984172162E-3</v>
      </c>
      <c r="M43" s="70">
        <v>9.8638362684149127E-3</v>
      </c>
      <c r="N43" s="70">
        <v>1.2355986514632239E-2</v>
      </c>
      <c r="O43" s="62">
        <v>1.4819556652522249E-2</v>
      </c>
      <c r="P43" s="55" t="s">
        <v>434</v>
      </c>
      <c r="Q43" s="65" t="s">
        <v>435</v>
      </c>
      <c r="R43" s="99" t="s">
        <v>32</v>
      </c>
      <c r="S43" s="79">
        <v>4.5462290000000002E-2</v>
      </c>
      <c r="T43" s="61">
        <v>1.6302980684149149E-3</v>
      </c>
      <c r="V43" s="113">
        <v>1.1154549499999999</v>
      </c>
      <c r="W43" s="71">
        <v>2.8741830900000003</v>
      </c>
      <c r="X43" s="71">
        <v>4.4342922200000006</v>
      </c>
      <c r="Y43" s="71">
        <v>5.7809760699999995</v>
      </c>
      <c r="Z43" s="114">
        <v>7.4515341499999996</v>
      </c>
    </row>
    <row r="44" spans="2:26" x14ac:dyDescent="0.35">
      <c r="B44" s="54" t="s">
        <v>49</v>
      </c>
      <c r="C44" s="52" t="s">
        <v>33</v>
      </c>
      <c r="D44" s="52" t="s">
        <v>47</v>
      </c>
      <c r="E44" s="52" t="s">
        <v>274</v>
      </c>
      <c r="F44" s="72">
        <v>3.733065746280291E-2</v>
      </c>
      <c r="G44" s="70">
        <v>4.3353148889445144E-2</v>
      </c>
      <c r="H44" s="70">
        <v>5.0375470735505176E-2</v>
      </c>
      <c r="I44" s="70">
        <v>5.4742334620784996E-2</v>
      </c>
      <c r="J44" s="62">
        <v>5.8829117779403195E-2</v>
      </c>
      <c r="K44" s="72" t="s">
        <v>21</v>
      </c>
      <c r="L44" s="70">
        <v>6.5867272894451472E-3</v>
      </c>
      <c r="M44" s="70">
        <v>1.2987018835505171E-2</v>
      </c>
      <c r="N44" s="70">
        <v>1.6329103120784991E-2</v>
      </c>
      <c r="O44" s="62">
        <v>1.9068047979403195E-2</v>
      </c>
      <c r="P44" s="54" t="s">
        <v>436</v>
      </c>
      <c r="Q44" s="52" t="s">
        <v>437</v>
      </c>
      <c r="R44" s="93" t="s">
        <v>32</v>
      </c>
      <c r="S44" s="70">
        <v>5.0112919999999998E-2</v>
      </c>
      <c r="T44" s="62">
        <v>2.6255073550517788E-4</v>
      </c>
      <c r="V44" s="113">
        <v>1.11462423</v>
      </c>
      <c r="W44" s="71">
        <v>2.86052573</v>
      </c>
      <c r="X44" s="71">
        <v>4.3844226100000006</v>
      </c>
      <c r="Y44" s="71">
        <v>5.66996726</v>
      </c>
      <c r="Z44" s="114">
        <v>7.2282039100000004</v>
      </c>
    </row>
    <row r="45" spans="2:26" x14ac:dyDescent="0.35">
      <c r="B45" s="56" t="s">
        <v>49</v>
      </c>
      <c r="C45" s="66" t="s">
        <v>35</v>
      </c>
      <c r="D45" s="66" t="s">
        <v>47</v>
      </c>
      <c r="E45" s="66" t="s">
        <v>21</v>
      </c>
      <c r="F45" s="73">
        <v>3.8459873175808762E-2</v>
      </c>
      <c r="G45" s="75">
        <v>4.5643219113849408E-2</v>
      </c>
      <c r="H45" s="75">
        <v>5.4179816722931165E-2</v>
      </c>
      <c r="I45" s="75">
        <v>6.0030992251335971E-2</v>
      </c>
      <c r="J45" s="63">
        <v>6.4941120603128066E-2</v>
      </c>
      <c r="K45" s="73">
        <v>7.7524497580876151E-4</v>
      </c>
      <c r="L45" s="75">
        <v>8.8120156138494082E-3</v>
      </c>
      <c r="M45" s="75">
        <v>1.667248752293117E-2</v>
      </c>
      <c r="N45" s="75">
        <v>2.1420932451335965E-2</v>
      </c>
      <c r="O45" s="63">
        <v>2.4945206603128059E-2</v>
      </c>
      <c r="P45" s="56" t="s">
        <v>21</v>
      </c>
      <c r="Q45" s="66" t="s">
        <v>21</v>
      </c>
      <c r="R45" s="95" t="s">
        <v>21</v>
      </c>
      <c r="S45" s="75" t="s">
        <v>21</v>
      </c>
      <c r="T45" s="63" t="s">
        <v>21</v>
      </c>
      <c r="V45" s="115">
        <v>1.1140113</v>
      </c>
      <c r="W45" s="107">
        <v>2.8556534600000001</v>
      </c>
      <c r="X45" s="107">
        <v>4.3673423299999996</v>
      </c>
      <c r="Y45" s="107">
        <v>5.6266705699999999</v>
      </c>
      <c r="Z45" s="116">
        <v>7.1308633400000003</v>
      </c>
    </row>
    <row r="46" spans="2:26" x14ac:dyDescent="0.35">
      <c r="B46" s="55" t="s">
        <v>50</v>
      </c>
      <c r="C46" s="65" t="s">
        <v>30</v>
      </c>
      <c r="D46" s="65" t="s">
        <v>47</v>
      </c>
      <c r="E46" s="65" t="s">
        <v>179</v>
      </c>
      <c r="F46" s="74">
        <v>3.6733994915813396E-2</v>
      </c>
      <c r="G46" s="79">
        <v>4.1451477236523641E-2</v>
      </c>
      <c r="H46" s="79">
        <v>4.7400583955372153E-2</v>
      </c>
      <c r="I46" s="79">
        <v>5.1154159883908347E-2</v>
      </c>
      <c r="J46" s="61">
        <v>5.4796387324654493E-2</v>
      </c>
      <c r="K46" s="74" t="s">
        <v>21</v>
      </c>
      <c r="L46" s="79">
        <v>4.7701724365236415E-3</v>
      </c>
      <c r="M46" s="79">
        <v>1.0158098755372153E-2</v>
      </c>
      <c r="N46" s="79">
        <v>1.2920454483908347E-2</v>
      </c>
      <c r="O46" s="61">
        <v>1.5226105324654491E-2</v>
      </c>
      <c r="P46" s="54" t="s">
        <v>438</v>
      </c>
      <c r="Q46" s="52" t="s">
        <v>439</v>
      </c>
      <c r="R46" s="93" t="s">
        <v>32</v>
      </c>
      <c r="S46" s="70">
        <v>4.4217599999999996E-2</v>
      </c>
      <c r="T46" s="62">
        <v>3.1829839553721567E-3</v>
      </c>
      <c r="V46" s="117">
        <v>1.1157689399999999</v>
      </c>
      <c r="W46" s="60">
        <v>2.8743024099999999</v>
      </c>
      <c r="X46" s="60">
        <v>4.4311414100000004</v>
      </c>
      <c r="Y46" s="60">
        <v>5.7690979100000002</v>
      </c>
      <c r="Z46" s="118">
        <v>7.427222679999999</v>
      </c>
    </row>
    <row r="47" spans="2:26" x14ac:dyDescent="0.35">
      <c r="B47" s="54" t="s">
        <v>50</v>
      </c>
      <c r="C47" s="52" t="s">
        <v>33</v>
      </c>
      <c r="D47" s="52" t="s">
        <v>47</v>
      </c>
      <c r="E47" s="52" t="s">
        <v>133</v>
      </c>
      <c r="F47" s="72">
        <v>3.7568405446891481E-2</v>
      </c>
      <c r="G47" s="70">
        <v>4.3576270991558627E-2</v>
      </c>
      <c r="H47" s="70">
        <v>5.0796134712795052E-2</v>
      </c>
      <c r="I47" s="70">
        <v>5.5530128936104775E-2</v>
      </c>
      <c r="J47" s="62">
        <v>5.9324187665773784E-2</v>
      </c>
      <c r="K47" s="72" t="s">
        <v>21</v>
      </c>
      <c r="L47" s="70">
        <v>6.7959438915586312E-3</v>
      </c>
      <c r="M47" s="70">
        <v>1.3383297712795058E-2</v>
      </c>
      <c r="N47" s="70">
        <v>1.7072112936104774E-2</v>
      </c>
      <c r="O47" s="62">
        <v>1.9536493565773798E-2</v>
      </c>
      <c r="P47" s="54" t="s">
        <v>440</v>
      </c>
      <c r="Q47" s="52" t="s">
        <v>441</v>
      </c>
      <c r="R47" s="93" t="s">
        <v>32</v>
      </c>
      <c r="S47" s="70">
        <v>4.5076970000000001E-2</v>
      </c>
      <c r="T47" s="62">
        <v>5.719164712795051E-3</v>
      </c>
      <c r="V47" s="113">
        <v>1.1142247700000001</v>
      </c>
      <c r="W47" s="71">
        <v>2.8584783599999999</v>
      </c>
      <c r="X47" s="71">
        <v>4.3779418400000001</v>
      </c>
      <c r="Y47" s="71">
        <v>5.6525192999999998</v>
      </c>
      <c r="Z47" s="114">
        <v>7.1970449500000004</v>
      </c>
    </row>
    <row r="48" spans="2:26" x14ac:dyDescent="0.35">
      <c r="B48" s="56" t="s">
        <v>50</v>
      </c>
      <c r="C48" s="66" t="s">
        <v>35</v>
      </c>
      <c r="D48" s="66" t="s">
        <v>47</v>
      </c>
      <c r="E48" s="66" t="s">
        <v>21</v>
      </c>
      <c r="F48" s="73">
        <v>3.8799069034187561E-2</v>
      </c>
      <c r="G48" s="75">
        <v>4.6432289758590463E-2</v>
      </c>
      <c r="H48" s="75">
        <v>5.5452419572652088E-2</v>
      </c>
      <c r="I48" s="75">
        <v>6.1295396837612814E-2</v>
      </c>
      <c r="J48" s="63">
        <v>6.6205532269662179E-2</v>
      </c>
      <c r="K48" s="73">
        <v>1.1031572341875691E-3</v>
      </c>
      <c r="L48" s="75">
        <v>9.5679959585904667E-3</v>
      </c>
      <c r="M48" s="75">
        <v>1.7881834372652103E-2</v>
      </c>
      <c r="N48" s="75">
        <v>2.2615833737612809E-2</v>
      </c>
      <c r="O48" s="63">
        <v>2.6140973469662182E-2</v>
      </c>
      <c r="P48" s="54" t="s">
        <v>21</v>
      </c>
      <c r="Q48" s="52" t="s">
        <v>21</v>
      </c>
      <c r="R48" s="93" t="s">
        <v>21</v>
      </c>
      <c r="S48" s="70" t="s">
        <v>21</v>
      </c>
      <c r="T48" s="62" t="s">
        <v>21</v>
      </c>
      <c r="V48" s="115">
        <v>1.1135289099999999</v>
      </c>
      <c r="W48" s="107">
        <v>2.8511191</v>
      </c>
      <c r="X48" s="107">
        <v>4.3519424500000001</v>
      </c>
      <c r="Y48" s="107">
        <v>5.5970652599999999</v>
      </c>
      <c r="Z48" s="116">
        <v>7.0781691100000002</v>
      </c>
    </row>
    <row r="49" spans="2:26" x14ac:dyDescent="0.35">
      <c r="B49" s="78" t="s">
        <v>51</v>
      </c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6"/>
      <c r="P49" s="78"/>
      <c r="Q49" s="77"/>
      <c r="R49" s="94"/>
      <c r="S49" s="77"/>
      <c r="T49" s="76"/>
      <c r="V49" s="111"/>
      <c r="W49" s="106"/>
      <c r="X49" s="106"/>
      <c r="Y49" s="106"/>
      <c r="Z49" s="112"/>
    </row>
    <row r="50" spans="2:26" x14ac:dyDescent="0.35">
      <c r="B50" s="55" t="s">
        <v>52</v>
      </c>
      <c r="C50" s="65" t="s">
        <v>30</v>
      </c>
      <c r="D50" s="65" t="s">
        <v>53</v>
      </c>
      <c r="E50" s="65" t="s">
        <v>57</v>
      </c>
      <c r="F50" s="74">
        <v>3.7827686236642795E-2</v>
      </c>
      <c r="G50" s="79">
        <v>4.21832431089776E-2</v>
      </c>
      <c r="H50" s="79">
        <v>4.75844359976011E-2</v>
      </c>
      <c r="I50" s="79">
        <v>5.1046320798179952E-2</v>
      </c>
      <c r="J50" s="61">
        <v>5.4356841750240373E-2</v>
      </c>
      <c r="K50" s="74">
        <v>1.6137893664279219E-4</v>
      </c>
      <c r="L50" s="79">
        <v>5.4679232089776039E-3</v>
      </c>
      <c r="M50" s="79">
        <v>1.0331606997601103E-2</v>
      </c>
      <c r="N50" s="79">
        <v>1.2815102798179951E-2</v>
      </c>
      <c r="O50" s="61">
        <v>1.4801005350240364E-2</v>
      </c>
      <c r="P50" s="54" t="s">
        <v>442</v>
      </c>
      <c r="Q50" s="52" t="s">
        <v>443</v>
      </c>
      <c r="R50" s="93" t="s">
        <v>32</v>
      </c>
      <c r="S50" s="70">
        <v>4.3660810000000001E-2</v>
      </c>
      <c r="T50" s="62">
        <v>3.923625997601099E-3</v>
      </c>
      <c r="V50" s="117">
        <v>1.1137322599999999</v>
      </c>
      <c r="W50" s="60">
        <v>2.8662122399999999</v>
      </c>
      <c r="X50" s="60">
        <v>4.4201450500000004</v>
      </c>
      <c r="Y50" s="60">
        <v>5.7603010500000007</v>
      </c>
      <c r="Z50" s="118">
        <v>7.4310724700000002</v>
      </c>
    </row>
    <row r="51" spans="2:26" x14ac:dyDescent="0.35">
      <c r="B51" s="54" t="s">
        <v>52</v>
      </c>
      <c r="C51" s="52" t="s">
        <v>33</v>
      </c>
      <c r="D51" s="52" t="s">
        <v>53</v>
      </c>
      <c r="E51" s="52" t="s">
        <v>58</v>
      </c>
      <c r="F51" s="72">
        <v>3.8243662614344864E-2</v>
      </c>
      <c r="G51" s="70">
        <v>4.3639214403066964E-2</v>
      </c>
      <c r="H51" s="70">
        <v>5.0701423097771335E-2</v>
      </c>
      <c r="I51" s="70">
        <v>5.4967751600774467E-2</v>
      </c>
      <c r="J51" s="62">
        <v>5.8741995594129744E-2</v>
      </c>
      <c r="K51" s="72">
        <v>5.5807431434486219E-4</v>
      </c>
      <c r="L51" s="70">
        <v>6.8553506030669658E-3</v>
      </c>
      <c r="M51" s="70">
        <v>1.3292874497771332E-2</v>
      </c>
      <c r="N51" s="70">
        <v>1.6539478600774475E-2</v>
      </c>
      <c r="O51" s="62">
        <v>1.8983324094129738E-2</v>
      </c>
      <c r="P51" s="54" t="s">
        <v>444</v>
      </c>
      <c r="Q51" s="52" t="s">
        <v>445</v>
      </c>
      <c r="R51" s="93" t="s">
        <v>32</v>
      </c>
      <c r="S51" s="70">
        <v>4.5634609999999999E-2</v>
      </c>
      <c r="T51" s="62">
        <v>5.066813097771336E-3</v>
      </c>
      <c r="V51" s="113">
        <v>1.1129647899999999</v>
      </c>
      <c r="W51" s="71">
        <v>2.8558996900000002</v>
      </c>
      <c r="X51" s="71">
        <v>4.3763954299999996</v>
      </c>
      <c r="Y51" s="71">
        <v>5.65892149</v>
      </c>
      <c r="Z51" s="114">
        <v>7.2195382500000003</v>
      </c>
    </row>
    <row r="52" spans="2:26" x14ac:dyDescent="0.35">
      <c r="B52" s="56" t="s">
        <v>52</v>
      </c>
      <c r="C52" s="66" t="s">
        <v>35</v>
      </c>
      <c r="D52" s="66" t="s">
        <v>53</v>
      </c>
      <c r="E52" s="66" t="s">
        <v>351</v>
      </c>
      <c r="F52" s="73">
        <v>3.8821020566323965E-2</v>
      </c>
      <c r="G52" s="75">
        <v>4.6500939136563425E-2</v>
      </c>
      <c r="H52" s="75">
        <v>5.5358470772511742E-2</v>
      </c>
      <c r="I52" s="75">
        <v>6.1202225833189267E-2</v>
      </c>
      <c r="J52" s="63">
        <v>6.5859101193168665E-2</v>
      </c>
      <c r="K52" s="73">
        <v>1.1255286663239697E-3</v>
      </c>
      <c r="L52" s="75">
        <v>9.6342521365634301E-3</v>
      </c>
      <c r="M52" s="75">
        <v>1.7792917772511747E-2</v>
      </c>
      <c r="N52" s="75">
        <v>2.2527918533189275E-2</v>
      </c>
      <c r="O52" s="63">
        <v>2.5814043593168672E-2</v>
      </c>
      <c r="P52" s="54" t="s">
        <v>21</v>
      </c>
      <c r="Q52" s="52" t="s">
        <v>21</v>
      </c>
      <c r="R52" s="93" t="s">
        <v>21</v>
      </c>
      <c r="S52" s="70" t="s">
        <v>21</v>
      </c>
      <c r="T52" s="62" t="s">
        <v>21</v>
      </c>
      <c r="V52" s="115">
        <v>1.11349148</v>
      </c>
      <c r="W52" s="107">
        <v>2.8507305399999998</v>
      </c>
      <c r="X52" s="107">
        <v>4.3521748999999996</v>
      </c>
      <c r="Y52" s="107">
        <v>5.5984514999999995</v>
      </c>
      <c r="Z52" s="116">
        <v>7.0855457400000006</v>
      </c>
    </row>
    <row r="53" spans="2:26" x14ac:dyDescent="0.35">
      <c r="B53" s="54" t="s">
        <v>56</v>
      </c>
      <c r="C53" s="52" t="s">
        <v>30</v>
      </c>
      <c r="D53" s="52" t="s">
        <v>53</v>
      </c>
      <c r="E53" s="52" t="s">
        <v>446</v>
      </c>
      <c r="F53" s="72">
        <v>3.7462686003899702E-2</v>
      </c>
      <c r="G53" s="70">
        <v>4.2125209647174922E-2</v>
      </c>
      <c r="H53" s="70">
        <v>4.7580852849804858E-2</v>
      </c>
      <c r="I53" s="70">
        <v>5.1234877202656071E-2</v>
      </c>
      <c r="J53" s="62">
        <v>5.4366016848307622E-2</v>
      </c>
      <c r="K53" s="72" t="s">
        <v>21</v>
      </c>
      <c r="L53" s="70">
        <v>5.4128613471749231E-3</v>
      </c>
      <c r="M53" s="70">
        <v>1.0328577449804865E-2</v>
      </c>
      <c r="N53" s="70">
        <v>1.2995167902656068E-2</v>
      </c>
      <c r="O53" s="62">
        <v>1.4812069448307614E-2</v>
      </c>
      <c r="P53" s="55" t="s">
        <v>447</v>
      </c>
      <c r="Q53" s="65" t="s">
        <v>448</v>
      </c>
      <c r="R53" s="99" t="s">
        <v>32</v>
      </c>
      <c r="S53" s="79">
        <v>5.1363839999999994E-2</v>
      </c>
      <c r="T53" s="61">
        <v>-3.7829871501951357E-3</v>
      </c>
      <c r="V53" s="113">
        <v>1.1144128</v>
      </c>
      <c r="W53" s="71">
        <v>2.8677592500000002</v>
      </c>
      <c r="X53" s="71">
        <v>4.4217300100000001</v>
      </c>
      <c r="Y53" s="71">
        <v>5.7591678100000001</v>
      </c>
      <c r="Z53" s="114">
        <v>7.4282652799999997</v>
      </c>
    </row>
    <row r="54" spans="2:26" x14ac:dyDescent="0.35">
      <c r="B54" s="54" t="s">
        <v>56</v>
      </c>
      <c r="C54" s="52" t="s">
        <v>33</v>
      </c>
      <c r="D54" s="52" t="s">
        <v>53</v>
      </c>
      <c r="E54" s="52" t="s">
        <v>449</v>
      </c>
      <c r="F54" s="72">
        <v>3.8161793899749191E-2</v>
      </c>
      <c r="G54" s="70">
        <v>4.3513744369761194E-2</v>
      </c>
      <c r="H54" s="70">
        <v>5.0391983372711092E-2</v>
      </c>
      <c r="I54" s="70">
        <v>5.4521949676176559E-2</v>
      </c>
      <c r="J54" s="62">
        <v>5.8193707579632159E-2</v>
      </c>
      <c r="K54" s="72">
        <v>4.7867709974919181E-4</v>
      </c>
      <c r="L54" s="70">
        <v>6.7354397697612037E-3</v>
      </c>
      <c r="M54" s="70">
        <v>1.2999238372711081E-2</v>
      </c>
      <c r="N54" s="70">
        <v>1.6117147976176558E-2</v>
      </c>
      <c r="O54" s="62">
        <v>1.8464518779632146E-2</v>
      </c>
      <c r="P54" s="54" t="s">
        <v>450</v>
      </c>
      <c r="Q54" s="52" t="s">
        <v>451</v>
      </c>
      <c r="R54" s="93" t="s">
        <v>32</v>
      </c>
      <c r="S54" s="70">
        <v>4.7011669999999998E-2</v>
      </c>
      <c r="T54" s="62">
        <v>3.380313372711094E-3</v>
      </c>
      <c r="V54" s="113">
        <v>1.11312404</v>
      </c>
      <c r="W54" s="71">
        <v>2.85695202</v>
      </c>
      <c r="X54" s="71">
        <v>4.3807031900000002</v>
      </c>
      <c r="Y54" s="71">
        <v>5.6696380199999998</v>
      </c>
      <c r="Z54" s="114">
        <v>7.2437576200000002</v>
      </c>
    </row>
    <row r="55" spans="2:26" x14ac:dyDescent="0.35">
      <c r="B55" s="54" t="s">
        <v>56</v>
      </c>
      <c r="C55" s="52" t="s">
        <v>35</v>
      </c>
      <c r="D55" s="52" t="s">
        <v>53</v>
      </c>
      <c r="E55" s="52" t="s">
        <v>54</v>
      </c>
      <c r="F55" s="72">
        <v>3.8471849578955226E-2</v>
      </c>
      <c r="G55" s="70">
        <v>4.5694819229355921E-2</v>
      </c>
      <c r="H55" s="70">
        <v>5.4082597608170552E-2</v>
      </c>
      <c r="I55" s="70">
        <v>5.9663371694668725E-2</v>
      </c>
      <c r="J55" s="62">
        <v>6.4402274261330494E-2</v>
      </c>
      <c r="K55" s="72">
        <v>7.9116827895522532E-4</v>
      </c>
      <c r="L55" s="70">
        <v>8.8634312293559125E-3</v>
      </c>
      <c r="M55" s="70">
        <v>1.6581375108170548E-2</v>
      </c>
      <c r="N55" s="70">
        <v>2.1074347194668733E-2</v>
      </c>
      <c r="O55" s="62">
        <v>2.4435392961330481E-2</v>
      </c>
      <c r="P55" s="56" t="s">
        <v>452</v>
      </c>
      <c r="Q55" s="66" t="s">
        <v>453</v>
      </c>
      <c r="R55" s="95" t="s">
        <v>32</v>
      </c>
      <c r="S55" s="75">
        <v>5.1466380000000006E-2</v>
      </c>
      <c r="T55" s="63">
        <v>2.6162176081705457E-3</v>
      </c>
      <c r="V55" s="113">
        <v>1.1139706199999999</v>
      </c>
      <c r="W55" s="71">
        <v>2.8553310500000002</v>
      </c>
      <c r="X55" s="71">
        <v>4.36767415</v>
      </c>
      <c r="Y55" s="71">
        <v>5.6309045500000003</v>
      </c>
      <c r="Z55" s="114">
        <v>7.1455821999999998</v>
      </c>
    </row>
    <row r="56" spans="2:26" x14ac:dyDescent="0.35">
      <c r="B56" s="78" t="s">
        <v>59</v>
      </c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6"/>
      <c r="P56" s="78"/>
      <c r="Q56" s="77"/>
      <c r="R56" s="94"/>
      <c r="S56" s="77"/>
      <c r="T56" s="76"/>
      <c r="V56" s="111"/>
      <c r="W56" s="106"/>
      <c r="X56" s="106"/>
      <c r="Y56" s="106"/>
      <c r="Z56" s="112"/>
    </row>
    <row r="57" spans="2:26" x14ac:dyDescent="0.35">
      <c r="B57" s="55" t="s">
        <v>60</v>
      </c>
      <c r="C57" s="65" t="s">
        <v>61</v>
      </c>
      <c r="D57" s="65" t="s">
        <v>62</v>
      </c>
      <c r="E57" s="65" t="s">
        <v>179</v>
      </c>
      <c r="F57" s="74">
        <v>3.8237956730437506E-2</v>
      </c>
      <c r="G57" s="79">
        <v>4.2521387095689707E-2</v>
      </c>
      <c r="H57" s="79">
        <v>4.8107386748146089E-2</v>
      </c>
      <c r="I57" s="79">
        <v>5.1417516257253028E-2</v>
      </c>
      <c r="J57" s="61">
        <v>5.4688725133960017E-2</v>
      </c>
      <c r="K57" s="74">
        <v>5.5832333043750841E-4</v>
      </c>
      <c r="L57" s="79">
        <v>5.7922099956897038E-3</v>
      </c>
      <c r="M57" s="79">
        <v>1.0830574148146086E-2</v>
      </c>
      <c r="N57" s="79">
        <v>1.3169616357253026E-2</v>
      </c>
      <c r="O57" s="61">
        <v>1.5119076533960028E-2</v>
      </c>
      <c r="P57" s="54" t="s">
        <v>454</v>
      </c>
      <c r="Q57" s="52" t="s">
        <v>455</v>
      </c>
      <c r="R57" s="93" t="s">
        <v>32</v>
      </c>
      <c r="S57" s="70">
        <v>0</v>
      </c>
      <c r="T57" s="62">
        <v>4.8107386748146089E-2</v>
      </c>
      <c r="V57" s="117">
        <v>1.11294034</v>
      </c>
      <c r="W57" s="60">
        <v>2.8627273899999999</v>
      </c>
      <c r="X57" s="60">
        <v>4.41091006</v>
      </c>
      <c r="Y57" s="60">
        <v>5.7453269699999998</v>
      </c>
      <c r="Z57" s="118">
        <v>7.4083347999999996</v>
      </c>
    </row>
    <row r="58" spans="2:26" x14ac:dyDescent="0.35">
      <c r="B58" s="56" t="s">
        <v>60</v>
      </c>
      <c r="C58" s="66" t="s">
        <v>63</v>
      </c>
      <c r="D58" s="66" t="s">
        <v>62</v>
      </c>
      <c r="E58" s="66" t="s">
        <v>21</v>
      </c>
      <c r="F58" s="73">
        <v>3.9979923822640484E-2</v>
      </c>
      <c r="G58" s="75">
        <v>4.574787298400515E-2</v>
      </c>
      <c r="H58" s="75">
        <v>5.2783721712775948E-2</v>
      </c>
      <c r="I58" s="75">
        <v>5.705390787441119E-2</v>
      </c>
      <c r="J58" s="63">
        <v>6.0467437181247086E-2</v>
      </c>
      <c r="K58" s="73">
        <v>2.2670351226404808E-3</v>
      </c>
      <c r="L58" s="75">
        <v>8.9253477840051474E-3</v>
      </c>
      <c r="M58" s="75">
        <v>1.5351827312775944E-2</v>
      </c>
      <c r="N58" s="75">
        <v>1.8606922774411172E-2</v>
      </c>
      <c r="O58" s="63">
        <v>2.0702215881247085E-2</v>
      </c>
      <c r="P58" s="54" t="s">
        <v>21</v>
      </c>
      <c r="Q58" s="52" t="s">
        <v>21</v>
      </c>
      <c r="R58" s="93" t="s">
        <v>21</v>
      </c>
      <c r="S58" s="70" t="s">
        <v>21</v>
      </c>
      <c r="T58" s="62" t="s">
        <v>21</v>
      </c>
      <c r="V58" s="115">
        <v>1.11154496</v>
      </c>
      <c r="W58" s="107">
        <v>2.8509689200000001</v>
      </c>
      <c r="X58" s="107">
        <v>4.37327143</v>
      </c>
      <c r="Y58" s="107">
        <v>5.6655284799999999</v>
      </c>
      <c r="Z58" s="116">
        <v>7.2563824400000003</v>
      </c>
    </row>
    <row r="59" spans="2:26" x14ac:dyDescent="0.35">
      <c r="B59" s="55" t="s">
        <v>64</v>
      </c>
      <c r="C59" s="65" t="s">
        <v>65</v>
      </c>
      <c r="D59" s="65" t="s">
        <v>62</v>
      </c>
      <c r="E59" s="65" t="s">
        <v>179</v>
      </c>
      <c r="F59" s="74">
        <v>3.7509772216842513E-2</v>
      </c>
      <c r="G59" s="79">
        <v>4.2765097520853751E-2</v>
      </c>
      <c r="H59" s="79">
        <v>4.9393415253851373E-2</v>
      </c>
      <c r="I59" s="79">
        <v>5.3256077533855598E-2</v>
      </c>
      <c r="J59" s="61">
        <v>5.6531796172005974E-2</v>
      </c>
      <c r="K59" s="74" t="s">
        <v>21</v>
      </c>
      <c r="L59" s="79">
        <v>6.0221967208537487E-3</v>
      </c>
      <c r="M59" s="79">
        <v>1.2052183353851376E-2</v>
      </c>
      <c r="N59" s="79">
        <v>1.4917881033855603E-2</v>
      </c>
      <c r="O59" s="61">
        <v>1.6886349172005984E-2</v>
      </c>
      <c r="P59" s="55" t="s">
        <v>21</v>
      </c>
      <c r="Q59" s="65" t="s">
        <v>21</v>
      </c>
      <c r="R59" s="99" t="s">
        <v>21</v>
      </c>
      <c r="S59" s="79" t="s">
        <v>21</v>
      </c>
      <c r="T59" s="61" t="s">
        <v>21</v>
      </c>
      <c r="V59" s="117">
        <v>1.1143433700000001</v>
      </c>
      <c r="W59" s="60">
        <v>2.8636919999999999</v>
      </c>
      <c r="X59" s="60">
        <v>4.3984839400000002</v>
      </c>
      <c r="Y59" s="60">
        <v>5.7053882399999996</v>
      </c>
      <c r="Z59" s="118">
        <v>7.3194586099999999</v>
      </c>
    </row>
    <row r="60" spans="2:26" x14ac:dyDescent="0.35">
      <c r="B60" s="56" t="s">
        <v>64</v>
      </c>
      <c r="C60" s="66" t="s">
        <v>66</v>
      </c>
      <c r="D60" s="66" t="s">
        <v>62</v>
      </c>
      <c r="E60" s="66" t="s">
        <v>21</v>
      </c>
      <c r="F60" s="73">
        <v>3.859235292693651E-2</v>
      </c>
      <c r="G60" s="75">
        <v>4.525593245826777E-2</v>
      </c>
      <c r="H60" s="75">
        <v>5.3393037102151222E-2</v>
      </c>
      <c r="I60" s="75">
        <v>5.7609494342039783E-2</v>
      </c>
      <c r="J60" s="63">
        <v>6.1824373435643572E-2</v>
      </c>
      <c r="K60" s="73">
        <v>9.1281642693651771E-4</v>
      </c>
      <c r="L60" s="75">
        <v>8.4451322582677762E-3</v>
      </c>
      <c r="M60" s="75">
        <v>1.592692230215122E-2</v>
      </c>
      <c r="N60" s="75">
        <v>1.913126434203978E-2</v>
      </c>
      <c r="O60" s="63">
        <v>2.1989169535643567E-2</v>
      </c>
      <c r="P60" s="56" t="s">
        <v>21</v>
      </c>
      <c r="Q60" s="66" t="s">
        <v>21</v>
      </c>
      <c r="R60" s="95" t="s">
        <v>21</v>
      </c>
      <c r="S60" s="75" t="s">
        <v>21</v>
      </c>
      <c r="T60" s="63" t="s">
        <v>21</v>
      </c>
      <c r="V60" s="115">
        <v>1.1137713599999999</v>
      </c>
      <c r="W60" s="107">
        <v>2.8570229</v>
      </c>
      <c r="X60" s="107">
        <v>4.3753304700000006</v>
      </c>
      <c r="Y60" s="107">
        <v>5.6602071199999999</v>
      </c>
      <c r="Z60" s="116">
        <v>7.2258606099999998</v>
      </c>
    </row>
    <row r="61" spans="2:26" x14ac:dyDescent="0.35">
      <c r="B61" s="78" t="s">
        <v>226</v>
      </c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6"/>
      <c r="P61" s="78"/>
      <c r="Q61" s="77"/>
      <c r="R61" s="94"/>
      <c r="S61" s="77"/>
      <c r="T61" s="76"/>
      <c r="V61" s="111"/>
      <c r="W61" s="106"/>
      <c r="X61" s="106"/>
      <c r="Y61" s="106"/>
      <c r="Z61" s="112"/>
    </row>
    <row r="62" spans="2:26" x14ac:dyDescent="0.35">
      <c r="B62" s="55" t="s">
        <v>227</v>
      </c>
      <c r="C62" s="65" t="s">
        <v>61</v>
      </c>
      <c r="D62" s="65" t="s">
        <v>97</v>
      </c>
      <c r="E62" s="65" t="s">
        <v>21</v>
      </c>
      <c r="F62" s="74">
        <v>3.6623618136582416E-2</v>
      </c>
      <c r="G62" s="79">
        <v>4.0679283860944992E-2</v>
      </c>
      <c r="H62" s="79">
        <v>4.5683534617581602E-2</v>
      </c>
      <c r="I62" s="79">
        <v>4.8593923951973941E-2</v>
      </c>
      <c r="J62" s="61">
        <v>5.099693531577236E-2</v>
      </c>
      <c r="K62" s="74" t="s">
        <v>21</v>
      </c>
      <c r="L62" s="79">
        <v>4.0304514609449914E-3</v>
      </c>
      <c r="M62" s="79">
        <v>8.5181471175816044E-3</v>
      </c>
      <c r="N62" s="79">
        <v>1.0474019051973947E-2</v>
      </c>
      <c r="O62" s="61">
        <v>1.157228511577236E-2</v>
      </c>
      <c r="P62" s="54" t="s">
        <v>21</v>
      </c>
      <c r="Q62" s="52" t="s">
        <v>21</v>
      </c>
      <c r="R62" s="93" t="s">
        <v>21</v>
      </c>
      <c r="S62" s="70" t="s">
        <v>21</v>
      </c>
      <c r="T62" s="62" t="s">
        <v>21</v>
      </c>
      <c r="V62" s="117">
        <v>1.1159919299999999</v>
      </c>
      <c r="W62" s="60">
        <v>2.8795010799999998</v>
      </c>
      <c r="X62" s="60">
        <v>4.4550444100000002</v>
      </c>
      <c r="Y62" s="60">
        <v>5.8311374999999996</v>
      </c>
      <c r="Z62" s="118">
        <v>7.58685367</v>
      </c>
    </row>
    <row r="63" spans="2:26" x14ac:dyDescent="0.35">
      <c r="B63" s="56" t="s">
        <v>227</v>
      </c>
      <c r="C63" s="66" t="s">
        <v>63</v>
      </c>
      <c r="D63" s="66" t="s">
        <v>97</v>
      </c>
      <c r="E63" s="66" t="s">
        <v>21</v>
      </c>
      <c r="F63" s="73">
        <v>3.8057115661106491E-2</v>
      </c>
      <c r="G63" s="75">
        <v>4.343856380537707E-2</v>
      </c>
      <c r="H63" s="75">
        <v>4.9815237165324454E-2</v>
      </c>
      <c r="I63" s="75">
        <v>5.380348842986106E-2</v>
      </c>
      <c r="J63" s="63">
        <v>5.6790531501328137E-2</v>
      </c>
      <c r="K63" s="73">
        <v>3.9948756110648725E-4</v>
      </c>
      <c r="L63" s="75">
        <v>6.7020994053770735E-3</v>
      </c>
      <c r="M63" s="75">
        <v>1.2509638265324453E-2</v>
      </c>
      <c r="N63" s="75">
        <v>1.5502247329861062E-2</v>
      </c>
      <c r="O63" s="63">
        <v>1.7191646001328137E-2</v>
      </c>
      <c r="P63" s="54" t="s">
        <v>21</v>
      </c>
      <c r="Q63" s="52" t="s">
        <v>21</v>
      </c>
      <c r="R63" s="93" t="s">
        <v>21</v>
      </c>
      <c r="S63" s="70" t="s">
        <v>21</v>
      </c>
      <c r="T63" s="62" t="s">
        <v>21</v>
      </c>
      <c r="V63" s="115">
        <v>1.1145090799999999</v>
      </c>
      <c r="W63" s="71">
        <v>2.86684604</v>
      </c>
      <c r="X63" s="71">
        <v>4.4144491199999996</v>
      </c>
      <c r="Y63" s="107">
        <v>5.7434041699999998</v>
      </c>
      <c r="Z63" s="116">
        <v>7.4052191799999996</v>
      </c>
    </row>
    <row r="64" spans="2:26" x14ac:dyDescent="0.35">
      <c r="B64" s="55" t="s">
        <v>228</v>
      </c>
      <c r="C64" s="65" t="s">
        <v>65</v>
      </c>
      <c r="D64" s="65" t="s">
        <v>97</v>
      </c>
      <c r="E64" s="65" t="s">
        <v>21</v>
      </c>
      <c r="F64" s="74">
        <v>3.7377473417881536E-2</v>
      </c>
      <c r="G64" s="79">
        <v>4.2764424464641973E-2</v>
      </c>
      <c r="H64" s="79">
        <v>4.9442122214284727E-2</v>
      </c>
      <c r="I64" s="79">
        <v>5.325674367347509E-2</v>
      </c>
      <c r="J64" s="61">
        <v>5.6897953898722806E-2</v>
      </c>
      <c r="K64" s="74" t="s">
        <v>21</v>
      </c>
      <c r="L64" s="79">
        <v>6.0226623646419735E-3</v>
      </c>
      <c r="M64" s="79">
        <v>1.2099294014284726E-2</v>
      </c>
      <c r="N64" s="79">
        <v>1.4919395073475089E-2</v>
      </c>
      <c r="O64" s="61">
        <v>1.7235019198722806E-2</v>
      </c>
      <c r="P64" s="55" t="s">
        <v>21</v>
      </c>
      <c r="Q64" s="65" t="s">
        <v>21</v>
      </c>
      <c r="R64" s="99" t="s">
        <v>21</v>
      </c>
      <c r="S64" s="79" t="s">
        <v>21</v>
      </c>
      <c r="T64" s="61" t="s">
        <v>21</v>
      </c>
      <c r="V64" s="117">
        <v>1.11457614</v>
      </c>
      <c r="W64" s="60">
        <v>2.8640946999999999</v>
      </c>
      <c r="X64" s="60">
        <v>4.3983510900000002</v>
      </c>
      <c r="Y64" s="60">
        <v>5.7050857500000003</v>
      </c>
      <c r="Z64" s="118">
        <v>7.3111397399999998</v>
      </c>
    </row>
    <row r="65" spans="2:26" x14ac:dyDescent="0.35">
      <c r="B65" s="56" t="s">
        <v>228</v>
      </c>
      <c r="C65" s="66" t="s">
        <v>66</v>
      </c>
      <c r="D65" s="66" t="s">
        <v>97</v>
      </c>
      <c r="E65" s="66" t="s">
        <v>21</v>
      </c>
      <c r="F65" s="73">
        <v>3.8515190540806377E-2</v>
      </c>
      <c r="G65" s="75">
        <v>4.5814808927026218E-2</v>
      </c>
      <c r="H65" s="75">
        <v>5.4276371567492931E-2</v>
      </c>
      <c r="I65" s="75">
        <v>5.9493529034037526E-2</v>
      </c>
      <c r="J65" s="63">
        <v>6.3718052394991787E-2</v>
      </c>
      <c r="K65" s="73">
        <v>8.3610034080637465E-4</v>
      </c>
      <c r="L65" s="75">
        <v>8.9797977270262182E-3</v>
      </c>
      <c r="M65" s="75">
        <v>1.6766674567492933E-2</v>
      </c>
      <c r="N65" s="75">
        <v>2.0914681134037508E-2</v>
      </c>
      <c r="O65" s="63">
        <v>2.3788177194991787E-2</v>
      </c>
      <c r="P65" s="56" t="s">
        <v>21</v>
      </c>
      <c r="Q65" s="66" t="s">
        <v>21</v>
      </c>
      <c r="R65" s="95" t="s">
        <v>21</v>
      </c>
      <c r="S65" s="75" t="s">
        <v>21</v>
      </c>
      <c r="T65" s="63" t="s">
        <v>21</v>
      </c>
      <c r="V65" s="113">
        <v>1.1138925200000001</v>
      </c>
      <c r="W65" s="107">
        <v>2.8546260299999999</v>
      </c>
      <c r="X65" s="71">
        <v>4.36529335</v>
      </c>
      <c r="Y65" s="107">
        <v>5.6299800300000005</v>
      </c>
      <c r="Z65" s="116">
        <v>7.1573078100000007</v>
      </c>
    </row>
    <row r="66" spans="2:26" x14ac:dyDescent="0.35">
      <c r="B66" s="56" t="s">
        <v>306</v>
      </c>
      <c r="C66" s="66" t="s">
        <v>61</v>
      </c>
      <c r="D66" s="66" t="s">
        <v>97</v>
      </c>
      <c r="E66" s="66" t="s">
        <v>21</v>
      </c>
      <c r="F66" s="73">
        <v>3.6355070571593387E-2</v>
      </c>
      <c r="G66" s="75">
        <v>4.0473494056618542E-2</v>
      </c>
      <c r="H66" s="75">
        <v>4.5469582910294827E-2</v>
      </c>
      <c r="I66" s="75">
        <v>4.8480720386517996E-2</v>
      </c>
      <c r="J66" s="63">
        <v>5.1167639599161527E-2</v>
      </c>
      <c r="K66" s="73" t="s">
        <v>21</v>
      </c>
      <c r="L66" s="75">
        <v>3.8342971566185454E-3</v>
      </c>
      <c r="M66" s="75">
        <v>8.3142817102948314E-3</v>
      </c>
      <c r="N66" s="75">
        <v>1.0366255486517994E-2</v>
      </c>
      <c r="O66" s="63">
        <v>1.1737091599161521E-2</v>
      </c>
      <c r="P66" s="56" t="s">
        <v>21</v>
      </c>
      <c r="Q66" s="66" t="s">
        <v>21</v>
      </c>
      <c r="R66" s="95" t="s">
        <v>21</v>
      </c>
      <c r="S66" s="75" t="s">
        <v>21</v>
      </c>
      <c r="T66" s="63" t="s">
        <v>21</v>
      </c>
      <c r="V66" s="117">
        <v>1.1164846900000001</v>
      </c>
      <c r="W66" s="60">
        <v>2.88164182</v>
      </c>
      <c r="X66" s="60">
        <v>4.4596599399999999</v>
      </c>
      <c r="Y66" s="60">
        <v>5.8375225899999998</v>
      </c>
      <c r="Z66" s="118">
        <v>7.5891252800000002</v>
      </c>
    </row>
    <row r="67" spans="2:26" x14ac:dyDescent="0.35">
      <c r="B67" s="78" t="s">
        <v>301</v>
      </c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6"/>
      <c r="P67" s="78"/>
      <c r="Q67" s="77"/>
      <c r="R67" s="94"/>
      <c r="S67" s="77"/>
      <c r="T67" s="76"/>
      <c r="V67" s="111"/>
      <c r="W67" s="106"/>
      <c r="X67" s="106"/>
      <c r="Y67" s="106"/>
      <c r="Z67" s="112"/>
    </row>
    <row r="68" spans="2:26" x14ac:dyDescent="0.35">
      <c r="B68" s="55" t="s">
        <v>303</v>
      </c>
      <c r="C68" s="65" t="s">
        <v>30</v>
      </c>
      <c r="D68" s="65" t="s">
        <v>304</v>
      </c>
      <c r="E68" s="65" t="s">
        <v>21</v>
      </c>
      <c r="F68" s="74">
        <v>3.6715081960729874E-2</v>
      </c>
      <c r="G68" s="79">
        <v>4.1106435625265857E-2</v>
      </c>
      <c r="H68" s="79">
        <v>4.6313534156052022E-2</v>
      </c>
      <c r="I68" s="79">
        <v>4.9844413375065136E-2</v>
      </c>
      <c r="J68" s="61">
        <v>5.3084036615123592E-2</v>
      </c>
      <c r="K68" s="74" t="s">
        <v>21</v>
      </c>
      <c r="L68" s="79">
        <v>4.4395343252658578E-3</v>
      </c>
      <c r="M68" s="79">
        <v>9.1203123560520301E-3</v>
      </c>
      <c r="N68" s="79">
        <v>1.166962127506513E-2</v>
      </c>
      <c r="O68" s="61">
        <v>1.358177471512359E-2</v>
      </c>
      <c r="P68" s="54" t="s">
        <v>21</v>
      </c>
      <c r="Q68" s="52" t="s">
        <v>21</v>
      </c>
      <c r="R68" s="93" t="s">
        <v>21</v>
      </c>
      <c r="S68" s="70" t="s">
        <v>21</v>
      </c>
      <c r="T68" s="62" t="s">
        <v>21</v>
      </c>
      <c r="V68" s="117">
        <v>1.1158146799999999</v>
      </c>
      <c r="W68" s="60">
        <v>2.8765308300000001</v>
      </c>
      <c r="X68" s="60">
        <v>4.4449271499999998</v>
      </c>
      <c r="Y68" s="60">
        <v>5.8028738500000001</v>
      </c>
      <c r="Z68" s="118">
        <v>7.5047828499999998</v>
      </c>
    </row>
    <row r="69" spans="2:26" x14ac:dyDescent="0.35">
      <c r="B69" s="54" t="s">
        <v>303</v>
      </c>
      <c r="C69" s="66" t="s">
        <v>35</v>
      </c>
      <c r="D69" s="52" t="s">
        <v>304</v>
      </c>
      <c r="E69" s="52" t="s">
        <v>21</v>
      </c>
      <c r="F69" s="72">
        <v>3.8798241690352848E-2</v>
      </c>
      <c r="G69" s="70">
        <v>4.6440519086014098E-2</v>
      </c>
      <c r="H69" s="70">
        <v>5.5261432289629389E-2</v>
      </c>
      <c r="I69" s="70">
        <v>6.0834868908090978E-2</v>
      </c>
      <c r="J69" s="62">
        <v>6.4724380907453971E-2</v>
      </c>
      <c r="K69" s="72">
        <v>1.1023654903528479E-3</v>
      </c>
      <c r="L69" s="70">
        <v>9.5758768860140925E-3</v>
      </c>
      <c r="M69" s="70">
        <v>1.7700376089629405E-2</v>
      </c>
      <c r="N69" s="70">
        <v>2.2180696208090968E-2</v>
      </c>
      <c r="O69" s="62">
        <v>2.4741497907453967E-2</v>
      </c>
      <c r="P69" s="54" t="s">
        <v>21</v>
      </c>
      <c r="Q69" s="52" t="s">
        <v>21</v>
      </c>
      <c r="R69" s="93" t="s">
        <v>21</v>
      </c>
      <c r="S69" s="70" t="s">
        <v>21</v>
      </c>
      <c r="T69" s="62" t="s">
        <v>21</v>
      </c>
      <c r="V69" s="113">
        <v>1.1135300399999999</v>
      </c>
      <c r="W69" s="71">
        <v>2.8510826699999998</v>
      </c>
      <c r="X69" s="71">
        <v>4.3533601800000001</v>
      </c>
      <c r="Y69" s="71">
        <v>5.6034328499999999</v>
      </c>
      <c r="Z69" s="114">
        <v>7.1105842399999997</v>
      </c>
    </row>
    <row r="70" spans="2:26" x14ac:dyDescent="0.35">
      <c r="B70" s="56" t="s">
        <v>303</v>
      </c>
      <c r="C70" s="52" t="s">
        <v>33</v>
      </c>
      <c r="D70" s="66" t="s">
        <v>304</v>
      </c>
      <c r="E70" s="53" t="s">
        <v>21</v>
      </c>
      <c r="F70" s="73">
        <v>3.7418563753269268E-2</v>
      </c>
      <c r="G70" s="75">
        <v>4.3435561021974191E-2</v>
      </c>
      <c r="H70" s="75">
        <v>5.0380629716374824E-2</v>
      </c>
      <c r="I70" s="75">
        <v>5.469988621614693E-2</v>
      </c>
      <c r="J70" s="63">
        <v>5.8469672162400926E-2</v>
      </c>
      <c r="K70" s="73" t="s">
        <v>21</v>
      </c>
      <c r="L70" s="75">
        <v>6.6642329219741914E-3</v>
      </c>
      <c r="M70" s="75">
        <v>1.2991090816374819E-2</v>
      </c>
      <c r="N70" s="75">
        <v>1.6288112616146926E-2</v>
      </c>
      <c r="O70" s="63">
        <v>1.8728514962400918E-2</v>
      </c>
      <c r="P70" s="54" t="s">
        <v>21</v>
      </c>
      <c r="Q70" s="52" t="s">
        <v>21</v>
      </c>
      <c r="R70" s="93" t="s">
        <v>21</v>
      </c>
      <c r="S70" s="70" t="s">
        <v>21</v>
      </c>
      <c r="T70" s="62" t="s">
        <v>21</v>
      </c>
      <c r="V70" s="115">
        <v>1.11447341</v>
      </c>
      <c r="W70" s="71">
        <v>2.8597620699999999</v>
      </c>
      <c r="X70" s="71">
        <v>4.3834977400000001</v>
      </c>
      <c r="Y70" s="107">
        <v>5.6697332999999999</v>
      </c>
      <c r="Z70" s="116">
        <v>7.2362535800000005</v>
      </c>
    </row>
    <row r="71" spans="2:26" x14ac:dyDescent="0.35">
      <c r="B71" s="78" t="s">
        <v>302</v>
      </c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6"/>
      <c r="P71" s="78"/>
      <c r="Q71" s="77"/>
      <c r="R71" s="94"/>
      <c r="S71" s="77"/>
      <c r="T71" s="76"/>
      <c r="V71" s="111"/>
      <c r="W71" s="106"/>
      <c r="X71" s="106"/>
      <c r="Y71" s="106"/>
      <c r="Z71" s="112"/>
    </row>
    <row r="72" spans="2:26" x14ac:dyDescent="0.35">
      <c r="B72" s="55" t="s">
        <v>305</v>
      </c>
      <c r="C72" s="65" t="s">
        <v>30</v>
      </c>
      <c r="D72" s="65" t="s">
        <v>131</v>
      </c>
      <c r="E72" s="65" t="s">
        <v>21</v>
      </c>
      <c r="F72" s="74">
        <v>3.6807546076714472E-2</v>
      </c>
      <c r="G72" s="79">
        <v>4.1116055625088778E-2</v>
      </c>
      <c r="H72" s="79">
        <v>4.6365296877813496E-2</v>
      </c>
      <c r="I72" s="79">
        <v>4.9653737547918353E-2</v>
      </c>
      <c r="J72" s="61">
        <v>5.2464889741138207E-2</v>
      </c>
      <c r="K72" s="74" t="s">
        <v>21</v>
      </c>
      <c r="L72" s="79">
        <v>4.4488076250887819E-3</v>
      </c>
      <c r="M72" s="79">
        <v>9.1697803778134947E-3</v>
      </c>
      <c r="N72" s="79">
        <v>1.1487739947918355E-2</v>
      </c>
      <c r="O72" s="61">
        <v>1.2987151041138205E-2</v>
      </c>
      <c r="P72" s="55" t="s">
        <v>21</v>
      </c>
      <c r="Q72" s="65" t="s">
        <v>21</v>
      </c>
      <c r="R72" s="99" t="s">
        <v>21</v>
      </c>
      <c r="S72" s="79" t="s">
        <v>21</v>
      </c>
      <c r="T72" s="61" t="s">
        <v>21</v>
      </c>
      <c r="V72" s="117">
        <v>1.11563948</v>
      </c>
      <c r="W72" s="60">
        <v>2.8761630900000004</v>
      </c>
      <c r="X72" s="60">
        <v>4.44404573</v>
      </c>
      <c r="Y72" s="60">
        <v>5.8045084099999995</v>
      </c>
      <c r="Z72" s="118">
        <v>7.5219520400000004</v>
      </c>
    </row>
    <row r="73" spans="2:26" x14ac:dyDescent="0.35">
      <c r="B73" s="56" t="s">
        <v>305</v>
      </c>
      <c r="C73" s="66" t="s">
        <v>35</v>
      </c>
      <c r="D73" s="66" t="s">
        <v>131</v>
      </c>
      <c r="E73" s="66" t="s">
        <v>21</v>
      </c>
      <c r="F73" s="73">
        <v>3.8813457526273229E-2</v>
      </c>
      <c r="G73" s="75">
        <v>4.6446437395617261E-2</v>
      </c>
      <c r="H73" s="75">
        <v>5.526530780489701E-2</v>
      </c>
      <c r="I73" s="75">
        <v>6.0837890986828409E-2</v>
      </c>
      <c r="J73" s="63">
        <v>6.5067430396786502E-2</v>
      </c>
      <c r="K73" s="73">
        <v>1.1118817262732337E-3</v>
      </c>
      <c r="L73" s="75">
        <v>9.5791879956172651E-3</v>
      </c>
      <c r="M73" s="75">
        <v>1.7702313104897012E-2</v>
      </c>
      <c r="N73" s="75">
        <v>2.2182078286828423E-2</v>
      </c>
      <c r="O73" s="63">
        <v>2.5064036496786499E-2</v>
      </c>
      <c r="P73" s="56" t="s">
        <v>21</v>
      </c>
      <c r="Q73" s="66" t="s">
        <v>21</v>
      </c>
      <c r="R73" s="95" t="s">
        <v>21</v>
      </c>
      <c r="S73" s="75" t="s">
        <v>21</v>
      </c>
      <c r="T73" s="63" t="s">
        <v>21</v>
      </c>
      <c r="V73" s="113">
        <v>1.11353645</v>
      </c>
      <c r="W73" s="107">
        <v>2.8510775900000001</v>
      </c>
      <c r="X73" s="71">
        <v>4.3533461400000002</v>
      </c>
      <c r="Y73" s="107">
        <v>5.6034110200000002</v>
      </c>
      <c r="Z73" s="116">
        <v>7.1049613299999992</v>
      </c>
    </row>
    <row r="74" spans="2:26" x14ac:dyDescent="0.35">
      <c r="B74" s="78" t="s">
        <v>67</v>
      </c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6"/>
      <c r="P74" s="78"/>
      <c r="Q74" s="77"/>
      <c r="R74" s="94"/>
      <c r="S74" s="77"/>
      <c r="T74" s="76"/>
      <c r="V74" s="111"/>
      <c r="W74" s="106"/>
      <c r="X74" s="106"/>
      <c r="Y74" s="106"/>
      <c r="Z74" s="112"/>
    </row>
    <row r="75" spans="2:26" x14ac:dyDescent="0.35">
      <c r="B75" s="55" t="s">
        <v>68</v>
      </c>
      <c r="C75" s="65" t="s">
        <v>61</v>
      </c>
      <c r="D75" s="65" t="s">
        <v>69</v>
      </c>
      <c r="E75" s="65" t="s">
        <v>21</v>
      </c>
      <c r="F75" s="74">
        <v>3.9357131373550874E-2</v>
      </c>
      <c r="G75" s="79">
        <v>4.3949100740643121E-2</v>
      </c>
      <c r="H75" s="79">
        <v>5.000703508508806E-2</v>
      </c>
      <c r="I75" s="79">
        <v>5.3573744957660881E-2</v>
      </c>
      <c r="J75" s="61">
        <v>5.6848641040569935E-2</v>
      </c>
      <c r="K75" s="74">
        <v>1.6244643735508681E-3</v>
      </c>
      <c r="L75" s="79">
        <v>7.1504001406431216E-3</v>
      </c>
      <c r="M75" s="79">
        <v>1.2633591785088058E-2</v>
      </c>
      <c r="N75" s="79">
        <v>1.5216682157660883E-2</v>
      </c>
      <c r="O75" s="61">
        <v>1.7182815640569934E-2</v>
      </c>
      <c r="P75" s="55" t="s">
        <v>21</v>
      </c>
      <c r="Q75" s="65" t="s">
        <v>21</v>
      </c>
      <c r="R75" s="99" t="s">
        <v>21</v>
      </c>
      <c r="S75" s="79" t="s">
        <v>21</v>
      </c>
      <c r="T75" s="61" t="s">
        <v>21</v>
      </c>
      <c r="V75" s="117">
        <v>1.11088034</v>
      </c>
      <c r="W75" s="60">
        <v>2.8503663700000001</v>
      </c>
      <c r="X75" s="60">
        <v>4.3774666400000006</v>
      </c>
      <c r="Y75" s="60">
        <v>5.6807288599999994</v>
      </c>
      <c r="Z75" s="118">
        <v>7.2901723200000008</v>
      </c>
    </row>
    <row r="76" spans="2:26" x14ac:dyDescent="0.35">
      <c r="B76" s="56" t="s">
        <v>68</v>
      </c>
      <c r="C76" s="66" t="s">
        <v>63</v>
      </c>
      <c r="D76" s="66" t="s">
        <v>69</v>
      </c>
      <c r="E76" s="66" t="s">
        <v>81</v>
      </c>
      <c r="F76" s="73">
        <v>4.0827229213516808E-2</v>
      </c>
      <c r="G76" s="75">
        <v>4.6456207233169219E-2</v>
      </c>
      <c r="H76" s="75">
        <v>5.3238909334064083E-2</v>
      </c>
      <c r="I76" s="75">
        <v>5.7120937247738104E-2</v>
      </c>
      <c r="J76" s="63">
        <v>6.0242404499004788E-2</v>
      </c>
      <c r="K76" s="73">
        <v>3.0546842135168086E-3</v>
      </c>
      <c r="L76" s="75">
        <v>9.5950978331692215E-3</v>
      </c>
      <c r="M76" s="75">
        <v>1.5778608234064077E-2</v>
      </c>
      <c r="N76" s="75">
        <v>1.866428054773811E-2</v>
      </c>
      <c r="O76" s="63">
        <v>2.0481655699004793E-2</v>
      </c>
      <c r="P76" s="56" t="s">
        <v>21</v>
      </c>
      <c r="Q76" s="66" t="s">
        <v>21</v>
      </c>
      <c r="R76" s="95" t="s">
        <v>21</v>
      </c>
      <c r="S76" s="75" t="s">
        <v>21</v>
      </c>
      <c r="T76" s="63" t="s">
        <v>21</v>
      </c>
      <c r="V76" s="115">
        <v>1.1101091699999999</v>
      </c>
      <c r="W76" s="107">
        <v>2.8450119300000001</v>
      </c>
      <c r="X76" s="107">
        <v>4.3634018799999996</v>
      </c>
      <c r="Y76" s="107">
        <v>5.6549721100000001</v>
      </c>
      <c r="Z76" s="116">
        <v>7.2512765899999998</v>
      </c>
    </row>
    <row r="77" spans="2:26" x14ac:dyDescent="0.35">
      <c r="B77" s="55" t="s">
        <v>70</v>
      </c>
      <c r="C77" s="65" t="s">
        <v>65</v>
      </c>
      <c r="D77" s="65" t="s">
        <v>69</v>
      </c>
      <c r="E77" s="65" t="s">
        <v>229</v>
      </c>
      <c r="F77" s="74">
        <v>3.9618418654366036E-2</v>
      </c>
      <c r="G77" s="79">
        <v>4.4662898574760038E-2</v>
      </c>
      <c r="H77" s="79">
        <v>5.0950624803080082E-2</v>
      </c>
      <c r="I77" s="79">
        <v>5.5023543503860663E-2</v>
      </c>
      <c r="J77" s="61">
        <v>5.8611216064605877E-2</v>
      </c>
      <c r="K77" s="74">
        <v>1.8784363543660329E-3</v>
      </c>
      <c r="L77" s="79">
        <v>7.8311521747600372E-3</v>
      </c>
      <c r="M77" s="79">
        <v>1.3529148603080077E-2</v>
      </c>
      <c r="N77" s="79">
        <v>1.6590563103860655E-2</v>
      </c>
      <c r="O77" s="61">
        <v>1.8855756364605882E-2</v>
      </c>
      <c r="P77" s="54" t="s">
        <v>456</v>
      </c>
      <c r="Q77" s="52" t="s">
        <v>457</v>
      </c>
      <c r="R77" s="93">
        <v>47371</v>
      </c>
      <c r="S77" s="70">
        <v>4.7270890000000003E-2</v>
      </c>
      <c r="T77" s="62">
        <v>3.6797348030800786E-3</v>
      </c>
      <c r="V77" s="117">
        <v>1.1103687</v>
      </c>
      <c r="W77" s="60">
        <v>2.8450917900000001</v>
      </c>
      <c r="X77" s="60">
        <v>4.3616853600000001</v>
      </c>
      <c r="Y77" s="60">
        <v>5.6445857999999998</v>
      </c>
      <c r="Z77" s="118">
        <v>7.2106178000000005</v>
      </c>
    </row>
    <row r="78" spans="2:26" x14ac:dyDescent="0.35">
      <c r="B78" s="54" t="s">
        <v>70</v>
      </c>
      <c r="C78" s="52" t="s">
        <v>66</v>
      </c>
      <c r="D78" s="52" t="s">
        <v>69</v>
      </c>
      <c r="E78" s="52" t="s">
        <v>81</v>
      </c>
      <c r="F78" s="72">
        <v>4.0844669207415162E-2</v>
      </c>
      <c r="G78" s="70">
        <v>4.7585423291070461E-2</v>
      </c>
      <c r="H78" s="70">
        <v>5.5790563956703065E-2</v>
      </c>
      <c r="I78" s="70">
        <v>6.1273178973613923E-2</v>
      </c>
      <c r="J78" s="62">
        <v>6.5330357997321453E-2</v>
      </c>
      <c r="K78" s="72">
        <v>3.0630239074151584E-3</v>
      </c>
      <c r="L78" s="70">
        <v>1.0671588091070458E-2</v>
      </c>
      <c r="M78" s="70">
        <v>1.8201911556703077E-2</v>
      </c>
      <c r="N78" s="70">
        <v>2.2592207573613909E-2</v>
      </c>
      <c r="O78" s="62">
        <v>2.5309992097321446E-2</v>
      </c>
      <c r="P78" s="54" t="s">
        <v>21</v>
      </c>
      <c r="Q78" s="52" t="s">
        <v>21</v>
      </c>
      <c r="R78" s="93" t="s">
        <v>21</v>
      </c>
      <c r="S78" s="70" t="s">
        <v>21</v>
      </c>
      <c r="T78" s="62" t="s">
        <v>21</v>
      </c>
      <c r="V78" s="115">
        <v>1.1101311300000001</v>
      </c>
      <c r="W78" s="107">
        <v>2.8398007000000001</v>
      </c>
      <c r="X78" s="107">
        <v>4.3368851199999998</v>
      </c>
      <c r="Y78" s="107">
        <v>5.58312834</v>
      </c>
      <c r="Z78" s="116">
        <v>7.0813850400000007</v>
      </c>
    </row>
    <row r="79" spans="2:26" x14ac:dyDescent="0.35">
      <c r="B79" s="55" t="s">
        <v>71</v>
      </c>
      <c r="C79" s="65" t="s">
        <v>61</v>
      </c>
      <c r="D79" s="65" t="s">
        <v>69</v>
      </c>
      <c r="E79" s="65" t="s">
        <v>21</v>
      </c>
      <c r="F79" s="74">
        <v>3.7494247916279644E-2</v>
      </c>
      <c r="G79" s="79">
        <v>4.1628083135268563E-2</v>
      </c>
      <c r="H79" s="79">
        <v>4.6637735503014588E-2</v>
      </c>
      <c r="I79" s="79">
        <v>4.9777263137971747E-2</v>
      </c>
      <c r="J79" s="61">
        <v>5.24947706314568E-2</v>
      </c>
      <c r="K79" s="74" t="s">
        <v>21</v>
      </c>
      <c r="L79" s="79">
        <v>4.9400183352685673E-3</v>
      </c>
      <c r="M79" s="79">
        <v>9.4305819030145836E-3</v>
      </c>
      <c r="N79" s="79">
        <v>1.160567553797175E-2</v>
      </c>
      <c r="O79" s="61">
        <v>1.3014538931456796E-2</v>
      </c>
      <c r="P79" s="55" t="s">
        <v>21</v>
      </c>
      <c r="Q79" s="65" t="s">
        <v>21</v>
      </c>
      <c r="R79" s="99" t="s">
        <v>21</v>
      </c>
      <c r="S79" s="79" t="s">
        <v>21</v>
      </c>
      <c r="T79" s="61" t="s">
        <v>21</v>
      </c>
      <c r="V79" s="117">
        <v>1.1143234199999998</v>
      </c>
      <c r="W79" s="60">
        <v>2.8706660099999999</v>
      </c>
      <c r="X79" s="60">
        <v>4.4349899600000002</v>
      </c>
      <c r="Y79" s="60">
        <v>5.7938588900000001</v>
      </c>
      <c r="Z79" s="118">
        <v>7.511518960000001</v>
      </c>
    </row>
    <row r="80" spans="2:26" x14ac:dyDescent="0.35">
      <c r="B80" s="56" t="s">
        <v>71</v>
      </c>
      <c r="C80" s="66" t="s">
        <v>63</v>
      </c>
      <c r="D80" s="66" t="s">
        <v>69</v>
      </c>
      <c r="E80" s="66" t="s">
        <v>21</v>
      </c>
      <c r="F80" s="73">
        <v>3.9027270638286038E-2</v>
      </c>
      <c r="G80" s="75">
        <v>4.4071280991464616E-2</v>
      </c>
      <c r="H80" s="75">
        <v>4.9864757509388957E-2</v>
      </c>
      <c r="I80" s="75">
        <v>5.3508379749963142E-2</v>
      </c>
      <c r="J80" s="63">
        <v>5.6340683949372951E-2</v>
      </c>
      <c r="K80" s="73">
        <v>1.34018653828604E-3</v>
      </c>
      <c r="L80" s="75">
        <v>7.3117491914646091E-3</v>
      </c>
      <c r="M80" s="75">
        <v>1.2557583909388968E-2</v>
      </c>
      <c r="N80" s="75">
        <v>1.5219446749963131E-2</v>
      </c>
      <c r="O80" s="63">
        <v>1.6756831249372949E-2</v>
      </c>
      <c r="P80" s="56" t="s">
        <v>21</v>
      </c>
      <c r="Q80" s="66" t="s">
        <v>21</v>
      </c>
      <c r="R80" s="95" t="s">
        <v>21</v>
      </c>
      <c r="S80" s="75" t="s">
        <v>21</v>
      </c>
      <c r="T80" s="63" t="s">
        <v>21</v>
      </c>
      <c r="V80" s="115">
        <v>1.1131160500000001</v>
      </c>
      <c r="W80" s="107">
        <v>2.8616150399999998</v>
      </c>
      <c r="X80" s="107">
        <v>4.40858303</v>
      </c>
      <c r="Y80" s="107">
        <v>5.7410332100000003</v>
      </c>
      <c r="Z80" s="116">
        <v>7.4130034600000005</v>
      </c>
    </row>
    <row r="81" spans="2:26" x14ac:dyDescent="0.35">
      <c r="B81" s="54" t="s">
        <v>72</v>
      </c>
      <c r="C81" s="52" t="s">
        <v>65</v>
      </c>
      <c r="D81" s="52" t="s">
        <v>69</v>
      </c>
      <c r="E81" s="52" t="s">
        <v>34</v>
      </c>
      <c r="F81" s="72">
        <v>3.7374848496920417E-2</v>
      </c>
      <c r="G81" s="70">
        <v>4.2341333285843608E-2</v>
      </c>
      <c r="H81" s="70">
        <v>4.8713947173600065E-2</v>
      </c>
      <c r="I81" s="70">
        <v>5.2492891806663368E-2</v>
      </c>
      <c r="J81" s="62">
        <v>5.6162610128521785E-2</v>
      </c>
      <c r="K81" s="72" t="s">
        <v>21</v>
      </c>
      <c r="L81" s="70">
        <v>5.61839768584361E-3</v>
      </c>
      <c r="M81" s="70">
        <v>1.1406892673600068E-2</v>
      </c>
      <c r="N81" s="70">
        <v>1.4193246906663366E-2</v>
      </c>
      <c r="O81" s="62">
        <v>1.6531914728521779E-2</v>
      </c>
      <c r="P81" s="54" t="s">
        <v>21</v>
      </c>
      <c r="Q81" s="52" t="s">
        <v>21</v>
      </c>
      <c r="R81" s="93" t="s">
        <v>21</v>
      </c>
      <c r="S81" s="70" t="s">
        <v>21</v>
      </c>
      <c r="T81" s="62" t="s">
        <v>21</v>
      </c>
      <c r="V81" s="117">
        <v>1.11458938</v>
      </c>
      <c r="W81" s="60">
        <v>2.8667368799999999</v>
      </c>
      <c r="X81" s="60">
        <v>4.4090113299999993</v>
      </c>
      <c r="Y81" s="60">
        <v>5.7271269700000005</v>
      </c>
      <c r="Z81" s="118">
        <v>7.3515215499999993</v>
      </c>
    </row>
    <row r="82" spans="2:26" x14ac:dyDescent="0.35">
      <c r="B82" s="56" t="s">
        <v>72</v>
      </c>
      <c r="C82" s="66" t="s">
        <v>66</v>
      </c>
      <c r="D82" s="66" t="s">
        <v>69</v>
      </c>
      <c r="E82" s="66" t="s">
        <v>36</v>
      </c>
      <c r="F82" s="73">
        <v>3.8367075841705803E-2</v>
      </c>
      <c r="G82" s="75">
        <v>4.542852038997184E-2</v>
      </c>
      <c r="H82" s="75">
        <v>5.3493397453521198E-2</v>
      </c>
      <c r="I82" s="75">
        <v>5.8578085560659056E-2</v>
      </c>
      <c r="J82" s="63">
        <v>6.2497993986919187E-2</v>
      </c>
      <c r="K82" s="73">
        <v>6.9592334170580101E-4</v>
      </c>
      <c r="L82" s="75">
        <v>8.6108793899718431E-3</v>
      </c>
      <c r="M82" s="75">
        <v>1.6022626453521205E-2</v>
      </c>
      <c r="N82" s="75">
        <v>2.0048751660659066E-2</v>
      </c>
      <c r="O82" s="63">
        <v>2.2632001186919187E-2</v>
      </c>
      <c r="P82" s="56" t="s">
        <v>21</v>
      </c>
      <c r="Q82" s="66" t="s">
        <v>21</v>
      </c>
      <c r="R82" s="95" t="s">
        <v>21</v>
      </c>
      <c r="S82" s="75" t="s">
        <v>21</v>
      </c>
      <c r="T82" s="63" t="s">
        <v>21</v>
      </c>
      <c r="V82" s="115">
        <v>1.1140865499999999</v>
      </c>
      <c r="W82" s="107">
        <v>2.8567675800000001</v>
      </c>
      <c r="X82" s="107">
        <v>4.3739968499999993</v>
      </c>
      <c r="Y82" s="107">
        <v>5.6489804100000001</v>
      </c>
      <c r="Z82" s="116">
        <v>7.19895555</v>
      </c>
    </row>
    <row r="83" spans="2:26" x14ac:dyDescent="0.35">
      <c r="B83" s="56" t="s">
        <v>74</v>
      </c>
      <c r="C83" s="66" t="s">
        <v>61</v>
      </c>
      <c r="D83" s="66" t="s">
        <v>69</v>
      </c>
      <c r="E83" s="66" t="s">
        <v>312</v>
      </c>
      <c r="F83" s="73">
        <v>3.8346234957337237E-2</v>
      </c>
      <c r="G83" s="75">
        <v>4.3181585987761374E-2</v>
      </c>
      <c r="H83" s="75">
        <v>4.9154828166447874E-2</v>
      </c>
      <c r="I83" s="75">
        <v>5.2926499616247728E-2</v>
      </c>
      <c r="J83" s="63">
        <v>5.6282425922682573E-2</v>
      </c>
      <c r="K83" s="73">
        <v>6.6069895733723676E-4</v>
      </c>
      <c r="L83" s="75">
        <v>6.4212205877613787E-3</v>
      </c>
      <c r="M83" s="75">
        <v>1.1826250666447874E-2</v>
      </c>
      <c r="N83" s="75">
        <v>1.4604193416247722E-2</v>
      </c>
      <c r="O83" s="63">
        <v>1.6645247622682571E-2</v>
      </c>
      <c r="P83" s="56" t="s">
        <v>21</v>
      </c>
      <c r="Q83" s="66" t="s">
        <v>21</v>
      </c>
      <c r="R83" s="95" t="s">
        <v>21</v>
      </c>
      <c r="S83" s="75" t="s">
        <v>21</v>
      </c>
      <c r="T83" s="63" t="s">
        <v>21</v>
      </c>
      <c r="V83" s="117">
        <v>1.11274597</v>
      </c>
      <c r="W83" s="60">
        <v>2.85832175</v>
      </c>
      <c r="X83" s="60">
        <v>4.3949212800000002</v>
      </c>
      <c r="Y83" s="60">
        <v>5.7074863499999999</v>
      </c>
      <c r="Z83" s="118">
        <v>7.3294281200000002</v>
      </c>
    </row>
    <row r="84" spans="2:26" x14ac:dyDescent="0.35">
      <c r="B84" s="54" t="s">
        <v>76</v>
      </c>
      <c r="C84" s="52" t="s">
        <v>65</v>
      </c>
      <c r="D84" s="52" t="s">
        <v>69</v>
      </c>
      <c r="E84" s="52" t="s">
        <v>34</v>
      </c>
      <c r="F84" s="72">
        <v>3.8385203640015964E-2</v>
      </c>
      <c r="G84" s="70">
        <v>4.3581222262382174E-2</v>
      </c>
      <c r="H84" s="70">
        <v>5.0595137628965392E-2</v>
      </c>
      <c r="I84" s="70">
        <v>5.4675571141677363E-2</v>
      </c>
      <c r="J84" s="62">
        <v>5.8260797790411739E-2</v>
      </c>
      <c r="K84" s="72">
        <v>6.9879974001596252E-4</v>
      </c>
      <c r="L84" s="70">
        <v>6.8023284623821793E-3</v>
      </c>
      <c r="M84" s="70">
        <v>1.3193689628965392E-2</v>
      </c>
      <c r="N84" s="70">
        <v>1.6264239441677361E-2</v>
      </c>
      <c r="O84" s="62">
        <v>1.8529359890411722E-2</v>
      </c>
      <c r="P84" s="54" t="s">
        <v>21</v>
      </c>
      <c r="Q84" s="52" t="s">
        <v>21</v>
      </c>
      <c r="R84" s="93" t="s">
        <v>21</v>
      </c>
      <c r="S84" s="70" t="s">
        <v>21</v>
      </c>
      <c r="T84" s="62" t="s">
        <v>21</v>
      </c>
      <c r="V84" s="117">
        <v>1.1126683099999999</v>
      </c>
      <c r="W84" s="60">
        <v>2.8557243199999998</v>
      </c>
      <c r="X84" s="60">
        <v>4.3773854100000005</v>
      </c>
      <c r="Y84" s="60">
        <v>5.6639652499999995</v>
      </c>
      <c r="Z84" s="118">
        <v>7.2364410500000007</v>
      </c>
    </row>
    <row r="85" spans="2:26" x14ac:dyDescent="0.35">
      <c r="B85" s="56" t="s">
        <v>76</v>
      </c>
      <c r="C85" s="66" t="s">
        <v>66</v>
      </c>
      <c r="D85" s="66" t="s">
        <v>69</v>
      </c>
      <c r="E85" s="66" t="s">
        <v>21</v>
      </c>
      <c r="F85" s="73">
        <v>3.9393662149526519E-2</v>
      </c>
      <c r="G85" s="75">
        <v>4.6788896132125155E-2</v>
      </c>
      <c r="H85" s="75">
        <v>5.5836551560585007E-2</v>
      </c>
      <c r="I85" s="75">
        <v>6.1140010859381026E-2</v>
      </c>
      <c r="J85" s="63">
        <v>6.4945404901458795E-2</v>
      </c>
      <c r="K85" s="73">
        <v>1.6965346495265154E-3</v>
      </c>
      <c r="L85" s="75">
        <v>9.9182263321251542E-3</v>
      </c>
      <c r="M85" s="75">
        <v>1.8252853660585006E-2</v>
      </c>
      <c r="N85" s="75">
        <v>2.2474332959381008E-2</v>
      </c>
      <c r="O85" s="63">
        <v>2.4954203801458789E-2</v>
      </c>
      <c r="P85" s="56" t="s">
        <v>21</v>
      </c>
      <c r="Q85" s="66" t="s">
        <v>21</v>
      </c>
      <c r="R85" s="95" t="s">
        <v>21</v>
      </c>
      <c r="S85" s="75" t="s">
        <v>21</v>
      </c>
      <c r="T85" s="63" t="s">
        <v>21</v>
      </c>
      <c r="V85" s="115">
        <v>1.11258397</v>
      </c>
      <c r="W85" s="107">
        <v>2.8477576099999999</v>
      </c>
      <c r="X85" s="107">
        <v>4.3451515699999996</v>
      </c>
      <c r="Y85" s="107">
        <v>5.5915051399999998</v>
      </c>
      <c r="Z85" s="116">
        <v>7.0952348999999995</v>
      </c>
    </row>
    <row r="86" spans="2:26" x14ac:dyDescent="0.35">
      <c r="B86" s="54" t="s">
        <v>77</v>
      </c>
      <c r="C86" s="52" t="s">
        <v>61</v>
      </c>
      <c r="D86" s="52" t="s">
        <v>69</v>
      </c>
      <c r="E86" s="52" t="s">
        <v>21</v>
      </c>
      <c r="F86" s="72">
        <v>3.7599175582464082E-2</v>
      </c>
      <c r="G86" s="70">
        <v>4.1905971731766307E-2</v>
      </c>
      <c r="H86" s="70">
        <v>4.7060764617172408E-2</v>
      </c>
      <c r="I86" s="70">
        <v>5.0434696892835328E-2</v>
      </c>
      <c r="J86" s="62">
        <v>5.3169881863167887E-2</v>
      </c>
      <c r="K86" s="72" t="s">
        <v>21</v>
      </c>
      <c r="L86" s="70">
        <v>5.2036702317663028E-3</v>
      </c>
      <c r="M86" s="70">
        <v>9.8328422171724047E-3</v>
      </c>
      <c r="N86" s="70">
        <v>1.2232133092835332E-2</v>
      </c>
      <c r="O86" s="62">
        <v>1.3663794663167882E-2</v>
      </c>
      <c r="P86" s="54" t="s">
        <v>21</v>
      </c>
      <c r="Q86" s="52" t="s">
        <v>21</v>
      </c>
      <c r="R86" s="93" t="s">
        <v>21</v>
      </c>
      <c r="S86" s="70" t="s">
        <v>21</v>
      </c>
      <c r="T86" s="62" t="s">
        <v>21</v>
      </c>
      <c r="V86" s="117">
        <v>1.1141535899999999</v>
      </c>
      <c r="W86" s="60">
        <v>2.8686611200000001</v>
      </c>
      <c r="X86" s="60">
        <v>4.4282763000000003</v>
      </c>
      <c r="Y86" s="60">
        <v>5.7775633399999995</v>
      </c>
      <c r="Z86" s="118">
        <v>7.4771554</v>
      </c>
    </row>
    <row r="87" spans="2:26" x14ac:dyDescent="0.35">
      <c r="B87" s="56" t="s">
        <v>77</v>
      </c>
      <c r="C87" s="66" t="s">
        <v>63</v>
      </c>
      <c r="D87" s="66" t="s">
        <v>69</v>
      </c>
      <c r="E87" s="66" t="s">
        <v>21</v>
      </c>
      <c r="F87" s="73">
        <v>3.937480237228428E-2</v>
      </c>
      <c r="G87" s="75">
        <v>4.4566015120851302E-2</v>
      </c>
      <c r="H87" s="75">
        <v>5.0547381980700412E-2</v>
      </c>
      <c r="I87" s="75">
        <v>5.3861856397701899E-2</v>
      </c>
      <c r="J87" s="63">
        <v>5.6547959214150928E-2</v>
      </c>
      <c r="K87" s="73">
        <v>1.6727456722842819E-3</v>
      </c>
      <c r="L87" s="75">
        <v>7.7854834208513028E-3</v>
      </c>
      <c r="M87" s="75">
        <v>1.3210212480700409E-2</v>
      </c>
      <c r="N87" s="75">
        <v>1.5556979297701896E-2</v>
      </c>
      <c r="O87" s="63">
        <v>1.6954715714150935E-2</v>
      </c>
      <c r="P87" s="56" t="s">
        <v>21</v>
      </c>
      <c r="Q87" s="66" t="s">
        <v>21</v>
      </c>
      <c r="R87" s="95" t="s">
        <v>21</v>
      </c>
      <c r="S87" s="75" t="s">
        <v>21</v>
      </c>
      <c r="T87" s="63" t="s">
        <v>21</v>
      </c>
      <c r="V87" s="115">
        <v>1.1126403899999999</v>
      </c>
      <c r="W87" s="107">
        <v>2.8584247199999999</v>
      </c>
      <c r="X87" s="107">
        <v>4.3992016600000001</v>
      </c>
      <c r="Y87" s="107">
        <v>5.7272081899999998</v>
      </c>
      <c r="Z87" s="116">
        <v>7.3956321899999997</v>
      </c>
    </row>
    <row r="88" spans="2:26" x14ac:dyDescent="0.35">
      <c r="B88" s="54" t="s">
        <v>78</v>
      </c>
      <c r="C88" s="52" t="s">
        <v>65</v>
      </c>
      <c r="D88" s="52" t="s">
        <v>69</v>
      </c>
      <c r="E88" s="52" t="s">
        <v>79</v>
      </c>
      <c r="F88" s="72">
        <v>3.7638165876025385E-2</v>
      </c>
      <c r="G88" s="70">
        <v>4.2978510614556549E-2</v>
      </c>
      <c r="H88" s="70">
        <v>4.9754161370962703E-2</v>
      </c>
      <c r="I88" s="70">
        <v>5.3754145413198118E-2</v>
      </c>
      <c r="J88" s="62">
        <v>5.7408762075549645E-2</v>
      </c>
      <c r="K88" s="72" t="s">
        <v>21</v>
      </c>
      <c r="L88" s="70">
        <v>6.2285443145565483E-3</v>
      </c>
      <c r="M88" s="70">
        <v>1.2396701470962715E-2</v>
      </c>
      <c r="N88" s="70">
        <v>1.539199761319811E-2</v>
      </c>
      <c r="O88" s="62">
        <v>1.7723459475549642E-2</v>
      </c>
      <c r="P88" s="54" t="s">
        <v>21</v>
      </c>
      <c r="Q88" s="52" t="s">
        <v>21</v>
      </c>
      <c r="R88" s="93" t="s">
        <v>21</v>
      </c>
      <c r="S88" s="70" t="s">
        <v>21</v>
      </c>
      <c r="T88" s="62" t="s">
        <v>21</v>
      </c>
      <c r="V88" s="117">
        <v>1.11406158</v>
      </c>
      <c r="W88" s="60">
        <v>2.8618625</v>
      </c>
      <c r="X88" s="60">
        <v>4.3926897800000004</v>
      </c>
      <c r="Y88" s="60">
        <v>5.69240178</v>
      </c>
      <c r="Z88" s="118">
        <v>7.2854559099999996</v>
      </c>
    </row>
    <row r="89" spans="2:26" x14ac:dyDescent="0.35">
      <c r="B89" s="56" t="s">
        <v>78</v>
      </c>
      <c r="C89" s="66" t="s">
        <v>66</v>
      </c>
      <c r="D89" s="66" t="s">
        <v>69</v>
      </c>
      <c r="E89" s="66" t="s">
        <v>133</v>
      </c>
      <c r="F89" s="73">
        <v>3.8869025669642662E-2</v>
      </c>
      <c r="G89" s="75">
        <v>4.6489915393314311E-2</v>
      </c>
      <c r="H89" s="75">
        <v>5.5548464446025299E-2</v>
      </c>
      <c r="I89" s="75">
        <v>6.0850013082375552E-2</v>
      </c>
      <c r="J89" s="63">
        <v>6.4993690496496018E-2</v>
      </c>
      <c r="K89" s="73">
        <v>1.1733872696426638E-3</v>
      </c>
      <c r="L89" s="75">
        <v>9.6243961933143076E-3</v>
      </c>
      <c r="M89" s="75">
        <v>1.7973922946025307E-2</v>
      </c>
      <c r="N89" s="75">
        <v>2.2196125982375546E-2</v>
      </c>
      <c r="O89" s="63">
        <v>2.4995873396496015E-2</v>
      </c>
      <c r="P89" s="56" t="s">
        <v>21</v>
      </c>
      <c r="Q89" s="66" t="s">
        <v>21</v>
      </c>
      <c r="R89" s="95" t="s">
        <v>21</v>
      </c>
      <c r="S89" s="75" t="s">
        <v>21</v>
      </c>
      <c r="T89" s="63" t="s">
        <v>21</v>
      </c>
      <c r="V89" s="115">
        <v>1.11341537</v>
      </c>
      <c r="W89" s="107">
        <v>2.8506452200000001</v>
      </c>
      <c r="X89" s="107">
        <v>4.3506497499999996</v>
      </c>
      <c r="Y89" s="107">
        <v>5.60011072</v>
      </c>
      <c r="Z89" s="116">
        <v>7.1034137999999993</v>
      </c>
    </row>
    <row r="90" spans="2:26" x14ac:dyDescent="0.35">
      <c r="B90" s="54" t="s">
        <v>80</v>
      </c>
      <c r="C90" s="52" t="s">
        <v>61</v>
      </c>
      <c r="D90" s="52" t="s">
        <v>69</v>
      </c>
      <c r="E90" s="52" t="s">
        <v>21</v>
      </c>
      <c r="F90" s="72">
        <v>3.7281821033939316E-2</v>
      </c>
      <c r="G90" s="70">
        <v>4.1780589418914917E-2</v>
      </c>
      <c r="H90" s="70">
        <v>4.7769695392786991E-2</v>
      </c>
      <c r="I90" s="70">
        <v>5.1085898884454667E-2</v>
      </c>
      <c r="J90" s="62">
        <v>5.4213128262727714E-2</v>
      </c>
      <c r="K90" s="72" t="s">
        <v>21</v>
      </c>
      <c r="L90" s="70">
        <v>5.0860102189149142E-3</v>
      </c>
      <c r="M90" s="70">
        <v>1.0510474492786994E-2</v>
      </c>
      <c r="N90" s="70">
        <v>1.2856099484454667E-2</v>
      </c>
      <c r="O90" s="62">
        <v>1.4667201662727714E-2</v>
      </c>
      <c r="P90" s="54" t="s">
        <v>21</v>
      </c>
      <c r="Q90" s="52" t="s">
        <v>21</v>
      </c>
      <c r="R90" s="93" t="s">
        <v>21</v>
      </c>
      <c r="S90" s="70" t="s">
        <v>21</v>
      </c>
      <c r="T90" s="62" t="s">
        <v>21</v>
      </c>
      <c r="V90" s="117">
        <v>1.1147189099999999</v>
      </c>
      <c r="W90" s="60">
        <v>2.8704119299999999</v>
      </c>
      <c r="X90" s="60">
        <v>4.42307351</v>
      </c>
      <c r="Y90" s="60">
        <v>5.7616172499999996</v>
      </c>
      <c r="Z90" s="118">
        <v>7.4349894000000001</v>
      </c>
    </row>
    <row r="91" spans="2:26" x14ac:dyDescent="0.35">
      <c r="B91" s="54" t="s">
        <v>80</v>
      </c>
      <c r="C91" s="52" t="s">
        <v>63</v>
      </c>
      <c r="D91" s="52" t="s">
        <v>69</v>
      </c>
      <c r="E91" s="52" t="s">
        <v>36</v>
      </c>
      <c r="F91" s="72">
        <v>3.9131876482808962E-2</v>
      </c>
      <c r="G91" s="70">
        <v>4.4464464443309808E-2</v>
      </c>
      <c r="H91" s="70">
        <v>5.0550491458374765E-2</v>
      </c>
      <c r="I91" s="70">
        <v>5.4535936319303147E-2</v>
      </c>
      <c r="J91" s="62">
        <v>5.7890244516044083E-2</v>
      </c>
      <c r="K91" s="72">
        <v>1.4366260828089679E-3</v>
      </c>
      <c r="L91" s="70">
        <v>7.6871742433098026E-3</v>
      </c>
      <c r="M91" s="70">
        <v>1.3212624858374768E-2</v>
      </c>
      <c r="N91" s="70">
        <v>1.6201179519303145E-2</v>
      </c>
      <c r="O91" s="62">
        <v>1.8244086716044088E-2</v>
      </c>
      <c r="P91" s="54" t="s">
        <v>21</v>
      </c>
      <c r="Q91" s="52" t="s">
        <v>21</v>
      </c>
      <c r="R91" s="93" t="s">
        <v>21</v>
      </c>
      <c r="S91" s="70" t="s">
        <v>21</v>
      </c>
      <c r="T91" s="62" t="s">
        <v>21</v>
      </c>
      <c r="V91" s="115">
        <v>1.11299254</v>
      </c>
      <c r="W91" s="107">
        <v>2.85925948</v>
      </c>
      <c r="X91" s="107">
        <v>4.4008701400000003</v>
      </c>
      <c r="Y91" s="107">
        <v>5.7217804699999997</v>
      </c>
      <c r="Z91" s="116">
        <v>7.3634521399999997</v>
      </c>
    </row>
    <row r="92" spans="2:26" x14ac:dyDescent="0.35">
      <c r="B92" s="55" t="s">
        <v>82</v>
      </c>
      <c r="C92" s="65" t="s">
        <v>65</v>
      </c>
      <c r="D92" s="65" t="s">
        <v>69</v>
      </c>
      <c r="E92" s="65" t="s">
        <v>34</v>
      </c>
      <c r="F92" s="74">
        <v>3.7995436867128002E-2</v>
      </c>
      <c r="G92" s="79">
        <v>4.3498746683482782E-2</v>
      </c>
      <c r="H92" s="79">
        <v>5.0590886928718347E-2</v>
      </c>
      <c r="I92" s="79">
        <v>5.4670970026135607E-2</v>
      </c>
      <c r="J92" s="61">
        <v>5.8301684686745459E-2</v>
      </c>
      <c r="K92" s="74">
        <v>3.2359606712799478E-4</v>
      </c>
      <c r="L92" s="79">
        <v>6.7230783834827824E-3</v>
      </c>
      <c r="M92" s="79">
        <v>1.3189337228718338E-2</v>
      </c>
      <c r="N92" s="79">
        <v>1.6259952126135603E-2</v>
      </c>
      <c r="O92" s="61">
        <v>1.8568278586745458E-2</v>
      </c>
      <c r="P92" s="55" t="s">
        <v>21</v>
      </c>
      <c r="Q92" s="65" t="s">
        <v>21</v>
      </c>
      <c r="R92" s="99" t="s">
        <v>21</v>
      </c>
      <c r="S92" s="79" t="s">
        <v>21</v>
      </c>
      <c r="T92" s="61" t="s">
        <v>21</v>
      </c>
      <c r="V92" s="113">
        <v>1.11340898</v>
      </c>
      <c r="W92" s="71">
        <v>2.85752731</v>
      </c>
      <c r="X92" s="71">
        <v>4.3792704799999997</v>
      </c>
      <c r="Y92" s="71">
        <v>5.66570821</v>
      </c>
      <c r="Z92" s="114">
        <v>7.2370199</v>
      </c>
    </row>
    <row r="93" spans="2:26" x14ac:dyDescent="0.35">
      <c r="B93" s="56" t="s">
        <v>82</v>
      </c>
      <c r="C93" s="66" t="s">
        <v>66</v>
      </c>
      <c r="D93" s="66" t="s">
        <v>69</v>
      </c>
      <c r="E93" s="66" t="s">
        <v>21</v>
      </c>
      <c r="F93" s="73">
        <v>3.8956487003989418E-2</v>
      </c>
      <c r="G93" s="75">
        <v>4.6862975875693401E-2</v>
      </c>
      <c r="H93" s="75">
        <v>5.5940148829433621E-2</v>
      </c>
      <c r="I93" s="75">
        <v>6.1331054118340327E-2</v>
      </c>
      <c r="J93" s="63">
        <v>6.547733348928314E-2</v>
      </c>
      <c r="K93" s="73">
        <v>1.2637724039894216E-3</v>
      </c>
      <c r="L93" s="75">
        <v>9.9841660756933969E-3</v>
      </c>
      <c r="M93" s="75">
        <v>1.8347577529433619E-2</v>
      </c>
      <c r="N93" s="75">
        <v>2.2651896818340324E-2</v>
      </c>
      <c r="O93" s="63">
        <v>2.5454711189283146E-2</v>
      </c>
      <c r="P93" s="56" t="s">
        <v>21</v>
      </c>
      <c r="Q93" s="66" t="s">
        <v>21</v>
      </c>
      <c r="R93" s="95" t="s">
        <v>21</v>
      </c>
      <c r="S93" s="75" t="s">
        <v>21</v>
      </c>
      <c r="T93" s="63" t="s">
        <v>21</v>
      </c>
      <c r="V93" s="113">
        <v>1.11325958</v>
      </c>
      <c r="W93" s="71">
        <v>2.8486194999999999</v>
      </c>
      <c r="X93" s="71">
        <v>4.34507551</v>
      </c>
      <c r="Y93" s="71">
        <v>5.5893499200000001</v>
      </c>
      <c r="Z93" s="114">
        <v>7.0836901699999997</v>
      </c>
    </row>
    <row r="94" spans="2:26" x14ac:dyDescent="0.35">
      <c r="B94" s="78" t="s">
        <v>458</v>
      </c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6"/>
      <c r="P94" s="78"/>
      <c r="Q94" s="77"/>
      <c r="R94" s="94"/>
      <c r="S94" s="77"/>
      <c r="T94" s="76"/>
      <c r="V94" s="111"/>
      <c r="W94" s="106"/>
      <c r="X94" s="106"/>
      <c r="Y94" s="106"/>
      <c r="Z94" s="112"/>
    </row>
    <row r="95" spans="2:26" x14ac:dyDescent="0.35">
      <c r="B95" s="54" t="s">
        <v>84</v>
      </c>
      <c r="C95" s="52" t="s">
        <v>85</v>
      </c>
      <c r="D95" s="52" t="s">
        <v>20</v>
      </c>
      <c r="E95" s="52" t="s">
        <v>459</v>
      </c>
      <c r="F95" s="72">
        <v>3.9826974983618181E-2</v>
      </c>
      <c r="G95" s="70">
        <v>4.4387759692691729E-2</v>
      </c>
      <c r="H95" s="70">
        <v>5.0085227687929661E-2</v>
      </c>
      <c r="I95" s="70">
        <v>5.3588605939514367E-2</v>
      </c>
      <c r="J95" s="62">
        <v>5.6608860634760456E-2</v>
      </c>
      <c r="K95" s="72">
        <v>2.0951640836181819E-3</v>
      </c>
      <c r="L95" s="70">
        <v>7.5917965926917373E-3</v>
      </c>
      <c r="M95" s="70">
        <v>1.2732921187929654E-2</v>
      </c>
      <c r="N95" s="70">
        <v>1.5256263439514368E-2</v>
      </c>
      <c r="O95" s="62">
        <v>1.6977366234760451E-2</v>
      </c>
      <c r="P95" s="54" t="s">
        <v>21</v>
      </c>
      <c r="Q95" s="52" t="s">
        <v>21</v>
      </c>
      <c r="R95" s="93" t="s">
        <v>21</v>
      </c>
      <c r="S95" s="70" t="s">
        <v>21</v>
      </c>
      <c r="T95" s="62" t="s">
        <v>21</v>
      </c>
      <c r="V95" s="113">
        <v>1.11098502</v>
      </c>
      <c r="W95" s="71">
        <v>2.85085385</v>
      </c>
      <c r="X95" s="71">
        <v>4.3828567300000003</v>
      </c>
      <c r="Y95" s="71">
        <v>5.6925986100000001</v>
      </c>
      <c r="Z95" s="114">
        <v>7.31912612</v>
      </c>
    </row>
    <row r="96" spans="2:26" x14ac:dyDescent="0.35">
      <c r="B96" s="54" t="s">
        <v>86</v>
      </c>
      <c r="C96" s="52" t="s">
        <v>85</v>
      </c>
      <c r="D96" s="52" t="s">
        <v>20</v>
      </c>
      <c r="E96" s="52" t="s">
        <v>459</v>
      </c>
      <c r="F96" s="72">
        <v>3.987790091961111E-2</v>
      </c>
      <c r="G96" s="70">
        <v>4.4547328396531478E-2</v>
      </c>
      <c r="H96" s="70">
        <v>5.0194629054543916E-2</v>
      </c>
      <c r="I96" s="70">
        <v>5.370655104593948E-2</v>
      </c>
      <c r="J96" s="62">
        <v>5.6811778456935476E-2</v>
      </c>
      <c r="K96" s="72">
        <v>2.1446587196111179E-3</v>
      </c>
      <c r="L96" s="70">
        <v>7.744230296531476E-3</v>
      </c>
      <c r="M96" s="70">
        <v>1.283710845454392E-2</v>
      </c>
      <c r="N96" s="70">
        <v>1.5368836245939474E-2</v>
      </c>
      <c r="O96" s="62">
        <v>1.7171157256935486E-2</v>
      </c>
      <c r="P96" s="54" t="s">
        <v>21</v>
      </c>
      <c r="Q96" s="52" t="s">
        <v>21</v>
      </c>
      <c r="R96" s="93" t="s">
        <v>21</v>
      </c>
      <c r="S96" s="70" t="s">
        <v>21</v>
      </c>
      <c r="T96" s="62" t="s">
        <v>21</v>
      </c>
      <c r="V96" s="113">
        <v>1.1108616199999999</v>
      </c>
      <c r="W96" s="71">
        <v>2.8504346699999998</v>
      </c>
      <c r="X96" s="71">
        <v>4.3811690099999998</v>
      </c>
      <c r="Y96" s="71">
        <v>5.6884847199999999</v>
      </c>
      <c r="Z96" s="114">
        <v>7.3104505</v>
      </c>
    </row>
    <row r="97" spans="2:26" x14ac:dyDescent="0.35">
      <c r="B97" s="54" t="s">
        <v>87</v>
      </c>
      <c r="C97" s="52" t="s">
        <v>85</v>
      </c>
      <c r="D97" s="52" t="s">
        <v>20</v>
      </c>
      <c r="E97" s="52" t="s">
        <v>88</v>
      </c>
      <c r="F97" s="72">
        <v>3.9757601433617867E-2</v>
      </c>
      <c r="G97" s="70">
        <v>4.4398777185993887E-2</v>
      </c>
      <c r="H97" s="70">
        <v>5.0346062545052701E-2</v>
      </c>
      <c r="I97" s="70">
        <v>5.3589319098677327E-2</v>
      </c>
      <c r="J97" s="62">
        <v>5.6655977448489957E-2</v>
      </c>
      <c r="K97" s="72">
        <v>2.0306127336178681E-3</v>
      </c>
      <c r="L97" s="70">
        <v>7.6030189859938938E-3</v>
      </c>
      <c r="M97" s="70">
        <v>1.2981066145052705E-2</v>
      </c>
      <c r="N97" s="70">
        <v>1.5257021598677326E-2</v>
      </c>
      <c r="O97" s="62">
        <v>1.702167284848996E-2</v>
      </c>
      <c r="P97" s="54" t="s">
        <v>21</v>
      </c>
      <c r="Q97" s="52" t="s">
        <v>21</v>
      </c>
      <c r="R97" s="93" t="s">
        <v>21</v>
      </c>
      <c r="S97" s="70" t="s">
        <v>21</v>
      </c>
      <c r="T97" s="62" t="s">
        <v>21</v>
      </c>
      <c r="V97" s="113">
        <v>1.1110944</v>
      </c>
      <c r="W97" s="71">
        <v>2.8507827699999999</v>
      </c>
      <c r="X97" s="71">
        <v>4.3806891700000001</v>
      </c>
      <c r="Y97" s="71">
        <v>5.6921176300000003</v>
      </c>
      <c r="Z97" s="114">
        <v>7.3185160400000004</v>
      </c>
    </row>
    <row r="98" spans="2:26" x14ac:dyDescent="0.35">
      <c r="B98" s="54" t="s">
        <v>89</v>
      </c>
      <c r="C98" s="52" t="s">
        <v>85</v>
      </c>
      <c r="D98" s="52" t="s">
        <v>20</v>
      </c>
      <c r="E98" s="52" t="s">
        <v>312</v>
      </c>
      <c r="F98" s="72">
        <v>3.847467622716387E-2</v>
      </c>
      <c r="G98" s="70">
        <v>4.288838167650396E-2</v>
      </c>
      <c r="H98" s="70">
        <v>4.8167019171572449E-2</v>
      </c>
      <c r="I98" s="70">
        <v>5.1559675927516681E-2</v>
      </c>
      <c r="J98" s="62">
        <v>5.4531223638756093E-2</v>
      </c>
      <c r="K98" s="72">
        <v>8.0220622716387861E-4</v>
      </c>
      <c r="L98" s="70">
        <v>6.1636232765039656E-3</v>
      </c>
      <c r="M98" s="70">
        <v>1.0909969771572443E-2</v>
      </c>
      <c r="N98" s="70">
        <v>1.3327737327516678E-2</v>
      </c>
      <c r="O98" s="62">
        <v>1.49892696387561E-2</v>
      </c>
      <c r="P98" s="54" t="s">
        <v>21</v>
      </c>
      <c r="Q98" s="52" t="s">
        <v>21</v>
      </c>
      <c r="R98" s="93" t="s">
        <v>21</v>
      </c>
      <c r="S98" s="70" t="s">
        <v>21</v>
      </c>
      <c r="T98" s="62" t="s">
        <v>21</v>
      </c>
      <c r="V98" s="113">
        <v>1.1134528399999999</v>
      </c>
      <c r="W98" s="71">
        <v>2.8642423699999999</v>
      </c>
      <c r="X98" s="71">
        <v>4.4176245099999996</v>
      </c>
      <c r="Y98" s="71">
        <v>5.7572947399999999</v>
      </c>
      <c r="Z98" s="114">
        <v>7.4361831899999995</v>
      </c>
    </row>
    <row r="99" spans="2:26" x14ac:dyDescent="0.35">
      <c r="B99" s="54" t="s">
        <v>90</v>
      </c>
      <c r="C99" s="52" t="s">
        <v>85</v>
      </c>
      <c r="D99" s="52" t="s">
        <v>20</v>
      </c>
      <c r="E99" s="52" t="s">
        <v>75</v>
      </c>
      <c r="F99" s="72">
        <v>3.9793081162651851E-2</v>
      </c>
      <c r="G99" s="70">
        <v>4.4703664693859932E-2</v>
      </c>
      <c r="H99" s="70">
        <v>5.0551136231899704E-2</v>
      </c>
      <c r="I99" s="70">
        <v>5.4152247207952878E-2</v>
      </c>
      <c r="J99" s="62">
        <v>5.7089905898904898E-2</v>
      </c>
      <c r="K99" s="72">
        <v>2.0576968626518496E-3</v>
      </c>
      <c r="L99" s="70">
        <v>7.8903688938599271E-3</v>
      </c>
      <c r="M99" s="70">
        <v>1.3173670831899707E-2</v>
      </c>
      <c r="N99" s="70">
        <v>1.5790059807952866E-2</v>
      </c>
      <c r="O99" s="62">
        <v>1.74367368989049E-2</v>
      </c>
      <c r="P99" s="54" t="s">
        <v>21</v>
      </c>
      <c r="Q99" s="52" t="s">
        <v>21</v>
      </c>
      <c r="R99" s="93" t="s">
        <v>21</v>
      </c>
      <c r="S99" s="70" t="s">
        <v>21</v>
      </c>
      <c r="T99" s="62" t="s">
        <v>21</v>
      </c>
      <c r="V99" s="113">
        <v>1.1110338200000001</v>
      </c>
      <c r="W99" s="71">
        <v>2.8494031400000002</v>
      </c>
      <c r="X99" s="71">
        <v>4.37600269</v>
      </c>
      <c r="Y99" s="71">
        <v>5.6775500299999999</v>
      </c>
      <c r="Z99" s="114">
        <v>7.2918755800000001</v>
      </c>
    </row>
    <row r="100" spans="2:26" x14ac:dyDescent="0.35">
      <c r="B100" s="54" t="s">
        <v>91</v>
      </c>
      <c r="C100" s="52" t="s">
        <v>85</v>
      </c>
      <c r="D100" s="52" t="s">
        <v>20</v>
      </c>
      <c r="E100" s="52" t="s">
        <v>92</v>
      </c>
      <c r="F100" s="72">
        <v>3.9143323741947775E-2</v>
      </c>
      <c r="G100" s="70">
        <v>4.3660464196729261E-2</v>
      </c>
      <c r="H100" s="70">
        <v>4.9535861847258E-2</v>
      </c>
      <c r="I100" s="70">
        <v>5.2923704206234025E-2</v>
      </c>
      <c r="J100" s="62">
        <v>5.5955068347414677E-2</v>
      </c>
      <c r="K100" s="72">
        <v>1.4381517419477787E-3</v>
      </c>
      <c r="L100" s="70">
        <v>6.8980255967292575E-3</v>
      </c>
      <c r="M100" s="70">
        <v>1.2210900247258006E-2</v>
      </c>
      <c r="N100" s="70">
        <v>1.4625733406234019E-2</v>
      </c>
      <c r="O100" s="62">
        <v>1.6353680547414678E-2</v>
      </c>
      <c r="P100" s="54" t="s">
        <v>21</v>
      </c>
      <c r="Q100" s="52" t="s">
        <v>21</v>
      </c>
      <c r="R100" s="93" t="s">
        <v>21</v>
      </c>
      <c r="S100" s="70" t="s">
        <v>21</v>
      </c>
      <c r="T100" s="62" t="s">
        <v>21</v>
      </c>
      <c r="V100" s="113">
        <v>1.1122378500000001</v>
      </c>
      <c r="W100" s="71">
        <v>2.8577401600000001</v>
      </c>
      <c r="X100" s="71">
        <v>4.3961907600000005</v>
      </c>
      <c r="Y100" s="71">
        <v>5.7141752700000001</v>
      </c>
      <c r="Z100" s="114">
        <v>7.3560617100000005</v>
      </c>
    </row>
    <row r="101" spans="2:26" x14ac:dyDescent="0.35">
      <c r="B101" s="54" t="s">
        <v>307</v>
      </c>
      <c r="C101" s="52" t="s">
        <v>85</v>
      </c>
      <c r="D101" s="52" t="s">
        <v>20</v>
      </c>
      <c r="E101" s="52" t="s">
        <v>313</v>
      </c>
      <c r="F101" s="72">
        <v>3.7487913111745957E-2</v>
      </c>
      <c r="G101" s="70">
        <v>4.2368506578598725E-2</v>
      </c>
      <c r="H101" s="70">
        <v>4.8114739090673972E-2</v>
      </c>
      <c r="I101" s="70">
        <v>5.1501159901095481E-2</v>
      </c>
      <c r="J101" s="62">
        <v>5.4523241214525946E-2</v>
      </c>
      <c r="K101" s="72" t="s">
        <v>21</v>
      </c>
      <c r="L101" s="70">
        <v>5.6657926785987347E-3</v>
      </c>
      <c r="M101" s="70">
        <v>1.0859795290673966E-2</v>
      </c>
      <c r="N101" s="70">
        <v>1.3273260601095484E-2</v>
      </c>
      <c r="O101" s="62">
        <v>1.4985707514525942E-2</v>
      </c>
      <c r="P101" s="54" t="s">
        <v>21</v>
      </c>
      <c r="Q101" s="52" t="s">
        <v>21</v>
      </c>
      <c r="R101" s="93" t="s">
        <v>21</v>
      </c>
      <c r="S101" s="70" t="s">
        <v>21</v>
      </c>
      <c r="T101" s="62" t="s">
        <v>21</v>
      </c>
      <c r="V101" s="113">
        <v>1.1153369200000001</v>
      </c>
      <c r="W101" s="71">
        <v>2.8711252100000002</v>
      </c>
      <c r="X101" s="71">
        <v>4.4258334000000001</v>
      </c>
      <c r="Y101" s="71">
        <v>5.7651018399999998</v>
      </c>
      <c r="Z101" s="114">
        <v>7.4400778700000005</v>
      </c>
    </row>
    <row r="102" spans="2:26" x14ac:dyDescent="0.35">
      <c r="B102" s="54" t="s">
        <v>308</v>
      </c>
      <c r="C102" s="52" t="s">
        <v>85</v>
      </c>
      <c r="D102" s="52" t="s">
        <v>20</v>
      </c>
      <c r="E102" s="52" t="s">
        <v>73</v>
      </c>
      <c r="F102" s="72">
        <v>3.9514164575155997E-2</v>
      </c>
      <c r="G102" s="70">
        <v>4.5452510911964741E-2</v>
      </c>
      <c r="H102" s="70">
        <v>5.2945120201127044E-2</v>
      </c>
      <c r="I102" s="70">
        <v>5.6941769470659341E-2</v>
      </c>
      <c r="J102" s="62">
        <v>6.0860562522557553E-2</v>
      </c>
      <c r="K102" s="72">
        <v>1.7912582751559982E-3</v>
      </c>
      <c r="L102" s="70">
        <v>8.602697611964737E-3</v>
      </c>
      <c r="M102" s="70">
        <v>1.5441082201127046E-2</v>
      </c>
      <c r="N102" s="70">
        <v>1.843254727065935E-2</v>
      </c>
      <c r="O102" s="62">
        <v>2.1012048822557552E-2</v>
      </c>
      <c r="P102" s="54" t="s">
        <v>21</v>
      </c>
      <c r="Q102" s="52" t="s">
        <v>21</v>
      </c>
      <c r="R102" s="93" t="s">
        <v>21</v>
      </c>
      <c r="S102" s="70" t="s">
        <v>21</v>
      </c>
      <c r="T102" s="62" t="s">
        <v>21</v>
      </c>
      <c r="V102" s="113">
        <v>1.1115512599999999</v>
      </c>
      <c r="W102" s="71">
        <v>2.8457839100000002</v>
      </c>
      <c r="X102" s="71">
        <v>4.3475889800000003</v>
      </c>
      <c r="Y102" s="71">
        <v>5.6068580799999994</v>
      </c>
      <c r="Z102" s="114">
        <v>7.1249633699999997</v>
      </c>
    </row>
    <row r="103" spans="2:26" x14ac:dyDescent="0.35">
      <c r="B103" s="54" t="s">
        <v>309</v>
      </c>
      <c r="C103" s="52" t="s">
        <v>85</v>
      </c>
      <c r="D103" s="52" t="s">
        <v>20</v>
      </c>
      <c r="E103" s="52" t="s">
        <v>48</v>
      </c>
      <c r="F103" s="72">
        <v>4.1544479970841194E-2</v>
      </c>
      <c r="G103" s="70">
        <v>5.1186558649324906E-2</v>
      </c>
      <c r="H103" s="70">
        <v>6.1219661100226898E-2</v>
      </c>
      <c r="I103" s="70">
        <v>6.7712486208786088E-2</v>
      </c>
      <c r="J103" s="62">
        <v>7.1976818286057287E-2</v>
      </c>
      <c r="K103" s="72">
        <v>3.7069827708411905E-3</v>
      </c>
      <c r="L103" s="70">
        <v>1.4020408349324913E-2</v>
      </c>
      <c r="M103" s="70">
        <v>2.3183401300226884E-2</v>
      </c>
      <c r="N103" s="70">
        <v>2.8479470408786092E-2</v>
      </c>
      <c r="O103" s="62">
        <v>3.1410703186057293E-2</v>
      </c>
      <c r="P103" s="54" t="s">
        <v>21</v>
      </c>
      <c r="Q103" s="52" t="s">
        <v>21</v>
      </c>
      <c r="R103" s="93" t="s">
        <v>21</v>
      </c>
      <c r="S103" s="70" t="s">
        <v>21</v>
      </c>
      <c r="T103" s="62" t="s">
        <v>21</v>
      </c>
      <c r="V103" s="113">
        <v>1.1070181800000001</v>
      </c>
      <c r="W103" s="71">
        <v>2.8019976899999999</v>
      </c>
      <c r="X103" s="71">
        <v>4.2154819000000003</v>
      </c>
      <c r="Y103" s="71">
        <v>5.3311503199999999</v>
      </c>
      <c r="Z103" s="114">
        <v>6.6162750199999998</v>
      </c>
    </row>
    <row r="104" spans="2:26" x14ac:dyDescent="0.35">
      <c r="B104" s="54" t="s">
        <v>310</v>
      </c>
      <c r="C104" s="52" t="s">
        <v>85</v>
      </c>
      <c r="D104" s="52" t="s">
        <v>20</v>
      </c>
      <c r="E104" s="52" t="s">
        <v>159</v>
      </c>
      <c r="F104" s="72">
        <v>3.7589070754179346E-2</v>
      </c>
      <c r="G104" s="70">
        <v>4.2740328644720695E-2</v>
      </c>
      <c r="H104" s="70">
        <v>4.8613572465253607E-2</v>
      </c>
      <c r="I104" s="70">
        <v>5.3059661898788898E-2</v>
      </c>
      <c r="J104" s="62">
        <v>5.574753850414732E-2</v>
      </c>
      <c r="K104" s="72" t="s">
        <v>21</v>
      </c>
      <c r="L104" s="70">
        <v>6.0224803447206949E-3</v>
      </c>
      <c r="M104" s="70">
        <v>1.1336008865253605E-2</v>
      </c>
      <c r="N104" s="70">
        <v>1.4756724098788896E-2</v>
      </c>
      <c r="O104" s="62">
        <v>1.6163774904147318E-2</v>
      </c>
      <c r="P104" s="54" t="s">
        <v>314</v>
      </c>
      <c r="Q104" s="52" t="s">
        <v>315</v>
      </c>
      <c r="R104" s="93">
        <v>47788</v>
      </c>
      <c r="S104" s="70">
        <v>4.5759960000000002E-2</v>
      </c>
      <c r="T104" s="62">
        <v>2.8536124652536049E-3</v>
      </c>
      <c r="V104" s="113">
        <v>1.11512352</v>
      </c>
      <c r="W104" s="71">
        <v>2.8682015000000001</v>
      </c>
      <c r="X104" s="71">
        <v>4.4164314999999998</v>
      </c>
      <c r="Y104" s="71">
        <v>5.7332814900000004</v>
      </c>
      <c r="Z104" s="114">
        <v>7.3749420400000005</v>
      </c>
    </row>
    <row r="105" spans="2:26" x14ac:dyDescent="0.35">
      <c r="B105" s="56" t="s">
        <v>311</v>
      </c>
      <c r="C105" s="52" t="s">
        <v>85</v>
      </c>
      <c r="D105" s="66" t="s">
        <v>20</v>
      </c>
      <c r="E105" s="66" t="s">
        <v>274</v>
      </c>
      <c r="F105" s="73">
        <v>3.8589741197705293E-2</v>
      </c>
      <c r="G105" s="75">
        <v>4.4346602112983934E-2</v>
      </c>
      <c r="H105" s="75">
        <v>5.1893585167029382E-2</v>
      </c>
      <c r="I105" s="75">
        <v>5.6793840121127578E-2</v>
      </c>
      <c r="J105" s="63">
        <v>6.0815236817838722E-2</v>
      </c>
      <c r="K105" s="73">
        <v>9.129204977052904E-4</v>
      </c>
      <c r="L105" s="75">
        <v>7.553898012983928E-3</v>
      </c>
      <c r="M105" s="75">
        <v>1.4449511567029377E-2</v>
      </c>
      <c r="N105" s="75">
        <v>1.8295128121127595E-2</v>
      </c>
      <c r="O105" s="63">
        <v>2.0973903417838727E-2</v>
      </c>
      <c r="P105" s="56" t="s">
        <v>21</v>
      </c>
      <c r="Q105" s="66" t="s">
        <v>21</v>
      </c>
      <c r="R105" s="95" t="s">
        <v>21</v>
      </c>
      <c r="S105" s="75" t="s">
        <v>21</v>
      </c>
      <c r="T105" s="63" t="s">
        <v>21</v>
      </c>
      <c r="V105" s="115">
        <v>1.1132405999999999</v>
      </c>
      <c r="W105" s="107">
        <v>2.8551066299999999</v>
      </c>
      <c r="X105" s="107">
        <v>4.3684389399999999</v>
      </c>
      <c r="Y105" s="107">
        <v>5.6305005100000001</v>
      </c>
      <c r="Z105" s="116">
        <v>7.1492569899999996</v>
      </c>
    </row>
    <row r="106" spans="2:26" x14ac:dyDescent="0.35">
      <c r="B106" s="52" t="s">
        <v>21</v>
      </c>
      <c r="C106" s="52" t="s">
        <v>21</v>
      </c>
      <c r="E106" s="52" t="s">
        <v>21</v>
      </c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R106" s="93"/>
      <c r="V106" s="71"/>
      <c r="W106" s="71"/>
      <c r="X106" s="71"/>
      <c r="Y106" s="71"/>
      <c r="Z106" s="71"/>
    </row>
    <row r="107" spans="2:26" ht="15.5" x14ac:dyDescent="0.35">
      <c r="B107" s="121" t="s">
        <v>93</v>
      </c>
      <c r="C107" s="52" t="s">
        <v>21</v>
      </c>
      <c r="E107" s="52" t="s">
        <v>21</v>
      </c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R107" s="93"/>
      <c r="V107" s="71"/>
      <c r="W107" s="71"/>
      <c r="X107" s="71"/>
      <c r="Y107" s="71"/>
      <c r="Z107" s="71"/>
    </row>
    <row r="108" spans="2:26" x14ac:dyDescent="0.35">
      <c r="B108" s="84" t="s">
        <v>5</v>
      </c>
      <c r="C108" s="83" t="s">
        <v>6</v>
      </c>
      <c r="D108" s="83" t="s">
        <v>7</v>
      </c>
      <c r="E108" s="83" t="s">
        <v>8</v>
      </c>
      <c r="F108" s="82" t="s">
        <v>9</v>
      </c>
      <c r="G108" s="81" t="s">
        <v>10</v>
      </c>
      <c r="H108" s="81" t="s">
        <v>11</v>
      </c>
      <c r="I108" s="81" t="s">
        <v>12</v>
      </c>
      <c r="J108" s="80" t="s">
        <v>13</v>
      </c>
      <c r="K108" s="82" t="s">
        <v>9</v>
      </c>
      <c r="L108" s="81" t="s">
        <v>10</v>
      </c>
      <c r="M108" s="81" t="s">
        <v>11</v>
      </c>
      <c r="N108" s="81" t="s">
        <v>12</v>
      </c>
      <c r="O108" s="80" t="s">
        <v>13</v>
      </c>
      <c r="P108" s="69" t="s">
        <v>14</v>
      </c>
      <c r="Q108" s="57" t="s">
        <v>15</v>
      </c>
      <c r="R108" s="57" t="s">
        <v>16</v>
      </c>
      <c r="S108" s="57" t="s">
        <v>216</v>
      </c>
      <c r="T108" s="57" t="s">
        <v>18</v>
      </c>
      <c r="V108" s="109" t="s">
        <v>9</v>
      </c>
      <c r="W108" s="105" t="s">
        <v>10</v>
      </c>
      <c r="X108" s="105" t="s">
        <v>11</v>
      </c>
      <c r="Y108" s="105" t="s">
        <v>12</v>
      </c>
      <c r="Z108" s="110" t="s">
        <v>13</v>
      </c>
    </row>
    <row r="109" spans="2:26" x14ac:dyDescent="0.35">
      <c r="B109" s="78" t="s">
        <v>94</v>
      </c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6"/>
      <c r="P109" s="78"/>
      <c r="Q109" s="77"/>
      <c r="R109" s="94"/>
      <c r="S109" s="77"/>
      <c r="T109" s="76"/>
      <c r="V109" s="111"/>
      <c r="W109" s="106"/>
      <c r="X109" s="106"/>
      <c r="Y109" s="106"/>
      <c r="Z109" s="112"/>
    </row>
    <row r="110" spans="2:26" x14ac:dyDescent="0.35">
      <c r="B110" s="55" t="s">
        <v>95</v>
      </c>
      <c r="C110" s="65" t="s">
        <v>85</v>
      </c>
      <c r="D110" s="65" t="s">
        <v>43</v>
      </c>
      <c r="E110" s="65" t="s">
        <v>230</v>
      </c>
      <c r="F110" s="74">
        <v>3.6932088662675222E-2</v>
      </c>
      <c r="G110" s="79">
        <v>4.1941425793768888E-2</v>
      </c>
      <c r="H110" s="79">
        <v>4.8031683762712309E-2</v>
      </c>
      <c r="I110" s="79">
        <v>5.1391072649983105E-2</v>
      </c>
      <c r="J110" s="61">
        <v>5.4293006206767226E-2</v>
      </c>
      <c r="K110" s="74" t="s">
        <v>21</v>
      </c>
      <c r="L110" s="79">
        <v>5.2384036937688869E-3</v>
      </c>
      <c r="M110" s="79">
        <v>1.0759170362712308E-2</v>
      </c>
      <c r="N110" s="79">
        <v>1.31464530499831E-2</v>
      </c>
      <c r="O110" s="61">
        <v>1.4744875106767232E-2</v>
      </c>
      <c r="P110" s="55" t="s">
        <v>21</v>
      </c>
      <c r="Q110" s="65" t="s">
        <v>21</v>
      </c>
      <c r="R110" s="99" t="s">
        <v>21</v>
      </c>
      <c r="S110" s="79" t="s">
        <v>21</v>
      </c>
      <c r="T110" s="62" t="s">
        <v>21</v>
      </c>
      <c r="V110" s="117">
        <v>1.11539535</v>
      </c>
      <c r="W110" s="60">
        <v>2.8706090100000003</v>
      </c>
      <c r="X110" s="60">
        <v>4.4202710399999994</v>
      </c>
      <c r="Y110" s="60">
        <v>5.7541802400000002</v>
      </c>
      <c r="Z110" s="118">
        <v>7.4246114700000003</v>
      </c>
    </row>
    <row r="111" spans="2:26" x14ac:dyDescent="0.35">
      <c r="B111" s="56" t="s">
        <v>95</v>
      </c>
      <c r="C111" s="66" t="s">
        <v>35</v>
      </c>
      <c r="D111" s="66" t="s">
        <v>43</v>
      </c>
      <c r="E111" s="66" t="s">
        <v>231</v>
      </c>
      <c r="F111" s="73">
        <v>3.8225757903302654E-2</v>
      </c>
      <c r="G111" s="75">
        <v>4.5135010181430256E-2</v>
      </c>
      <c r="H111" s="75">
        <v>5.31971051890908E-2</v>
      </c>
      <c r="I111" s="75">
        <v>5.7504952585589096E-2</v>
      </c>
      <c r="J111" s="63">
        <v>6.1198708569208005E-2</v>
      </c>
      <c r="K111" s="73">
        <v>5.56869503302658E-4</v>
      </c>
      <c r="L111" s="75">
        <v>8.3283100814302569E-3</v>
      </c>
      <c r="M111" s="75">
        <v>1.573980218909081E-2</v>
      </c>
      <c r="N111" s="75">
        <v>1.9031764885589105E-2</v>
      </c>
      <c r="O111" s="63">
        <v>2.1396365769208007E-2</v>
      </c>
      <c r="P111" s="56" t="s">
        <v>21</v>
      </c>
      <c r="Q111" s="66" t="s">
        <v>21</v>
      </c>
      <c r="R111" s="95" t="s">
        <v>21</v>
      </c>
      <c r="S111" s="75" t="s">
        <v>21</v>
      </c>
      <c r="T111" s="63" t="s">
        <v>21</v>
      </c>
      <c r="V111" s="115">
        <v>1.1143006</v>
      </c>
      <c r="W111" s="107">
        <v>2.8585239100000002</v>
      </c>
      <c r="X111" s="107">
        <v>4.3784614899999994</v>
      </c>
      <c r="Y111" s="107">
        <v>5.6645974100000007</v>
      </c>
      <c r="Z111" s="116">
        <v>7.2406369000000002</v>
      </c>
    </row>
    <row r="112" spans="2:26" x14ac:dyDescent="0.35">
      <c r="B112" s="54" t="s">
        <v>96</v>
      </c>
      <c r="C112" s="52" t="s">
        <v>85</v>
      </c>
      <c r="D112" s="52" t="s">
        <v>97</v>
      </c>
      <c r="E112" s="52" t="s">
        <v>21</v>
      </c>
      <c r="F112" s="72">
        <v>3.7480857549360806E-2</v>
      </c>
      <c r="G112" s="70">
        <v>4.2597802707882951E-2</v>
      </c>
      <c r="H112" s="70">
        <v>4.8821903814099642E-2</v>
      </c>
      <c r="I112" s="70">
        <v>5.255156541653553E-2</v>
      </c>
      <c r="J112" s="62">
        <v>5.5716637457834763E-2</v>
      </c>
      <c r="K112" s="72" t="s">
        <v>21</v>
      </c>
      <c r="L112" s="70">
        <v>5.8644978078829539E-3</v>
      </c>
      <c r="M112" s="70">
        <v>1.1510226214099643E-2</v>
      </c>
      <c r="N112" s="70">
        <v>1.4249394716535529E-2</v>
      </c>
      <c r="O112" s="62">
        <v>1.6107446357834766E-2</v>
      </c>
      <c r="P112" s="54" t="s">
        <v>21</v>
      </c>
      <c r="Q112" s="52" t="s">
        <v>21</v>
      </c>
      <c r="R112" s="93" t="s">
        <v>21</v>
      </c>
      <c r="S112" s="70" t="s">
        <v>21</v>
      </c>
      <c r="T112" s="62" t="s">
        <v>21</v>
      </c>
      <c r="V112" s="113">
        <v>1.1143698</v>
      </c>
      <c r="W112" s="71">
        <v>2.8645922499999998</v>
      </c>
      <c r="X112" s="71">
        <v>4.4059258099999994</v>
      </c>
      <c r="Y112" s="71">
        <v>5.7232623299999998</v>
      </c>
      <c r="Z112" s="114">
        <v>7.3578247000000001</v>
      </c>
    </row>
    <row r="113" spans="2:26" x14ac:dyDescent="0.35">
      <c r="B113" s="56" t="s">
        <v>96</v>
      </c>
      <c r="C113" s="66" t="s">
        <v>35</v>
      </c>
      <c r="D113" s="66" t="s">
        <v>97</v>
      </c>
      <c r="E113" s="66" t="s">
        <v>44</v>
      </c>
      <c r="F113" s="73">
        <v>3.9795294925962732E-2</v>
      </c>
      <c r="G113" s="75">
        <v>4.6100702142964529E-2</v>
      </c>
      <c r="H113" s="75">
        <v>5.4000706597270548E-2</v>
      </c>
      <c r="I113" s="75">
        <v>5.8947969377258498E-2</v>
      </c>
      <c r="J113" s="63">
        <v>6.2564522792586452E-2</v>
      </c>
      <c r="K113" s="73">
        <v>2.0733017259627357E-3</v>
      </c>
      <c r="L113" s="75">
        <v>9.2551510429645309E-3</v>
      </c>
      <c r="M113" s="75">
        <v>1.6504890797270556E-2</v>
      </c>
      <c r="N113" s="75">
        <v>2.0397702477258514E-2</v>
      </c>
      <c r="O113" s="63">
        <v>2.2693321692586463E-2</v>
      </c>
      <c r="P113" s="56" t="s">
        <v>21</v>
      </c>
      <c r="Q113" s="66" t="s">
        <v>21</v>
      </c>
      <c r="R113" s="95" t="s">
        <v>21</v>
      </c>
      <c r="S113" s="75" t="s">
        <v>21</v>
      </c>
      <c r="T113" s="63" t="s">
        <v>21</v>
      </c>
      <c r="V113" s="115">
        <v>1.11200582</v>
      </c>
      <c r="W113" s="107">
        <v>2.84970911</v>
      </c>
      <c r="X113" s="107">
        <v>4.3625908100000004</v>
      </c>
      <c r="Y113" s="107">
        <v>5.6337703599999998</v>
      </c>
      <c r="Z113" s="116">
        <v>7.1830071800000006</v>
      </c>
    </row>
    <row r="114" spans="2:26" x14ac:dyDescent="0.35">
      <c r="B114" s="54" t="s">
        <v>98</v>
      </c>
      <c r="C114" s="52" t="s">
        <v>85</v>
      </c>
      <c r="D114" s="52" t="s">
        <v>47</v>
      </c>
      <c r="E114" s="52" t="s">
        <v>21</v>
      </c>
      <c r="F114" s="72">
        <v>3.7497049774604045E-2</v>
      </c>
      <c r="G114" s="70">
        <v>4.2726455549691823E-2</v>
      </c>
      <c r="H114" s="70">
        <v>4.9336666116858656E-2</v>
      </c>
      <c r="I114" s="70">
        <v>5.3106167385822474E-2</v>
      </c>
      <c r="J114" s="62">
        <v>5.6423866540531595E-2</v>
      </c>
      <c r="K114" s="72" t="s">
        <v>21</v>
      </c>
      <c r="L114" s="70">
        <v>5.9883066496918252E-3</v>
      </c>
      <c r="M114" s="70">
        <v>1.2000409316858652E-2</v>
      </c>
      <c r="N114" s="70">
        <v>1.4777390185822482E-2</v>
      </c>
      <c r="O114" s="62">
        <v>1.6784156940531599E-2</v>
      </c>
      <c r="P114" s="54" t="s">
        <v>21</v>
      </c>
      <c r="Q114" s="52" t="s">
        <v>21</v>
      </c>
      <c r="R114" s="93" t="s">
        <v>21</v>
      </c>
      <c r="S114" s="70" t="s">
        <v>21</v>
      </c>
      <c r="T114" s="62" t="s">
        <v>21</v>
      </c>
      <c r="V114" s="113">
        <v>1.1143246200000001</v>
      </c>
      <c r="W114" s="71">
        <v>2.8638765300000002</v>
      </c>
      <c r="X114" s="71">
        <v>4.3992576899999998</v>
      </c>
      <c r="Y114" s="71">
        <v>5.7082123100000004</v>
      </c>
      <c r="Z114" s="114">
        <v>7.3253358100000003</v>
      </c>
    </row>
    <row r="115" spans="2:26" x14ac:dyDescent="0.35">
      <c r="B115" s="56" t="s">
        <v>98</v>
      </c>
      <c r="C115" s="66" t="s">
        <v>35</v>
      </c>
      <c r="D115" s="66" t="s">
        <v>47</v>
      </c>
      <c r="E115" s="66" t="s">
        <v>460</v>
      </c>
      <c r="F115" s="73">
        <v>3.8926069013747219E-2</v>
      </c>
      <c r="G115" s="75">
        <v>4.5805121560018494E-2</v>
      </c>
      <c r="H115" s="75">
        <v>5.4271952309125057E-2</v>
      </c>
      <c r="I115" s="75">
        <v>5.9581924003929504E-2</v>
      </c>
      <c r="J115" s="63">
        <v>6.3637045795587349E-2</v>
      </c>
      <c r="K115" s="73">
        <v>1.2409415137472164E-3</v>
      </c>
      <c r="L115" s="75">
        <v>8.9742006600184998E-3</v>
      </c>
      <c r="M115" s="75">
        <v>1.6765097409125063E-2</v>
      </c>
      <c r="N115" s="75">
        <v>2.1000307203929501E-2</v>
      </c>
      <c r="O115" s="63">
        <v>2.3713636695587341E-2</v>
      </c>
      <c r="P115" s="56" t="s">
        <v>461</v>
      </c>
      <c r="Q115" s="66" t="s">
        <v>462</v>
      </c>
      <c r="R115" s="95" t="s">
        <v>32</v>
      </c>
      <c r="S115" s="75">
        <v>4.6897970000000004E-2</v>
      </c>
      <c r="T115" s="63">
        <v>7.3739823091250531E-3</v>
      </c>
      <c r="V115" s="115">
        <v>1.11326741</v>
      </c>
      <c r="W115" s="107">
        <v>2.85355589</v>
      </c>
      <c r="X115" s="107">
        <v>4.3643138400000003</v>
      </c>
      <c r="Y115" s="107">
        <v>5.6281650599999997</v>
      </c>
      <c r="Z115" s="116">
        <v>7.1564743700000006</v>
      </c>
    </row>
    <row r="116" spans="2:26" x14ac:dyDescent="0.35">
      <c r="B116" s="54" t="s">
        <v>99</v>
      </c>
      <c r="C116" s="52" t="s">
        <v>85</v>
      </c>
      <c r="D116" s="52" t="s">
        <v>69</v>
      </c>
      <c r="E116" s="52" t="s">
        <v>100</v>
      </c>
      <c r="F116" s="72">
        <v>3.7270962201954826E-2</v>
      </c>
      <c r="G116" s="70">
        <v>4.322598720069834E-2</v>
      </c>
      <c r="H116" s="70">
        <v>5.0166279395722692E-2</v>
      </c>
      <c r="I116" s="70">
        <v>5.4159349306436677E-2</v>
      </c>
      <c r="J116" s="62">
        <v>5.7823560489074076E-2</v>
      </c>
      <c r="K116" s="72" t="s">
        <v>21</v>
      </c>
      <c r="L116" s="70">
        <v>6.4661176006983361E-3</v>
      </c>
      <c r="M116" s="70">
        <v>1.2789052295722681E-2</v>
      </c>
      <c r="N116" s="70">
        <v>1.5777565906436686E-2</v>
      </c>
      <c r="O116" s="62">
        <v>1.8117824089074083E-2</v>
      </c>
      <c r="P116" s="54" t="s">
        <v>21</v>
      </c>
      <c r="Q116" s="52" t="s">
        <v>21</v>
      </c>
      <c r="R116" s="93" t="s">
        <v>21</v>
      </c>
      <c r="S116" s="70" t="s">
        <v>21</v>
      </c>
      <c r="T116" s="62" t="s">
        <v>21</v>
      </c>
      <c r="V116" s="113">
        <v>1.11472825</v>
      </c>
      <c r="W116" s="71">
        <v>2.8614871800000001</v>
      </c>
      <c r="X116" s="71">
        <v>4.3876548900000003</v>
      </c>
      <c r="Y116" s="71">
        <v>5.6812303499999999</v>
      </c>
      <c r="Z116" s="114">
        <v>7.2640964399999994</v>
      </c>
    </row>
    <row r="117" spans="2:26" x14ac:dyDescent="0.35">
      <c r="B117" s="56" t="s">
        <v>99</v>
      </c>
      <c r="C117" s="66" t="s">
        <v>35</v>
      </c>
      <c r="D117" s="66" t="s">
        <v>69</v>
      </c>
      <c r="E117" s="66" t="s">
        <v>224</v>
      </c>
      <c r="F117" s="73">
        <v>3.7918190014304895E-2</v>
      </c>
      <c r="G117" s="75">
        <v>4.5795043962233183E-2</v>
      </c>
      <c r="H117" s="75">
        <v>5.4366976847726269E-2</v>
      </c>
      <c r="I117" s="75">
        <v>5.9764913511503731E-2</v>
      </c>
      <c r="J117" s="63">
        <v>6.3520925043131671E-2</v>
      </c>
      <c r="K117" s="73">
        <v>2.626058143048943E-4</v>
      </c>
      <c r="L117" s="75">
        <v>8.9622837622331808E-3</v>
      </c>
      <c r="M117" s="75">
        <v>1.6854056247726269E-2</v>
      </c>
      <c r="N117" s="75">
        <v>2.1172702411503725E-2</v>
      </c>
      <c r="O117" s="63">
        <v>2.360462534313167E-2</v>
      </c>
      <c r="P117" s="56" t="s">
        <v>463</v>
      </c>
      <c r="Q117" s="66" t="s">
        <v>464</v>
      </c>
      <c r="R117" s="95" t="s">
        <v>32</v>
      </c>
      <c r="S117" s="75">
        <v>5.1565489999999999E-2</v>
      </c>
      <c r="T117" s="63">
        <v>2.80148684772627E-3</v>
      </c>
      <c r="V117" s="115">
        <v>1.11472046</v>
      </c>
      <c r="W117" s="107">
        <v>2.8561651000000001</v>
      </c>
      <c r="X117" s="107">
        <v>4.3660243599999999</v>
      </c>
      <c r="Y117" s="107">
        <v>5.6276593799999999</v>
      </c>
      <c r="Z117" s="116">
        <v>7.1569073400000001</v>
      </c>
    </row>
    <row r="118" spans="2:26" x14ac:dyDescent="0.35">
      <c r="B118" s="54" t="s">
        <v>101</v>
      </c>
      <c r="C118" s="52" t="s">
        <v>85</v>
      </c>
      <c r="D118" s="52" t="s">
        <v>31</v>
      </c>
      <c r="E118" s="52" t="s">
        <v>21</v>
      </c>
      <c r="F118" s="72">
        <v>3.6936208055424545E-2</v>
      </c>
      <c r="G118" s="70">
        <v>4.254129864166499E-2</v>
      </c>
      <c r="H118" s="70">
        <v>4.902403467681854E-2</v>
      </c>
      <c r="I118" s="70">
        <v>5.2940367476922434E-2</v>
      </c>
      <c r="J118" s="62">
        <v>5.6392808961348941E-2</v>
      </c>
      <c r="K118" s="72" t="s">
        <v>21</v>
      </c>
      <c r="L118" s="70">
        <v>5.8102120416649895E-3</v>
      </c>
      <c r="M118" s="70">
        <v>1.1702487276818536E-2</v>
      </c>
      <c r="N118" s="70">
        <v>1.4619254976922427E-2</v>
      </c>
      <c r="O118" s="62">
        <v>1.6754343361348935E-2</v>
      </c>
      <c r="P118" s="54" t="s">
        <v>21</v>
      </c>
      <c r="Q118" s="52" t="s">
        <v>21</v>
      </c>
      <c r="R118" s="93" t="s">
        <v>21</v>
      </c>
      <c r="S118" s="70" t="s">
        <v>21</v>
      </c>
      <c r="T118" s="62" t="s">
        <v>21</v>
      </c>
      <c r="V118" s="113">
        <v>1.1154004200000001</v>
      </c>
      <c r="W118" s="71">
        <v>2.86691071</v>
      </c>
      <c r="X118" s="71">
        <v>4.4055900000000001</v>
      </c>
      <c r="Y118" s="71">
        <v>5.7170937799999999</v>
      </c>
      <c r="Z118" s="114">
        <v>7.3345695200000005</v>
      </c>
    </row>
    <row r="119" spans="2:26" x14ac:dyDescent="0.35">
      <c r="B119" s="56" t="s">
        <v>101</v>
      </c>
      <c r="C119" s="66" t="s">
        <v>35</v>
      </c>
      <c r="D119" s="66" t="s">
        <v>31</v>
      </c>
      <c r="E119" s="66" t="s">
        <v>21</v>
      </c>
      <c r="F119" s="73">
        <v>3.822589572744714E-2</v>
      </c>
      <c r="G119" s="75">
        <v>4.5135063687623149E-2</v>
      </c>
      <c r="H119" s="75">
        <v>5.3197140043442774E-2</v>
      </c>
      <c r="I119" s="75">
        <v>5.7779933453182448E-2</v>
      </c>
      <c r="J119" s="63">
        <v>6.1389746676460251E-2</v>
      </c>
      <c r="K119" s="73">
        <v>5.5695632744713532E-4</v>
      </c>
      <c r="L119" s="75">
        <v>8.3283406876231581E-3</v>
      </c>
      <c r="M119" s="75">
        <v>1.5739820243442774E-2</v>
      </c>
      <c r="N119" s="75">
        <v>1.9292299153182438E-2</v>
      </c>
      <c r="O119" s="63">
        <v>2.1578899976460245E-2</v>
      </c>
      <c r="P119" s="56" t="s">
        <v>21</v>
      </c>
      <c r="Q119" s="66" t="s">
        <v>21</v>
      </c>
      <c r="R119" s="95" t="s">
        <v>21</v>
      </c>
      <c r="S119" s="75" t="s">
        <v>21</v>
      </c>
      <c r="T119" s="63" t="s">
        <v>21</v>
      </c>
      <c r="V119" s="115">
        <v>1.1143006600000001</v>
      </c>
      <c r="W119" s="107">
        <v>2.85852387</v>
      </c>
      <c r="X119" s="107">
        <v>4.3784613700000001</v>
      </c>
      <c r="Y119" s="107">
        <v>5.6618114400000001</v>
      </c>
      <c r="Z119" s="116">
        <v>7.23328624</v>
      </c>
    </row>
    <row r="120" spans="2:26" x14ac:dyDescent="0.35">
      <c r="B120" s="54" t="s">
        <v>102</v>
      </c>
      <c r="C120" s="52" t="s">
        <v>85</v>
      </c>
      <c r="D120" s="52" t="s">
        <v>69</v>
      </c>
      <c r="E120" s="52" t="s">
        <v>465</v>
      </c>
      <c r="F120" s="72">
        <v>3.7808958256860321E-2</v>
      </c>
      <c r="G120" s="70">
        <v>4.3263751078688684E-2</v>
      </c>
      <c r="H120" s="70">
        <v>5.0224687482449522E-2</v>
      </c>
      <c r="I120" s="70">
        <v>5.4263806155188589E-2</v>
      </c>
      <c r="J120" s="62">
        <v>5.7748768082431887E-2</v>
      </c>
      <c r="K120" s="72">
        <v>1.4573185686032365E-4</v>
      </c>
      <c r="L120" s="70">
        <v>6.4995913786886775E-3</v>
      </c>
      <c r="M120" s="70">
        <v>1.2842488382449519E-2</v>
      </c>
      <c r="N120" s="70">
        <v>1.5874624955188595E-2</v>
      </c>
      <c r="O120" s="62">
        <v>1.8046077482431876E-2</v>
      </c>
      <c r="P120" s="54" t="s">
        <v>21</v>
      </c>
      <c r="Q120" s="52" t="s">
        <v>21</v>
      </c>
      <c r="R120" s="93" t="s">
        <v>21</v>
      </c>
      <c r="S120" s="70" t="s">
        <v>21</v>
      </c>
      <c r="T120" s="62" t="s">
        <v>21</v>
      </c>
      <c r="V120" s="113">
        <v>1.1137530499999999</v>
      </c>
      <c r="W120" s="71">
        <v>2.8595715799999999</v>
      </c>
      <c r="X120" s="71">
        <v>4.3852908900000003</v>
      </c>
      <c r="Y120" s="71">
        <v>5.6775863700000002</v>
      </c>
      <c r="Z120" s="114">
        <v>7.2619383499999994</v>
      </c>
    </row>
    <row r="121" spans="2:26" x14ac:dyDescent="0.35">
      <c r="B121" s="56" t="s">
        <v>102</v>
      </c>
      <c r="C121" s="66" t="s">
        <v>35</v>
      </c>
      <c r="D121" s="66" t="s">
        <v>69</v>
      </c>
      <c r="E121" s="66" t="s">
        <v>159</v>
      </c>
      <c r="F121" s="73">
        <v>3.8531835481246821E-2</v>
      </c>
      <c r="G121" s="75">
        <v>4.5794481666131398E-2</v>
      </c>
      <c r="H121" s="75">
        <v>5.4369347786418852E-2</v>
      </c>
      <c r="I121" s="75">
        <v>5.940495325624115E-2</v>
      </c>
      <c r="J121" s="63">
        <v>6.3457044744017407E-2</v>
      </c>
      <c r="K121" s="73">
        <v>8.5541308124682108E-4</v>
      </c>
      <c r="L121" s="75">
        <v>8.961787766131395E-3</v>
      </c>
      <c r="M121" s="75">
        <v>1.6856220986418848E-2</v>
      </c>
      <c r="N121" s="75">
        <v>2.0831998656241146E-2</v>
      </c>
      <c r="O121" s="63">
        <v>2.3541666744017416E-2</v>
      </c>
      <c r="P121" s="56" t="s">
        <v>21</v>
      </c>
      <c r="Q121" s="66" t="s">
        <v>21</v>
      </c>
      <c r="R121" s="95" t="s">
        <v>21</v>
      </c>
      <c r="S121" s="75" t="s">
        <v>21</v>
      </c>
      <c r="T121" s="63" t="s">
        <v>21</v>
      </c>
      <c r="V121" s="113">
        <v>1.11385136</v>
      </c>
      <c r="W121" s="71">
        <v>2.85464166</v>
      </c>
      <c r="X121" s="71">
        <v>4.3646090800000001</v>
      </c>
      <c r="Y121" s="71">
        <v>5.6299931000000001</v>
      </c>
      <c r="Z121" s="114">
        <v>7.1622187099999994</v>
      </c>
    </row>
    <row r="122" spans="2:26" x14ac:dyDescent="0.35">
      <c r="B122" s="55" t="s">
        <v>104</v>
      </c>
      <c r="C122" s="65" t="s">
        <v>85</v>
      </c>
      <c r="D122" s="65" t="s">
        <v>43</v>
      </c>
      <c r="E122" s="64" t="s">
        <v>423</v>
      </c>
      <c r="F122" s="79">
        <v>3.6958161825676197E-2</v>
      </c>
      <c r="G122" s="79">
        <v>4.1822503886351697E-2</v>
      </c>
      <c r="H122" s="79">
        <v>4.8028302855332848E-2</v>
      </c>
      <c r="I122" s="79">
        <v>5.1387764496109614E-2</v>
      </c>
      <c r="J122" s="61">
        <v>5.4336562058947352E-2</v>
      </c>
      <c r="K122" s="79" t="s">
        <v>21</v>
      </c>
      <c r="L122" s="79">
        <v>5.1236822863516863E-3</v>
      </c>
      <c r="M122" s="79">
        <v>1.0755298555332853E-2</v>
      </c>
      <c r="N122" s="79">
        <v>1.314299009610961E-2</v>
      </c>
      <c r="O122" s="61">
        <v>1.4786440158947357E-2</v>
      </c>
      <c r="P122" s="55" t="s">
        <v>21</v>
      </c>
      <c r="Q122" s="65" t="s">
        <v>21</v>
      </c>
      <c r="R122" s="99" t="s">
        <v>21</v>
      </c>
      <c r="S122" s="79" t="s">
        <v>21</v>
      </c>
      <c r="T122" s="61" t="s">
        <v>21</v>
      </c>
      <c r="V122" s="117">
        <v>1.11536469</v>
      </c>
      <c r="W122" s="60">
        <v>2.8717590300000002</v>
      </c>
      <c r="X122" s="60">
        <v>4.4214746499999995</v>
      </c>
      <c r="Y122" s="60">
        <v>5.7552893000000003</v>
      </c>
      <c r="Z122" s="118">
        <v>7.4245586700000006</v>
      </c>
    </row>
    <row r="123" spans="2:26" x14ac:dyDescent="0.35">
      <c r="B123" s="56" t="s">
        <v>104</v>
      </c>
      <c r="C123" s="66" t="s">
        <v>35</v>
      </c>
      <c r="D123" s="66" t="s">
        <v>43</v>
      </c>
      <c r="E123" s="53" t="s">
        <v>423</v>
      </c>
      <c r="F123" s="75">
        <v>3.847024230155556E-2</v>
      </c>
      <c r="G123" s="75">
        <v>4.5694194717932832E-2</v>
      </c>
      <c r="H123" s="75">
        <v>5.408218959684645E-2</v>
      </c>
      <c r="I123" s="75">
        <v>5.8662110093897012E-2</v>
      </c>
      <c r="J123" s="63">
        <v>6.2188793243275496E-2</v>
      </c>
      <c r="K123" s="75">
        <v>7.9015850155555751E-4</v>
      </c>
      <c r="L123" s="75">
        <v>8.863077817932833E-3</v>
      </c>
      <c r="M123" s="75">
        <v>1.658116699684645E-2</v>
      </c>
      <c r="N123" s="75">
        <v>2.0127294593897005E-2</v>
      </c>
      <c r="O123" s="75">
        <v>2.233717414327548E-2</v>
      </c>
      <c r="P123" s="66" t="s">
        <v>21</v>
      </c>
      <c r="Q123" s="66" t="s">
        <v>21</v>
      </c>
      <c r="R123" s="95" t="s">
        <v>21</v>
      </c>
      <c r="S123" s="75" t="s">
        <v>21</v>
      </c>
      <c r="T123" s="63" t="s">
        <v>21</v>
      </c>
      <c r="V123" s="115">
        <v>1.11396994</v>
      </c>
      <c r="W123" s="107">
        <v>2.85533159</v>
      </c>
      <c r="X123" s="107">
        <v>4.3676756399999999</v>
      </c>
      <c r="Y123" s="107">
        <v>5.6409942300000004</v>
      </c>
      <c r="Z123" s="116">
        <v>7.1972098799999991</v>
      </c>
    </row>
    <row r="124" spans="2:26" x14ac:dyDescent="0.35">
      <c r="B124" s="54" t="s">
        <v>105</v>
      </c>
      <c r="C124" s="52" t="s">
        <v>85</v>
      </c>
      <c r="D124" s="52" t="s">
        <v>43</v>
      </c>
      <c r="E124" s="52" t="s">
        <v>423</v>
      </c>
      <c r="F124" s="72">
        <v>3.691170784707834E-2</v>
      </c>
      <c r="G124" s="70">
        <v>4.1879083604933802E-2</v>
      </c>
      <c r="H124" s="70">
        <v>4.7927576578262535E-2</v>
      </c>
      <c r="I124" s="70">
        <v>5.1288463994434978E-2</v>
      </c>
      <c r="J124" s="62">
        <v>5.4141221910629485E-2</v>
      </c>
      <c r="K124" s="72" t="s">
        <v>21</v>
      </c>
      <c r="L124" s="70">
        <v>5.178617304933809E-3</v>
      </c>
      <c r="M124" s="70">
        <v>1.0659885378262533E-2</v>
      </c>
      <c r="N124" s="70">
        <v>1.3048552094434982E-2</v>
      </c>
      <c r="O124" s="62">
        <v>1.459937751062948E-2</v>
      </c>
      <c r="P124" s="54" t="s">
        <v>21</v>
      </c>
      <c r="Q124" s="52" t="s">
        <v>21</v>
      </c>
      <c r="R124" s="93" t="s">
        <v>21</v>
      </c>
      <c r="S124" s="70" t="s">
        <v>21</v>
      </c>
      <c r="T124" s="62" t="s">
        <v>21</v>
      </c>
      <c r="V124" s="113">
        <v>1.1154371600000001</v>
      </c>
      <c r="W124" s="71">
        <v>2.8710702700000001</v>
      </c>
      <c r="X124" s="71">
        <v>4.4218857500000004</v>
      </c>
      <c r="Y124" s="71">
        <v>5.75734777</v>
      </c>
      <c r="Z124" s="114">
        <v>7.4314683500000003</v>
      </c>
    </row>
    <row r="125" spans="2:26" x14ac:dyDescent="0.35">
      <c r="B125" s="56" t="s">
        <v>105</v>
      </c>
      <c r="C125" s="66" t="s">
        <v>35</v>
      </c>
      <c r="D125" s="66" t="s">
        <v>43</v>
      </c>
      <c r="E125" s="66" t="s">
        <v>21</v>
      </c>
      <c r="F125" s="73">
        <v>3.8407686029428477E-2</v>
      </c>
      <c r="G125" s="75">
        <v>4.5566738373674726E-2</v>
      </c>
      <c r="H125" s="75">
        <v>5.3883493980361699E-2</v>
      </c>
      <c r="I125" s="75">
        <v>5.8373108537271325E-2</v>
      </c>
      <c r="J125" s="63">
        <v>6.1984861630065925E-2</v>
      </c>
      <c r="K125" s="73">
        <v>7.3314992942848101E-4</v>
      </c>
      <c r="L125" s="75">
        <v>8.7424660736747234E-3</v>
      </c>
      <c r="M125" s="75">
        <v>1.6393289880361702E-2</v>
      </c>
      <c r="N125" s="75">
        <v>1.9854562437271329E-2</v>
      </c>
      <c r="O125" s="63">
        <v>2.2143877430065923E-2</v>
      </c>
      <c r="P125" s="56" t="s">
        <v>21</v>
      </c>
      <c r="Q125" s="66" t="s">
        <v>21</v>
      </c>
      <c r="R125" s="95" t="s">
        <v>21</v>
      </c>
      <c r="S125" s="75" t="s">
        <v>21</v>
      </c>
      <c r="T125" s="63" t="s">
        <v>21</v>
      </c>
      <c r="V125" s="113">
        <v>1.11403995</v>
      </c>
      <c r="W125" s="71">
        <v>2.8560432800000002</v>
      </c>
      <c r="X125" s="71">
        <v>4.3700763299999998</v>
      </c>
      <c r="Y125" s="71">
        <v>5.6465443400000002</v>
      </c>
      <c r="Z125" s="114">
        <v>7.2070103400000001</v>
      </c>
    </row>
    <row r="126" spans="2:26" x14ac:dyDescent="0.35">
      <c r="B126" s="55" t="s">
        <v>106</v>
      </c>
      <c r="C126" s="65" t="s">
        <v>85</v>
      </c>
      <c r="D126" s="65" t="s">
        <v>62</v>
      </c>
      <c r="E126" s="65" t="s">
        <v>466</v>
      </c>
      <c r="F126" s="74">
        <v>3.7287762379028151E-2</v>
      </c>
      <c r="G126" s="79">
        <v>4.2665977716524819E-2</v>
      </c>
      <c r="H126" s="79">
        <v>4.9233165994232969E-2</v>
      </c>
      <c r="I126" s="79">
        <v>5.2956203179070106E-2</v>
      </c>
      <c r="J126" s="61">
        <v>5.6131836583813918E-2</v>
      </c>
      <c r="K126" s="74" t="s">
        <v>21</v>
      </c>
      <c r="L126" s="79">
        <v>5.9296103165248151E-3</v>
      </c>
      <c r="M126" s="79">
        <v>1.1901427294232969E-2</v>
      </c>
      <c r="N126" s="79">
        <v>1.4634566579070109E-2</v>
      </c>
      <c r="O126" s="61">
        <v>1.6505297983813914E-2</v>
      </c>
      <c r="P126" s="55" t="s">
        <v>467</v>
      </c>
      <c r="Q126" s="65" t="s">
        <v>468</v>
      </c>
      <c r="R126" s="99" t="s">
        <v>32</v>
      </c>
      <c r="S126" s="79">
        <v>4.8897389999999999E-2</v>
      </c>
      <c r="T126" s="61">
        <v>3.3577599423297022E-4</v>
      </c>
      <c r="V126" s="117">
        <v>1.1147325099999998</v>
      </c>
      <c r="W126" s="60">
        <v>2.8649698299999997</v>
      </c>
      <c r="X126" s="60">
        <v>4.4014406399999997</v>
      </c>
      <c r="Y126" s="60">
        <v>5.71251233</v>
      </c>
      <c r="Z126" s="118">
        <v>7.3365734200000006</v>
      </c>
    </row>
    <row r="127" spans="2:26" x14ac:dyDescent="0.35">
      <c r="B127" s="56" t="s">
        <v>106</v>
      </c>
      <c r="C127" s="66" t="s">
        <v>35</v>
      </c>
      <c r="D127" s="66" t="s">
        <v>62</v>
      </c>
      <c r="E127" s="66" t="s">
        <v>469</v>
      </c>
      <c r="F127" s="73">
        <v>3.8440431571999611E-2</v>
      </c>
      <c r="G127" s="75">
        <v>4.5873994040112796E-2</v>
      </c>
      <c r="H127" s="75">
        <v>5.4372296167508959E-2</v>
      </c>
      <c r="I127" s="75">
        <v>5.8860973998359559E-2</v>
      </c>
      <c r="J127" s="63">
        <v>6.2734472167711622E-2</v>
      </c>
      <c r="K127" s="75">
        <v>7.6621357199961083E-4</v>
      </c>
      <c r="L127" s="75">
        <v>9.0375443401127936E-3</v>
      </c>
      <c r="M127" s="75">
        <v>1.6858666167508959E-2</v>
      </c>
      <c r="N127" s="75">
        <v>2.0317017598359563E-2</v>
      </c>
      <c r="O127" s="63">
        <v>2.2854946067711615E-2</v>
      </c>
      <c r="P127" s="66" t="s">
        <v>21</v>
      </c>
      <c r="Q127" s="66" t="s">
        <v>21</v>
      </c>
      <c r="R127" s="95" t="s">
        <v>21</v>
      </c>
      <c r="S127" s="75" t="s">
        <v>21</v>
      </c>
      <c r="T127" s="63" t="s">
        <v>21</v>
      </c>
      <c r="V127" s="115">
        <v>1.11398576</v>
      </c>
      <c r="W127" s="107">
        <v>2.85450794</v>
      </c>
      <c r="X127" s="107">
        <v>4.3643228399999998</v>
      </c>
      <c r="Y127" s="107">
        <v>5.6352275299999999</v>
      </c>
      <c r="Z127" s="116">
        <v>7.182137130000001</v>
      </c>
    </row>
    <row r="128" spans="2:26" x14ac:dyDescent="0.35">
      <c r="B128" s="54" t="s">
        <v>107</v>
      </c>
      <c r="C128" s="52" t="s">
        <v>85</v>
      </c>
      <c r="D128" s="52" t="s">
        <v>62</v>
      </c>
      <c r="E128" s="52" t="s">
        <v>264</v>
      </c>
      <c r="F128" s="72">
        <v>3.7493311955229605E-2</v>
      </c>
      <c r="G128" s="70">
        <v>4.266641951573874E-2</v>
      </c>
      <c r="H128" s="70">
        <v>4.9234291185199501E-2</v>
      </c>
      <c r="I128" s="70">
        <v>5.310022445029125E-2</v>
      </c>
      <c r="J128" s="62">
        <v>5.6235088817866243E-2</v>
      </c>
      <c r="K128" s="72" t="s">
        <v>21</v>
      </c>
      <c r="L128" s="70">
        <v>5.9298425157387358E-3</v>
      </c>
      <c r="M128" s="70">
        <v>1.1902303085199498E-2</v>
      </c>
      <c r="N128" s="70">
        <v>1.4770913350291247E-2</v>
      </c>
      <c r="O128" s="62">
        <v>1.6604332017866236E-2</v>
      </c>
      <c r="P128" s="54" t="s">
        <v>21</v>
      </c>
      <c r="Q128" s="52" t="s">
        <v>21</v>
      </c>
      <c r="R128" s="93" t="s">
        <v>21</v>
      </c>
      <c r="S128" s="70" t="s">
        <v>21</v>
      </c>
      <c r="T128" s="62" t="s">
        <v>21</v>
      </c>
      <c r="V128" s="113">
        <v>1.1143488099999999</v>
      </c>
      <c r="W128" s="71">
        <v>2.86429819</v>
      </c>
      <c r="X128" s="71">
        <v>4.4008205299999998</v>
      </c>
      <c r="Y128" s="71">
        <v>5.7100236600000001</v>
      </c>
      <c r="Z128" s="114">
        <v>7.3309920099999992</v>
      </c>
    </row>
    <row r="129" spans="2:26" x14ac:dyDescent="0.35">
      <c r="B129" s="54" t="s">
        <v>107</v>
      </c>
      <c r="C129" s="52" t="s">
        <v>35</v>
      </c>
      <c r="D129" s="52" t="s">
        <v>62</v>
      </c>
      <c r="E129" s="52" t="s">
        <v>289</v>
      </c>
      <c r="F129" s="72">
        <v>3.8370587331706799E-2</v>
      </c>
      <c r="G129" s="70">
        <v>4.5256180959524182E-2</v>
      </c>
      <c r="H129" s="70">
        <v>5.3392262786571255E-2</v>
      </c>
      <c r="I129" s="70">
        <v>5.7608471642082035E-2</v>
      </c>
      <c r="J129" s="62">
        <v>6.1476194947758633E-2</v>
      </c>
      <c r="K129" s="72">
        <v>6.9869413170680055E-4</v>
      </c>
      <c r="L129" s="70">
        <v>8.4453764595241888E-3</v>
      </c>
      <c r="M129" s="70">
        <v>1.5926233586571255E-2</v>
      </c>
      <c r="N129" s="70">
        <v>1.9130422842082037E-2</v>
      </c>
      <c r="O129" s="62">
        <v>2.1659596447758642E-2</v>
      </c>
      <c r="P129" s="54" t="s">
        <v>21</v>
      </c>
      <c r="Q129" s="52" t="s">
        <v>21</v>
      </c>
      <c r="R129" s="93" t="s">
        <v>21</v>
      </c>
      <c r="S129" s="70" t="s">
        <v>21</v>
      </c>
      <c r="T129" s="62" t="s">
        <v>21</v>
      </c>
      <c r="V129" s="113">
        <v>1.11408497</v>
      </c>
      <c r="W129" s="71">
        <v>2.85757298</v>
      </c>
      <c r="X129" s="71">
        <v>4.3758415900000003</v>
      </c>
      <c r="Y129" s="71">
        <v>5.6606843800000002</v>
      </c>
      <c r="Z129" s="114">
        <v>7.2321050199999997</v>
      </c>
    </row>
    <row r="130" spans="2:26" x14ac:dyDescent="0.35">
      <c r="B130" s="96" t="s">
        <v>83</v>
      </c>
      <c r="C130" s="97"/>
      <c r="D130" s="97"/>
      <c r="E130" s="97"/>
      <c r="F130" s="77"/>
      <c r="G130" s="77"/>
      <c r="H130" s="77"/>
      <c r="I130" s="77"/>
      <c r="J130" s="77"/>
      <c r="K130" s="97"/>
      <c r="L130" s="97"/>
      <c r="M130" s="97"/>
      <c r="N130" s="97"/>
      <c r="O130" s="76"/>
      <c r="P130" s="96"/>
      <c r="Q130" s="97"/>
      <c r="R130" s="100"/>
      <c r="S130" s="97"/>
      <c r="T130" s="98"/>
      <c r="V130" s="119"/>
      <c r="W130" s="108"/>
      <c r="X130" s="108"/>
      <c r="Y130" s="108"/>
      <c r="Z130" s="120"/>
    </row>
    <row r="131" spans="2:26" x14ac:dyDescent="0.35">
      <c r="B131" s="55" t="s">
        <v>108</v>
      </c>
      <c r="C131" s="65" t="s">
        <v>85</v>
      </c>
      <c r="D131" s="65" t="s">
        <v>20</v>
      </c>
      <c r="E131" s="64" t="s">
        <v>58</v>
      </c>
      <c r="F131" s="79">
        <v>3.8072914856867243E-2</v>
      </c>
      <c r="G131" s="79">
        <v>4.3233697572789005E-2</v>
      </c>
      <c r="H131" s="79">
        <v>4.9493865874997149E-2</v>
      </c>
      <c r="I131" s="79">
        <v>5.411502255975599E-2</v>
      </c>
      <c r="J131" s="61">
        <v>5.7602933305062352E-2</v>
      </c>
      <c r="K131" s="79">
        <v>4.2002805686724206E-4</v>
      </c>
      <c r="L131" s="79">
        <v>6.494632672789007E-3</v>
      </c>
      <c r="M131" s="79">
        <v>1.2174020674997147E-2</v>
      </c>
      <c r="N131" s="79">
        <v>1.5759519259755994E-2</v>
      </c>
      <c r="O131" s="61">
        <v>1.793499150506234E-2</v>
      </c>
      <c r="P131" s="55" t="s">
        <v>470</v>
      </c>
      <c r="Q131" s="65" t="s">
        <v>471</v>
      </c>
      <c r="R131" s="99">
        <v>47580</v>
      </c>
      <c r="S131" s="79">
        <v>4.5276820000000002E-2</v>
      </c>
      <c r="T131" s="61">
        <v>4.2170458749971468E-3</v>
      </c>
      <c r="V131" s="117">
        <v>1.11417725</v>
      </c>
      <c r="W131" s="60">
        <v>2.86387656</v>
      </c>
      <c r="X131" s="60">
        <v>4.40360408</v>
      </c>
      <c r="Y131" s="60">
        <v>5.7051423200000002</v>
      </c>
      <c r="Z131" s="118">
        <v>7.3026156100000001</v>
      </c>
    </row>
    <row r="132" spans="2:26" x14ac:dyDescent="0.35">
      <c r="B132" s="54" t="s">
        <v>109</v>
      </c>
      <c r="C132" s="52" t="s">
        <v>85</v>
      </c>
      <c r="D132" s="52" t="s">
        <v>20</v>
      </c>
      <c r="E132" s="58" t="s">
        <v>54</v>
      </c>
      <c r="F132" s="70">
        <v>4.0927083995209695E-2</v>
      </c>
      <c r="G132" s="70">
        <v>4.9366120904263198E-2</v>
      </c>
      <c r="H132" s="70">
        <v>5.9711879495161442E-2</v>
      </c>
      <c r="I132" s="70">
        <v>6.6493613997600315E-2</v>
      </c>
      <c r="J132" s="62">
        <v>6.8731153443741436E-2</v>
      </c>
      <c r="K132" s="70">
        <v>3.151742895209691E-3</v>
      </c>
      <c r="L132" s="70">
        <v>1.2319743504263202E-2</v>
      </c>
      <c r="M132" s="70">
        <v>2.1789633195161452E-2</v>
      </c>
      <c r="N132" s="70">
        <v>2.7355092297600324E-2</v>
      </c>
      <c r="O132" s="62">
        <v>2.8403563043741437E-2</v>
      </c>
      <c r="P132" s="54" t="s">
        <v>472</v>
      </c>
      <c r="Q132" s="52" t="s">
        <v>473</v>
      </c>
      <c r="R132" s="93" t="s">
        <v>32</v>
      </c>
      <c r="S132" s="70">
        <v>5.0471079999999995E-2</v>
      </c>
      <c r="T132" s="62">
        <v>9.2407994951614475E-3</v>
      </c>
      <c r="V132" s="113">
        <v>1.1083799400000001</v>
      </c>
      <c r="W132" s="71">
        <v>2.81768295</v>
      </c>
      <c r="X132" s="71">
        <v>4.2460024599999997</v>
      </c>
      <c r="Y132" s="71">
        <v>5.3765827099999992</v>
      </c>
      <c r="Z132" s="114">
        <v>6.7277759800000005</v>
      </c>
    </row>
    <row r="133" spans="2:26" x14ac:dyDescent="0.35">
      <c r="B133" s="56" t="s">
        <v>111</v>
      </c>
      <c r="C133" s="66" t="s">
        <v>85</v>
      </c>
      <c r="D133" s="66" t="s">
        <v>20</v>
      </c>
      <c r="E133" s="53" t="s">
        <v>112</v>
      </c>
      <c r="F133" s="75">
        <v>3.9061730505993313E-2</v>
      </c>
      <c r="G133" s="75">
        <v>4.5315824063145174E-2</v>
      </c>
      <c r="H133" s="75">
        <v>5.2351754797585248E-2</v>
      </c>
      <c r="I133" s="75">
        <v>5.64352355148919E-2</v>
      </c>
      <c r="J133" s="63">
        <v>5.9945997912784238E-2</v>
      </c>
      <c r="K133" s="75">
        <v>1.3603050059933196E-3</v>
      </c>
      <c r="L133" s="75">
        <v>8.4738253631451745E-3</v>
      </c>
      <c r="M133" s="75">
        <v>1.4880699197585247E-2</v>
      </c>
      <c r="N133" s="75">
        <v>1.7953879214891902E-2</v>
      </c>
      <c r="O133" s="63">
        <v>2.0150465212784237E-2</v>
      </c>
      <c r="P133" s="56" t="s">
        <v>21</v>
      </c>
      <c r="Q133" s="66" t="s">
        <v>21</v>
      </c>
      <c r="R133" s="95" t="s">
        <v>21</v>
      </c>
      <c r="S133" s="75" t="s">
        <v>21</v>
      </c>
      <c r="T133" s="63" t="s">
        <v>21</v>
      </c>
      <c r="V133" s="115">
        <v>1.11239968</v>
      </c>
      <c r="W133" s="107">
        <v>2.84808445</v>
      </c>
      <c r="X133" s="107">
        <v>4.3564815499999998</v>
      </c>
      <c r="Y133" s="107">
        <v>5.6243506600000002</v>
      </c>
      <c r="Z133" s="116">
        <v>7.1638935500000001</v>
      </c>
    </row>
    <row r="134" spans="2:26" x14ac:dyDescent="0.35">
      <c r="P134" s="127"/>
      <c r="Q134" s="127"/>
      <c r="R134" s="44"/>
      <c r="S134" s="127"/>
      <c r="T134" s="127"/>
      <c r="V134" s="71"/>
      <c r="W134" s="71"/>
      <c r="X134" s="71"/>
      <c r="Y134" s="71"/>
      <c r="Z134" s="71"/>
    </row>
    <row r="135" spans="2:26" ht="15.5" x14ac:dyDescent="0.35">
      <c r="B135" s="121" t="s">
        <v>113</v>
      </c>
      <c r="R135" s="93"/>
      <c r="S135" s="70"/>
      <c r="T135" s="70"/>
      <c r="V135" s="71"/>
      <c r="W135" s="71"/>
      <c r="X135" s="71"/>
      <c r="Y135" s="71"/>
      <c r="Z135" s="71"/>
    </row>
    <row r="136" spans="2:26" x14ac:dyDescent="0.35">
      <c r="B136" s="84" t="s">
        <v>5</v>
      </c>
      <c r="C136" s="83" t="s">
        <v>6</v>
      </c>
      <c r="D136" s="83" t="s">
        <v>7</v>
      </c>
      <c r="E136" s="83" t="s">
        <v>8</v>
      </c>
      <c r="F136" s="82" t="s">
        <v>9</v>
      </c>
      <c r="G136" s="81" t="s">
        <v>10</v>
      </c>
      <c r="H136" s="81" t="s">
        <v>11</v>
      </c>
      <c r="I136" s="81" t="s">
        <v>12</v>
      </c>
      <c r="J136" s="80" t="s">
        <v>13</v>
      </c>
      <c r="K136" s="82" t="s">
        <v>9</v>
      </c>
      <c r="L136" s="81" t="s">
        <v>10</v>
      </c>
      <c r="M136" s="81" t="s">
        <v>11</v>
      </c>
      <c r="N136" s="81" t="s">
        <v>12</v>
      </c>
      <c r="O136" s="80" t="s">
        <v>13</v>
      </c>
      <c r="P136" s="69" t="s">
        <v>14</v>
      </c>
      <c r="Q136" s="57" t="s">
        <v>15</v>
      </c>
      <c r="R136" s="57" t="s">
        <v>16</v>
      </c>
      <c r="S136" s="57" t="s">
        <v>216</v>
      </c>
      <c r="T136" s="57" t="s">
        <v>18</v>
      </c>
      <c r="V136" s="109" t="s">
        <v>9</v>
      </c>
      <c r="W136" s="105" t="s">
        <v>10</v>
      </c>
      <c r="X136" s="105" t="s">
        <v>11</v>
      </c>
      <c r="Y136" s="105" t="s">
        <v>12</v>
      </c>
      <c r="Z136" s="110" t="s">
        <v>13</v>
      </c>
    </row>
    <row r="137" spans="2:26" x14ac:dyDescent="0.35">
      <c r="B137" s="78" t="s">
        <v>114</v>
      </c>
      <c r="C137" s="9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6"/>
      <c r="P137" s="78"/>
      <c r="Q137" s="77"/>
      <c r="R137" s="94"/>
      <c r="S137" s="77"/>
      <c r="T137" s="76"/>
      <c r="V137" s="111"/>
      <c r="W137" s="106"/>
      <c r="X137" s="106"/>
      <c r="Y137" s="106"/>
      <c r="Z137" s="112"/>
    </row>
    <row r="138" spans="2:26" x14ac:dyDescent="0.35">
      <c r="B138" s="55" t="s">
        <v>317</v>
      </c>
      <c r="C138" s="65" t="s">
        <v>232</v>
      </c>
      <c r="D138" s="65" t="s">
        <v>20</v>
      </c>
      <c r="E138" s="65" t="s">
        <v>21</v>
      </c>
      <c r="F138" s="79">
        <v>4.0435663339817109E-2</v>
      </c>
      <c r="G138" s="79">
        <v>5.0989454203194159E-2</v>
      </c>
      <c r="H138" s="79">
        <v>6.601817451721001E-2</v>
      </c>
      <c r="I138" s="79">
        <v>7.3118645665153845E-2</v>
      </c>
      <c r="J138" s="61">
        <v>7.8324248222076065E-2</v>
      </c>
      <c r="K138" s="79">
        <v>2.6638954398171058E-3</v>
      </c>
      <c r="L138" s="79">
        <v>1.3836677803194149E-2</v>
      </c>
      <c r="M138" s="79">
        <v>2.7633048317210009E-2</v>
      </c>
      <c r="N138" s="79">
        <v>3.3480048865153843E-2</v>
      </c>
      <c r="O138" s="61">
        <v>3.7299583122076055E-2</v>
      </c>
      <c r="P138" s="55" t="s">
        <v>21</v>
      </c>
      <c r="Q138" s="65" t="s">
        <v>21</v>
      </c>
      <c r="R138" s="99" t="s">
        <v>21</v>
      </c>
      <c r="S138" s="74" t="s">
        <v>21</v>
      </c>
      <c r="T138" s="61" t="s">
        <v>21</v>
      </c>
      <c r="V138" s="113">
        <v>1.1097773199999998</v>
      </c>
      <c r="W138" s="71">
        <v>2.80980345</v>
      </c>
      <c r="X138" s="71">
        <v>4.1766326999999999</v>
      </c>
      <c r="Y138" s="71">
        <v>5.2177216300000007</v>
      </c>
      <c r="Z138" s="114">
        <v>6.3644840999999994</v>
      </c>
    </row>
    <row r="139" spans="2:26" x14ac:dyDescent="0.35">
      <c r="B139" s="54" t="s">
        <v>175</v>
      </c>
      <c r="C139" s="52" t="s">
        <v>232</v>
      </c>
      <c r="D139" s="52" t="s">
        <v>43</v>
      </c>
      <c r="E139" s="52" t="s">
        <v>21</v>
      </c>
      <c r="F139" s="70">
        <v>3.9604458639165813E-2</v>
      </c>
      <c r="G139" s="70">
        <v>5.093082995025399E-2</v>
      </c>
      <c r="H139" s="70">
        <v>6.4095174743359781E-2</v>
      </c>
      <c r="I139" s="70">
        <v>7.3085475451715301E-2</v>
      </c>
      <c r="J139" s="62">
        <v>7.7540152588289668E-2</v>
      </c>
      <c r="K139" s="70">
        <v>1.8574648391658111E-3</v>
      </c>
      <c r="L139" s="70">
        <v>1.3753873050253995E-2</v>
      </c>
      <c r="M139" s="70">
        <v>2.5818019843359772E-2</v>
      </c>
      <c r="N139" s="70">
        <v>3.3403803151715282E-2</v>
      </c>
      <c r="O139" s="62">
        <v>3.6540339088289665E-2</v>
      </c>
      <c r="P139" s="54" t="s">
        <v>21</v>
      </c>
      <c r="Q139" s="52" t="s">
        <v>21</v>
      </c>
      <c r="R139" s="93" t="s">
        <v>21</v>
      </c>
      <c r="S139" s="72" t="s">
        <v>21</v>
      </c>
      <c r="T139" s="62" t="s">
        <v>21</v>
      </c>
      <c r="V139" s="113">
        <v>1.1104400699999999</v>
      </c>
      <c r="W139" s="71">
        <v>2.8059679099999997</v>
      </c>
      <c r="X139" s="71">
        <v>4.1847460600000002</v>
      </c>
      <c r="Y139" s="71">
        <v>5.2265258299999999</v>
      </c>
      <c r="Z139" s="114">
        <v>6.3761177299999998</v>
      </c>
    </row>
    <row r="140" spans="2:26" x14ac:dyDescent="0.35">
      <c r="B140" s="54" t="s">
        <v>122</v>
      </c>
      <c r="C140" s="52" t="s">
        <v>232</v>
      </c>
      <c r="D140" s="52" t="s">
        <v>97</v>
      </c>
      <c r="E140" s="52" t="s">
        <v>267</v>
      </c>
      <c r="F140" s="70">
        <v>3.8846308227133343E-2</v>
      </c>
      <c r="G140" s="70">
        <v>4.9934601395596134E-2</v>
      </c>
      <c r="H140" s="70">
        <v>6.1991520035346907E-2</v>
      </c>
      <c r="I140" s="70">
        <v>7.0803095576328398E-2</v>
      </c>
      <c r="J140" s="62">
        <v>7.7443249555862778E-2</v>
      </c>
      <c r="K140" s="70">
        <v>1.1405034271333506E-3</v>
      </c>
      <c r="L140" s="70">
        <v>1.2822703495596144E-2</v>
      </c>
      <c r="M140" s="70">
        <v>2.3873419235346902E-2</v>
      </c>
      <c r="N140" s="70">
        <v>3.1306890476328425E-2</v>
      </c>
      <c r="O140" s="62">
        <v>3.6447302355862771E-2</v>
      </c>
      <c r="P140" s="54" t="s">
        <v>21</v>
      </c>
      <c r="Q140" s="52" t="s">
        <v>21</v>
      </c>
      <c r="R140" s="93" t="s">
        <v>21</v>
      </c>
      <c r="S140" s="72" t="s">
        <v>21</v>
      </c>
      <c r="T140" s="62" t="s">
        <v>21</v>
      </c>
      <c r="V140" s="113">
        <v>1.1118050500000001</v>
      </c>
      <c r="W140" s="71">
        <v>2.8155870100000002</v>
      </c>
      <c r="X140" s="71">
        <v>4.2155355500000002</v>
      </c>
      <c r="Y140" s="71">
        <v>5.2859793499999999</v>
      </c>
      <c r="Z140" s="114">
        <v>6.4375163599999992</v>
      </c>
    </row>
    <row r="141" spans="2:26" x14ac:dyDescent="0.35">
      <c r="B141" s="54" t="s">
        <v>168</v>
      </c>
      <c r="C141" s="52" t="s">
        <v>232</v>
      </c>
      <c r="D141" s="52" t="s">
        <v>20</v>
      </c>
      <c r="E141" s="52" t="s">
        <v>21</v>
      </c>
      <c r="F141" s="70">
        <v>4.2733105527402844E-2</v>
      </c>
      <c r="G141" s="70">
        <v>5.1900888536614717E-2</v>
      </c>
      <c r="H141" s="70">
        <v>6.2988000393886398E-2</v>
      </c>
      <c r="I141" s="70">
        <v>6.8679979646413744E-2</v>
      </c>
      <c r="J141" s="62">
        <v>7.3733697559540234E-2</v>
      </c>
      <c r="K141" s="70">
        <v>4.8361229274028437E-3</v>
      </c>
      <c r="L141" s="70">
        <v>1.4697118536614723E-2</v>
      </c>
      <c r="M141" s="70">
        <v>2.4829097693886398E-2</v>
      </c>
      <c r="N141" s="70">
        <v>2.9383592946413756E-2</v>
      </c>
      <c r="O141" s="62">
        <v>3.3044819059540223E-2</v>
      </c>
      <c r="P141" s="54" t="s">
        <v>474</v>
      </c>
      <c r="Q141" s="52" t="s">
        <v>475</v>
      </c>
      <c r="R141" s="93">
        <v>47505</v>
      </c>
      <c r="S141" s="72">
        <v>5.5008639999999998E-2</v>
      </c>
      <c r="T141" s="62">
        <v>7.9793603938864005E-3</v>
      </c>
      <c r="V141" s="113">
        <v>1.1040500799999999</v>
      </c>
      <c r="W141" s="71">
        <v>2.7930866499999998</v>
      </c>
      <c r="X141" s="71">
        <v>4.1915596500000003</v>
      </c>
      <c r="Y141" s="71">
        <v>5.2861023500000002</v>
      </c>
      <c r="Z141" s="114">
        <v>6.5327139899999995</v>
      </c>
    </row>
    <row r="142" spans="2:26" x14ac:dyDescent="0.35">
      <c r="B142" s="54" t="s">
        <v>152</v>
      </c>
      <c r="C142" s="52" t="s">
        <v>232</v>
      </c>
      <c r="D142" s="52" t="s">
        <v>20</v>
      </c>
      <c r="E142" s="52" t="s">
        <v>123</v>
      </c>
      <c r="F142" s="70">
        <v>4.1860099910785847E-2</v>
      </c>
      <c r="G142" s="70">
        <v>5.3139614435053918E-2</v>
      </c>
      <c r="H142" s="70">
        <v>6.1711490800051227E-2</v>
      </c>
      <c r="I142" s="70">
        <v>6.7360723142926682E-2</v>
      </c>
      <c r="J142" s="62">
        <v>7.1040240420812584E-2</v>
      </c>
      <c r="K142" s="70">
        <v>4.013308410785843E-3</v>
      </c>
      <c r="L142" s="70">
        <v>1.585523503505392E-2</v>
      </c>
      <c r="M142" s="70">
        <v>2.3638998300051228E-2</v>
      </c>
      <c r="N142" s="70">
        <v>2.8148525442926689E-2</v>
      </c>
      <c r="O142" s="62">
        <v>3.0533822720812575E-2</v>
      </c>
      <c r="P142" s="54" t="s">
        <v>476</v>
      </c>
      <c r="Q142" s="52" t="s">
        <v>477</v>
      </c>
      <c r="R142" s="93">
        <v>47484</v>
      </c>
      <c r="S142" s="72">
        <v>5.3176899999999999E-2</v>
      </c>
      <c r="T142" s="62">
        <v>8.5345908000512283E-3</v>
      </c>
      <c r="V142" s="113">
        <v>1.1061797099999999</v>
      </c>
      <c r="W142" s="71">
        <v>2.7894378099999999</v>
      </c>
      <c r="X142" s="71">
        <v>4.1949778200000001</v>
      </c>
      <c r="Y142" s="71">
        <v>5.3147091099999999</v>
      </c>
      <c r="Z142" s="114">
        <v>6.6182049100000002</v>
      </c>
    </row>
    <row r="143" spans="2:26" x14ac:dyDescent="0.35">
      <c r="B143" s="54" t="s">
        <v>174</v>
      </c>
      <c r="C143" s="52" t="s">
        <v>232</v>
      </c>
      <c r="D143" s="52" t="s">
        <v>47</v>
      </c>
      <c r="E143" s="52" t="s">
        <v>21</v>
      </c>
      <c r="F143" s="70">
        <v>4.2315152683181013E-2</v>
      </c>
      <c r="G143" s="70">
        <v>5.0143325517951226E-2</v>
      </c>
      <c r="H143" s="70">
        <v>5.9784887381765198E-2</v>
      </c>
      <c r="I143" s="70">
        <v>6.3821832505800272E-2</v>
      </c>
      <c r="J143" s="62">
        <v>6.7348326954225282E-2</v>
      </c>
      <c r="K143" s="70">
        <v>4.3985519831810085E-3</v>
      </c>
      <c r="L143" s="70">
        <v>1.3009081917951235E-2</v>
      </c>
      <c r="M143" s="70">
        <v>2.181097938176519E-2</v>
      </c>
      <c r="N143" s="70">
        <v>2.482690400580026E-2</v>
      </c>
      <c r="O143" s="62">
        <v>2.7056469154225278E-2</v>
      </c>
      <c r="P143" s="54" t="s">
        <v>21</v>
      </c>
      <c r="Q143" s="52" t="s">
        <v>21</v>
      </c>
      <c r="R143" s="93" t="s">
        <v>21</v>
      </c>
      <c r="S143" s="72" t="s">
        <v>21</v>
      </c>
      <c r="T143" s="62" t="s">
        <v>21</v>
      </c>
      <c r="V143" s="113">
        <v>1.1039590800000001</v>
      </c>
      <c r="W143" s="71">
        <v>2.8024545500000002</v>
      </c>
      <c r="X143" s="71">
        <v>4.2240372600000002</v>
      </c>
      <c r="Y143" s="71">
        <v>5.3844741699999998</v>
      </c>
      <c r="Z143" s="114">
        <v>6.75670006</v>
      </c>
    </row>
    <row r="144" spans="2:26" x14ac:dyDescent="0.35">
      <c r="B144" s="54" t="s">
        <v>323</v>
      </c>
      <c r="C144" s="52" t="s">
        <v>232</v>
      </c>
      <c r="D144" s="52" t="s">
        <v>69</v>
      </c>
      <c r="E144" s="52" t="s">
        <v>116</v>
      </c>
      <c r="F144" s="70">
        <v>3.9652035493158606E-2</v>
      </c>
      <c r="G144" s="70">
        <v>4.7830760965935769E-2</v>
      </c>
      <c r="H144" s="70">
        <v>5.9136883620264521E-2</v>
      </c>
      <c r="I144" s="70">
        <v>6.5435630014619772E-2</v>
      </c>
      <c r="J144" s="62">
        <v>7.0356768232705189E-2</v>
      </c>
      <c r="K144" s="70">
        <v>1.9064220931586081E-3</v>
      </c>
      <c r="L144" s="70">
        <v>1.0833578465935774E-2</v>
      </c>
      <c r="M144" s="70">
        <v>2.1214751820264523E-2</v>
      </c>
      <c r="N144" s="70">
        <v>2.6334227914619805E-2</v>
      </c>
      <c r="O144" s="62">
        <v>2.987614903270519E-2</v>
      </c>
      <c r="P144" s="54" t="s">
        <v>377</v>
      </c>
      <c r="Q144" s="52" t="s">
        <v>378</v>
      </c>
      <c r="R144" s="93" t="s">
        <v>32</v>
      </c>
      <c r="S144" s="72">
        <v>4.9429340000000002E-2</v>
      </c>
      <c r="T144" s="62">
        <v>9.7075436202645193E-3</v>
      </c>
      <c r="V144" s="113">
        <v>1.11033074</v>
      </c>
      <c r="W144" s="71">
        <v>2.8257504199999999</v>
      </c>
      <c r="X144" s="71">
        <v>4.2562463900000003</v>
      </c>
      <c r="Y144" s="71">
        <v>5.3933457599999999</v>
      </c>
      <c r="Z144" s="114">
        <v>6.6899704800000004</v>
      </c>
    </row>
    <row r="145" spans="2:26" x14ac:dyDescent="0.35">
      <c r="B145" s="54" t="s">
        <v>130</v>
      </c>
      <c r="C145" s="52" t="s">
        <v>232</v>
      </c>
      <c r="D145" s="52" t="s">
        <v>131</v>
      </c>
      <c r="E145" s="52" t="s">
        <v>288</v>
      </c>
      <c r="F145" s="70">
        <v>3.9185455810152654E-2</v>
      </c>
      <c r="G145" s="70">
        <v>4.7345544305758859E-2</v>
      </c>
      <c r="H145" s="70">
        <v>5.7714478026823571E-2</v>
      </c>
      <c r="I145" s="70">
        <v>6.4447684250885665E-2</v>
      </c>
      <c r="J145" s="62">
        <v>6.9100962005437611E-2</v>
      </c>
      <c r="K145" s="70">
        <v>1.4594896101526563E-3</v>
      </c>
      <c r="L145" s="70">
        <v>1.0374210605758858E-2</v>
      </c>
      <c r="M145" s="70">
        <v>1.9889010626823571E-2</v>
      </c>
      <c r="N145" s="70">
        <v>2.5415264250885659E-2</v>
      </c>
      <c r="O145" s="62">
        <v>2.870933280543761E-2</v>
      </c>
      <c r="P145" s="54" t="s">
        <v>478</v>
      </c>
      <c r="Q145" s="52" t="s">
        <v>479</v>
      </c>
      <c r="R145" s="93">
        <v>47532</v>
      </c>
      <c r="S145" s="72">
        <v>4.9209050000000004E-2</v>
      </c>
      <c r="T145" s="62">
        <v>8.5054280268235666E-3</v>
      </c>
      <c r="V145" s="113">
        <v>1.1112052299999999</v>
      </c>
      <c r="W145" s="71">
        <v>2.8302008299999999</v>
      </c>
      <c r="X145" s="71">
        <v>4.2752725700000003</v>
      </c>
      <c r="Y145" s="71">
        <v>5.4264407100000005</v>
      </c>
      <c r="Z145" s="114">
        <v>6.7472941800000008</v>
      </c>
    </row>
    <row r="146" spans="2:26" x14ac:dyDescent="0.35">
      <c r="B146" s="54" t="s">
        <v>171</v>
      </c>
      <c r="C146" s="52" t="s">
        <v>232</v>
      </c>
      <c r="D146" s="52" t="s">
        <v>20</v>
      </c>
      <c r="E146" s="52" t="s">
        <v>21</v>
      </c>
      <c r="F146" s="70">
        <v>4.0945448144451405E-2</v>
      </c>
      <c r="G146" s="70">
        <v>4.8349255948680413E-2</v>
      </c>
      <c r="H146" s="70">
        <v>5.7463626760057958E-2</v>
      </c>
      <c r="I146" s="70">
        <v>6.2657620295816618E-2</v>
      </c>
      <c r="J146" s="62">
        <v>6.7301344483464046E-2</v>
      </c>
      <c r="K146" s="70">
        <v>3.1502529444514035E-3</v>
      </c>
      <c r="L146" s="70">
        <v>1.1350125348680414E-2</v>
      </c>
      <c r="M146" s="70">
        <v>1.9689228860057952E-2</v>
      </c>
      <c r="N146" s="70">
        <v>2.3787286995816625E-2</v>
      </c>
      <c r="O146" s="62">
        <v>2.7060589783464054E-2</v>
      </c>
      <c r="P146" s="54" t="s">
        <v>480</v>
      </c>
      <c r="Q146" s="52" t="s">
        <v>481</v>
      </c>
      <c r="R146" s="93">
        <v>47644</v>
      </c>
      <c r="S146" s="72">
        <v>4.9359099999999996E-2</v>
      </c>
      <c r="T146" s="62">
        <v>8.1045267600579618E-3</v>
      </c>
      <c r="V146" s="113">
        <v>1.1084091900000002</v>
      </c>
      <c r="W146" s="71">
        <v>2.8244697900000002</v>
      </c>
      <c r="X146" s="71">
        <v>4.2768750899999999</v>
      </c>
      <c r="Y146" s="71">
        <v>5.4565958700000001</v>
      </c>
      <c r="Z146" s="114">
        <v>6.8335127399999998</v>
      </c>
    </row>
    <row r="147" spans="2:26" x14ac:dyDescent="0.35">
      <c r="B147" s="54" t="s">
        <v>332</v>
      </c>
      <c r="C147" s="52" t="s">
        <v>232</v>
      </c>
      <c r="D147" s="52" t="s">
        <v>20</v>
      </c>
      <c r="E147" s="52" t="s">
        <v>21</v>
      </c>
      <c r="F147" s="70">
        <v>3.917330221128161E-2</v>
      </c>
      <c r="G147" s="70">
        <v>4.6145423342007164E-2</v>
      </c>
      <c r="H147" s="70">
        <v>5.5967926320067973E-2</v>
      </c>
      <c r="I147" s="70">
        <v>6.086491714064763E-2</v>
      </c>
      <c r="J147" s="62">
        <v>6.529242149781786E-2</v>
      </c>
      <c r="K147" s="70">
        <v>1.4639703112816118E-3</v>
      </c>
      <c r="L147" s="70">
        <v>9.2599041420071589E-3</v>
      </c>
      <c r="M147" s="70">
        <v>1.8286832220067963E-2</v>
      </c>
      <c r="N147" s="70">
        <v>2.2113474640647612E-2</v>
      </c>
      <c r="O147" s="62">
        <v>2.5180884497817881E-2</v>
      </c>
      <c r="P147" s="54" t="s">
        <v>21</v>
      </c>
      <c r="Q147" s="52" t="s">
        <v>21</v>
      </c>
      <c r="R147" s="93" t="s">
        <v>21</v>
      </c>
      <c r="S147" s="72" t="s">
        <v>21</v>
      </c>
      <c r="T147" s="62" t="s">
        <v>21</v>
      </c>
      <c r="V147" s="113">
        <v>1.1122470600000001</v>
      </c>
      <c r="W147" s="71">
        <v>2.84121559</v>
      </c>
      <c r="X147" s="71">
        <v>4.3119754500000003</v>
      </c>
      <c r="Y147" s="71">
        <v>5.5124013200000004</v>
      </c>
      <c r="Z147" s="114">
        <v>6.9312488300000004</v>
      </c>
    </row>
    <row r="148" spans="2:26" x14ac:dyDescent="0.35">
      <c r="B148" s="54" t="s">
        <v>118</v>
      </c>
      <c r="C148" s="52" t="s">
        <v>232</v>
      </c>
      <c r="D148" s="52" t="s">
        <v>20</v>
      </c>
      <c r="E148" s="52" t="s">
        <v>123</v>
      </c>
      <c r="F148" s="70">
        <v>3.9542958091347349E-2</v>
      </c>
      <c r="G148" s="70">
        <v>4.6826724354332154E-2</v>
      </c>
      <c r="H148" s="70">
        <v>5.5899422447569E-2</v>
      </c>
      <c r="I148" s="70">
        <v>6.1814028395943597E-2</v>
      </c>
      <c r="J148" s="62">
        <v>6.5774149007014587E-2</v>
      </c>
      <c r="K148" s="70">
        <v>1.8225860913473517E-3</v>
      </c>
      <c r="L148" s="70">
        <v>9.9090084543321487E-3</v>
      </c>
      <c r="M148" s="70">
        <v>1.8226048747568994E-2</v>
      </c>
      <c r="N148" s="70">
        <v>2.2999740595943584E-2</v>
      </c>
      <c r="O148" s="62">
        <v>2.5638119307014578E-2</v>
      </c>
      <c r="P148" s="54" t="s">
        <v>482</v>
      </c>
      <c r="Q148" s="52" t="s">
        <v>483</v>
      </c>
      <c r="R148" s="93">
        <v>47557</v>
      </c>
      <c r="S148" s="72">
        <v>4.8065910000000003E-2</v>
      </c>
      <c r="T148" s="62">
        <v>7.8335124475689966E-3</v>
      </c>
      <c r="V148" s="113">
        <v>1.11147207</v>
      </c>
      <c r="W148" s="71">
        <v>2.8369228900000003</v>
      </c>
      <c r="X148" s="71">
        <v>4.3064105699999997</v>
      </c>
      <c r="Y148" s="71">
        <v>5.5037607800000004</v>
      </c>
      <c r="Z148" s="114">
        <v>6.9107479900000008</v>
      </c>
    </row>
    <row r="149" spans="2:26" x14ac:dyDescent="0.35">
      <c r="B149" s="54" t="s">
        <v>318</v>
      </c>
      <c r="C149" s="52" t="s">
        <v>232</v>
      </c>
      <c r="D149" s="52" t="s">
        <v>20</v>
      </c>
      <c r="E149" s="52" t="s">
        <v>316</v>
      </c>
      <c r="F149" s="70">
        <v>3.9676385317668858E-2</v>
      </c>
      <c r="G149" s="70">
        <v>4.7384413780522758E-2</v>
      </c>
      <c r="H149" s="70">
        <v>5.5723508940352336E-2</v>
      </c>
      <c r="I149" s="70">
        <v>6.0470367926249602E-2</v>
      </c>
      <c r="J149" s="62">
        <v>6.4201591288355897E-2</v>
      </c>
      <c r="K149" s="70">
        <v>1.9514473176688541E-3</v>
      </c>
      <c r="L149" s="70">
        <v>1.0437443180522761E-2</v>
      </c>
      <c r="M149" s="70">
        <v>1.8058011840352328E-2</v>
      </c>
      <c r="N149" s="70">
        <v>2.1741031926249592E-2</v>
      </c>
      <c r="O149" s="62">
        <v>2.4155170988355908E-2</v>
      </c>
      <c r="P149" s="54" t="s">
        <v>21</v>
      </c>
      <c r="Q149" s="52" t="s">
        <v>21</v>
      </c>
      <c r="R149" s="93" t="s">
        <v>21</v>
      </c>
      <c r="S149" s="72" t="s">
        <v>21</v>
      </c>
      <c r="T149" s="62" t="s">
        <v>21</v>
      </c>
      <c r="V149" s="113">
        <v>1.1112163499999999</v>
      </c>
      <c r="W149" s="71">
        <v>2.8318901300000001</v>
      </c>
      <c r="X149" s="71">
        <v>4.3027710900000002</v>
      </c>
      <c r="Y149" s="71">
        <v>5.5135874500000002</v>
      </c>
      <c r="Z149" s="114">
        <v>6.9577878499999999</v>
      </c>
    </row>
    <row r="150" spans="2:26" x14ac:dyDescent="0.35">
      <c r="B150" s="54" t="s">
        <v>119</v>
      </c>
      <c r="C150" s="52" t="s">
        <v>232</v>
      </c>
      <c r="D150" s="52" t="s">
        <v>120</v>
      </c>
      <c r="E150" s="52" t="s">
        <v>21</v>
      </c>
      <c r="F150" s="70">
        <v>3.7802626563401664E-2</v>
      </c>
      <c r="G150" s="70">
        <v>4.5543494519730283E-2</v>
      </c>
      <c r="H150" s="70">
        <v>5.4489427364026198E-2</v>
      </c>
      <c r="I150" s="70">
        <v>6.0743622958808585E-2</v>
      </c>
      <c r="J150" s="62">
        <v>6.6847598193554847E-2</v>
      </c>
      <c r="K150" s="70">
        <v>1.3837936340167084E-4</v>
      </c>
      <c r="L150" s="70">
        <v>8.6682941197302778E-3</v>
      </c>
      <c r="M150" s="70">
        <v>1.6873134164026193E-2</v>
      </c>
      <c r="N150" s="70">
        <v>2.1970421558808573E-2</v>
      </c>
      <c r="O150" s="62">
        <v>2.6608697393554859E-2</v>
      </c>
      <c r="P150" s="54" t="s">
        <v>21</v>
      </c>
      <c r="Q150" s="52" t="s">
        <v>21</v>
      </c>
      <c r="R150" s="93" t="s">
        <v>21</v>
      </c>
      <c r="S150" s="72" t="s">
        <v>21</v>
      </c>
      <c r="T150" s="62" t="s">
        <v>21</v>
      </c>
      <c r="V150" s="113">
        <v>1.1137729000000001</v>
      </c>
      <c r="W150" s="71">
        <v>2.8468513300000002</v>
      </c>
      <c r="X150" s="71">
        <v>4.32670449</v>
      </c>
      <c r="Y150" s="71">
        <v>5.5291507700000002</v>
      </c>
      <c r="Z150" s="114">
        <v>6.9028663399999992</v>
      </c>
    </row>
    <row r="151" spans="2:26" x14ac:dyDescent="0.35">
      <c r="B151" s="54" t="s">
        <v>115</v>
      </c>
      <c r="C151" s="52" t="s">
        <v>232</v>
      </c>
      <c r="D151" s="52" t="s">
        <v>31</v>
      </c>
      <c r="E151" s="52" t="s">
        <v>21</v>
      </c>
      <c r="F151" s="70">
        <v>3.8330584756792165E-2</v>
      </c>
      <c r="G151" s="70">
        <v>4.4823894914594299E-2</v>
      </c>
      <c r="H151" s="70">
        <v>5.4142188486605014E-2</v>
      </c>
      <c r="I151" s="70">
        <v>5.9953796488340948E-2</v>
      </c>
      <c r="J151" s="62">
        <v>6.5256525506681096E-2</v>
      </c>
      <c r="K151" s="70">
        <v>6.4687405679216166E-4</v>
      </c>
      <c r="L151" s="70">
        <v>7.985008514594303E-3</v>
      </c>
      <c r="M151" s="70">
        <v>1.6545070286605013E-2</v>
      </c>
      <c r="N151" s="70">
        <v>2.122893618834094E-2</v>
      </c>
      <c r="O151" s="62">
        <v>2.5116586006681093E-2</v>
      </c>
      <c r="P151" s="54" t="s">
        <v>484</v>
      </c>
      <c r="Q151" s="52" t="s">
        <v>485</v>
      </c>
      <c r="R151" s="93">
        <v>47492</v>
      </c>
      <c r="S151" s="72">
        <v>4.6169650000000007E-2</v>
      </c>
      <c r="T151" s="62">
        <v>7.9725384866050075E-3</v>
      </c>
      <c r="V151" s="113">
        <v>1.11276811</v>
      </c>
      <c r="W151" s="71">
        <v>2.8484238299999998</v>
      </c>
      <c r="X151" s="71">
        <v>4.3328008799999997</v>
      </c>
      <c r="Y151" s="71">
        <v>5.5444193200000003</v>
      </c>
      <c r="Z151" s="114">
        <v>6.9505471799999992</v>
      </c>
    </row>
    <row r="152" spans="2:26" x14ac:dyDescent="0.35">
      <c r="B152" s="54" t="s">
        <v>319</v>
      </c>
      <c r="C152" s="52" t="s">
        <v>232</v>
      </c>
      <c r="D152" s="52" t="s">
        <v>97</v>
      </c>
      <c r="E152" s="52" t="s">
        <v>36</v>
      </c>
      <c r="F152" s="70">
        <v>3.8242801862753528E-2</v>
      </c>
      <c r="G152" s="70">
        <v>4.5188982571337244E-2</v>
      </c>
      <c r="H152" s="70">
        <v>5.4053809417059125E-2</v>
      </c>
      <c r="I152" s="70">
        <v>5.9884774028345023E-2</v>
      </c>
      <c r="J152" s="62">
        <v>6.589514552218094E-2</v>
      </c>
      <c r="K152" s="70">
        <v>5.6106276275352633E-4</v>
      </c>
      <c r="L152" s="70">
        <v>8.3314192713372336E-3</v>
      </c>
      <c r="M152" s="70">
        <v>1.6463077517059128E-2</v>
      </c>
      <c r="N152" s="70">
        <v>2.1166926128345018E-2</v>
      </c>
      <c r="O152" s="62">
        <v>2.5715699022180939E-2</v>
      </c>
      <c r="P152" s="54" t="s">
        <v>21</v>
      </c>
      <c r="Q152" s="52" t="s">
        <v>21</v>
      </c>
      <c r="R152" s="93" t="s">
        <v>21</v>
      </c>
      <c r="S152" s="72" t="s">
        <v>21</v>
      </c>
      <c r="T152" s="62" t="s">
        <v>21</v>
      </c>
      <c r="V152" s="113">
        <v>1.11294296</v>
      </c>
      <c r="W152" s="71">
        <v>2.84642514</v>
      </c>
      <c r="X152" s="71">
        <v>4.3315090299999994</v>
      </c>
      <c r="Y152" s="71">
        <v>5.5456744799999997</v>
      </c>
      <c r="Z152" s="114">
        <v>6.9418514799999995</v>
      </c>
    </row>
    <row r="153" spans="2:26" x14ac:dyDescent="0.35">
      <c r="B153" s="54" t="s">
        <v>134</v>
      </c>
      <c r="C153" s="52" t="s">
        <v>232</v>
      </c>
      <c r="D153" s="52" t="s">
        <v>43</v>
      </c>
      <c r="E153" s="52" t="s">
        <v>486</v>
      </c>
      <c r="F153" s="70">
        <v>3.8179893717456968E-2</v>
      </c>
      <c r="G153" s="70">
        <v>4.480458362166409E-2</v>
      </c>
      <c r="H153" s="70">
        <v>5.3597699684256518E-2</v>
      </c>
      <c r="I153" s="70">
        <v>5.9222732514086891E-2</v>
      </c>
      <c r="J153" s="62">
        <v>6.4851365526102281E-2</v>
      </c>
      <c r="K153" s="70">
        <v>5.0986571745696967E-4</v>
      </c>
      <c r="L153" s="70">
        <v>7.9701493216640922E-3</v>
      </c>
      <c r="M153" s="70">
        <v>1.6035039784256522E-2</v>
      </c>
      <c r="N153" s="70">
        <v>2.0546582814086896E-2</v>
      </c>
      <c r="O153" s="62">
        <v>2.4736083826102276E-2</v>
      </c>
      <c r="P153" s="54" t="s">
        <v>487</v>
      </c>
      <c r="Q153" s="52" t="s">
        <v>488</v>
      </c>
      <c r="R153" s="93" t="s">
        <v>32</v>
      </c>
      <c r="S153" s="72">
        <v>4.8357000000000004E-2</v>
      </c>
      <c r="T153" s="62">
        <v>5.240699684256514E-3</v>
      </c>
      <c r="V153" s="113">
        <v>1.11300489</v>
      </c>
      <c r="W153" s="71">
        <v>2.84943583</v>
      </c>
      <c r="X153" s="71">
        <v>4.3391377200000001</v>
      </c>
      <c r="Y153" s="71">
        <v>5.5611431500000004</v>
      </c>
      <c r="Z153" s="114">
        <v>6.9776540600000008</v>
      </c>
    </row>
    <row r="154" spans="2:26" x14ac:dyDescent="0.35">
      <c r="B154" s="54" t="s">
        <v>326</v>
      </c>
      <c r="C154" s="52" t="s">
        <v>232</v>
      </c>
      <c r="D154" s="52" t="s">
        <v>255</v>
      </c>
      <c r="E154" s="52" t="s">
        <v>21</v>
      </c>
      <c r="F154" s="70">
        <v>3.9166727733844865E-2</v>
      </c>
      <c r="G154" s="70">
        <v>4.5393123335896554E-2</v>
      </c>
      <c r="H154" s="70">
        <v>5.3593884357552593E-2</v>
      </c>
      <c r="I154" s="70">
        <v>5.7922137330221148E-2</v>
      </c>
      <c r="J154" s="62">
        <v>6.1942837440483733E-2</v>
      </c>
      <c r="K154" s="70">
        <v>1.4429029338448689E-3</v>
      </c>
      <c r="L154" s="70">
        <v>8.5235929358965564E-3</v>
      </c>
      <c r="M154" s="70">
        <v>1.6026433157552592E-2</v>
      </c>
      <c r="N154" s="70">
        <v>1.9323292230221143E-2</v>
      </c>
      <c r="O154" s="62">
        <v>2.2000111440483729E-2</v>
      </c>
      <c r="P154" s="54" t="s">
        <v>21</v>
      </c>
      <c r="Q154" s="52" t="s">
        <v>21</v>
      </c>
      <c r="R154" s="93" t="s">
        <v>21</v>
      </c>
      <c r="S154" s="72" t="s">
        <v>21</v>
      </c>
      <c r="T154" s="62" t="s">
        <v>21</v>
      </c>
      <c r="V154" s="113">
        <v>1.1112322000000001</v>
      </c>
      <c r="W154" s="71">
        <v>2.8421352300000002</v>
      </c>
      <c r="X154" s="71">
        <v>4.33135504</v>
      </c>
      <c r="Y154" s="71">
        <v>5.5715173899999995</v>
      </c>
      <c r="Z154" s="114">
        <v>7.0580314299999998</v>
      </c>
    </row>
    <row r="155" spans="2:26" x14ac:dyDescent="0.35">
      <c r="B155" s="54" t="s">
        <v>333</v>
      </c>
      <c r="C155" s="52" t="s">
        <v>232</v>
      </c>
      <c r="D155" s="52" t="s">
        <v>20</v>
      </c>
      <c r="E155" s="52" t="s">
        <v>21</v>
      </c>
      <c r="F155" s="70">
        <v>3.9129449912797445E-2</v>
      </c>
      <c r="G155" s="70">
        <v>4.5924212861868395E-2</v>
      </c>
      <c r="H155" s="70">
        <v>5.4577201267594098E-2</v>
      </c>
      <c r="I155" s="70">
        <v>5.8790012356979122E-2</v>
      </c>
      <c r="J155" s="62">
        <v>6.2520263929176714E-2</v>
      </c>
      <c r="K155" s="70">
        <v>1.4359809127974504E-3</v>
      </c>
      <c r="L155" s="70">
        <v>9.0569328618683928E-3</v>
      </c>
      <c r="M155" s="70">
        <v>1.6984697367594104E-2</v>
      </c>
      <c r="N155" s="70">
        <v>2.0173467456979122E-2</v>
      </c>
      <c r="O155" s="62">
        <v>2.2580220029176718E-2</v>
      </c>
      <c r="P155" s="54" t="s">
        <v>21</v>
      </c>
      <c r="Q155" s="52" t="s">
        <v>21</v>
      </c>
      <c r="R155" s="93" t="s">
        <v>21</v>
      </c>
      <c r="S155" s="72" t="s">
        <v>21</v>
      </c>
      <c r="T155" s="62" t="s">
        <v>21</v>
      </c>
      <c r="V155" s="113">
        <v>1.1122038000000001</v>
      </c>
      <c r="W155" s="71">
        <v>2.8447449199999997</v>
      </c>
      <c r="X155" s="71">
        <v>4.3296567100000001</v>
      </c>
      <c r="Y155" s="71">
        <v>5.5619018899999997</v>
      </c>
      <c r="Z155" s="114">
        <v>7.0437815200000005</v>
      </c>
    </row>
    <row r="156" spans="2:26" x14ac:dyDescent="0.35">
      <c r="B156" s="54" t="s">
        <v>126</v>
      </c>
      <c r="C156" s="52" t="s">
        <v>232</v>
      </c>
      <c r="D156" s="52" t="s">
        <v>69</v>
      </c>
      <c r="E156" s="52" t="s">
        <v>133</v>
      </c>
      <c r="F156" s="70">
        <v>3.7381090843859315E-2</v>
      </c>
      <c r="G156" s="70">
        <v>4.4690727996749009E-2</v>
      </c>
      <c r="H156" s="70">
        <v>5.3156801078853254E-2</v>
      </c>
      <c r="I156" s="70">
        <v>5.8776613641060654E-2</v>
      </c>
      <c r="J156" s="62">
        <v>6.4566371553234927E-2</v>
      </c>
      <c r="K156" s="70" t="s">
        <v>21</v>
      </c>
      <c r="L156" s="70">
        <v>7.8602282967490111E-3</v>
      </c>
      <c r="M156" s="70">
        <v>1.5619822478853258E-2</v>
      </c>
      <c r="N156" s="70">
        <v>2.0131824241060657E-2</v>
      </c>
      <c r="O156" s="62">
        <v>2.4473777453234941E-2</v>
      </c>
      <c r="P156" s="54" t="s">
        <v>489</v>
      </c>
      <c r="Q156" s="52" t="s">
        <v>490</v>
      </c>
      <c r="R156" s="93">
        <v>47484</v>
      </c>
      <c r="S156" s="72">
        <v>4.6861649999999998E-2</v>
      </c>
      <c r="T156" s="62">
        <v>6.2951510788532561E-3</v>
      </c>
      <c r="V156" s="113">
        <v>1.11454092</v>
      </c>
      <c r="W156" s="71">
        <v>2.8546827000000001</v>
      </c>
      <c r="X156" s="71">
        <v>4.34887099</v>
      </c>
      <c r="Y156" s="71">
        <v>5.5778738500000005</v>
      </c>
      <c r="Z156" s="114">
        <v>7.0030687399999998</v>
      </c>
    </row>
    <row r="157" spans="2:26" x14ac:dyDescent="0.35">
      <c r="B157" s="54" t="s">
        <v>132</v>
      </c>
      <c r="C157" s="52" t="s">
        <v>232</v>
      </c>
      <c r="D157" s="52" t="s">
        <v>20</v>
      </c>
      <c r="E157" s="52" t="s">
        <v>135</v>
      </c>
      <c r="F157" s="70">
        <v>3.8679047455336187E-2</v>
      </c>
      <c r="G157" s="70">
        <v>4.591507899036306E-2</v>
      </c>
      <c r="H157" s="70">
        <v>5.4081063211888408E-2</v>
      </c>
      <c r="I157" s="70">
        <v>5.7956226304104977E-2</v>
      </c>
      <c r="J157" s="62">
        <v>6.2048394309534023E-2</v>
      </c>
      <c r="K157" s="70">
        <v>9.9422845533619474E-4</v>
      </c>
      <c r="L157" s="70">
        <v>9.0435195903630673E-3</v>
      </c>
      <c r="M157" s="70">
        <v>1.6514245911888409E-2</v>
      </c>
      <c r="N157" s="70">
        <v>1.9389865304104976E-2</v>
      </c>
      <c r="O157" s="62">
        <v>2.2130642009534005E-2</v>
      </c>
      <c r="P157" s="54" t="s">
        <v>491</v>
      </c>
      <c r="Q157" s="52" t="s">
        <v>492</v>
      </c>
      <c r="R157" s="93">
        <v>47567</v>
      </c>
      <c r="S157" s="72">
        <v>4.7713859999999997E-2</v>
      </c>
      <c r="T157" s="62">
        <v>6.3672032118884114E-3</v>
      </c>
      <c r="V157" s="113">
        <v>1.1131318800000001</v>
      </c>
      <c r="W157" s="71">
        <v>2.8458634599999999</v>
      </c>
      <c r="X157" s="71">
        <v>4.33464749</v>
      </c>
      <c r="Y157" s="71">
        <v>5.5752766099999995</v>
      </c>
      <c r="Z157" s="114">
        <v>7.0708366199999997</v>
      </c>
    </row>
    <row r="158" spans="2:26" x14ac:dyDescent="0.35">
      <c r="B158" s="54" t="s">
        <v>127</v>
      </c>
      <c r="C158" s="52" t="s">
        <v>232</v>
      </c>
      <c r="D158" s="52" t="s">
        <v>62</v>
      </c>
      <c r="E158" s="52" t="s">
        <v>493</v>
      </c>
      <c r="F158" s="70">
        <v>3.8111662190429212E-2</v>
      </c>
      <c r="G158" s="70">
        <v>4.4537843857074079E-2</v>
      </c>
      <c r="H158" s="70">
        <v>5.2918654822587209E-2</v>
      </c>
      <c r="I158" s="70">
        <v>5.8228914185254436E-2</v>
      </c>
      <c r="J158" s="62">
        <v>6.3383626684554745E-2</v>
      </c>
      <c r="K158" s="70">
        <v>4.4116209042921115E-4</v>
      </c>
      <c r="L158" s="70">
        <v>7.7156292570740781E-3</v>
      </c>
      <c r="M158" s="70">
        <v>1.5395290322587211E-2</v>
      </c>
      <c r="N158" s="70">
        <v>1.9618247285254433E-2</v>
      </c>
      <c r="O158" s="62">
        <v>2.336379808455475E-2</v>
      </c>
      <c r="P158" s="54" t="s">
        <v>494</v>
      </c>
      <c r="Q158" s="52" t="s">
        <v>495</v>
      </c>
      <c r="R158" s="93">
        <v>47635</v>
      </c>
      <c r="S158" s="72">
        <v>4.8166630000000002E-2</v>
      </c>
      <c r="T158" s="62">
        <v>4.7520248225872072E-3</v>
      </c>
      <c r="V158" s="113">
        <v>1.11315309</v>
      </c>
      <c r="W158" s="71">
        <v>2.8524130099999998</v>
      </c>
      <c r="X158" s="71">
        <v>4.3494961600000002</v>
      </c>
      <c r="Y158" s="71">
        <v>5.5861937900000003</v>
      </c>
      <c r="Z158" s="114">
        <v>7.0384873099999998</v>
      </c>
    </row>
    <row r="159" spans="2:26" x14ac:dyDescent="0.35">
      <c r="B159" s="54" t="s">
        <v>330</v>
      </c>
      <c r="C159" s="52" t="s">
        <v>232</v>
      </c>
      <c r="D159" s="52" t="s">
        <v>97</v>
      </c>
      <c r="E159" s="52" t="s">
        <v>21</v>
      </c>
      <c r="F159" s="70">
        <v>3.886525947473507E-2</v>
      </c>
      <c r="G159" s="70">
        <v>4.4684462997743805E-2</v>
      </c>
      <c r="H159" s="70">
        <v>5.2867100856644415E-2</v>
      </c>
      <c r="I159" s="70">
        <v>5.7284273188281234E-2</v>
      </c>
      <c r="J159" s="62">
        <v>6.0672317757743531E-2</v>
      </c>
      <c r="K159" s="70">
        <v>1.1550408747350712E-3</v>
      </c>
      <c r="L159" s="70">
        <v>7.8509107977438059E-3</v>
      </c>
      <c r="M159" s="70">
        <v>1.534239365664441E-2</v>
      </c>
      <c r="N159" s="70">
        <v>1.8726003288281244E-2</v>
      </c>
      <c r="O159" s="62">
        <v>2.0808665057743553E-2</v>
      </c>
      <c r="P159" s="54" t="s">
        <v>381</v>
      </c>
      <c r="Q159" s="52" t="s">
        <v>382</v>
      </c>
      <c r="R159" s="93">
        <v>47497</v>
      </c>
      <c r="S159" s="72">
        <v>4.708296E-2</v>
      </c>
      <c r="T159" s="62">
        <v>5.7841408566444152E-3</v>
      </c>
      <c r="V159" s="113">
        <v>1.1117914600000001</v>
      </c>
      <c r="W159" s="71">
        <v>2.84846457</v>
      </c>
      <c r="X159" s="71">
        <v>4.3459210499999994</v>
      </c>
      <c r="Y159" s="71">
        <v>5.5947736199999998</v>
      </c>
      <c r="Z159" s="114">
        <v>7.1082617099999998</v>
      </c>
    </row>
    <row r="160" spans="2:26" x14ac:dyDescent="0.35">
      <c r="B160" s="54" t="s">
        <v>121</v>
      </c>
      <c r="C160" s="52" t="s">
        <v>232</v>
      </c>
      <c r="D160" s="52" t="s">
        <v>69</v>
      </c>
      <c r="E160" s="52" t="s">
        <v>21</v>
      </c>
      <c r="F160" s="70">
        <v>3.7653016010568821E-2</v>
      </c>
      <c r="G160" s="70">
        <v>4.4068594775341627E-2</v>
      </c>
      <c r="H160" s="70">
        <v>5.2666449762936565E-2</v>
      </c>
      <c r="I160" s="70">
        <v>5.9065946113748775E-2</v>
      </c>
      <c r="J160" s="62">
        <v>6.3751017098732279E-2</v>
      </c>
      <c r="K160" s="70" t="s">
        <v>21</v>
      </c>
      <c r="L160" s="70">
        <v>7.2650053753416308E-3</v>
      </c>
      <c r="M160" s="70">
        <v>1.5154305462936567E-2</v>
      </c>
      <c r="N160" s="70">
        <v>2.0400419413748778E-2</v>
      </c>
      <c r="O160" s="62">
        <v>2.3713575098732287E-2</v>
      </c>
      <c r="P160" s="54" t="s">
        <v>21</v>
      </c>
      <c r="Q160" s="52" t="s">
        <v>21</v>
      </c>
      <c r="R160" s="93" t="s">
        <v>21</v>
      </c>
      <c r="S160" s="72" t="s">
        <v>21</v>
      </c>
      <c r="T160" s="62" t="s">
        <v>21</v>
      </c>
      <c r="V160" s="113">
        <v>1.1140644900000001</v>
      </c>
      <c r="W160" s="71">
        <v>2.8552433700000002</v>
      </c>
      <c r="X160" s="71">
        <v>4.3557492800000004</v>
      </c>
      <c r="Y160" s="71">
        <v>5.5816835899999999</v>
      </c>
      <c r="Z160" s="114">
        <v>7.0204519500000009</v>
      </c>
    </row>
    <row r="161" spans="2:26" x14ac:dyDescent="0.35">
      <c r="B161" s="54" t="s">
        <v>328</v>
      </c>
      <c r="C161" s="52" t="s">
        <v>232</v>
      </c>
      <c r="D161" s="52" t="s">
        <v>31</v>
      </c>
      <c r="E161" s="52" t="s">
        <v>133</v>
      </c>
      <c r="F161" s="70">
        <v>3.8064998202802632E-2</v>
      </c>
      <c r="G161" s="70">
        <v>4.4787963773779568E-2</v>
      </c>
      <c r="H161" s="70">
        <v>5.2569527194264096E-2</v>
      </c>
      <c r="I161" s="70">
        <v>5.7362392077912938E-2</v>
      </c>
      <c r="J161" s="62">
        <v>6.1817894957717286E-2</v>
      </c>
      <c r="K161" s="70">
        <v>3.878719028026353E-4</v>
      </c>
      <c r="L161" s="70">
        <v>7.948829873779574E-3</v>
      </c>
      <c r="M161" s="70">
        <v>1.5060884894264093E-2</v>
      </c>
      <c r="N161" s="70">
        <v>1.8798336977912944E-2</v>
      </c>
      <c r="O161" s="62">
        <v>2.1883795257717283E-2</v>
      </c>
      <c r="P161" s="54" t="s">
        <v>21</v>
      </c>
      <c r="Q161" s="52" t="s">
        <v>21</v>
      </c>
      <c r="R161" s="93" t="s">
        <v>21</v>
      </c>
      <c r="S161" s="72" t="s">
        <v>21</v>
      </c>
      <c r="T161" s="62" t="s">
        <v>21</v>
      </c>
      <c r="V161" s="113">
        <v>1.1132933899999999</v>
      </c>
      <c r="W161" s="71">
        <v>2.8494131</v>
      </c>
      <c r="X161" s="71">
        <v>4.3494807500000006</v>
      </c>
      <c r="Y161" s="71">
        <v>5.5979218700000004</v>
      </c>
      <c r="Z161" s="114">
        <v>7.0856809600000004</v>
      </c>
    </row>
    <row r="162" spans="2:26" x14ac:dyDescent="0.35">
      <c r="B162" s="54" t="s">
        <v>331</v>
      </c>
      <c r="C162" s="52" t="s">
        <v>232</v>
      </c>
      <c r="D162" s="52" t="s">
        <v>20</v>
      </c>
      <c r="E162" s="52" t="s">
        <v>236</v>
      </c>
      <c r="F162" s="70">
        <v>3.8445483176279376E-2</v>
      </c>
      <c r="G162" s="70">
        <v>4.5087574476704799E-2</v>
      </c>
      <c r="H162" s="70">
        <v>5.3398404449188849E-2</v>
      </c>
      <c r="I162" s="70">
        <v>5.8163749997332696E-2</v>
      </c>
      <c r="J162" s="62">
        <v>6.1854260568671632E-2</v>
      </c>
      <c r="K162" s="70">
        <v>7.7224067627938014E-4</v>
      </c>
      <c r="L162" s="70">
        <v>8.2580594767047988E-3</v>
      </c>
      <c r="M162" s="70">
        <v>1.5871857249188843E-2</v>
      </c>
      <c r="N162" s="70">
        <v>1.9583539397332685E-2</v>
      </c>
      <c r="O162" s="62">
        <v>2.1954331268671606E-2</v>
      </c>
      <c r="P162" s="54" t="s">
        <v>21</v>
      </c>
      <c r="Q162" s="52" t="s">
        <v>21</v>
      </c>
      <c r="R162" s="93" t="s">
        <v>21</v>
      </c>
      <c r="S162" s="72" t="s">
        <v>21</v>
      </c>
      <c r="T162" s="62" t="s">
        <v>21</v>
      </c>
      <c r="V162" s="113">
        <v>1.1135256200000001</v>
      </c>
      <c r="W162" s="71">
        <v>2.8516423400000002</v>
      </c>
      <c r="X162" s="71">
        <v>4.3487617399999996</v>
      </c>
      <c r="Y162" s="71">
        <v>5.5905637600000002</v>
      </c>
      <c r="Z162" s="114">
        <v>7.0852045000000006</v>
      </c>
    </row>
    <row r="163" spans="2:26" x14ac:dyDescent="0.35">
      <c r="B163" s="54" t="s">
        <v>331</v>
      </c>
      <c r="C163" s="52" t="s">
        <v>232</v>
      </c>
      <c r="D163" s="52" t="s">
        <v>20</v>
      </c>
      <c r="E163" s="52" t="s">
        <v>21</v>
      </c>
      <c r="F163" s="70">
        <v>3.8445483176279376E-2</v>
      </c>
      <c r="G163" s="70">
        <v>4.5087574476704799E-2</v>
      </c>
      <c r="H163" s="70">
        <v>5.3398404449188849E-2</v>
      </c>
      <c r="I163" s="70">
        <v>5.8163749997332696E-2</v>
      </c>
      <c r="J163" s="62">
        <v>6.1854260568671632E-2</v>
      </c>
      <c r="K163" s="70">
        <v>7.7224067627938014E-4</v>
      </c>
      <c r="L163" s="70">
        <v>8.2580594767047988E-3</v>
      </c>
      <c r="M163" s="70">
        <v>1.5871857249188843E-2</v>
      </c>
      <c r="N163" s="70">
        <v>1.9583539397332685E-2</v>
      </c>
      <c r="O163" s="62">
        <v>2.1954331268671606E-2</v>
      </c>
      <c r="P163" s="54" t="s">
        <v>21</v>
      </c>
      <c r="Q163" s="52" t="s">
        <v>21</v>
      </c>
      <c r="R163" s="93" t="s">
        <v>21</v>
      </c>
      <c r="S163" s="72" t="s">
        <v>21</v>
      </c>
      <c r="T163" s="62" t="s">
        <v>21</v>
      </c>
      <c r="V163" s="113">
        <v>1.1135256200000001</v>
      </c>
      <c r="W163" s="71">
        <v>2.8516423400000002</v>
      </c>
      <c r="X163" s="71">
        <v>4.3487617399999996</v>
      </c>
      <c r="Y163" s="71">
        <v>5.5905637600000002</v>
      </c>
      <c r="Z163" s="114">
        <v>7.0852045000000006</v>
      </c>
    </row>
    <row r="164" spans="2:26" x14ac:dyDescent="0.35">
      <c r="B164" s="54" t="s">
        <v>327</v>
      </c>
      <c r="C164" s="52" t="s">
        <v>232</v>
      </c>
      <c r="D164" s="52" t="s">
        <v>43</v>
      </c>
      <c r="E164" s="52" t="s">
        <v>21</v>
      </c>
      <c r="F164" s="70">
        <v>3.7916350383134415E-2</v>
      </c>
      <c r="G164" s="70">
        <v>4.4314026938342327E-2</v>
      </c>
      <c r="H164" s="70">
        <v>5.1981817236434802E-2</v>
      </c>
      <c r="I164" s="70">
        <v>5.7114310373672053E-2</v>
      </c>
      <c r="J164" s="62">
        <v>6.1724976107850972E-2</v>
      </c>
      <c r="K164" s="70">
        <v>2.4543698313441581E-4</v>
      </c>
      <c r="L164" s="70">
        <v>7.4984054383423291E-3</v>
      </c>
      <c r="M164" s="70">
        <v>1.4506305336434806E-2</v>
      </c>
      <c r="N164" s="70">
        <v>1.8568405573672071E-2</v>
      </c>
      <c r="O164" s="62">
        <v>2.1801224807850978E-2</v>
      </c>
      <c r="P164" s="54" t="s">
        <v>21</v>
      </c>
      <c r="Q164" s="52" t="s">
        <v>21</v>
      </c>
      <c r="R164" s="93" t="s">
        <v>21</v>
      </c>
      <c r="S164" s="72" t="s">
        <v>21</v>
      </c>
      <c r="T164" s="62" t="s">
        <v>21</v>
      </c>
      <c r="V164" s="113">
        <v>1.1135718100000001</v>
      </c>
      <c r="W164" s="71">
        <v>2.8528795599999999</v>
      </c>
      <c r="X164" s="71">
        <v>4.3596958199999998</v>
      </c>
      <c r="Y164" s="71">
        <v>5.6127021399999997</v>
      </c>
      <c r="Z164" s="114">
        <v>7.1032458000000007</v>
      </c>
    </row>
    <row r="165" spans="2:26" x14ac:dyDescent="0.35">
      <c r="B165" s="54" t="s">
        <v>235</v>
      </c>
      <c r="C165" s="52" t="s">
        <v>232</v>
      </c>
      <c r="D165" s="52" t="s">
        <v>31</v>
      </c>
      <c r="E165" s="52" t="s">
        <v>142</v>
      </c>
      <c r="F165" s="70">
        <v>3.7614484185259936E-2</v>
      </c>
      <c r="G165" s="70">
        <v>4.4265991968790878E-2</v>
      </c>
      <c r="H165" s="70">
        <v>5.1838768229492758E-2</v>
      </c>
      <c r="I165" s="70">
        <v>5.7203012832816265E-2</v>
      </c>
      <c r="J165" s="62">
        <v>6.2361347649972115E-2</v>
      </c>
      <c r="K165" s="70" t="s">
        <v>21</v>
      </c>
      <c r="L165" s="70">
        <v>7.4502422687908821E-3</v>
      </c>
      <c r="M165" s="70">
        <v>1.4368682529492752E-2</v>
      </c>
      <c r="N165" s="70">
        <v>1.8647303032816268E-2</v>
      </c>
      <c r="O165" s="62">
        <v>2.2394058249972117E-2</v>
      </c>
      <c r="P165" s="54" t="s">
        <v>21</v>
      </c>
      <c r="Q165" s="52" t="s">
        <v>21</v>
      </c>
      <c r="R165" s="93" t="s">
        <v>21</v>
      </c>
      <c r="S165" s="72" t="s">
        <v>21</v>
      </c>
      <c r="T165" s="62" t="s">
        <v>21</v>
      </c>
      <c r="V165" s="113">
        <v>1.1141715999999999</v>
      </c>
      <c r="W165" s="71">
        <v>2.8545409500000001</v>
      </c>
      <c r="X165" s="71">
        <v>4.3625151100000004</v>
      </c>
      <c r="Y165" s="71">
        <v>5.6136981800000001</v>
      </c>
      <c r="Z165" s="114">
        <v>7.0874922199999997</v>
      </c>
    </row>
    <row r="166" spans="2:26" x14ac:dyDescent="0.35">
      <c r="B166" s="54" t="s">
        <v>240</v>
      </c>
      <c r="C166" s="52" t="s">
        <v>232</v>
      </c>
      <c r="D166" s="52" t="s">
        <v>20</v>
      </c>
      <c r="E166" s="52" t="s">
        <v>21</v>
      </c>
      <c r="F166" s="70">
        <v>3.7822597349866038E-2</v>
      </c>
      <c r="G166" s="70">
        <v>4.410778990652086E-2</v>
      </c>
      <c r="H166" s="70">
        <v>5.2643473762031476E-2</v>
      </c>
      <c r="I166" s="70">
        <v>5.6902067975797006E-2</v>
      </c>
      <c r="J166" s="62">
        <v>6.09610055343578E-2</v>
      </c>
      <c r="K166" s="70">
        <v>1.7835144986604046E-4</v>
      </c>
      <c r="L166" s="70">
        <v>7.3272341065208618E-3</v>
      </c>
      <c r="M166" s="70">
        <v>1.5160198662031471E-2</v>
      </c>
      <c r="N166" s="70">
        <v>1.8400870975797005E-2</v>
      </c>
      <c r="O166" s="62">
        <v>2.1113398934357815E-2</v>
      </c>
      <c r="P166" s="54" t="s">
        <v>21</v>
      </c>
      <c r="Q166" s="52" t="s">
        <v>21</v>
      </c>
      <c r="R166" s="93" t="s">
        <v>21</v>
      </c>
      <c r="S166" s="72" t="s">
        <v>21</v>
      </c>
      <c r="T166" s="62" t="s">
        <v>21</v>
      </c>
      <c r="V166" s="113">
        <v>1.1146700599999999</v>
      </c>
      <c r="W166" s="71">
        <v>2.8596022900000002</v>
      </c>
      <c r="X166" s="71">
        <v>4.36667556</v>
      </c>
      <c r="Y166" s="71">
        <v>5.6253061600000001</v>
      </c>
      <c r="Z166" s="114">
        <v>7.1412556599999997</v>
      </c>
    </row>
    <row r="167" spans="2:26" x14ac:dyDescent="0.35">
      <c r="B167" s="54" t="s">
        <v>237</v>
      </c>
      <c r="C167" s="52" t="s">
        <v>232</v>
      </c>
      <c r="D167" s="52" t="s">
        <v>43</v>
      </c>
      <c r="E167" s="52" t="s">
        <v>110</v>
      </c>
      <c r="F167" s="70">
        <v>3.750375142489102E-2</v>
      </c>
      <c r="G167" s="70">
        <v>4.3929432288039839E-2</v>
      </c>
      <c r="H167" s="70">
        <v>5.162041293992127E-2</v>
      </c>
      <c r="I167" s="70">
        <v>5.6618173306619196E-2</v>
      </c>
      <c r="J167" s="62">
        <v>6.0885924316702061E-2</v>
      </c>
      <c r="K167" s="70" t="s">
        <v>21</v>
      </c>
      <c r="L167" s="70">
        <v>7.1321001880398464E-3</v>
      </c>
      <c r="M167" s="70">
        <v>1.416383703992127E-2</v>
      </c>
      <c r="N167" s="70">
        <v>1.810011750661919E-2</v>
      </c>
      <c r="O167" s="62">
        <v>2.1009354716702074E-2</v>
      </c>
      <c r="P167" s="54" t="s">
        <v>21</v>
      </c>
      <c r="Q167" s="52" t="s">
        <v>21</v>
      </c>
      <c r="R167" s="93" t="s">
        <v>21</v>
      </c>
      <c r="S167" s="72" t="s">
        <v>21</v>
      </c>
      <c r="T167" s="62" t="s">
        <v>21</v>
      </c>
      <c r="V167" s="113">
        <v>1.1143481</v>
      </c>
      <c r="W167" s="71">
        <v>2.85651996</v>
      </c>
      <c r="X167" s="71">
        <v>4.3672269100000003</v>
      </c>
      <c r="Y167" s="71">
        <v>5.6261282100000001</v>
      </c>
      <c r="Z167" s="114">
        <v>7.1335941400000005</v>
      </c>
    </row>
    <row r="168" spans="2:26" x14ac:dyDescent="0.35">
      <c r="B168" s="54" t="s">
        <v>329</v>
      </c>
      <c r="C168" s="52" t="s">
        <v>232</v>
      </c>
      <c r="D168" s="52" t="s">
        <v>62</v>
      </c>
      <c r="E168" s="52" t="s">
        <v>21</v>
      </c>
      <c r="F168" s="70">
        <v>3.781416726539534E-2</v>
      </c>
      <c r="G168" s="70">
        <v>4.384795828332963E-2</v>
      </c>
      <c r="H168" s="70">
        <v>5.146764732891447E-2</v>
      </c>
      <c r="I168" s="70">
        <v>5.6095321920858733E-2</v>
      </c>
      <c r="J168" s="62">
        <v>6.087740684830472E-2</v>
      </c>
      <c r="K168" s="70">
        <v>1.4627636539534059E-4</v>
      </c>
      <c r="L168" s="70">
        <v>7.0541067833296261E-3</v>
      </c>
      <c r="M168" s="70">
        <v>1.401885542891447E-2</v>
      </c>
      <c r="N168" s="70">
        <v>1.7606333720858736E-2</v>
      </c>
      <c r="O168" s="62">
        <v>2.1009571248304711E-2</v>
      </c>
      <c r="P168" s="54" t="s">
        <v>21</v>
      </c>
      <c r="Q168" s="52" t="s">
        <v>21</v>
      </c>
      <c r="R168" s="93" t="s">
        <v>21</v>
      </c>
      <c r="S168" s="72" t="s">
        <v>21</v>
      </c>
      <c r="T168" s="62" t="s">
        <v>21</v>
      </c>
      <c r="V168" s="113">
        <v>1.11377093</v>
      </c>
      <c r="W168" s="71">
        <v>2.8560195500000001</v>
      </c>
      <c r="X168" s="71">
        <v>4.3684750299999999</v>
      </c>
      <c r="Y168" s="71">
        <v>5.6345908500000004</v>
      </c>
      <c r="Z168" s="114">
        <v>7.1240908100000002</v>
      </c>
    </row>
    <row r="169" spans="2:26" x14ac:dyDescent="0.35">
      <c r="B169" s="54" t="s">
        <v>374</v>
      </c>
      <c r="C169" s="52" t="s">
        <v>232</v>
      </c>
      <c r="D169" s="52" t="s">
        <v>20</v>
      </c>
      <c r="E169" s="52" t="s">
        <v>21</v>
      </c>
      <c r="F169" s="70">
        <v>3.680084617184208E-2</v>
      </c>
      <c r="G169" s="70">
        <v>4.0730111900326257E-2</v>
      </c>
      <c r="H169" s="70">
        <v>4.5462948906494362E-2</v>
      </c>
      <c r="I169" s="70">
        <v>4.8364549204962089E-2</v>
      </c>
      <c r="J169" s="62">
        <v>5.0934808388200699E-2</v>
      </c>
      <c r="K169" s="70" t="s">
        <v>21</v>
      </c>
      <c r="L169" s="70">
        <v>4.1006966003262549E-3</v>
      </c>
      <c r="M169" s="70">
        <v>8.3291119064943641E-3</v>
      </c>
      <c r="N169" s="70">
        <v>1.0275251104962085E-2</v>
      </c>
      <c r="O169" s="62">
        <v>1.1529619688200696E-2</v>
      </c>
      <c r="P169" s="54" t="s">
        <v>21</v>
      </c>
      <c r="Q169" s="52" t="s">
        <v>21</v>
      </c>
      <c r="R169" s="93" t="s">
        <v>21</v>
      </c>
      <c r="S169" s="72" t="s">
        <v>21</v>
      </c>
      <c r="T169" s="62" t="s">
        <v>21</v>
      </c>
      <c r="V169" s="113">
        <v>1.11659277</v>
      </c>
      <c r="W169" s="71">
        <v>2.8832853900000002</v>
      </c>
      <c r="X169" s="71">
        <v>4.4669062000000004</v>
      </c>
      <c r="Y169" s="71">
        <v>5.8543816899999994</v>
      </c>
      <c r="Z169" s="114">
        <v>7.6241325799999995</v>
      </c>
    </row>
    <row r="170" spans="2:26" x14ac:dyDescent="0.35">
      <c r="B170" s="54" t="s">
        <v>337</v>
      </c>
      <c r="C170" s="52" t="s">
        <v>232</v>
      </c>
      <c r="D170" s="52" t="s">
        <v>31</v>
      </c>
      <c r="E170" s="52" t="s">
        <v>81</v>
      </c>
      <c r="F170" s="70">
        <v>3.7577828532896047E-2</v>
      </c>
      <c r="G170" s="70">
        <v>4.3325779473886758E-2</v>
      </c>
      <c r="H170" s="70">
        <v>5.0377793381567004E-2</v>
      </c>
      <c r="I170" s="70">
        <v>5.5214649723762436E-2</v>
      </c>
      <c r="J170" s="62">
        <v>5.9806335201199552E-2</v>
      </c>
      <c r="K170" s="70" t="s">
        <v>21</v>
      </c>
      <c r="L170" s="70">
        <v>6.5590955738867593E-3</v>
      </c>
      <c r="M170" s="70">
        <v>1.2988055881567002E-2</v>
      </c>
      <c r="N170" s="70">
        <v>1.6774581323762437E-2</v>
      </c>
      <c r="O170" s="62">
        <v>1.9989589401199555E-2</v>
      </c>
      <c r="P170" s="54" t="s">
        <v>385</v>
      </c>
      <c r="Q170" s="52" t="s">
        <v>386</v>
      </c>
      <c r="R170" s="93">
        <v>47519</v>
      </c>
      <c r="S170" s="72">
        <v>4.4337939999999999E-2</v>
      </c>
      <c r="T170" s="62">
        <v>6.039853381567005E-3</v>
      </c>
      <c r="V170" s="113">
        <v>1.1141816199999999</v>
      </c>
      <c r="W170" s="71">
        <v>2.8599337899999999</v>
      </c>
      <c r="X170" s="71">
        <v>4.3839540500000007</v>
      </c>
      <c r="Y170" s="71">
        <v>5.6632785700000001</v>
      </c>
      <c r="Z170" s="114">
        <v>7.1975743100000003</v>
      </c>
    </row>
    <row r="171" spans="2:26" x14ac:dyDescent="0.35">
      <c r="B171" s="54" t="s">
        <v>327</v>
      </c>
      <c r="C171" s="52" t="s">
        <v>232</v>
      </c>
      <c r="D171" s="52" t="s">
        <v>43</v>
      </c>
      <c r="E171" s="52" t="s">
        <v>21</v>
      </c>
      <c r="F171" s="70">
        <v>3.7916350383134415E-2</v>
      </c>
      <c r="G171" s="70">
        <v>4.4314026938342327E-2</v>
      </c>
      <c r="H171" s="70">
        <v>5.1981817236434802E-2</v>
      </c>
      <c r="I171" s="70">
        <v>5.7114310373672053E-2</v>
      </c>
      <c r="J171" s="62">
        <v>6.1724976107850972E-2</v>
      </c>
      <c r="K171" s="70">
        <v>2.4543698313441581E-4</v>
      </c>
      <c r="L171" s="70">
        <v>7.4984054383423291E-3</v>
      </c>
      <c r="M171" s="70">
        <v>1.4506305336434806E-2</v>
      </c>
      <c r="N171" s="70">
        <v>1.8568405573672071E-2</v>
      </c>
      <c r="O171" s="62">
        <v>2.1801224807850978E-2</v>
      </c>
      <c r="P171" s="54" t="s">
        <v>21</v>
      </c>
      <c r="Q171" s="52" t="s">
        <v>21</v>
      </c>
      <c r="R171" s="93" t="s">
        <v>21</v>
      </c>
      <c r="S171" s="72" t="s">
        <v>21</v>
      </c>
      <c r="T171" s="62" t="s">
        <v>21</v>
      </c>
      <c r="V171" s="113">
        <v>1.1135718100000001</v>
      </c>
      <c r="W171" s="71">
        <v>2.8528795599999999</v>
      </c>
      <c r="X171" s="71">
        <v>4.3596958199999998</v>
      </c>
      <c r="Y171" s="71">
        <v>5.6127021399999997</v>
      </c>
      <c r="Z171" s="114">
        <v>7.1032458000000007</v>
      </c>
    </row>
    <row r="172" spans="2:26" x14ac:dyDescent="0.35">
      <c r="B172" s="54" t="s">
        <v>341</v>
      </c>
      <c r="C172" s="52" t="s">
        <v>232</v>
      </c>
      <c r="D172" s="52" t="s">
        <v>69</v>
      </c>
      <c r="E172" s="52" t="s">
        <v>21</v>
      </c>
      <c r="F172" s="70">
        <v>3.7289865658094098E-2</v>
      </c>
      <c r="G172" s="70">
        <v>4.3135977954968312E-2</v>
      </c>
      <c r="H172" s="70">
        <v>5.0019408187402498E-2</v>
      </c>
      <c r="I172" s="70">
        <v>5.4012956877316137E-2</v>
      </c>
      <c r="J172" s="62">
        <v>5.8394552976915988E-2</v>
      </c>
      <c r="K172" s="70" t="s">
        <v>21</v>
      </c>
      <c r="L172" s="70">
        <v>6.3741231549683149E-3</v>
      </c>
      <c r="M172" s="70">
        <v>1.26452576874025E-2</v>
      </c>
      <c r="N172" s="70">
        <v>1.5635096977316139E-2</v>
      </c>
      <c r="O172" s="62">
        <v>1.8651995376915982E-2</v>
      </c>
      <c r="P172" s="54" t="s">
        <v>496</v>
      </c>
      <c r="Q172" s="52" t="s">
        <v>497</v>
      </c>
      <c r="R172" s="93" t="s">
        <v>32</v>
      </c>
      <c r="S172" s="72">
        <v>4.722697E-2</v>
      </c>
      <c r="T172" s="62">
        <v>2.7924381874024976E-3</v>
      </c>
      <c r="V172" s="113">
        <v>1.11478108</v>
      </c>
      <c r="W172" s="71">
        <v>2.8621787700000003</v>
      </c>
      <c r="X172" s="71">
        <v>4.3900515799999997</v>
      </c>
      <c r="Y172" s="71">
        <v>5.6858631299999995</v>
      </c>
      <c r="Z172" s="114">
        <v>7.2566356400000007</v>
      </c>
    </row>
    <row r="173" spans="2:26" x14ac:dyDescent="0.35">
      <c r="B173" s="54" t="s">
        <v>141</v>
      </c>
      <c r="C173" s="52" t="s">
        <v>232</v>
      </c>
      <c r="D173" s="52" t="s">
        <v>53</v>
      </c>
      <c r="E173" s="52" t="s">
        <v>123</v>
      </c>
      <c r="F173" s="70">
        <v>3.7290498337439075E-2</v>
      </c>
      <c r="G173" s="70">
        <v>4.3181156942288829E-2</v>
      </c>
      <c r="H173" s="70">
        <v>5.0017274633075683E-2</v>
      </c>
      <c r="I173" s="70">
        <v>5.4578676532424042E-2</v>
      </c>
      <c r="J173" s="62">
        <v>5.9422740194792031E-2</v>
      </c>
      <c r="K173" s="70" t="s">
        <v>21</v>
      </c>
      <c r="L173" s="70">
        <v>6.4212306422888315E-3</v>
      </c>
      <c r="M173" s="70">
        <v>1.2646068233075682E-2</v>
      </c>
      <c r="N173" s="70">
        <v>1.6172703232424045E-2</v>
      </c>
      <c r="O173" s="62">
        <v>1.9625321294792039E-2</v>
      </c>
      <c r="P173" s="54" t="s">
        <v>498</v>
      </c>
      <c r="Q173" s="52" t="s">
        <v>499</v>
      </c>
      <c r="R173" s="93" t="s">
        <v>32</v>
      </c>
      <c r="S173" s="72">
        <v>4.8588659999999999E-2</v>
      </c>
      <c r="T173" s="62">
        <v>1.4286146330756838E-3</v>
      </c>
      <c r="V173" s="113">
        <v>1.1147201400000002</v>
      </c>
      <c r="W173" s="71">
        <v>2.8612852099999997</v>
      </c>
      <c r="X173" s="71">
        <v>4.3891041499999996</v>
      </c>
      <c r="Y173" s="71">
        <v>5.6774532899999999</v>
      </c>
      <c r="Z173" s="114">
        <v>7.2225011500000003</v>
      </c>
    </row>
    <row r="174" spans="2:26" x14ac:dyDescent="0.35">
      <c r="B174" s="54" t="s">
        <v>137</v>
      </c>
      <c r="C174" s="52" t="s">
        <v>232</v>
      </c>
      <c r="D174" s="52" t="s">
        <v>20</v>
      </c>
      <c r="E174" s="52" t="s">
        <v>21</v>
      </c>
      <c r="F174" s="70">
        <v>3.9169467408922645E-2</v>
      </c>
      <c r="G174" s="70">
        <v>4.4648471848049022E-2</v>
      </c>
      <c r="H174" s="70">
        <v>5.0910052887724516E-2</v>
      </c>
      <c r="I174" s="70">
        <v>5.440970115094447E-2</v>
      </c>
      <c r="J174" s="62">
        <v>5.7773637378764051E-2</v>
      </c>
      <c r="K174" s="70">
        <v>1.4663127089226532E-3</v>
      </c>
      <c r="L174" s="70">
        <v>7.8402967480490256E-3</v>
      </c>
      <c r="M174" s="70">
        <v>1.3515991487724513E-2</v>
      </c>
      <c r="N174" s="70">
        <v>1.6037987350944471E-2</v>
      </c>
      <c r="O174" s="62">
        <v>1.8098955478764056E-2</v>
      </c>
      <c r="P174" s="54" t="s">
        <v>500</v>
      </c>
      <c r="Q174" s="52" t="s">
        <v>501</v>
      </c>
      <c r="R174" s="93">
        <v>47423</v>
      </c>
      <c r="S174" s="72">
        <v>4.5865919999999998E-2</v>
      </c>
      <c r="T174" s="62">
        <v>5.0441328877245187E-3</v>
      </c>
      <c r="V174" s="113">
        <v>1.1121814299999999</v>
      </c>
      <c r="W174" s="71">
        <v>2.85151873</v>
      </c>
      <c r="X174" s="71">
        <v>4.3755826500000001</v>
      </c>
      <c r="Y174" s="71">
        <v>5.6703550700000003</v>
      </c>
      <c r="Z174" s="114">
        <v>7.2546473799999998</v>
      </c>
    </row>
    <row r="175" spans="2:26" x14ac:dyDescent="0.35">
      <c r="B175" s="54" t="s">
        <v>158</v>
      </c>
      <c r="C175" s="52" t="s">
        <v>232</v>
      </c>
      <c r="D175" s="52" t="s">
        <v>20</v>
      </c>
      <c r="E175" s="52" t="s">
        <v>338</v>
      </c>
      <c r="F175" s="70">
        <v>3.8485856976505833E-2</v>
      </c>
      <c r="G175" s="70">
        <v>4.416718422570088E-2</v>
      </c>
      <c r="H175" s="70">
        <v>5.0789095668743373E-2</v>
      </c>
      <c r="I175" s="70">
        <v>5.4318820483200622E-2</v>
      </c>
      <c r="J175" s="62">
        <v>5.7716729810831924E-2</v>
      </c>
      <c r="K175" s="70">
        <v>8.1109417650583344E-4</v>
      </c>
      <c r="L175" s="70">
        <v>7.3822639257008849E-3</v>
      </c>
      <c r="M175" s="70">
        <v>1.3401999268743373E-2</v>
      </c>
      <c r="N175" s="70">
        <v>1.5954130783200616E-2</v>
      </c>
      <c r="O175" s="62">
        <v>1.8039532810831937E-2</v>
      </c>
      <c r="P175" s="54" t="s">
        <v>502</v>
      </c>
      <c r="Q175" s="52" t="s">
        <v>503</v>
      </c>
      <c r="R175" s="93">
        <v>47543</v>
      </c>
      <c r="S175" s="72">
        <v>4.6673970000000002E-2</v>
      </c>
      <c r="T175" s="62">
        <v>4.1151256687433704E-3</v>
      </c>
      <c r="V175" s="113">
        <v>1.1134571799999999</v>
      </c>
      <c r="W175" s="71">
        <v>2.8572070200000002</v>
      </c>
      <c r="X175" s="71">
        <v>4.3826127999999995</v>
      </c>
      <c r="Y175" s="71">
        <v>5.6764208500000004</v>
      </c>
      <c r="Z175" s="114">
        <v>7.27469374</v>
      </c>
    </row>
    <row r="176" spans="2:26" x14ac:dyDescent="0.35">
      <c r="B176" s="54" t="s">
        <v>149</v>
      </c>
      <c r="C176" s="52" t="s">
        <v>232</v>
      </c>
      <c r="D176" s="52" t="s">
        <v>53</v>
      </c>
      <c r="E176" s="52" t="s">
        <v>21</v>
      </c>
      <c r="F176" s="70">
        <v>3.7660511758470114E-2</v>
      </c>
      <c r="G176" s="70">
        <v>4.3077496665181715E-2</v>
      </c>
      <c r="H176" s="70">
        <v>4.9760434626729175E-2</v>
      </c>
      <c r="I176" s="70">
        <v>5.4043637755003676E-2</v>
      </c>
      <c r="J176" s="62">
        <v>5.8428857335422607E-2</v>
      </c>
      <c r="K176" s="70">
        <v>1.5724584701230088E-6</v>
      </c>
      <c r="L176" s="70">
        <v>6.3212863651817179E-3</v>
      </c>
      <c r="M176" s="70">
        <v>1.2401410026729179E-2</v>
      </c>
      <c r="N176" s="70">
        <v>1.5665002955003671E-2</v>
      </c>
      <c r="O176" s="62">
        <v>1.8686022135422611E-2</v>
      </c>
      <c r="P176" s="54" t="s">
        <v>504</v>
      </c>
      <c r="Q176" s="52" t="s">
        <v>505</v>
      </c>
      <c r="R176" s="93">
        <v>47498</v>
      </c>
      <c r="S176" s="72">
        <v>4.3502440000000003E-2</v>
      </c>
      <c r="T176" s="62">
        <v>6.2579946267291714E-3</v>
      </c>
      <c r="V176" s="113">
        <v>1.11404288</v>
      </c>
      <c r="W176" s="71">
        <v>2.8612309200000001</v>
      </c>
      <c r="X176" s="71">
        <v>4.3918421800000003</v>
      </c>
      <c r="Y176" s="71">
        <v>5.6878195200000006</v>
      </c>
      <c r="Z176" s="114">
        <v>7.2569542299999998</v>
      </c>
    </row>
    <row r="177" spans="2:26" x14ac:dyDescent="0.35">
      <c r="B177" s="54" t="s">
        <v>150</v>
      </c>
      <c r="C177" s="52" t="s">
        <v>232</v>
      </c>
      <c r="D177" s="52" t="s">
        <v>43</v>
      </c>
      <c r="E177" s="52" t="s">
        <v>21</v>
      </c>
      <c r="F177" s="70">
        <v>3.7726526327162169E-2</v>
      </c>
      <c r="G177" s="70">
        <v>4.292611091506069E-2</v>
      </c>
      <c r="H177" s="70">
        <v>4.9708135068045736E-2</v>
      </c>
      <c r="I177" s="70">
        <v>5.4180715807406035E-2</v>
      </c>
      <c r="J177" s="62">
        <v>5.9195264762384361E-2</v>
      </c>
      <c r="K177" s="70">
        <v>5.8393727162167619E-5</v>
      </c>
      <c r="L177" s="70">
        <v>6.1741234150606943E-3</v>
      </c>
      <c r="M177" s="70">
        <v>1.2349809768045736E-2</v>
      </c>
      <c r="N177" s="70">
        <v>1.5793256907406041E-2</v>
      </c>
      <c r="O177" s="62">
        <v>1.9407392762384373E-2</v>
      </c>
      <c r="P177" s="54" t="s">
        <v>21</v>
      </c>
      <c r="Q177" s="52" t="s">
        <v>21</v>
      </c>
      <c r="R177" s="93" t="s">
        <v>21</v>
      </c>
      <c r="S177" s="72" t="s">
        <v>21</v>
      </c>
      <c r="T177" s="62" t="s">
        <v>21</v>
      </c>
      <c r="V177" s="113">
        <v>1.1139593600000002</v>
      </c>
      <c r="W177" s="71">
        <v>2.8620392800000003</v>
      </c>
      <c r="X177" s="71">
        <v>4.3935057000000004</v>
      </c>
      <c r="Y177" s="71">
        <v>5.6876377099999997</v>
      </c>
      <c r="Z177" s="114">
        <v>7.2388518499999996</v>
      </c>
    </row>
    <row r="178" spans="2:26" x14ac:dyDescent="0.35">
      <c r="B178" s="54" t="s">
        <v>339</v>
      </c>
      <c r="C178" s="52" t="s">
        <v>232</v>
      </c>
      <c r="D178" s="52" t="s">
        <v>69</v>
      </c>
      <c r="E178" s="52" t="s">
        <v>288</v>
      </c>
      <c r="F178" s="70">
        <v>3.7433777158310366E-2</v>
      </c>
      <c r="G178" s="70">
        <v>4.2656572723558259E-2</v>
      </c>
      <c r="H178" s="70">
        <v>4.9489317523802756E-2</v>
      </c>
      <c r="I178" s="70">
        <v>5.3682996303881104E-2</v>
      </c>
      <c r="J178" s="62">
        <v>5.8061805430519441E-2</v>
      </c>
      <c r="K178" s="70" t="s">
        <v>21</v>
      </c>
      <c r="L178" s="70">
        <v>5.9196621235582635E-3</v>
      </c>
      <c r="M178" s="70">
        <v>1.2144113823802753E-2</v>
      </c>
      <c r="N178" s="70">
        <v>1.5323659703881103E-2</v>
      </c>
      <c r="O178" s="62">
        <v>1.8339661030519445E-2</v>
      </c>
      <c r="P178" s="54" t="s">
        <v>21</v>
      </c>
      <c r="Q178" s="52" t="s">
        <v>21</v>
      </c>
      <c r="R178" s="93" t="s">
        <v>21</v>
      </c>
      <c r="S178" s="72" t="s">
        <v>21</v>
      </c>
      <c r="T178" s="62" t="s">
        <v>21</v>
      </c>
      <c r="V178" s="113">
        <v>1.1144720400000001</v>
      </c>
      <c r="W178" s="71">
        <v>2.8645799599999999</v>
      </c>
      <c r="X178" s="71">
        <v>4.3985877999999996</v>
      </c>
      <c r="Y178" s="71">
        <v>5.69940625</v>
      </c>
      <c r="Z178" s="114">
        <v>7.2772256800000008</v>
      </c>
    </row>
    <row r="179" spans="2:26" x14ac:dyDescent="0.35">
      <c r="B179" s="54" t="s">
        <v>367</v>
      </c>
      <c r="C179" s="52" t="s">
        <v>232</v>
      </c>
      <c r="D179" s="52" t="s">
        <v>20</v>
      </c>
      <c r="E179" s="52" t="s">
        <v>21</v>
      </c>
      <c r="F179" s="70">
        <v>3.7630594867610521E-2</v>
      </c>
      <c r="G179" s="70">
        <v>4.1943831877482997E-2</v>
      </c>
      <c r="H179" s="70">
        <v>4.7094533515199419E-2</v>
      </c>
      <c r="I179" s="70">
        <v>5.0161341610759087E-2</v>
      </c>
      <c r="J179" s="62">
        <v>5.2793282390058711E-2</v>
      </c>
      <c r="K179" s="70" t="s">
        <v>21</v>
      </c>
      <c r="L179" s="70">
        <v>5.2617616774830074E-3</v>
      </c>
      <c r="M179" s="70">
        <v>9.8880725151994139E-3</v>
      </c>
      <c r="N179" s="70">
        <v>1.1994951010759085E-2</v>
      </c>
      <c r="O179" s="62">
        <v>1.3321918090058713E-2</v>
      </c>
      <c r="P179" s="54" t="s">
        <v>399</v>
      </c>
      <c r="Q179" s="52" t="s">
        <v>400</v>
      </c>
      <c r="R179" s="93">
        <v>47270</v>
      </c>
      <c r="S179" s="72">
        <v>4.1745000000000004E-2</v>
      </c>
      <c r="T179" s="62">
        <v>5.3495335151994144E-3</v>
      </c>
      <c r="V179" s="113">
        <v>1.1150367800000001</v>
      </c>
      <c r="W179" s="71">
        <v>2.87341969</v>
      </c>
      <c r="X179" s="71">
        <v>4.4387590000000001</v>
      </c>
      <c r="Y179" s="71">
        <v>5.7982737000000002</v>
      </c>
      <c r="Z179" s="114">
        <v>7.5195311599999997</v>
      </c>
    </row>
    <row r="180" spans="2:26" x14ac:dyDescent="0.35">
      <c r="B180" s="54" t="s">
        <v>359</v>
      </c>
      <c r="C180" s="52" t="s">
        <v>232</v>
      </c>
      <c r="D180" s="52" t="s">
        <v>20</v>
      </c>
      <c r="E180" s="52" t="s">
        <v>128</v>
      </c>
      <c r="F180" s="70">
        <v>3.8090758951888092E-2</v>
      </c>
      <c r="G180" s="70">
        <v>4.3501613075183597E-2</v>
      </c>
      <c r="H180" s="70">
        <v>5.0306155703312316E-2</v>
      </c>
      <c r="I180" s="70">
        <v>5.3712950369435006E-2</v>
      </c>
      <c r="J180" s="62">
        <v>5.7089787862688604E-2</v>
      </c>
      <c r="K180" s="70">
        <v>4.3357875188808782E-4</v>
      </c>
      <c r="L180" s="70">
        <v>6.7488349751835975E-3</v>
      </c>
      <c r="M180" s="70">
        <v>1.2944718103312316E-2</v>
      </c>
      <c r="N180" s="70">
        <v>1.5379227869435005E-2</v>
      </c>
      <c r="O180" s="62">
        <v>1.7442877362688607E-2</v>
      </c>
      <c r="P180" s="54" t="s">
        <v>21</v>
      </c>
      <c r="Q180" s="52" t="s">
        <v>21</v>
      </c>
      <c r="R180" s="93" t="s">
        <v>21</v>
      </c>
      <c r="S180" s="72" t="s">
        <v>21</v>
      </c>
      <c r="T180" s="62" t="s">
        <v>21</v>
      </c>
      <c r="V180" s="113">
        <v>1.1141821300000001</v>
      </c>
      <c r="W180" s="71">
        <v>2.8630886800000002</v>
      </c>
      <c r="X180" s="71">
        <v>4.3949734999999999</v>
      </c>
      <c r="Y180" s="71">
        <v>5.7006168800000001</v>
      </c>
      <c r="Z180" s="114">
        <v>7.3127543899999994</v>
      </c>
    </row>
    <row r="181" spans="2:26" x14ac:dyDescent="0.35">
      <c r="B181" s="54" t="s">
        <v>136</v>
      </c>
      <c r="C181" s="52" t="s">
        <v>232</v>
      </c>
      <c r="D181" s="52" t="s">
        <v>47</v>
      </c>
      <c r="E181" s="52" t="s">
        <v>21</v>
      </c>
      <c r="F181" s="70">
        <v>3.7486871508044695E-2</v>
      </c>
      <c r="G181" s="70">
        <v>4.245960386188876E-2</v>
      </c>
      <c r="H181" s="70">
        <v>4.9119432180858687E-2</v>
      </c>
      <c r="I181" s="70">
        <v>5.3131099881049165E-2</v>
      </c>
      <c r="J181" s="62">
        <v>5.7137087890309635E-2</v>
      </c>
      <c r="K181" s="70" t="s">
        <v>21</v>
      </c>
      <c r="L181" s="70">
        <v>5.7347347618887604E-3</v>
      </c>
      <c r="M181" s="70">
        <v>1.1794903280858688E-2</v>
      </c>
      <c r="N181" s="70">
        <v>1.4801760281049171E-2</v>
      </c>
      <c r="O181" s="62">
        <v>1.7464144190309637E-2</v>
      </c>
      <c r="P181" s="54" t="s">
        <v>506</v>
      </c>
      <c r="Q181" s="52" t="s">
        <v>507</v>
      </c>
      <c r="R181" s="93">
        <v>47559</v>
      </c>
      <c r="S181" s="72">
        <v>4.2482309999999995E-2</v>
      </c>
      <c r="T181" s="62">
        <v>6.6371221808586914E-3</v>
      </c>
      <c r="V181" s="113">
        <v>1.11433099</v>
      </c>
      <c r="W181" s="71">
        <v>2.8660424199999999</v>
      </c>
      <c r="X181" s="71">
        <v>4.4039903300000001</v>
      </c>
      <c r="Y181" s="71">
        <v>5.7127000199999998</v>
      </c>
      <c r="Z181" s="114">
        <v>7.3127926199999997</v>
      </c>
    </row>
    <row r="182" spans="2:26" x14ac:dyDescent="0.35">
      <c r="B182" s="54" t="s">
        <v>238</v>
      </c>
      <c r="C182" s="52" t="s">
        <v>232</v>
      </c>
      <c r="D182" s="52" t="s">
        <v>20</v>
      </c>
      <c r="E182" s="52" t="s">
        <v>21</v>
      </c>
      <c r="F182" s="70">
        <v>3.7925254039895683E-2</v>
      </c>
      <c r="G182" s="70">
        <v>4.3644778298213519E-2</v>
      </c>
      <c r="H182" s="70">
        <v>5.005588009484728E-2</v>
      </c>
      <c r="I182" s="70">
        <v>5.4523341159210315E-2</v>
      </c>
      <c r="J182" s="62">
        <v>5.8358959496070693E-2</v>
      </c>
      <c r="K182" s="70">
        <v>2.6774743989567765E-4</v>
      </c>
      <c r="L182" s="70">
        <v>6.8819077982135218E-3</v>
      </c>
      <c r="M182" s="70">
        <v>1.2705022594847275E-2</v>
      </c>
      <c r="N182" s="70">
        <v>1.6145865659210317E-2</v>
      </c>
      <c r="O182" s="62">
        <v>1.8652787196070698E-2</v>
      </c>
      <c r="P182" s="54" t="s">
        <v>508</v>
      </c>
      <c r="Q182" s="52" t="s">
        <v>509</v>
      </c>
      <c r="R182" s="93">
        <v>47515</v>
      </c>
      <c r="S182" s="72">
        <v>4.6630130000000006E-2</v>
      </c>
      <c r="T182" s="62">
        <v>3.4257500948472741E-3</v>
      </c>
      <c r="V182" s="113">
        <v>1.1145241700000001</v>
      </c>
      <c r="W182" s="71">
        <v>2.8613719199999998</v>
      </c>
      <c r="X182" s="71">
        <v>4.39407514</v>
      </c>
      <c r="Y182" s="71">
        <v>5.6896982500000002</v>
      </c>
      <c r="Z182" s="114">
        <v>7.2683</v>
      </c>
    </row>
    <row r="183" spans="2:26" x14ac:dyDescent="0.35">
      <c r="B183" s="54" t="s">
        <v>324</v>
      </c>
      <c r="C183" s="52" t="s">
        <v>232</v>
      </c>
      <c r="D183" s="52" t="s">
        <v>20</v>
      </c>
      <c r="E183" s="52" t="s">
        <v>429</v>
      </c>
      <c r="F183" s="70">
        <v>3.7405437826870398E-2</v>
      </c>
      <c r="G183" s="70">
        <v>4.3005076679700806E-2</v>
      </c>
      <c r="H183" s="70">
        <v>4.9990457958650876E-2</v>
      </c>
      <c r="I183" s="70">
        <v>5.4264616504446792E-2</v>
      </c>
      <c r="J183" s="62">
        <v>5.7884038106049626E-2</v>
      </c>
      <c r="K183" s="70" t="s">
        <v>21</v>
      </c>
      <c r="L183" s="70">
        <v>6.2760251797008126E-3</v>
      </c>
      <c r="M183" s="70">
        <v>1.2646231658650874E-2</v>
      </c>
      <c r="N183" s="70">
        <v>1.5903397204446793E-2</v>
      </c>
      <c r="O183" s="62">
        <v>1.8204799706049619E-2</v>
      </c>
      <c r="P183" s="54" t="s">
        <v>21</v>
      </c>
      <c r="Q183" s="52" t="s">
        <v>21</v>
      </c>
      <c r="R183" s="93" t="s">
        <v>21</v>
      </c>
      <c r="S183" s="72" t="s">
        <v>21</v>
      </c>
      <c r="T183" s="62" t="s">
        <v>21</v>
      </c>
      <c r="V183" s="113">
        <v>1.11548264</v>
      </c>
      <c r="W183" s="71">
        <v>2.86787298</v>
      </c>
      <c r="X183" s="71">
        <v>4.4019366999999994</v>
      </c>
      <c r="Y183" s="71">
        <v>5.6998695000000001</v>
      </c>
      <c r="Z183" s="114">
        <v>7.2894711000000001</v>
      </c>
    </row>
    <row r="184" spans="2:26" x14ac:dyDescent="0.35">
      <c r="B184" s="54" t="s">
        <v>155</v>
      </c>
      <c r="C184" s="52" t="s">
        <v>232</v>
      </c>
      <c r="D184" s="52" t="s">
        <v>131</v>
      </c>
      <c r="E184" s="52" t="s">
        <v>75</v>
      </c>
      <c r="F184" s="70">
        <v>3.7321245433320084E-2</v>
      </c>
      <c r="G184" s="70">
        <v>4.2326836914400694E-2</v>
      </c>
      <c r="H184" s="70">
        <v>4.8967474212643622E-2</v>
      </c>
      <c r="I184" s="70">
        <v>5.3265461674590189E-2</v>
      </c>
      <c r="J184" s="62">
        <v>5.7456976867663469E-2</v>
      </c>
      <c r="K184" s="70" t="s">
        <v>21</v>
      </c>
      <c r="L184" s="70">
        <v>5.6049706144006943E-3</v>
      </c>
      <c r="M184" s="70">
        <v>1.1648347712643623E-2</v>
      </c>
      <c r="N184" s="70">
        <v>1.4927284274590193E-2</v>
      </c>
      <c r="O184" s="62">
        <v>1.7768166967663462E-2</v>
      </c>
      <c r="P184" s="54" t="s">
        <v>510</v>
      </c>
      <c r="Q184" s="52" t="s">
        <v>511</v>
      </c>
      <c r="R184" s="93">
        <v>47534</v>
      </c>
      <c r="S184" s="72">
        <v>4.5412879999999996E-2</v>
      </c>
      <c r="T184" s="62">
        <v>3.5545942126436261E-3</v>
      </c>
      <c r="V184" s="113">
        <v>1.11468422</v>
      </c>
      <c r="W184" s="71">
        <v>2.8669894</v>
      </c>
      <c r="X184" s="71">
        <v>4.4067525500000002</v>
      </c>
      <c r="Y184" s="71">
        <v>5.7138887</v>
      </c>
      <c r="Z184" s="114">
        <v>7.3055191699999993</v>
      </c>
    </row>
    <row r="185" spans="2:26" x14ac:dyDescent="0.35">
      <c r="B185" s="54" t="s">
        <v>265</v>
      </c>
      <c r="C185" s="52" t="s">
        <v>232</v>
      </c>
      <c r="D185" s="52" t="s">
        <v>31</v>
      </c>
      <c r="E185" s="52" t="s">
        <v>21</v>
      </c>
      <c r="F185" s="70">
        <v>3.7165613797790632E-2</v>
      </c>
      <c r="G185" s="70">
        <v>4.2596023566434243E-2</v>
      </c>
      <c r="H185" s="70">
        <v>4.892701807674224E-2</v>
      </c>
      <c r="I185" s="70">
        <v>5.2654041777767377E-2</v>
      </c>
      <c r="J185" s="62">
        <v>5.5359595940580639E-2</v>
      </c>
      <c r="K185" s="70" t="s">
        <v>21</v>
      </c>
      <c r="L185" s="70">
        <v>5.861072566434246E-3</v>
      </c>
      <c r="M185" s="70">
        <v>1.1609165276742229E-2</v>
      </c>
      <c r="N185" s="70">
        <v>1.4346200077767372E-2</v>
      </c>
      <c r="O185" s="62">
        <v>1.5767535740580638E-2</v>
      </c>
      <c r="P185" s="54" t="s">
        <v>512</v>
      </c>
      <c r="Q185" s="52" t="s">
        <v>513</v>
      </c>
      <c r="R185" s="93">
        <v>47679</v>
      </c>
      <c r="S185" s="72">
        <v>4.7932160000000001E-2</v>
      </c>
      <c r="T185" s="62">
        <v>9.9485807674223881E-4</v>
      </c>
      <c r="V185" s="113">
        <v>1.11498823</v>
      </c>
      <c r="W185" s="71">
        <v>2.8658619000000001</v>
      </c>
      <c r="X185" s="71">
        <v>4.4054875100000004</v>
      </c>
      <c r="Y185" s="71">
        <v>5.7211995</v>
      </c>
      <c r="Z185" s="114">
        <v>7.3632994099999998</v>
      </c>
    </row>
    <row r="186" spans="2:26" x14ac:dyDescent="0.35">
      <c r="B186" s="54" t="s">
        <v>320</v>
      </c>
      <c r="C186" s="52" t="s">
        <v>232</v>
      </c>
      <c r="D186" s="52" t="s">
        <v>69</v>
      </c>
      <c r="E186" s="52" t="s">
        <v>21</v>
      </c>
      <c r="F186" s="70">
        <v>3.7159230209090961E-2</v>
      </c>
      <c r="G186" s="70">
        <v>4.2459089747671819E-2</v>
      </c>
      <c r="H186" s="70">
        <v>4.8920788518800024E-2</v>
      </c>
      <c r="I186" s="70">
        <v>5.3503491454834309E-2</v>
      </c>
      <c r="J186" s="62">
        <v>5.7249182671171024E-2</v>
      </c>
      <c r="K186" s="70" t="s">
        <v>21</v>
      </c>
      <c r="L186" s="70">
        <v>5.7311933476718261E-3</v>
      </c>
      <c r="M186" s="70">
        <v>1.1603898818800027E-2</v>
      </c>
      <c r="N186" s="70">
        <v>1.5152641954834303E-2</v>
      </c>
      <c r="O186" s="62">
        <v>1.7572525571171012E-2</v>
      </c>
      <c r="P186" s="54" t="s">
        <v>21</v>
      </c>
      <c r="Q186" s="52" t="s">
        <v>21</v>
      </c>
      <c r="R186" s="93" t="s">
        <v>21</v>
      </c>
      <c r="S186" s="72" t="s">
        <v>21</v>
      </c>
      <c r="T186" s="62" t="s">
        <v>21</v>
      </c>
      <c r="V186" s="113">
        <v>1.1149889499999999</v>
      </c>
      <c r="W186" s="71">
        <v>2.8667041800000002</v>
      </c>
      <c r="X186" s="71">
        <v>4.40663538</v>
      </c>
      <c r="Y186" s="71">
        <v>5.7107898600000002</v>
      </c>
      <c r="Z186" s="114">
        <v>7.3055584300000005</v>
      </c>
    </row>
    <row r="187" spans="2:26" x14ac:dyDescent="0.35">
      <c r="B187" s="54" t="s">
        <v>124</v>
      </c>
      <c r="C187" s="52" t="s">
        <v>232</v>
      </c>
      <c r="D187" s="52" t="s">
        <v>69</v>
      </c>
      <c r="E187" s="52" t="s">
        <v>112</v>
      </c>
      <c r="F187" s="70">
        <v>3.7046562241404526E-2</v>
      </c>
      <c r="G187" s="70">
        <v>4.2255104498021868E-2</v>
      </c>
      <c r="H187" s="70">
        <v>4.8912194639403175E-2</v>
      </c>
      <c r="I187" s="70">
        <v>5.3305846488391678E-2</v>
      </c>
      <c r="J187" s="62">
        <v>5.7589531307051293E-2</v>
      </c>
      <c r="K187" s="70" t="s">
        <v>21</v>
      </c>
      <c r="L187" s="70">
        <v>5.5369175980218704E-3</v>
      </c>
      <c r="M187" s="70">
        <v>1.1596210939403176E-2</v>
      </c>
      <c r="N187" s="70">
        <v>1.4966044088391677E-2</v>
      </c>
      <c r="O187" s="62">
        <v>1.7894618007051284E-2</v>
      </c>
      <c r="P187" s="54" t="s">
        <v>21</v>
      </c>
      <c r="Q187" s="52" t="s">
        <v>21</v>
      </c>
      <c r="R187" s="93" t="s">
        <v>21</v>
      </c>
      <c r="S187" s="72" t="s">
        <v>21</v>
      </c>
      <c r="T187" s="62" t="s">
        <v>21</v>
      </c>
      <c r="V187" s="113">
        <v>1.1151948199999999</v>
      </c>
      <c r="W187" s="71">
        <v>2.8683230600000003</v>
      </c>
      <c r="X187" s="71">
        <v>4.4086827900000003</v>
      </c>
      <c r="Y187" s="71">
        <v>5.7152271599999995</v>
      </c>
      <c r="Z187" s="114">
        <v>7.3032962399999999</v>
      </c>
    </row>
    <row r="188" spans="2:26" x14ac:dyDescent="0.35">
      <c r="B188" s="54" t="s">
        <v>241</v>
      </c>
      <c r="C188" s="52" t="s">
        <v>232</v>
      </c>
      <c r="D188" s="52" t="s">
        <v>43</v>
      </c>
      <c r="E188" s="52" t="s">
        <v>243</v>
      </c>
      <c r="F188" s="70">
        <v>3.7297116146856699E-2</v>
      </c>
      <c r="G188" s="70">
        <v>4.2383523344259405E-2</v>
      </c>
      <c r="H188" s="70">
        <v>4.8865898165398311E-2</v>
      </c>
      <c r="I188" s="70">
        <v>5.3260675701802596E-2</v>
      </c>
      <c r="J188" s="62">
        <v>5.7452696210357999E-2</v>
      </c>
      <c r="K188" s="70" t="s">
        <v>21</v>
      </c>
      <c r="L188" s="70">
        <v>5.6596477442594096E-3</v>
      </c>
      <c r="M188" s="70">
        <v>1.1552136165398312E-2</v>
      </c>
      <c r="N188" s="70">
        <v>1.4922747801802593E-2</v>
      </c>
      <c r="O188" s="62">
        <v>1.7764369610358016E-2</v>
      </c>
      <c r="P188" s="54" t="s">
        <v>514</v>
      </c>
      <c r="Q188" s="52" t="s">
        <v>515</v>
      </c>
      <c r="R188" s="93" t="s">
        <v>32</v>
      </c>
      <c r="S188" s="72">
        <v>4.6640019999999997E-2</v>
      </c>
      <c r="T188" s="62">
        <v>2.2258781653983137E-3</v>
      </c>
      <c r="V188" s="113">
        <v>1.11472226</v>
      </c>
      <c r="W188" s="71">
        <v>2.86691889</v>
      </c>
      <c r="X188" s="71">
        <v>4.4075411999999998</v>
      </c>
      <c r="Y188" s="71">
        <v>5.7149927199999997</v>
      </c>
      <c r="Z188" s="114">
        <v>7.3064987499999994</v>
      </c>
    </row>
    <row r="189" spans="2:26" x14ac:dyDescent="0.35">
      <c r="B189" s="54" t="s">
        <v>154</v>
      </c>
      <c r="C189" s="52" t="s">
        <v>232</v>
      </c>
      <c r="D189" s="52" t="s">
        <v>43</v>
      </c>
      <c r="E189" s="52" t="s">
        <v>81</v>
      </c>
      <c r="F189" s="70">
        <v>3.7294492847195861E-2</v>
      </c>
      <c r="G189" s="70">
        <v>4.2145759047973061E-2</v>
      </c>
      <c r="H189" s="70">
        <v>4.8856860657757621E-2</v>
      </c>
      <c r="I189" s="70">
        <v>5.3062607242459349E-2</v>
      </c>
      <c r="J189" s="62">
        <v>5.6887344194976153E-2</v>
      </c>
      <c r="K189" s="70" t="s">
        <v>21</v>
      </c>
      <c r="L189" s="70">
        <v>5.4334067479730602E-3</v>
      </c>
      <c r="M189" s="70">
        <v>1.1544228757757622E-2</v>
      </c>
      <c r="N189" s="70">
        <v>1.473579444245935E-2</v>
      </c>
      <c r="O189" s="62">
        <v>1.7226990194976144E-2</v>
      </c>
      <c r="P189" s="54" t="s">
        <v>516</v>
      </c>
      <c r="Q189" s="52" t="s">
        <v>517</v>
      </c>
      <c r="R189" s="93">
        <v>47536</v>
      </c>
      <c r="S189" s="72">
        <v>4.2050499999999998E-2</v>
      </c>
      <c r="T189" s="62">
        <v>6.8063606577576236E-3</v>
      </c>
      <c r="V189" s="113">
        <v>1.1147155200000001</v>
      </c>
      <c r="W189" s="71">
        <v>2.86815497</v>
      </c>
      <c r="X189" s="71">
        <v>4.4093296200000003</v>
      </c>
      <c r="Y189" s="71">
        <v>5.7191970799999998</v>
      </c>
      <c r="Z189" s="114">
        <v>7.3240287799999999</v>
      </c>
    </row>
    <row r="190" spans="2:26" x14ac:dyDescent="0.35">
      <c r="B190" s="54" t="s">
        <v>334</v>
      </c>
      <c r="C190" s="52" t="s">
        <v>232</v>
      </c>
      <c r="D190" s="52" t="s">
        <v>20</v>
      </c>
      <c r="E190" s="52" t="s">
        <v>253</v>
      </c>
      <c r="F190" s="70">
        <v>3.9223523029119009E-2</v>
      </c>
      <c r="G190" s="70">
        <v>4.3786244301361167E-2</v>
      </c>
      <c r="H190" s="70">
        <v>4.987296904805915E-2</v>
      </c>
      <c r="I190" s="70">
        <v>5.3667235505479104E-2</v>
      </c>
      <c r="J190" s="62">
        <v>5.7263151848502128E-2</v>
      </c>
      <c r="K190" s="70">
        <v>1.5093416291190069E-3</v>
      </c>
      <c r="L190" s="70">
        <v>7.0155619013611689E-3</v>
      </c>
      <c r="M190" s="70">
        <v>1.2529625648059149E-2</v>
      </c>
      <c r="N190" s="70">
        <v>1.53302187054791E-2</v>
      </c>
      <c r="O190" s="62">
        <v>1.760067614850213E-2</v>
      </c>
      <c r="P190" s="54" t="s">
        <v>21</v>
      </c>
      <c r="Q190" s="52" t="s">
        <v>21</v>
      </c>
      <c r="R190" s="93" t="s">
        <v>21</v>
      </c>
      <c r="S190" s="72" t="s">
        <v>21</v>
      </c>
      <c r="T190" s="62" t="s">
        <v>21</v>
      </c>
      <c r="V190" s="113">
        <v>1.11214503</v>
      </c>
      <c r="W190" s="71">
        <v>2.8570401099999998</v>
      </c>
      <c r="X190" s="71">
        <v>4.3916323799999999</v>
      </c>
      <c r="Y190" s="71">
        <v>5.6999576799999998</v>
      </c>
      <c r="Z190" s="114">
        <v>7.3120671299999991</v>
      </c>
    </row>
    <row r="191" spans="2:26" x14ac:dyDescent="0.35">
      <c r="B191" s="54" t="s">
        <v>335</v>
      </c>
      <c r="C191" s="52" t="s">
        <v>232</v>
      </c>
      <c r="D191" s="52" t="s">
        <v>20</v>
      </c>
      <c r="E191" s="52" t="s">
        <v>123</v>
      </c>
      <c r="F191" s="70">
        <v>3.7748344196972969E-2</v>
      </c>
      <c r="G191" s="70">
        <v>4.3290552931855658E-2</v>
      </c>
      <c r="H191" s="70">
        <v>4.9827985989478456E-2</v>
      </c>
      <c r="I191" s="70">
        <v>5.4099154319003091E-2</v>
      </c>
      <c r="J191" s="62">
        <v>5.7569420478257638E-2</v>
      </c>
      <c r="K191" s="70">
        <v>1.067729969729727E-4</v>
      </c>
      <c r="L191" s="70">
        <v>6.5481868318556504E-3</v>
      </c>
      <c r="M191" s="70">
        <v>1.2491277289478459E-2</v>
      </c>
      <c r="N191" s="70">
        <v>1.5744933419003088E-2</v>
      </c>
      <c r="O191" s="62">
        <v>1.7904591478257639E-2</v>
      </c>
      <c r="P191" s="54" t="s">
        <v>383</v>
      </c>
      <c r="Q191" s="52" t="s">
        <v>384</v>
      </c>
      <c r="R191" s="93">
        <v>47624</v>
      </c>
      <c r="S191" s="72">
        <v>4.7146039999999993E-2</v>
      </c>
      <c r="T191" s="62">
        <v>2.6819459894784625E-3</v>
      </c>
      <c r="V191" s="113">
        <v>1.1148024400000001</v>
      </c>
      <c r="W191" s="71">
        <v>2.8649625699999999</v>
      </c>
      <c r="X191" s="71">
        <v>4.4009197100000002</v>
      </c>
      <c r="Y191" s="71">
        <v>5.7023584600000001</v>
      </c>
      <c r="Z191" s="114">
        <v>7.2978910099999998</v>
      </c>
    </row>
    <row r="192" spans="2:26" x14ac:dyDescent="0.35">
      <c r="B192" s="54" t="s">
        <v>144</v>
      </c>
      <c r="C192" s="52" t="s">
        <v>232</v>
      </c>
      <c r="D192" s="52" t="s">
        <v>20</v>
      </c>
      <c r="E192" s="52" t="s">
        <v>249</v>
      </c>
      <c r="F192" s="70">
        <v>3.9243371836950675E-2</v>
      </c>
      <c r="G192" s="70">
        <v>4.3982099143030459E-2</v>
      </c>
      <c r="H192" s="70">
        <v>4.9809844454709137E-2</v>
      </c>
      <c r="I192" s="70">
        <v>5.36160589332512E-2</v>
      </c>
      <c r="J192" s="62">
        <v>5.7077127191029926E-2</v>
      </c>
      <c r="K192" s="70">
        <v>1.5347002369506726E-3</v>
      </c>
      <c r="L192" s="70">
        <v>7.2047220430304631E-3</v>
      </c>
      <c r="M192" s="70">
        <v>1.2471200454709144E-2</v>
      </c>
      <c r="N192" s="70">
        <v>1.5282199533251196E-2</v>
      </c>
      <c r="O192" s="62">
        <v>1.7426069291029939E-2</v>
      </c>
      <c r="P192" s="54" t="s">
        <v>518</v>
      </c>
      <c r="Q192" s="52" t="s">
        <v>519</v>
      </c>
      <c r="R192" s="93" t="s">
        <v>32</v>
      </c>
      <c r="S192" s="72">
        <v>4.371357E-2</v>
      </c>
      <c r="T192" s="62">
        <v>6.0962744547091371E-3</v>
      </c>
      <c r="V192" s="113">
        <v>1.1120613800000001</v>
      </c>
      <c r="W192" s="71">
        <v>2.8551375399999999</v>
      </c>
      <c r="X192" s="71">
        <v>4.3903797600000001</v>
      </c>
      <c r="Y192" s="71">
        <v>5.7002732700000003</v>
      </c>
      <c r="Z192" s="114">
        <v>7.3127715100000001</v>
      </c>
    </row>
    <row r="193" spans="2:26" x14ac:dyDescent="0.35">
      <c r="B193" s="54" t="s">
        <v>242</v>
      </c>
      <c r="C193" s="52" t="s">
        <v>232</v>
      </c>
      <c r="D193" s="52" t="s">
        <v>43</v>
      </c>
      <c r="E193" s="52" t="s">
        <v>347</v>
      </c>
      <c r="F193" s="70">
        <v>3.7222107422942664E-2</v>
      </c>
      <c r="G193" s="70">
        <v>4.2322644521385039E-2</v>
      </c>
      <c r="H193" s="70">
        <v>4.8762500331448216E-2</v>
      </c>
      <c r="I193" s="70">
        <v>5.3351855566206391E-2</v>
      </c>
      <c r="J193" s="62">
        <v>5.7456627615452144E-2</v>
      </c>
      <c r="K193" s="70" t="s">
        <v>21</v>
      </c>
      <c r="L193" s="70">
        <v>5.6022027213850339E-3</v>
      </c>
      <c r="M193" s="70">
        <v>1.1454420131448217E-2</v>
      </c>
      <c r="N193" s="70">
        <v>1.5009815266206393E-2</v>
      </c>
      <c r="O193" s="62">
        <v>1.7769512715452136E-2</v>
      </c>
      <c r="P193" s="54" t="s">
        <v>520</v>
      </c>
      <c r="Q193" s="52" t="s">
        <v>521</v>
      </c>
      <c r="R193" s="93">
        <v>47492</v>
      </c>
      <c r="S193" s="72">
        <v>4.7266839999999997E-2</v>
      </c>
      <c r="T193" s="62">
        <v>1.4956603314482189E-3</v>
      </c>
      <c r="V193" s="113">
        <v>1.11485408</v>
      </c>
      <c r="W193" s="71">
        <v>2.8676057699999999</v>
      </c>
      <c r="X193" s="71">
        <v>4.4087728500000001</v>
      </c>
      <c r="Y193" s="71">
        <v>5.7144628700000002</v>
      </c>
      <c r="Z193" s="114">
        <v>7.3051640999999998</v>
      </c>
    </row>
    <row r="194" spans="2:26" x14ac:dyDescent="0.35">
      <c r="B194" s="54" t="s">
        <v>244</v>
      </c>
      <c r="C194" s="52" t="s">
        <v>232</v>
      </c>
      <c r="D194" s="52" t="s">
        <v>31</v>
      </c>
      <c r="E194" s="52" t="s">
        <v>21</v>
      </c>
      <c r="F194" s="70">
        <v>3.7261103014545646E-2</v>
      </c>
      <c r="G194" s="70">
        <v>4.2528863526571765E-2</v>
      </c>
      <c r="H194" s="70">
        <v>4.8720076984094383E-2</v>
      </c>
      <c r="I194" s="70">
        <v>5.2498421724489888E-2</v>
      </c>
      <c r="J194" s="62">
        <v>5.6213201402145453E-2</v>
      </c>
      <c r="K194" s="70" t="s">
        <v>21</v>
      </c>
      <c r="L194" s="70">
        <v>5.7975697265717696E-3</v>
      </c>
      <c r="M194" s="70">
        <v>1.1412765784094378E-2</v>
      </c>
      <c r="N194" s="70">
        <v>1.4198305924489884E-2</v>
      </c>
      <c r="O194" s="62">
        <v>1.6579645802145458E-2</v>
      </c>
      <c r="P194" s="54" t="s">
        <v>522</v>
      </c>
      <c r="Q194" s="52" t="s">
        <v>523</v>
      </c>
      <c r="R194" s="93">
        <v>47491</v>
      </c>
      <c r="S194" s="72">
        <v>4.563263E-2</v>
      </c>
      <c r="T194" s="62">
        <v>3.087446984094383E-3</v>
      </c>
      <c r="V194" s="113">
        <v>1.1148002799999999</v>
      </c>
      <c r="W194" s="71">
        <v>2.8659444999999999</v>
      </c>
      <c r="X194" s="71">
        <v>4.4077696399999997</v>
      </c>
      <c r="Y194" s="71">
        <v>5.7259805099999994</v>
      </c>
      <c r="Z194" s="114">
        <v>7.3494789699999989</v>
      </c>
    </row>
    <row r="195" spans="2:26" x14ac:dyDescent="0.35">
      <c r="B195" s="54" t="s">
        <v>151</v>
      </c>
      <c r="C195" s="52" t="s">
        <v>232</v>
      </c>
      <c r="D195" s="52" t="s">
        <v>47</v>
      </c>
      <c r="E195" s="52" t="s">
        <v>140</v>
      </c>
      <c r="F195" s="70">
        <v>3.7507642434762359E-2</v>
      </c>
      <c r="G195" s="70">
        <v>4.2547020817890573E-2</v>
      </c>
      <c r="H195" s="70">
        <v>4.8669842991710517E-2</v>
      </c>
      <c r="I195" s="70">
        <v>5.26878165746342E-2</v>
      </c>
      <c r="J195" s="62">
        <v>5.6955170279103497E-2</v>
      </c>
      <c r="K195" s="70" t="s">
        <v>21</v>
      </c>
      <c r="L195" s="70">
        <v>5.8154234178905799E-3</v>
      </c>
      <c r="M195" s="70">
        <v>1.1365266791710521E-2</v>
      </c>
      <c r="N195" s="70">
        <v>1.4378037974634199E-2</v>
      </c>
      <c r="O195" s="62">
        <v>1.728653587910349E-2</v>
      </c>
      <c r="P195" s="54" t="s">
        <v>524</v>
      </c>
      <c r="Q195" s="52" t="s">
        <v>525</v>
      </c>
      <c r="R195" s="93" t="s">
        <v>32</v>
      </c>
      <c r="S195" s="72">
        <v>4.3111050000000005E-2</v>
      </c>
      <c r="T195" s="62">
        <v>5.5587929917105122E-3</v>
      </c>
      <c r="V195" s="113">
        <v>1.1143291499999999</v>
      </c>
      <c r="W195" s="71">
        <v>2.86500515</v>
      </c>
      <c r="X195" s="71">
        <v>4.4073595299999999</v>
      </c>
      <c r="Y195" s="71">
        <v>5.7232255900000002</v>
      </c>
      <c r="Z195" s="114">
        <v>7.3290826500000001</v>
      </c>
    </row>
    <row r="196" spans="2:26" x14ac:dyDescent="0.35">
      <c r="B196" s="54" t="s">
        <v>145</v>
      </c>
      <c r="C196" s="52" t="s">
        <v>232</v>
      </c>
      <c r="D196" s="52" t="s">
        <v>69</v>
      </c>
      <c r="E196" s="52" t="s">
        <v>342</v>
      </c>
      <c r="F196" s="70">
        <v>3.7345297259140341E-2</v>
      </c>
      <c r="G196" s="70">
        <v>4.235446640859819E-2</v>
      </c>
      <c r="H196" s="70">
        <v>4.8663778187927748E-2</v>
      </c>
      <c r="I196" s="70">
        <v>5.2681843606713852E-2</v>
      </c>
      <c r="J196" s="62">
        <v>5.7311654453113495E-2</v>
      </c>
      <c r="K196" s="70" t="s">
        <v>21</v>
      </c>
      <c r="L196" s="70">
        <v>5.6313110085981916E-3</v>
      </c>
      <c r="M196" s="70">
        <v>1.1359410087927745E-2</v>
      </c>
      <c r="N196" s="70">
        <v>1.4372634306713851E-2</v>
      </c>
      <c r="O196" s="62">
        <v>1.7625746853113501E-2</v>
      </c>
      <c r="P196" s="54" t="s">
        <v>526</v>
      </c>
      <c r="Q196" s="52" t="s">
        <v>527</v>
      </c>
      <c r="R196" s="93" t="s">
        <v>32</v>
      </c>
      <c r="S196" s="72">
        <v>4.8038900000000002E-2</v>
      </c>
      <c r="T196" s="62">
        <v>6.2487818792774513E-4</v>
      </c>
      <c r="V196" s="113">
        <v>1.11463826</v>
      </c>
      <c r="W196" s="71">
        <v>2.8664631799999998</v>
      </c>
      <c r="X196" s="71">
        <v>4.40923234</v>
      </c>
      <c r="Y196" s="71">
        <v>5.7249565099999993</v>
      </c>
      <c r="Z196" s="114">
        <v>7.32261411</v>
      </c>
    </row>
    <row r="197" spans="2:26" x14ac:dyDescent="0.35">
      <c r="B197" s="54" t="s">
        <v>239</v>
      </c>
      <c r="C197" s="52" t="s">
        <v>232</v>
      </c>
      <c r="D197" s="52" t="s">
        <v>69</v>
      </c>
      <c r="E197" s="52" t="s">
        <v>123</v>
      </c>
      <c r="F197" s="70">
        <v>3.7009214811455624E-2</v>
      </c>
      <c r="G197" s="70">
        <v>4.2074165970670777E-2</v>
      </c>
      <c r="H197" s="70">
        <v>4.8648222533882741E-2</v>
      </c>
      <c r="I197" s="70">
        <v>5.2905102657597541E-2</v>
      </c>
      <c r="J197" s="62">
        <v>5.668139368544875E-2</v>
      </c>
      <c r="K197" s="70" t="s">
        <v>21</v>
      </c>
      <c r="L197" s="70">
        <v>5.3657832706707747E-3</v>
      </c>
      <c r="M197" s="70">
        <v>1.1346413933882735E-2</v>
      </c>
      <c r="N197" s="70">
        <v>1.4586617257597542E-2</v>
      </c>
      <c r="O197" s="62">
        <v>1.7031216185448738E-2</v>
      </c>
      <c r="P197" s="54" t="s">
        <v>528</v>
      </c>
      <c r="Q197" s="52" t="s">
        <v>529</v>
      </c>
      <c r="R197" s="93" t="s">
        <v>32</v>
      </c>
      <c r="S197" s="72">
        <v>4.8398760000000006E-2</v>
      </c>
      <c r="T197" s="62">
        <v>2.4946253388273554E-4</v>
      </c>
      <c r="V197" s="113">
        <v>1.1152413700000001</v>
      </c>
      <c r="W197" s="71">
        <v>2.8695128400000001</v>
      </c>
      <c r="X197" s="71">
        <v>4.41280158</v>
      </c>
      <c r="Y197" s="71">
        <v>5.7250721799999997</v>
      </c>
      <c r="Z197" s="114">
        <v>7.3346128200000003</v>
      </c>
    </row>
    <row r="198" spans="2:26" x14ac:dyDescent="0.35">
      <c r="B198" s="54" t="s">
        <v>340</v>
      </c>
      <c r="C198" s="52" t="s">
        <v>232</v>
      </c>
      <c r="D198" s="52" t="s">
        <v>20</v>
      </c>
      <c r="E198" s="52" t="s">
        <v>243</v>
      </c>
      <c r="F198" s="70">
        <v>3.8184287227551357E-2</v>
      </c>
      <c r="G198" s="70">
        <v>4.3355906163236153E-2</v>
      </c>
      <c r="H198" s="70">
        <v>4.9642220122687347E-2</v>
      </c>
      <c r="I198" s="70">
        <v>5.3220805562771929E-2</v>
      </c>
      <c r="J198" s="62">
        <v>5.6616194579743269E-2</v>
      </c>
      <c r="K198" s="70">
        <v>5.1249752755135828E-4</v>
      </c>
      <c r="L198" s="70">
        <v>6.6051053632361582E-3</v>
      </c>
      <c r="M198" s="70">
        <v>1.2310760722687341E-2</v>
      </c>
      <c r="N198" s="70">
        <v>1.4908458162771926E-2</v>
      </c>
      <c r="O198" s="62">
        <v>1.6987133279743275E-2</v>
      </c>
      <c r="P198" s="54" t="s">
        <v>21</v>
      </c>
      <c r="Q198" s="52" t="s">
        <v>21</v>
      </c>
      <c r="R198" s="93" t="s">
        <v>21</v>
      </c>
      <c r="S198" s="72" t="s">
        <v>21</v>
      </c>
      <c r="T198" s="62" t="s">
        <v>21</v>
      </c>
      <c r="V198" s="113">
        <v>1.11409004</v>
      </c>
      <c r="W198" s="71">
        <v>2.86357632</v>
      </c>
      <c r="X198" s="71">
        <v>4.4010976099999999</v>
      </c>
      <c r="Y198" s="71">
        <v>5.7135831999999995</v>
      </c>
      <c r="Z198" s="114">
        <v>7.3378516600000001</v>
      </c>
    </row>
    <row r="199" spans="2:26" x14ac:dyDescent="0.35">
      <c r="B199" s="54" t="s">
        <v>176</v>
      </c>
      <c r="C199" s="52" t="s">
        <v>232</v>
      </c>
      <c r="D199" s="52" t="s">
        <v>47</v>
      </c>
      <c r="E199" s="52" t="s">
        <v>21</v>
      </c>
      <c r="F199" s="70">
        <v>3.7114832783320867E-2</v>
      </c>
      <c r="G199" s="70">
        <v>4.1926212336481965E-2</v>
      </c>
      <c r="H199" s="70">
        <v>4.8597734820740299E-2</v>
      </c>
      <c r="I199" s="70">
        <v>5.2950305388648915E-2</v>
      </c>
      <c r="J199" s="62">
        <v>5.7439718322239014E-2</v>
      </c>
      <c r="K199" s="70" t="s">
        <v>21</v>
      </c>
      <c r="L199" s="70">
        <v>5.2230290364819612E-3</v>
      </c>
      <c r="M199" s="70">
        <v>1.1297828520740301E-2</v>
      </c>
      <c r="N199" s="70">
        <v>1.4630429888648919E-2</v>
      </c>
      <c r="O199" s="62">
        <v>1.7754147022239024E-2</v>
      </c>
      <c r="P199" s="54" t="s">
        <v>21</v>
      </c>
      <c r="Q199" s="52" t="s">
        <v>21</v>
      </c>
      <c r="R199" s="93" t="s">
        <v>21</v>
      </c>
      <c r="S199" s="72" t="s">
        <v>21</v>
      </c>
      <c r="T199" s="62" t="s">
        <v>21</v>
      </c>
      <c r="V199" s="113">
        <v>1.1150661100000001</v>
      </c>
      <c r="W199" s="71">
        <v>2.87034594</v>
      </c>
      <c r="X199" s="71">
        <v>4.4145813</v>
      </c>
      <c r="Y199" s="71">
        <v>5.7267518500000003</v>
      </c>
      <c r="Z199" s="114">
        <v>7.3204946600000005</v>
      </c>
    </row>
    <row r="200" spans="2:26" x14ac:dyDescent="0.35">
      <c r="B200" s="54" t="s">
        <v>146</v>
      </c>
      <c r="C200" s="52" t="s">
        <v>232</v>
      </c>
      <c r="D200" s="52" t="s">
        <v>69</v>
      </c>
      <c r="E200" s="52" t="s">
        <v>128</v>
      </c>
      <c r="F200" s="70">
        <v>3.6977920661407176E-2</v>
      </c>
      <c r="G200" s="70">
        <v>4.2108325133781536E-2</v>
      </c>
      <c r="H200" s="70">
        <v>4.8549299791493881E-2</v>
      </c>
      <c r="I200" s="70">
        <v>5.2617172899641219E-2</v>
      </c>
      <c r="J200" s="62">
        <v>5.6658007169524044E-2</v>
      </c>
      <c r="K200" s="70" t="s">
        <v>21</v>
      </c>
      <c r="L200" s="70">
        <v>5.3971045337815309E-3</v>
      </c>
      <c r="M200" s="70">
        <v>1.1251341391493884E-2</v>
      </c>
      <c r="N200" s="70">
        <v>1.431227549964122E-2</v>
      </c>
      <c r="O200" s="62">
        <v>1.7006123469524053E-2</v>
      </c>
      <c r="P200" s="54" t="s">
        <v>530</v>
      </c>
      <c r="Q200" s="52" t="s">
        <v>531</v>
      </c>
      <c r="R200" s="93" t="s">
        <v>32</v>
      </c>
      <c r="S200" s="72">
        <v>4.5133270000000003E-2</v>
      </c>
      <c r="T200" s="62">
        <v>3.4160297914938784E-3</v>
      </c>
      <c r="V200" s="113">
        <v>1.11531924</v>
      </c>
      <c r="W200" s="71">
        <v>2.8694470299999999</v>
      </c>
      <c r="X200" s="71">
        <v>4.4136642099999994</v>
      </c>
      <c r="Y200" s="71">
        <v>5.7300750200000001</v>
      </c>
      <c r="Z200" s="114">
        <v>7.3417018199999999</v>
      </c>
    </row>
    <row r="201" spans="2:26" x14ac:dyDescent="0.35">
      <c r="B201" s="54" t="s">
        <v>325</v>
      </c>
      <c r="C201" s="52" t="s">
        <v>232</v>
      </c>
      <c r="D201" s="52" t="s">
        <v>167</v>
      </c>
      <c r="E201" s="52" t="s">
        <v>81</v>
      </c>
      <c r="F201" s="70">
        <v>3.759935710769801E-2</v>
      </c>
      <c r="G201" s="70">
        <v>4.276262990689108E-2</v>
      </c>
      <c r="H201" s="70">
        <v>4.9479249219239733E-2</v>
      </c>
      <c r="I201" s="70">
        <v>5.4568734267333698E-2</v>
      </c>
      <c r="J201" s="62">
        <v>5.8289978818205586E-2</v>
      </c>
      <c r="K201" s="70" t="s">
        <v>21</v>
      </c>
      <c r="L201" s="70">
        <v>6.0450005068910769E-3</v>
      </c>
      <c r="M201" s="70">
        <v>1.2161105719239734E-2</v>
      </c>
      <c r="N201" s="70">
        <v>1.6192901367333701E-2</v>
      </c>
      <c r="O201" s="62">
        <v>1.8594273418205572E-2</v>
      </c>
      <c r="P201" s="54" t="s">
        <v>379</v>
      </c>
      <c r="Q201" s="52" t="s">
        <v>380</v>
      </c>
      <c r="R201" s="93">
        <v>47588</v>
      </c>
      <c r="S201" s="72">
        <v>4.6437020000000002E-2</v>
      </c>
      <c r="T201" s="62">
        <v>3.042229219239731E-3</v>
      </c>
      <c r="V201" s="113">
        <v>1.1151043899999999</v>
      </c>
      <c r="W201" s="71">
        <v>2.8684510699999999</v>
      </c>
      <c r="X201" s="71">
        <v>4.40811054</v>
      </c>
      <c r="Y201" s="71">
        <v>5.7029530099999999</v>
      </c>
      <c r="Z201" s="114">
        <v>7.2812555000000003</v>
      </c>
    </row>
    <row r="202" spans="2:26" x14ac:dyDescent="0.35">
      <c r="B202" s="54" t="s">
        <v>354</v>
      </c>
      <c r="C202" s="52" t="s">
        <v>232</v>
      </c>
      <c r="D202" s="52" t="s">
        <v>20</v>
      </c>
      <c r="E202" s="52" t="s">
        <v>21</v>
      </c>
      <c r="F202" s="70">
        <v>3.8328285636904096E-2</v>
      </c>
      <c r="G202" s="70">
        <v>4.3378651306881288E-2</v>
      </c>
      <c r="H202" s="70">
        <v>4.9139489036120206E-2</v>
      </c>
      <c r="I202" s="70">
        <v>5.2695344124190045E-2</v>
      </c>
      <c r="J202" s="62">
        <v>5.5982643060868087E-2</v>
      </c>
      <c r="K202" s="70">
        <v>6.4759363690409556E-4</v>
      </c>
      <c r="L202" s="70">
        <v>6.6254993068812877E-3</v>
      </c>
      <c r="M202" s="70">
        <v>1.183172393612021E-2</v>
      </c>
      <c r="N202" s="70">
        <v>1.4406847824190043E-2</v>
      </c>
      <c r="O202" s="62">
        <v>1.6378064160868094E-2</v>
      </c>
      <c r="P202" s="54" t="s">
        <v>393</v>
      </c>
      <c r="Q202" s="52" t="s">
        <v>394</v>
      </c>
      <c r="R202" s="93" t="s">
        <v>32</v>
      </c>
      <c r="S202" s="72">
        <v>4.4948719999999998E-2</v>
      </c>
      <c r="T202" s="62">
        <v>4.190769036120208E-3</v>
      </c>
      <c r="V202" s="113">
        <v>1.1137988999999999</v>
      </c>
      <c r="W202" s="71">
        <v>2.8629977499999999</v>
      </c>
      <c r="X202" s="71">
        <v>4.4053835899999996</v>
      </c>
      <c r="Y202" s="71">
        <v>5.7269863499999998</v>
      </c>
      <c r="Z202" s="114">
        <v>7.3695568800000002</v>
      </c>
    </row>
    <row r="203" spans="2:26" x14ac:dyDescent="0.35">
      <c r="B203" s="54" t="s">
        <v>336</v>
      </c>
      <c r="C203" s="52" t="s">
        <v>232</v>
      </c>
      <c r="D203" s="52" t="s">
        <v>69</v>
      </c>
      <c r="E203" s="52" t="s">
        <v>128</v>
      </c>
      <c r="F203" s="70">
        <v>3.7050535661782825E-2</v>
      </c>
      <c r="G203" s="70">
        <v>4.2173764548984069E-2</v>
      </c>
      <c r="H203" s="70">
        <v>4.7991653659450989E-2</v>
      </c>
      <c r="I203" s="70">
        <v>5.182989138510595E-2</v>
      </c>
      <c r="J203" s="62">
        <v>5.589752098461729E-2</v>
      </c>
      <c r="K203" s="70" t="s">
        <v>21</v>
      </c>
      <c r="L203" s="70">
        <v>5.4585872489840686E-3</v>
      </c>
      <c r="M203" s="70">
        <v>1.0719649259450984E-2</v>
      </c>
      <c r="N203" s="70">
        <v>1.3562090485105947E-2</v>
      </c>
      <c r="O203" s="62">
        <v>1.627632818461729E-2</v>
      </c>
      <c r="P203" s="54" t="s">
        <v>21</v>
      </c>
      <c r="Q203" s="52" t="s">
        <v>21</v>
      </c>
      <c r="R203" s="93" t="s">
        <v>21</v>
      </c>
      <c r="S203" s="72" t="s">
        <v>21</v>
      </c>
      <c r="T203" s="62" t="s">
        <v>21</v>
      </c>
      <c r="V203" s="113">
        <v>1.1151971599999999</v>
      </c>
      <c r="W203" s="71">
        <v>2.8688355900000002</v>
      </c>
      <c r="X203" s="71">
        <v>4.4185129199999995</v>
      </c>
      <c r="Y203" s="71">
        <v>5.7469078900000001</v>
      </c>
      <c r="Z203" s="114">
        <v>7.3789744600000002</v>
      </c>
    </row>
    <row r="204" spans="2:26" x14ac:dyDescent="0.35">
      <c r="B204" s="54" t="s">
        <v>348</v>
      </c>
      <c r="C204" s="52" t="s">
        <v>232</v>
      </c>
      <c r="D204" s="52" t="s">
        <v>20</v>
      </c>
      <c r="E204" s="52" t="s">
        <v>532</v>
      </c>
      <c r="F204" s="70">
        <v>3.7721071664330648E-2</v>
      </c>
      <c r="G204" s="70">
        <v>4.2483230851167834E-2</v>
      </c>
      <c r="H204" s="70">
        <v>4.8679590832552272E-2</v>
      </c>
      <c r="I204" s="70">
        <v>5.2706980889444865E-2</v>
      </c>
      <c r="J204" s="62">
        <v>5.5948197389735783E-2</v>
      </c>
      <c r="K204" s="70">
        <v>7.9129864330650286E-5</v>
      </c>
      <c r="L204" s="70">
        <v>5.776947651167829E-3</v>
      </c>
      <c r="M204" s="70">
        <v>1.1398934932552268E-2</v>
      </c>
      <c r="N204" s="70">
        <v>1.4421393789444858E-2</v>
      </c>
      <c r="O204" s="62">
        <v>1.6353547289735784E-2</v>
      </c>
      <c r="P204" s="54" t="s">
        <v>387</v>
      </c>
      <c r="Q204" s="52" t="s">
        <v>388</v>
      </c>
      <c r="R204" s="93">
        <v>47529</v>
      </c>
      <c r="S204" s="72">
        <v>4.5693060000000001E-2</v>
      </c>
      <c r="T204" s="62">
        <v>2.9865308325522713E-3</v>
      </c>
      <c r="V204" s="113">
        <v>1.11487684</v>
      </c>
      <c r="W204" s="71">
        <v>2.86987894</v>
      </c>
      <c r="X204" s="71">
        <v>4.4185975400000004</v>
      </c>
      <c r="Y204" s="71">
        <v>5.74217069</v>
      </c>
      <c r="Z204" s="114">
        <v>7.37978544</v>
      </c>
    </row>
    <row r="205" spans="2:26" x14ac:dyDescent="0.35">
      <c r="B205" s="54" t="s">
        <v>251</v>
      </c>
      <c r="C205" s="52" t="s">
        <v>232</v>
      </c>
      <c r="D205" s="52" t="s">
        <v>53</v>
      </c>
      <c r="E205" s="52" t="s">
        <v>125</v>
      </c>
      <c r="F205" s="70">
        <v>3.6791493121775473E-2</v>
      </c>
      <c r="G205" s="70">
        <v>4.1632575116394517E-2</v>
      </c>
      <c r="H205" s="70">
        <v>4.7509222867452169E-2</v>
      </c>
      <c r="I205" s="70">
        <v>5.1260567743352643E-2</v>
      </c>
      <c r="J205" s="62">
        <v>5.4950518367243219E-2</v>
      </c>
      <c r="K205" s="70" t="s">
        <v>21</v>
      </c>
      <c r="L205" s="70">
        <v>4.9425118163945181E-3</v>
      </c>
      <c r="M205" s="70">
        <v>1.0261026467452168E-2</v>
      </c>
      <c r="N205" s="70">
        <v>1.3021228143352642E-2</v>
      </c>
      <c r="O205" s="62">
        <v>1.5372882667243222E-2</v>
      </c>
      <c r="P205" s="54" t="s">
        <v>533</v>
      </c>
      <c r="Q205" s="52" t="s">
        <v>534</v>
      </c>
      <c r="R205" s="93" t="s">
        <v>32</v>
      </c>
      <c r="S205" s="72">
        <v>4.7178909999999998E-2</v>
      </c>
      <c r="T205" s="62">
        <v>3.3031286745217187E-4</v>
      </c>
      <c r="V205" s="113">
        <v>1.11567343</v>
      </c>
      <c r="W205" s="71">
        <v>2.8733613500000001</v>
      </c>
      <c r="X205" s="71">
        <v>4.4287522500000005</v>
      </c>
      <c r="Y205" s="71">
        <v>5.7652067100000002</v>
      </c>
      <c r="Z205" s="114">
        <v>7.4197421099999996</v>
      </c>
    </row>
    <row r="206" spans="2:26" x14ac:dyDescent="0.35">
      <c r="B206" s="54" t="s">
        <v>143</v>
      </c>
      <c r="C206" s="52" t="s">
        <v>232</v>
      </c>
      <c r="D206" s="52" t="s">
        <v>20</v>
      </c>
      <c r="E206" s="52" t="s">
        <v>57</v>
      </c>
      <c r="F206" s="70">
        <v>3.7855696022915553E-2</v>
      </c>
      <c r="G206" s="70">
        <v>4.2465987536040882E-2</v>
      </c>
      <c r="H206" s="70">
        <v>4.8502441523830632E-2</v>
      </c>
      <c r="I206" s="70">
        <v>5.2229172387966635E-2</v>
      </c>
      <c r="J206" s="62">
        <v>5.5935180021045604E-2</v>
      </c>
      <c r="K206" s="70">
        <v>2.1363082291555886E-4</v>
      </c>
      <c r="L206" s="70">
        <v>5.7628116360408793E-3</v>
      </c>
      <c r="M206" s="70">
        <v>1.1232153223830633E-2</v>
      </c>
      <c r="N206" s="70">
        <v>1.3970314987966637E-2</v>
      </c>
      <c r="O206" s="62">
        <v>1.6340627221045609E-2</v>
      </c>
      <c r="P206" s="54" t="s">
        <v>535</v>
      </c>
      <c r="Q206" s="52" t="s">
        <v>536</v>
      </c>
      <c r="R206" s="93">
        <v>47498</v>
      </c>
      <c r="S206" s="72">
        <v>4.5631319999999996E-2</v>
      </c>
      <c r="T206" s="62">
        <v>2.8711215238306359E-3</v>
      </c>
      <c r="V206" s="113">
        <v>1.1145810299999999</v>
      </c>
      <c r="W206" s="71">
        <v>2.8693518399999998</v>
      </c>
      <c r="X206" s="71">
        <v>4.4197839700000001</v>
      </c>
      <c r="Y206" s="71">
        <v>5.7478134499999998</v>
      </c>
      <c r="Z206" s="114">
        <v>7.3890567599999999</v>
      </c>
    </row>
    <row r="207" spans="2:26" x14ac:dyDescent="0.35">
      <c r="B207" s="54" t="s">
        <v>257</v>
      </c>
      <c r="C207" s="52" t="s">
        <v>232</v>
      </c>
      <c r="D207" s="52" t="s">
        <v>69</v>
      </c>
      <c r="E207" s="52" t="s">
        <v>21</v>
      </c>
      <c r="F207" s="70">
        <v>3.7175605314927515E-2</v>
      </c>
      <c r="G207" s="70">
        <v>4.1675364264997752E-2</v>
      </c>
      <c r="H207" s="70">
        <v>4.7452926434587303E-2</v>
      </c>
      <c r="I207" s="70">
        <v>5.0978182701456279E-2</v>
      </c>
      <c r="J207" s="62">
        <v>5.4343893346442393E-2</v>
      </c>
      <c r="K207" s="70" t="s">
        <v>21</v>
      </c>
      <c r="L207" s="70">
        <v>4.9812851649977579E-3</v>
      </c>
      <c r="M207" s="70">
        <v>1.0205755034587307E-2</v>
      </c>
      <c r="N207" s="70">
        <v>1.2750637001456287E-2</v>
      </c>
      <c r="O207" s="62">
        <v>1.4790093746442391E-2</v>
      </c>
      <c r="P207" s="54" t="s">
        <v>537</v>
      </c>
      <c r="Q207" s="52" t="s">
        <v>538</v>
      </c>
      <c r="R207" s="93" t="s">
        <v>32</v>
      </c>
      <c r="S207" s="72">
        <v>3.9322339999999997E-2</v>
      </c>
      <c r="T207" s="62">
        <v>8.1305864345873058E-3</v>
      </c>
      <c r="V207" s="113">
        <v>1.1149841700000001</v>
      </c>
      <c r="W207" s="71">
        <v>2.8720585600000001</v>
      </c>
      <c r="X207" s="71">
        <v>4.42795089</v>
      </c>
      <c r="Y207" s="71">
        <v>5.7687115499999999</v>
      </c>
      <c r="Z207" s="114">
        <v>7.4391596500000006</v>
      </c>
    </row>
    <row r="208" spans="2:26" x14ac:dyDescent="0.35">
      <c r="B208" s="54" t="s">
        <v>252</v>
      </c>
      <c r="C208" s="52" t="s">
        <v>232</v>
      </c>
      <c r="D208" s="52" t="s">
        <v>20</v>
      </c>
      <c r="E208" s="52" t="s">
        <v>21</v>
      </c>
      <c r="F208" s="70">
        <v>3.809440416590093E-2</v>
      </c>
      <c r="G208" s="70">
        <v>4.3345360253206504E-2</v>
      </c>
      <c r="H208" s="70">
        <v>4.8422059804837964E-2</v>
      </c>
      <c r="I208" s="70">
        <v>5.1405469154416933E-2</v>
      </c>
      <c r="J208" s="62">
        <v>5.5133088637455988E-2</v>
      </c>
      <c r="K208" s="70">
        <v>4.2401266590093561E-4</v>
      </c>
      <c r="L208" s="70">
        <v>6.5938013532065021E-3</v>
      </c>
      <c r="M208" s="70">
        <v>1.1148820604837956E-2</v>
      </c>
      <c r="N208" s="70">
        <v>1.3177363054416937E-2</v>
      </c>
      <c r="O208" s="62">
        <v>1.5556000437455988E-2</v>
      </c>
      <c r="P208" s="54" t="s">
        <v>539</v>
      </c>
      <c r="Q208" s="52" t="s">
        <v>540</v>
      </c>
      <c r="R208" s="93">
        <v>47545</v>
      </c>
      <c r="S208" s="72">
        <v>4.3004970000000003E-2</v>
      </c>
      <c r="T208" s="62">
        <v>5.4170898048379601E-3</v>
      </c>
      <c r="V208" s="113">
        <v>1.1142554199999999</v>
      </c>
      <c r="W208" s="71">
        <v>2.8630821699999998</v>
      </c>
      <c r="X208" s="71">
        <v>4.4127032699999997</v>
      </c>
      <c r="Y208" s="71">
        <v>5.7551225600000002</v>
      </c>
      <c r="Z208" s="114">
        <v>7.4273772300000003</v>
      </c>
    </row>
    <row r="209" spans="2:26" x14ac:dyDescent="0.35">
      <c r="B209" s="54" t="s">
        <v>153</v>
      </c>
      <c r="C209" s="52" t="s">
        <v>232</v>
      </c>
      <c r="D209" s="52" t="s">
        <v>20</v>
      </c>
      <c r="E209" s="52" t="s">
        <v>133</v>
      </c>
      <c r="F209" s="70">
        <v>3.727129462642112E-2</v>
      </c>
      <c r="G209" s="70">
        <v>4.2031654463002811E-2</v>
      </c>
      <c r="H209" s="70">
        <v>4.8356290958314674E-2</v>
      </c>
      <c r="I209" s="70">
        <v>5.23755886348478E-2</v>
      </c>
      <c r="J209" s="62">
        <v>5.5689828862815934E-2</v>
      </c>
      <c r="K209" s="70" t="s">
        <v>21</v>
      </c>
      <c r="L209" s="70">
        <v>5.3479641630028128E-3</v>
      </c>
      <c r="M209" s="70">
        <v>1.1093390958314676E-2</v>
      </c>
      <c r="N209" s="70">
        <v>1.4109380334847802E-2</v>
      </c>
      <c r="O209" s="62">
        <v>1.610853606281594E-2</v>
      </c>
      <c r="P209" s="54" t="s">
        <v>541</v>
      </c>
      <c r="Q209" s="52" t="s">
        <v>542</v>
      </c>
      <c r="R209" s="93">
        <v>47529</v>
      </c>
      <c r="S209" s="72">
        <v>4.5490300000000004E-2</v>
      </c>
      <c r="T209" s="62">
        <v>2.8659909583146695E-3</v>
      </c>
      <c r="V209" s="113">
        <v>1.11569494</v>
      </c>
      <c r="W209" s="71">
        <v>2.87442193</v>
      </c>
      <c r="X209" s="71">
        <v>4.4260545100000002</v>
      </c>
      <c r="Y209" s="71">
        <v>5.7520210399999998</v>
      </c>
      <c r="Z209" s="114">
        <v>7.3962179599999995</v>
      </c>
    </row>
    <row r="210" spans="2:26" x14ac:dyDescent="0.35">
      <c r="B210" s="54" t="s">
        <v>343</v>
      </c>
      <c r="C210" s="52" t="s">
        <v>232</v>
      </c>
      <c r="D210" s="52" t="s">
        <v>31</v>
      </c>
      <c r="E210" s="52" t="s">
        <v>21</v>
      </c>
      <c r="F210" s="70">
        <v>3.7198020782231847E-2</v>
      </c>
      <c r="G210" s="70">
        <v>4.147094952261237E-2</v>
      </c>
      <c r="H210" s="70">
        <v>4.7298360235418328E-2</v>
      </c>
      <c r="I210" s="70">
        <v>5.0958599566675124E-2</v>
      </c>
      <c r="J210" s="62">
        <v>5.4457442915412539E-2</v>
      </c>
      <c r="K210" s="70" t="s">
        <v>21</v>
      </c>
      <c r="L210" s="70">
        <v>4.7899913226123626E-3</v>
      </c>
      <c r="M210" s="70">
        <v>1.0061314535418324E-2</v>
      </c>
      <c r="N210" s="70">
        <v>1.2734281866675121E-2</v>
      </c>
      <c r="O210" s="62">
        <v>1.4901163515412543E-2</v>
      </c>
      <c r="P210" s="54" t="s">
        <v>21</v>
      </c>
      <c r="Q210" s="52" t="s">
        <v>21</v>
      </c>
      <c r="R210" s="93" t="s">
        <v>21</v>
      </c>
      <c r="S210" s="72" t="s">
        <v>21</v>
      </c>
      <c r="T210" s="62" t="s">
        <v>21</v>
      </c>
      <c r="V210" s="113">
        <v>1.11487778</v>
      </c>
      <c r="W210" s="71">
        <v>2.8726104800000001</v>
      </c>
      <c r="X210" s="71">
        <v>4.4305471299999999</v>
      </c>
      <c r="Y210" s="71">
        <v>5.7715342099999996</v>
      </c>
      <c r="Z210" s="114">
        <v>7.4384601199999993</v>
      </c>
    </row>
    <row r="211" spans="2:26" x14ac:dyDescent="0.35">
      <c r="B211" s="54" t="s">
        <v>357</v>
      </c>
      <c r="C211" s="52" t="s">
        <v>232</v>
      </c>
      <c r="D211" s="52" t="s">
        <v>20</v>
      </c>
      <c r="E211" s="52" t="s">
        <v>21</v>
      </c>
      <c r="F211" s="70">
        <v>3.7720972732478826E-2</v>
      </c>
      <c r="G211" s="70">
        <v>4.2413578759480999E-2</v>
      </c>
      <c r="H211" s="70">
        <v>4.8213373312933239E-2</v>
      </c>
      <c r="I211" s="70">
        <v>5.1764302346882472E-2</v>
      </c>
      <c r="J211" s="62">
        <v>5.5086572884891549E-2</v>
      </c>
      <c r="K211" s="70">
        <v>7.6951432478822301E-5</v>
      </c>
      <c r="L211" s="70">
        <v>5.7092127594810058E-3</v>
      </c>
      <c r="M211" s="70">
        <v>1.0953932912933239E-2</v>
      </c>
      <c r="N211" s="70">
        <v>1.3523860346882476E-2</v>
      </c>
      <c r="O211" s="62">
        <v>1.5524626484891543E-2</v>
      </c>
      <c r="P211" s="54" t="s">
        <v>21</v>
      </c>
      <c r="Q211" s="52" t="s">
        <v>21</v>
      </c>
      <c r="R211" s="93" t="s">
        <v>21</v>
      </c>
      <c r="S211" s="72" t="s">
        <v>21</v>
      </c>
      <c r="T211" s="62" t="s">
        <v>21</v>
      </c>
      <c r="V211" s="113">
        <v>1.1148834999999999</v>
      </c>
      <c r="W211" s="71">
        <v>2.8693267599999999</v>
      </c>
      <c r="X211" s="71">
        <v>4.4229312499999995</v>
      </c>
      <c r="Y211" s="71">
        <v>5.7584231399999997</v>
      </c>
      <c r="Z211" s="114">
        <v>7.4203432500000002</v>
      </c>
    </row>
    <row r="212" spans="2:26" x14ac:dyDescent="0.35">
      <c r="B212" s="54" t="s">
        <v>360</v>
      </c>
      <c r="C212" s="52" t="s">
        <v>232</v>
      </c>
      <c r="D212" s="52" t="s">
        <v>20</v>
      </c>
      <c r="E212" s="52" t="s">
        <v>543</v>
      </c>
      <c r="F212" s="70">
        <v>3.7816753197027202E-2</v>
      </c>
      <c r="G212" s="70">
        <v>4.2399050882486078E-2</v>
      </c>
      <c r="H212" s="70">
        <v>4.821118674783368E-2</v>
      </c>
      <c r="I212" s="70">
        <v>5.1745152046757337E-2</v>
      </c>
      <c r="J212" s="62">
        <v>5.5183963431843126E-2</v>
      </c>
      <c r="K212" s="70">
        <v>1.6930169702719915E-4</v>
      </c>
      <c r="L212" s="70">
        <v>5.6956871824860797E-3</v>
      </c>
      <c r="M212" s="70">
        <v>1.0952098347833681E-2</v>
      </c>
      <c r="N212" s="70">
        <v>1.3506052646757336E-2</v>
      </c>
      <c r="O212" s="62">
        <v>1.561788373184313E-2</v>
      </c>
      <c r="P212" s="54" t="s">
        <v>21</v>
      </c>
      <c r="Q212" s="52" t="s">
        <v>21</v>
      </c>
      <c r="R212" s="93" t="s">
        <v>21</v>
      </c>
      <c r="S212" s="72" t="s">
        <v>21</v>
      </c>
      <c r="T212" s="62" t="s">
        <v>21</v>
      </c>
      <c r="V212" s="113">
        <v>1.1147041799999999</v>
      </c>
      <c r="W212" s="71">
        <v>2.8696295599999999</v>
      </c>
      <c r="X212" s="71">
        <v>4.4233802899999999</v>
      </c>
      <c r="Y212" s="71">
        <v>5.7587728900000004</v>
      </c>
      <c r="Z212" s="114">
        <v>7.41841858</v>
      </c>
    </row>
    <row r="213" spans="2:26" x14ac:dyDescent="0.35">
      <c r="B213" s="54" t="s">
        <v>258</v>
      </c>
      <c r="C213" s="52" t="s">
        <v>232</v>
      </c>
      <c r="D213" s="52" t="s">
        <v>31</v>
      </c>
      <c r="E213" s="52" t="s">
        <v>21</v>
      </c>
      <c r="F213" s="70">
        <v>3.6869295770701083E-2</v>
      </c>
      <c r="G213" s="70">
        <v>4.1395748936786533E-2</v>
      </c>
      <c r="H213" s="70">
        <v>4.7194454110066536E-2</v>
      </c>
      <c r="I213" s="70">
        <v>5.0566914296142927E-2</v>
      </c>
      <c r="J213" s="62">
        <v>5.3448955153163377E-2</v>
      </c>
      <c r="K213" s="70" t="s">
        <v>21</v>
      </c>
      <c r="L213" s="70">
        <v>4.7167971367865352E-3</v>
      </c>
      <c r="M213" s="70">
        <v>9.9614407100665336E-3</v>
      </c>
      <c r="N213" s="70">
        <v>1.2360582896142934E-2</v>
      </c>
      <c r="O213" s="62">
        <v>1.3934689353163382E-2</v>
      </c>
      <c r="P213" s="54" t="s">
        <v>544</v>
      </c>
      <c r="Q213" s="52" t="s">
        <v>545</v>
      </c>
      <c r="R213" s="93">
        <v>47517</v>
      </c>
      <c r="S213" s="72">
        <v>4.4479300000000006E-2</v>
      </c>
      <c r="T213" s="62">
        <v>2.7151541100665297E-3</v>
      </c>
      <c r="V213" s="113">
        <v>1.1155155800000001</v>
      </c>
      <c r="W213" s="71">
        <v>2.8742049000000001</v>
      </c>
      <c r="X213" s="71">
        <v>4.4332512299999998</v>
      </c>
      <c r="Y213" s="71">
        <v>5.77963643</v>
      </c>
      <c r="Z213" s="114">
        <v>7.4713409300000002</v>
      </c>
    </row>
    <row r="214" spans="2:26" x14ac:dyDescent="0.35">
      <c r="B214" s="54" t="s">
        <v>344</v>
      </c>
      <c r="C214" s="52" t="s">
        <v>232</v>
      </c>
      <c r="D214" s="52" t="s">
        <v>97</v>
      </c>
      <c r="E214" s="52" t="s">
        <v>225</v>
      </c>
      <c r="F214" s="70">
        <v>3.6622292461512905E-2</v>
      </c>
      <c r="G214" s="70">
        <v>4.1576318861009792E-2</v>
      </c>
      <c r="H214" s="70">
        <v>4.7149463162466113E-2</v>
      </c>
      <c r="I214" s="70">
        <v>5.0906578347642471E-2</v>
      </c>
      <c r="J214" s="62">
        <v>5.4310998903722443E-2</v>
      </c>
      <c r="K214" s="70" t="s">
        <v>21</v>
      </c>
      <c r="L214" s="70">
        <v>4.8888588610097906E-3</v>
      </c>
      <c r="M214" s="70">
        <v>9.9180819624661194E-3</v>
      </c>
      <c r="N214" s="70">
        <v>1.2683493147642472E-2</v>
      </c>
      <c r="O214" s="62">
        <v>1.4760587803722448E-2</v>
      </c>
      <c r="P214" s="54" t="s">
        <v>21</v>
      </c>
      <c r="Q214" s="52" t="s">
        <v>21</v>
      </c>
      <c r="R214" s="93" t="s">
        <v>21</v>
      </c>
      <c r="S214" s="72" t="s">
        <v>21</v>
      </c>
      <c r="T214" s="62" t="s">
        <v>21</v>
      </c>
      <c r="V214" s="113">
        <v>1.11598898</v>
      </c>
      <c r="W214" s="71">
        <v>2.8739179699999999</v>
      </c>
      <c r="X214" s="71">
        <v>4.4330051600000004</v>
      </c>
      <c r="Y214" s="71">
        <v>5.7750238600000001</v>
      </c>
      <c r="Z214" s="114">
        <v>7.4451389600000004</v>
      </c>
    </row>
    <row r="215" spans="2:26" x14ac:dyDescent="0.35">
      <c r="B215" s="54" t="s">
        <v>353</v>
      </c>
      <c r="C215" s="52" t="s">
        <v>232</v>
      </c>
      <c r="D215" s="52" t="s">
        <v>31</v>
      </c>
      <c r="E215" s="52" t="s">
        <v>546</v>
      </c>
      <c r="F215" s="70">
        <v>3.6566910863456321E-2</v>
      </c>
      <c r="G215" s="70">
        <v>4.1351679034738312E-2</v>
      </c>
      <c r="H215" s="70">
        <v>4.7141136602987133E-2</v>
      </c>
      <c r="I215" s="70">
        <v>5.0754680582797154E-2</v>
      </c>
      <c r="J215" s="62">
        <v>5.4294665725508617E-2</v>
      </c>
      <c r="K215" s="70" t="s">
        <v>21</v>
      </c>
      <c r="L215" s="70">
        <v>4.6745327347383105E-3</v>
      </c>
      <c r="M215" s="70">
        <v>9.9106065029871317E-3</v>
      </c>
      <c r="N215" s="70">
        <v>1.2539575382797152E-2</v>
      </c>
      <c r="O215" s="62">
        <v>1.4744866425508624E-2</v>
      </c>
      <c r="P215" s="54" t="s">
        <v>21</v>
      </c>
      <c r="Q215" s="52" t="s">
        <v>21</v>
      </c>
      <c r="R215" s="93" t="s">
        <v>21</v>
      </c>
      <c r="S215" s="72" t="s">
        <v>21</v>
      </c>
      <c r="T215" s="62" t="s">
        <v>21</v>
      </c>
      <c r="V215" s="113">
        <v>1.11608705</v>
      </c>
      <c r="W215" s="71">
        <v>2.8754814999999998</v>
      </c>
      <c r="X215" s="71">
        <v>4.4350629699999997</v>
      </c>
      <c r="Y215" s="71">
        <v>5.7788875500000003</v>
      </c>
      <c r="Z215" s="114">
        <v>7.4499595099999993</v>
      </c>
    </row>
    <row r="216" spans="2:26" x14ac:dyDescent="0.35">
      <c r="B216" s="54" t="s">
        <v>361</v>
      </c>
      <c r="C216" s="52" t="s">
        <v>232</v>
      </c>
      <c r="D216" s="52" t="s">
        <v>304</v>
      </c>
      <c r="E216" s="52" t="s">
        <v>21</v>
      </c>
      <c r="F216" s="70">
        <v>3.6732431489913647E-2</v>
      </c>
      <c r="G216" s="70">
        <v>4.1388309831812513E-2</v>
      </c>
      <c r="H216" s="70">
        <v>4.7092904061093649E-2</v>
      </c>
      <c r="I216" s="70">
        <v>5.056268596692811E-2</v>
      </c>
      <c r="J216" s="62">
        <v>5.3678482668274484E-2</v>
      </c>
      <c r="K216" s="70" t="s">
        <v>21</v>
      </c>
      <c r="L216" s="70">
        <v>4.7086855318125165E-3</v>
      </c>
      <c r="M216" s="70">
        <v>9.8639077610936498E-3</v>
      </c>
      <c r="N216" s="70">
        <v>1.2355826466928111E-2</v>
      </c>
      <c r="O216" s="62">
        <v>1.4153972268274478E-2</v>
      </c>
      <c r="P216" s="54" t="s">
        <v>21</v>
      </c>
      <c r="Q216" s="52" t="s">
        <v>21</v>
      </c>
      <c r="R216" s="93" t="s">
        <v>21</v>
      </c>
      <c r="S216" s="72" t="s">
        <v>21</v>
      </c>
      <c r="T216" s="62" t="s">
        <v>21</v>
      </c>
      <c r="V216" s="113">
        <v>1.11578814</v>
      </c>
      <c r="W216" s="71">
        <v>2.8747363899999998</v>
      </c>
      <c r="X216" s="71">
        <v>4.4347888699999993</v>
      </c>
      <c r="Y216" s="71">
        <v>5.7814347799999997</v>
      </c>
      <c r="Z216" s="114">
        <v>7.4676628599999999</v>
      </c>
    </row>
    <row r="217" spans="2:26" x14ac:dyDescent="0.35">
      <c r="B217" s="54" t="s">
        <v>346</v>
      </c>
      <c r="C217" s="52" t="s">
        <v>232</v>
      </c>
      <c r="D217" s="52" t="s">
        <v>97</v>
      </c>
      <c r="E217" s="52" t="s">
        <v>21</v>
      </c>
      <c r="F217" s="70">
        <v>3.6738551407988998E-2</v>
      </c>
      <c r="G217" s="70">
        <v>4.139827892363613E-2</v>
      </c>
      <c r="H217" s="70">
        <v>4.7092721611264647E-2</v>
      </c>
      <c r="I217" s="70">
        <v>5.041806625414743E-2</v>
      </c>
      <c r="J217" s="62">
        <v>5.404123674096787E-2</v>
      </c>
      <c r="K217" s="70" t="s">
        <v>21</v>
      </c>
      <c r="L217" s="70">
        <v>4.7185687236361209E-3</v>
      </c>
      <c r="M217" s="70">
        <v>9.8639717112646557E-3</v>
      </c>
      <c r="N217" s="70">
        <v>1.2218176854147432E-2</v>
      </c>
      <c r="O217" s="62">
        <v>1.4499607840967873E-2</v>
      </c>
      <c r="P217" s="54" t="s">
        <v>21</v>
      </c>
      <c r="Q217" s="52" t="s">
        <v>21</v>
      </c>
      <c r="R217" s="93" t="s">
        <v>21</v>
      </c>
      <c r="S217" s="72" t="s">
        <v>21</v>
      </c>
      <c r="T217" s="62" t="s">
        <v>21</v>
      </c>
      <c r="V217" s="113">
        <v>1.1157713899999999</v>
      </c>
      <c r="W217" s="71">
        <v>2.8746425100000002</v>
      </c>
      <c r="X217" s="71">
        <v>4.4346742100000007</v>
      </c>
      <c r="Y217" s="71">
        <v>5.7832955999999998</v>
      </c>
      <c r="Z217" s="114">
        <v>7.4622894899999999</v>
      </c>
    </row>
    <row r="218" spans="2:26" x14ac:dyDescent="0.35">
      <c r="B218" s="54" t="s">
        <v>250</v>
      </c>
      <c r="C218" s="52" t="s">
        <v>232</v>
      </c>
      <c r="D218" s="52" t="s">
        <v>43</v>
      </c>
      <c r="E218" s="52" t="s">
        <v>123</v>
      </c>
      <c r="F218" s="70">
        <v>3.6840839343179901E-2</v>
      </c>
      <c r="G218" s="70">
        <v>4.134711139409647E-2</v>
      </c>
      <c r="H218" s="70">
        <v>4.7038169579884964E-2</v>
      </c>
      <c r="I218" s="70">
        <v>5.0702085855396657E-2</v>
      </c>
      <c r="J218" s="62">
        <v>5.4287759374874643E-2</v>
      </c>
      <c r="K218" s="70" t="s">
        <v>21</v>
      </c>
      <c r="L218" s="70">
        <v>4.6708855940964713E-3</v>
      </c>
      <c r="M218" s="70">
        <v>9.8127983798849648E-3</v>
      </c>
      <c r="N218" s="70">
        <v>1.2489396055396656E-2</v>
      </c>
      <c r="O218" s="62">
        <v>1.4737989274874644E-2</v>
      </c>
      <c r="P218" s="54" t="s">
        <v>21</v>
      </c>
      <c r="Q218" s="52" t="s">
        <v>21</v>
      </c>
      <c r="R218" s="93" t="s">
        <v>21</v>
      </c>
      <c r="S218" s="72" t="s">
        <v>21</v>
      </c>
      <c r="T218" s="62" t="s">
        <v>21</v>
      </c>
      <c r="V218" s="113">
        <v>1.1155603599999999</v>
      </c>
      <c r="W218" s="71">
        <v>2.8745809499999999</v>
      </c>
      <c r="X218" s="71">
        <v>4.4352677600000003</v>
      </c>
      <c r="Y218" s="71">
        <v>5.78011155</v>
      </c>
      <c r="Z218" s="114">
        <v>7.4514941800000001</v>
      </c>
    </row>
    <row r="219" spans="2:26" x14ac:dyDescent="0.35">
      <c r="B219" s="54" t="s">
        <v>259</v>
      </c>
      <c r="C219" s="52" t="s">
        <v>232</v>
      </c>
      <c r="D219" s="52" t="s">
        <v>31</v>
      </c>
      <c r="E219" s="52" t="s">
        <v>36</v>
      </c>
      <c r="F219" s="70">
        <v>3.6847641478811553E-2</v>
      </c>
      <c r="G219" s="70">
        <v>4.1342826039455632E-2</v>
      </c>
      <c r="H219" s="70">
        <v>4.6990295980504485E-2</v>
      </c>
      <c r="I219" s="70">
        <v>5.0413437880621713E-2</v>
      </c>
      <c r="J219" s="62">
        <v>5.3897690348693073E-2</v>
      </c>
      <c r="K219" s="70" t="s">
        <v>21</v>
      </c>
      <c r="L219" s="70">
        <v>4.6644787394556353E-3</v>
      </c>
      <c r="M219" s="70">
        <v>9.7655005805044898E-3</v>
      </c>
      <c r="N219" s="70">
        <v>1.2212912180621718E-2</v>
      </c>
      <c r="O219" s="62">
        <v>1.4362110848693077E-2</v>
      </c>
      <c r="P219" s="54" t="s">
        <v>547</v>
      </c>
      <c r="Q219" s="52" t="s">
        <v>548</v>
      </c>
      <c r="R219" s="93">
        <v>47660</v>
      </c>
      <c r="S219" s="72">
        <v>4.4340270000000001E-2</v>
      </c>
      <c r="T219" s="62">
        <v>2.6500259805044835E-3</v>
      </c>
      <c r="V219" s="113">
        <v>1.1155818499999999</v>
      </c>
      <c r="W219" s="71">
        <v>2.8746624399999998</v>
      </c>
      <c r="X219" s="71">
        <v>4.4358720099999998</v>
      </c>
      <c r="Y219" s="71">
        <v>5.7847780799999997</v>
      </c>
      <c r="Z219" s="114">
        <v>7.4667432900000001</v>
      </c>
    </row>
    <row r="220" spans="2:26" x14ac:dyDescent="0.35">
      <c r="B220" s="54" t="s">
        <v>248</v>
      </c>
      <c r="C220" s="52" t="s">
        <v>232</v>
      </c>
      <c r="D220" s="52" t="s">
        <v>97</v>
      </c>
      <c r="E220" s="52" t="s">
        <v>159</v>
      </c>
      <c r="F220" s="70">
        <v>3.6897220423511248E-2</v>
      </c>
      <c r="G220" s="70">
        <v>4.1362069853763124E-2</v>
      </c>
      <c r="H220" s="70">
        <v>4.6990218190151416E-2</v>
      </c>
      <c r="I220" s="70">
        <v>5.0365369852280364E-2</v>
      </c>
      <c r="J220" s="62">
        <v>5.3848348464329988E-2</v>
      </c>
      <c r="K220" s="70" t="s">
        <v>21</v>
      </c>
      <c r="L220" s="70">
        <v>4.6834368537631219E-3</v>
      </c>
      <c r="M220" s="70">
        <v>9.7657899901514265E-3</v>
      </c>
      <c r="N220" s="70">
        <v>1.2167329752280359E-2</v>
      </c>
      <c r="O220" s="62">
        <v>1.4314705964329988E-2</v>
      </c>
      <c r="P220" s="54" t="s">
        <v>549</v>
      </c>
      <c r="Q220" s="52" t="s">
        <v>550</v>
      </c>
      <c r="R220" s="93">
        <v>47551</v>
      </c>
      <c r="S220" s="72">
        <v>4.2524439999999997E-2</v>
      </c>
      <c r="T220" s="62">
        <v>4.465778190151419E-3</v>
      </c>
      <c r="V220" s="113">
        <v>1.1154802099999999</v>
      </c>
      <c r="W220" s="71">
        <v>2.8743605900000002</v>
      </c>
      <c r="X220" s="71">
        <v>4.4355395300000007</v>
      </c>
      <c r="Y220" s="71">
        <v>5.7851286399999999</v>
      </c>
      <c r="Z220" s="114">
        <v>7.4685637200000006</v>
      </c>
    </row>
    <row r="221" spans="2:26" x14ac:dyDescent="0.35">
      <c r="B221" s="54" t="s">
        <v>245</v>
      </c>
      <c r="C221" s="52" t="s">
        <v>232</v>
      </c>
      <c r="D221" s="52" t="s">
        <v>20</v>
      </c>
      <c r="E221" s="52" t="s">
        <v>21</v>
      </c>
      <c r="F221" s="70">
        <v>3.7749176825709427E-2</v>
      </c>
      <c r="G221" s="70">
        <v>4.2370614605399655E-2</v>
      </c>
      <c r="H221" s="70">
        <v>4.788071069446783E-2</v>
      </c>
      <c r="I221" s="70">
        <v>5.1355792523765195E-2</v>
      </c>
      <c r="J221" s="62">
        <v>5.466887292490908E-2</v>
      </c>
      <c r="K221" s="70">
        <v>1.0534682570942106E-4</v>
      </c>
      <c r="L221" s="70">
        <v>5.6691158053996521E-3</v>
      </c>
      <c r="M221" s="70">
        <v>1.0637843894467825E-2</v>
      </c>
      <c r="N221" s="70">
        <v>1.3135642823765194E-2</v>
      </c>
      <c r="O221" s="62">
        <v>1.512488272490908E-2</v>
      </c>
      <c r="P221" s="54" t="s">
        <v>246</v>
      </c>
      <c r="Q221" s="52" t="s">
        <v>247</v>
      </c>
      <c r="R221" s="93">
        <v>47543</v>
      </c>
      <c r="S221" s="72">
        <v>4.3918579999999999E-2</v>
      </c>
      <c r="T221" s="62">
        <v>3.9621306944678317E-3</v>
      </c>
      <c r="V221" s="113">
        <v>1.1148339199999999</v>
      </c>
      <c r="W221" s="71">
        <v>2.8704525699999999</v>
      </c>
      <c r="X221" s="71">
        <v>4.4269990999999997</v>
      </c>
      <c r="Y221" s="71">
        <v>5.7690183300000006</v>
      </c>
      <c r="Z221" s="114">
        <v>7.4426139999999998</v>
      </c>
    </row>
    <row r="222" spans="2:26" x14ac:dyDescent="0.35">
      <c r="B222" s="54" t="s">
        <v>350</v>
      </c>
      <c r="C222" s="52" t="s">
        <v>232</v>
      </c>
      <c r="D222" s="52" t="s">
        <v>20</v>
      </c>
      <c r="E222" s="52" t="s">
        <v>21</v>
      </c>
      <c r="F222" s="70">
        <v>3.7379721227323179E-2</v>
      </c>
      <c r="G222" s="70">
        <v>4.1954104731915257E-2</v>
      </c>
      <c r="H222" s="70">
        <v>4.7779692218005029E-2</v>
      </c>
      <c r="I222" s="70">
        <v>5.1261424004776769E-2</v>
      </c>
      <c r="J222" s="62">
        <v>5.4220833173277125E-2</v>
      </c>
      <c r="K222" s="70" t="s">
        <v>21</v>
      </c>
      <c r="L222" s="70">
        <v>5.2740799319152595E-3</v>
      </c>
      <c r="M222" s="70">
        <v>1.0543802218005025E-2</v>
      </c>
      <c r="N222" s="70">
        <v>1.3047446304776771E-2</v>
      </c>
      <c r="O222" s="62">
        <v>1.4697856073277133E-2</v>
      </c>
      <c r="P222" s="54" t="s">
        <v>391</v>
      </c>
      <c r="Q222" s="52" t="s">
        <v>392</v>
      </c>
      <c r="R222" s="93">
        <v>47802</v>
      </c>
      <c r="S222" s="72">
        <v>4.5271419999999993E-2</v>
      </c>
      <c r="T222" s="62">
        <v>2.5082722180050365E-3</v>
      </c>
      <c r="V222" s="113">
        <v>1.11549086</v>
      </c>
      <c r="W222" s="71">
        <v>2.8738289899999998</v>
      </c>
      <c r="X222" s="71">
        <v>4.4318529699999996</v>
      </c>
      <c r="Y222" s="71">
        <v>5.7745768499999999</v>
      </c>
      <c r="Z222" s="114">
        <v>7.4577056700000002</v>
      </c>
    </row>
    <row r="223" spans="2:26" x14ac:dyDescent="0.35">
      <c r="B223" s="54" t="s">
        <v>254</v>
      </c>
      <c r="C223" s="52" t="s">
        <v>232</v>
      </c>
      <c r="D223" s="52" t="s">
        <v>255</v>
      </c>
      <c r="E223" s="52" t="s">
        <v>103</v>
      </c>
      <c r="F223" s="70">
        <v>3.6818751578280524E-2</v>
      </c>
      <c r="G223" s="70">
        <v>4.0998236252324911E-2</v>
      </c>
      <c r="H223" s="70">
        <v>4.6566575595656301E-2</v>
      </c>
      <c r="I223" s="70">
        <v>5.0142046715143426E-2</v>
      </c>
      <c r="J223" s="62">
        <v>5.3622652589983194E-2</v>
      </c>
      <c r="K223" s="70" t="s">
        <v>21</v>
      </c>
      <c r="L223" s="70">
        <v>4.3362786523249127E-3</v>
      </c>
      <c r="M223" s="70">
        <v>9.3622332956562991E-3</v>
      </c>
      <c r="N223" s="70">
        <v>1.1954543515143421E-2</v>
      </c>
      <c r="O223" s="62">
        <v>1.4099455189983191E-2</v>
      </c>
      <c r="P223" s="54" t="s">
        <v>551</v>
      </c>
      <c r="Q223" s="52" t="s">
        <v>552</v>
      </c>
      <c r="R223" s="93" t="s">
        <v>32</v>
      </c>
      <c r="S223" s="72">
        <v>4.2852189999999998E-2</v>
      </c>
      <c r="T223" s="62">
        <v>3.7143855956563027E-3</v>
      </c>
      <c r="V223" s="113">
        <v>1.1156156400000001</v>
      </c>
      <c r="W223" s="71">
        <v>2.8768520799999999</v>
      </c>
      <c r="X223" s="71">
        <v>4.4429456499999995</v>
      </c>
      <c r="Y223" s="71">
        <v>5.7961337500000001</v>
      </c>
      <c r="Z223" s="114">
        <v>7.4844060299999997</v>
      </c>
    </row>
    <row r="224" spans="2:26" x14ac:dyDescent="0.35">
      <c r="B224" s="54" t="s">
        <v>156</v>
      </c>
      <c r="C224" s="52" t="s">
        <v>232</v>
      </c>
      <c r="D224" s="52" t="s">
        <v>31</v>
      </c>
      <c r="E224" s="52" t="s">
        <v>553</v>
      </c>
      <c r="F224" s="70">
        <v>3.6483917563320201E-2</v>
      </c>
      <c r="G224" s="70">
        <v>4.0874212826398214E-2</v>
      </c>
      <c r="H224" s="70">
        <v>4.651254349094136E-2</v>
      </c>
      <c r="I224" s="70">
        <v>4.9991657997980284E-2</v>
      </c>
      <c r="J224" s="62">
        <v>5.3468254662460545E-2</v>
      </c>
      <c r="K224" s="70" t="s">
        <v>21</v>
      </c>
      <c r="L224" s="70">
        <v>4.2162640263982091E-3</v>
      </c>
      <c r="M224" s="70">
        <v>9.3098734909413689E-3</v>
      </c>
      <c r="N224" s="70">
        <v>1.1810725897980287E-2</v>
      </c>
      <c r="O224" s="62">
        <v>1.3950923062460542E-2</v>
      </c>
      <c r="P224" s="54" t="s">
        <v>21</v>
      </c>
      <c r="Q224" s="52" t="s">
        <v>21</v>
      </c>
      <c r="R224" s="93" t="s">
        <v>21</v>
      </c>
      <c r="S224" s="72" t="s">
        <v>21</v>
      </c>
      <c r="T224" s="62" t="s">
        <v>21</v>
      </c>
      <c r="V224" s="113">
        <v>1.11626658</v>
      </c>
      <c r="W224" s="71">
        <v>2.8787762200000002</v>
      </c>
      <c r="X224" s="71">
        <v>4.4455804500000005</v>
      </c>
      <c r="Y224" s="71">
        <v>5.8007317699999996</v>
      </c>
      <c r="Z224" s="114">
        <v>7.4930482500000011</v>
      </c>
    </row>
    <row r="225" spans="2:26" x14ac:dyDescent="0.35">
      <c r="B225" s="54" t="s">
        <v>148</v>
      </c>
      <c r="C225" s="52" t="s">
        <v>232</v>
      </c>
      <c r="D225" s="52" t="s">
        <v>97</v>
      </c>
      <c r="E225" s="52" t="s">
        <v>345</v>
      </c>
      <c r="F225" s="70">
        <v>3.6375314074155049E-2</v>
      </c>
      <c r="G225" s="70">
        <v>4.1031904160071082E-2</v>
      </c>
      <c r="H225" s="70">
        <v>4.6464588057912169E-2</v>
      </c>
      <c r="I225" s="70">
        <v>5.0040883234559269E-2</v>
      </c>
      <c r="J225" s="62">
        <v>5.3611787048778704E-2</v>
      </c>
      <c r="K225" s="70" t="s">
        <v>21</v>
      </c>
      <c r="L225" s="70">
        <v>4.3681267600710781E-3</v>
      </c>
      <c r="M225" s="70">
        <v>9.26468065791217E-3</v>
      </c>
      <c r="N225" s="70">
        <v>1.1857839234559266E-2</v>
      </c>
      <c r="O225" s="62">
        <v>1.4088637548778702E-2</v>
      </c>
      <c r="P225" s="54" t="s">
        <v>554</v>
      </c>
      <c r="Q225" s="52" t="s">
        <v>555</v>
      </c>
      <c r="R225" s="93" t="s">
        <v>32</v>
      </c>
      <c r="S225" s="72">
        <v>4.5901569999999996E-2</v>
      </c>
      <c r="T225" s="62">
        <v>5.6301805791217352E-4</v>
      </c>
      <c r="V225" s="113">
        <v>1.1164566199999999</v>
      </c>
      <c r="W225" s="71">
        <v>2.87812154</v>
      </c>
      <c r="X225" s="71">
        <v>4.4450557000000002</v>
      </c>
      <c r="Y225" s="71">
        <v>5.7997845000000003</v>
      </c>
      <c r="Z225" s="114">
        <v>7.488577170000001</v>
      </c>
    </row>
    <row r="226" spans="2:26" x14ac:dyDescent="0.35">
      <c r="B226" s="54" t="s">
        <v>352</v>
      </c>
      <c r="C226" s="52" t="s">
        <v>232</v>
      </c>
      <c r="D226" s="52" t="s">
        <v>20</v>
      </c>
      <c r="E226" s="52" t="s">
        <v>21</v>
      </c>
      <c r="F226" s="70">
        <v>3.7233941279627279E-2</v>
      </c>
      <c r="G226" s="70">
        <v>4.1841438378714881E-2</v>
      </c>
      <c r="H226" s="70">
        <v>4.7468390865958235E-2</v>
      </c>
      <c r="I226" s="70">
        <v>5.1245399760522052E-2</v>
      </c>
      <c r="J226" s="62">
        <v>5.4539326375002577E-2</v>
      </c>
      <c r="K226" s="70" t="s">
        <v>21</v>
      </c>
      <c r="L226" s="70">
        <v>5.1611144787148816E-3</v>
      </c>
      <c r="M226" s="70">
        <v>1.0243214165958227E-2</v>
      </c>
      <c r="N226" s="70">
        <v>1.3029002760522048E-2</v>
      </c>
      <c r="O226" s="62">
        <v>1.5001357675002575E-2</v>
      </c>
      <c r="P226" s="54" t="s">
        <v>21</v>
      </c>
      <c r="Q226" s="52" t="s">
        <v>21</v>
      </c>
      <c r="R226" s="93" t="s">
        <v>21</v>
      </c>
      <c r="S226" s="72" t="s">
        <v>21</v>
      </c>
      <c r="T226" s="62" t="s">
        <v>21</v>
      </c>
      <c r="V226" s="113">
        <v>1.1158321800000002</v>
      </c>
      <c r="W226" s="71">
        <v>2.8757782999999999</v>
      </c>
      <c r="X226" s="71">
        <v>4.4376264999999995</v>
      </c>
      <c r="Y226" s="71">
        <v>5.7808104399999998</v>
      </c>
      <c r="Z226" s="114">
        <v>7.4552133000000005</v>
      </c>
    </row>
    <row r="227" spans="2:26" x14ac:dyDescent="0.35">
      <c r="B227" s="54" t="s">
        <v>373</v>
      </c>
      <c r="C227" s="52" t="s">
        <v>232</v>
      </c>
      <c r="D227" s="52" t="s">
        <v>69</v>
      </c>
      <c r="E227" s="52" t="s">
        <v>21</v>
      </c>
      <c r="F227" s="70">
        <v>3.6515474813271782E-2</v>
      </c>
      <c r="G227" s="70">
        <v>4.0945636840779655E-2</v>
      </c>
      <c r="H227" s="70">
        <v>4.6409825216906411E-2</v>
      </c>
      <c r="I227" s="70">
        <v>4.9552560775033457E-2</v>
      </c>
      <c r="J227" s="62">
        <v>5.2408043996711472E-2</v>
      </c>
      <c r="K227" s="70" t="s">
        <v>21</v>
      </c>
      <c r="L227" s="70">
        <v>4.2862276407796569E-3</v>
      </c>
      <c r="M227" s="70">
        <v>9.2128358169064097E-3</v>
      </c>
      <c r="N227" s="70">
        <v>1.1392131975033453E-2</v>
      </c>
      <c r="O227" s="62">
        <v>1.2932985996711471E-2</v>
      </c>
      <c r="P227" s="54" t="s">
        <v>21</v>
      </c>
      <c r="Q227" s="52" t="s">
        <v>21</v>
      </c>
      <c r="R227" s="93" t="s">
        <v>21</v>
      </c>
      <c r="S227" s="72" t="s">
        <v>21</v>
      </c>
      <c r="T227" s="62" t="s">
        <v>21</v>
      </c>
      <c r="V227" s="113">
        <v>1.11618281</v>
      </c>
      <c r="W227" s="71">
        <v>2.8781726600000002</v>
      </c>
      <c r="X227" s="71">
        <v>4.44585352</v>
      </c>
      <c r="Y227" s="71">
        <v>5.8073151300000001</v>
      </c>
      <c r="Z227" s="114">
        <v>7.5264751099999998</v>
      </c>
    </row>
    <row r="228" spans="2:26" x14ac:dyDescent="0.35">
      <c r="B228" s="54" t="s">
        <v>374</v>
      </c>
      <c r="C228" s="52" t="s">
        <v>232</v>
      </c>
      <c r="D228" s="52" t="s">
        <v>20</v>
      </c>
      <c r="E228" s="52" t="s">
        <v>556</v>
      </c>
      <c r="F228" s="70">
        <v>3.680084617184208E-2</v>
      </c>
      <c r="G228" s="70">
        <v>4.0730111900326257E-2</v>
      </c>
      <c r="H228" s="70">
        <v>4.5462948906494362E-2</v>
      </c>
      <c r="I228" s="70">
        <v>4.8364549204962089E-2</v>
      </c>
      <c r="J228" s="62">
        <v>5.0934808388200699E-2</v>
      </c>
      <c r="K228" s="70" t="s">
        <v>21</v>
      </c>
      <c r="L228" s="70">
        <v>4.1006966003262549E-3</v>
      </c>
      <c r="M228" s="70">
        <v>8.3291119064943641E-3</v>
      </c>
      <c r="N228" s="70">
        <v>1.0275251104962085E-2</v>
      </c>
      <c r="O228" s="62">
        <v>1.1529619688200696E-2</v>
      </c>
      <c r="P228" s="54" t="s">
        <v>21</v>
      </c>
      <c r="Q228" s="52" t="s">
        <v>21</v>
      </c>
      <c r="R228" s="93" t="s">
        <v>21</v>
      </c>
      <c r="S228" s="72" t="s">
        <v>21</v>
      </c>
      <c r="T228" s="62" t="s">
        <v>21</v>
      </c>
      <c r="V228" s="113">
        <v>1.11659277</v>
      </c>
      <c r="W228" s="71">
        <v>2.8832853900000002</v>
      </c>
      <c r="X228" s="71">
        <v>4.4669062000000004</v>
      </c>
      <c r="Y228" s="71">
        <v>5.8543816899999994</v>
      </c>
      <c r="Z228" s="114">
        <v>7.6241325799999995</v>
      </c>
    </row>
    <row r="229" spans="2:26" x14ac:dyDescent="0.35">
      <c r="B229" s="54" t="s">
        <v>157</v>
      </c>
      <c r="C229" s="52" t="s">
        <v>232</v>
      </c>
      <c r="D229" s="52" t="s">
        <v>31</v>
      </c>
      <c r="E229" s="52" t="s">
        <v>21</v>
      </c>
      <c r="F229" s="70">
        <v>3.6980512873453768E-2</v>
      </c>
      <c r="G229" s="70">
        <v>4.1048935164476767E-2</v>
      </c>
      <c r="H229" s="70">
        <v>4.6366422843573382E-2</v>
      </c>
      <c r="I229" s="70">
        <v>4.9702919881805807E-2</v>
      </c>
      <c r="J229" s="62">
        <v>5.2891003117896407E-2</v>
      </c>
      <c r="K229" s="70" t="s">
        <v>21</v>
      </c>
      <c r="L229" s="70">
        <v>4.3827009644767656E-3</v>
      </c>
      <c r="M229" s="70">
        <v>9.1695310435733878E-3</v>
      </c>
      <c r="N229" s="70">
        <v>1.1533639281805803E-2</v>
      </c>
      <c r="O229" s="62">
        <v>1.3394867817896405E-2</v>
      </c>
      <c r="P229" s="54" t="s">
        <v>21</v>
      </c>
      <c r="Q229" s="52" t="s">
        <v>21</v>
      </c>
      <c r="R229" s="93" t="s">
        <v>21</v>
      </c>
      <c r="S229" s="72" t="s">
        <v>21</v>
      </c>
      <c r="T229" s="62" t="s">
        <v>21</v>
      </c>
      <c r="V229" s="113">
        <v>1.1153422399999999</v>
      </c>
      <c r="W229" s="71">
        <v>2.8760727699999999</v>
      </c>
      <c r="X229" s="71">
        <v>4.4441503299999994</v>
      </c>
      <c r="Y229" s="71">
        <v>5.8039343499999996</v>
      </c>
      <c r="Z229" s="114">
        <v>7.5113534199999998</v>
      </c>
    </row>
    <row r="230" spans="2:26" x14ac:dyDescent="0.35">
      <c r="B230" s="54" t="s">
        <v>260</v>
      </c>
      <c r="C230" s="52" t="s">
        <v>232</v>
      </c>
      <c r="D230" s="52" t="s">
        <v>43</v>
      </c>
      <c r="E230" s="52" t="s">
        <v>21</v>
      </c>
      <c r="F230" s="70">
        <v>3.6797555546725119E-2</v>
      </c>
      <c r="G230" s="70">
        <v>4.1244834784830979E-2</v>
      </c>
      <c r="H230" s="70">
        <v>4.6317973589145765E-2</v>
      </c>
      <c r="I230" s="70">
        <v>4.9413036067095538E-2</v>
      </c>
      <c r="J230" s="62">
        <v>5.2592563050434721E-2</v>
      </c>
      <c r="K230" s="70" t="s">
        <v>21</v>
      </c>
      <c r="L230" s="70">
        <v>4.5720099848309886E-3</v>
      </c>
      <c r="M230" s="70">
        <v>9.12451038914577E-3</v>
      </c>
      <c r="N230" s="70">
        <v>1.1257545467095535E-2</v>
      </c>
      <c r="O230" s="62">
        <v>1.3107190150434728E-2</v>
      </c>
      <c r="P230" s="54" t="s">
        <v>21</v>
      </c>
      <c r="Q230" s="52" t="s">
        <v>21</v>
      </c>
      <c r="R230" s="93" t="s">
        <v>21</v>
      </c>
      <c r="S230" s="72" t="s">
        <v>21</v>
      </c>
      <c r="T230" s="62" t="s">
        <v>21</v>
      </c>
      <c r="V230" s="113">
        <v>1.1156578100000001</v>
      </c>
      <c r="W230" s="71">
        <v>2.8753949800000003</v>
      </c>
      <c r="X230" s="71">
        <v>4.4434980499999996</v>
      </c>
      <c r="Y230" s="71">
        <v>5.8075029999999996</v>
      </c>
      <c r="Z230" s="114">
        <v>7.5237175700000005</v>
      </c>
    </row>
    <row r="231" spans="2:26" x14ac:dyDescent="0.35">
      <c r="B231" s="54" t="s">
        <v>322</v>
      </c>
      <c r="C231" s="52" t="s">
        <v>232</v>
      </c>
      <c r="D231" s="52" t="s">
        <v>31</v>
      </c>
      <c r="E231" s="52" t="s">
        <v>256</v>
      </c>
      <c r="F231" s="70">
        <v>3.6309697077146E-2</v>
      </c>
      <c r="G231" s="70">
        <v>4.0713541029317638E-2</v>
      </c>
      <c r="H231" s="70">
        <v>4.6199267630168059E-2</v>
      </c>
      <c r="I231" s="70">
        <v>5.0549972368279163E-2</v>
      </c>
      <c r="J231" s="62">
        <v>5.4045107099662391E-2</v>
      </c>
      <c r="K231" s="70" t="s">
        <v>21</v>
      </c>
      <c r="L231" s="70">
        <v>4.0623984293176414E-3</v>
      </c>
      <c r="M231" s="70">
        <v>9.0106913301680556E-3</v>
      </c>
      <c r="N231" s="70">
        <v>1.2342612668279167E-2</v>
      </c>
      <c r="O231" s="62">
        <v>1.4507837999662394E-2</v>
      </c>
      <c r="P231" s="54" t="s">
        <v>21</v>
      </c>
      <c r="Q231" s="52" t="s">
        <v>21</v>
      </c>
      <c r="R231" s="93" t="s">
        <v>21</v>
      </c>
      <c r="S231" s="72" t="s">
        <v>21</v>
      </c>
      <c r="T231" s="62" t="s">
        <v>21</v>
      </c>
      <c r="V231" s="113">
        <v>1.1165964100000001</v>
      </c>
      <c r="W231" s="71">
        <v>2.8803562</v>
      </c>
      <c r="X231" s="71">
        <v>4.4505734800000001</v>
      </c>
      <c r="Y231" s="71">
        <v>5.7986130899999999</v>
      </c>
      <c r="Z231" s="114">
        <v>7.4730468800000001</v>
      </c>
    </row>
    <row r="232" spans="2:26" x14ac:dyDescent="0.35">
      <c r="B232" s="54" t="s">
        <v>365</v>
      </c>
      <c r="C232" s="52" t="s">
        <v>232</v>
      </c>
      <c r="D232" s="52" t="s">
        <v>69</v>
      </c>
      <c r="E232" s="52" t="s">
        <v>21</v>
      </c>
      <c r="F232" s="70">
        <v>3.689859530447584E-2</v>
      </c>
      <c r="G232" s="70">
        <v>4.0873328335444936E-2</v>
      </c>
      <c r="H232" s="70">
        <v>4.6152187457743139E-2</v>
      </c>
      <c r="I232" s="70">
        <v>4.9396005024673888E-2</v>
      </c>
      <c r="J232" s="62">
        <v>5.2389530492800443E-2</v>
      </c>
      <c r="K232" s="70" t="s">
        <v>21</v>
      </c>
      <c r="L232" s="70">
        <v>4.2166289354449377E-3</v>
      </c>
      <c r="M232" s="70">
        <v>8.9663282577431471E-3</v>
      </c>
      <c r="N232" s="70">
        <v>1.1241552224673887E-2</v>
      </c>
      <c r="O232" s="62">
        <v>1.2913893792800449E-2</v>
      </c>
      <c r="P232" s="54" t="s">
        <v>21</v>
      </c>
      <c r="Q232" s="52" t="s">
        <v>21</v>
      </c>
      <c r="R232" s="93" t="s">
        <v>21</v>
      </c>
      <c r="S232" s="72" t="s">
        <v>21</v>
      </c>
      <c r="T232" s="62" t="s">
        <v>21</v>
      </c>
      <c r="V232" s="113">
        <v>1.1154672799999998</v>
      </c>
      <c r="W232" s="71">
        <v>2.8773690899999997</v>
      </c>
      <c r="X232" s="71">
        <v>4.4478884900000004</v>
      </c>
      <c r="Y232" s="71">
        <v>5.8121380299999998</v>
      </c>
      <c r="Z232" s="114">
        <v>7.532137060000001</v>
      </c>
    </row>
    <row r="233" spans="2:26" x14ac:dyDescent="0.35">
      <c r="B233" s="54" t="s">
        <v>374</v>
      </c>
      <c r="C233" s="52" t="s">
        <v>232</v>
      </c>
      <c r="D233" s="52" t="s">
        <v>20</v>
      </c>
      <c r="E233" s="52" t="s">
        <v>249</v>
      </c>
      <c r="F233" s="70">
        <v>3.680084617184208E-2</v>
      </c>
      <c r="G233" s="70">
        <v>4.0730111900326257E-2</v>
      </c>
      <c r="H233" s="70">
        <v>4.5462948906494362E-2</v>
      </c>
      <c r="I233" s="70">
        <v>4.8364549204962089E-2</v>
      </c>
      <c r="J233" s="62">
        <v>5.0934808388200699E-2</v>
      </c>
      <c r="K233" s="70" t="s">
        <v>21</v>
      </c>
      <c r="L233" s="70">
        <v>4.1006966003262549E-3</v>
      </c>
      <c r="M233" s="70">
        <v>8.3291119064943641E-3</v>
      </c>
      <c r="N233" s="70">
        <v>1.0275251104962085E-2</v>
      </c>
      <c r="O233" s="62">
        <v>1.1529619688200696E-2</v>
      </c>
      <c r="P233" s="54" t="s">
        <v>21</v>
      </c>
      <c r="Q233" s="52" t="s">
        <v>21</v>
      </c>
      <c r="R233" s="93" t="s">
        <v>21</v>
      </c>
      <c r="S233" s="72" t="s">
        <v>21</v>
      </c>
      <c r="T233" s="62" t="s">
        <v>21</v>
      </c>
      <c r="V233" s="113">
        <v>1.11659277</v>
      </c>
      <c r="W233" s="71">
        <v>2.8832853900000002</v>
      </c>
      <c r="X233" s="71">
        <v>4.4669062000000004</v>
      </c>
      <c r="Y233" s="71">
        <v>5.8543816899999994</v>
      </c>
      <c r="Z233" s="114">
        <v>7.6241325799999995</v>
      </c>
    </row>
    <row r="234" spans="2:26" x14ac:dyDescent="0.35">
      <c r="B234" s="54" t="s">
        <v>357</v>
      </c>
      <c r="C234" s="52" t="s">
        <v>232</v>
      </c>
      <c r="D234" s="52" t="s">
        <v>20</v>
      </c>
      <c r="E234" s="52" t="s">
        <v>58</v>
      </c>
      <c r="F234" s="70">
        <v>3.7720972732478826E-2</v>
      </c>
      <c r="G234" s="70">
        <v>4.2413578759480999E-2</v>
      </c>
      <c r="H234" s="70">
        <v>4.8213373312933239E-2</v>
      </c>
      <c r="I234" s="70">
        <v>5.1764302346882472E-2</v>
      </c>
      <c r="J234" s="62">
        <v>5.5086572884891549E-2</v>
      </c>
      <c r="K234" s="70">
        <v>7.6951432478822301E-5</v>
      </c>
      <c r="L234" s="70">
        <v>5.7092127594810058E-3</v>
      </c>
      <c r="M234" s="70">
        <v>1.0953932912933239E-2</v>
      </c>
      <c r="N234" s="70">
        <v>1.3523860346882476E-2</v>
      </c>
      <c r="O234" s="62">
        <v>1.5524626484891543E-2</v>
      </c>
      <c r="P234" s="54" t="s">
        <v>21</v>
      </c>
      <c r="Q234" s="52" t="s">
        <v>21</v>
      </c>
      <c r="R234" s="93" t="s">
        <v>21</v>
      </c>
      <c r="S234" s="72" t="s">
        <v>21</v>
      </c>
      <c r="T234" s="62" t="s">
        <v>21</v>
      </c>
      <c r="V234" s="113">
        <v>1.1148834999999999</v>
      </c>
      <c r="W234" s="71">
        <v>2.8693267599999999</v>
      </c>
      <c r="X234" s="71">
        <v>4.4229312499999995</v>
      </c>
      <c r="Y234" s="71">
        <v>5.7584231399999997</v>
      </c>
      <c r="Z234" s="114">
        <v>7.4203432500000002</v>
      </c>
    </row>
    <row r="235" spans="2:26" x14ac:dyDescent="0.35">
      <c r="B235" s="54" t="s">
        <v>261</v>
      </c>
      <c r="C235" s="52" t="s">
        <v>232</v>
      </c>
      <c r="D235" s="52" t="s">
        <v>62</v>
      </c>
      <c r="E235" s="52" t="s">
        <v>128</v>
      </c>
      <c r="F235" s="70">
        <v>3.6909775966533581E-2</v>
      </c>
      <c r="G235" s="70">
        <v>4.0971221297421319E-2</v>
      </c>
      <c r="H235" s="70">
        <v>4.6051937462315E-2</v>
      </c>
      <c r="I235" s="70">
        <v>4.924870550753855E-2</v>
      </c>
      <c r="J235" s="62">
        <v>5.219087794175703E-2</v>
      </c>
      <c r="K235" s="70" t="s">
        <v>21</v>
      </c>
      <c r="L235" s="70">
        <v>4.3106652974213115E-3</v>
      </c>
      <c r="M235" s="70">
        <v>8.8706966623149971E-3</v>
      </c>
      <c r="N235" s="70">
        <v>1.1100559007538549E-2</v>
      </c>
      <c r="O235" s="62">
        <v>1.2722206041757033E-2</v>
      </c>
      <c r="P235" s="54" t="s">
        <v>557</v>
      </c>
      <c r="Q235" s="52" t="s">
        <v>558</v>
      </c>
      <c r="R235" s="93">
        <v>47649</v>
      </c>
      <c r="S235" s="72">
        <v>4.1970900000000005E-2</v>
      </c>
      <c r="T235" s="62">
        <v>4.0810374623149945E-3</v>
      </c>
      <c r="V235" s="113">
        <v>1.1154407799999999</v>
      </c>
      <c r="W235" s="71">
        <v>2.8767112699999999</v>
      </c>
      <c r="X235" s="71">
        <v>4.4480435800000002</v>
      </c>
      <c r="Y235" s="71">
        <v>5.8146572899999995</v>
      </c>
      <c r="Z235" s="114">
        <v>7.5400619000000004</v>
      </c>
    </row>
    <row r="236" spans="2:26" x14ac:dyDescent="0.35">
      <c r="B236" s="54" t="s">
        <v>370</v>
      </c>
      <c r="C236" s="52" t="s">
        <v>232</v>
      </c>
      <c r="D236" s="52" t="s">
        <v>69</v>
      </c>
      <c r="E236" s="52" t="s">
        <v>21</v>
      </c>
      <c r="F236" s="70">
        <v>3.6365754208668069E-2</v>
      </c>
      <c r="G236" s="70">
        <v>4.0901794620197982E-2</v>
      </c>
      <c r="H236" s="70">
        <v>4.5997385228578103E-2</v>
      </c>
      <c r="I236" s="70">
        <v>4.94366150411732E-2</v>
      </c>
      <c r="J236" s="62">
        <v>5.2666766441161438E-2</v>
      </c>
      <c r="K236" s="70" t="s">
        <v>21</v>
      </c>
      <c r="L236" s="70">
        <v>4.2441705201979769E-3</v>
      </c>
      <c r="M236" s="70">
        <v>8.8187080285781032E-3</v>
      </c>
      <c r="N236" s="70">
        <v>1.1280416141173198E-2</v>
      </c>
      <c r="O236" s="62">
        <v>1.3180706141161444E-2</v>
      </c>
      <c r="P236" s="54" t="s">
        <v>401</v>
      </c>
      <c r="Q236" s="52" t="s">
        <v>402</v>
      </c>
      <c r="R236" s="93">
        <v>47802</v>
      </c>
      <c r="S236" s="72">
        <v>4.6265760000000003E-2</v>
      </c>
      <c r="T236" s="62">
        <v>-2.6837477142190036E-4</v>
      </c>
      <c r="V236" s="113">
        <v>1.1164666300000001</v>
      </c>
      <c r="W236" s="71">
        <v>2.87894446</v>
      </c>
      <c r="X236" s="71">
        <v>4.4508135900000001</v>
      </c>
      <c r="Y236" s="71">
        <v>5.8147617299999999</v>
      </c>
      <c r="Z236" s="114">
        <v>7.5275936799999998</v>
      </c>
    </row>
    <row r="237" spans="2:26" x14ac:dyDescent="0.35">
      <c r="B237" s="54" t="s">
        <v>263</v>
      </c>
      <c r="C237" s="52" t="s">
        <v>232</v>
      </c>
      <c r="D237" s="52" t="s">
        <v>31</v>
      </c>
      <c r="E237" s="52" t="s">
        <v>21</v>
      </c>
      <c r="F237" s="70">
        <v>3.6655024038173091E-2</v>
      </c>
      <c r="G237" s="70">
        <v>4.0626612705950964E-2</v>
      </c>
      <c r="H237" s="70">
        <v>4.5989256104199384E-2</v>
      </c>
      <c r="I237" s="70">
        <v>4.9332676174171239E-2</v>
      </c>
      <c r="J237" s="62">
        <v>5.2043614480283322E-2</v>
      </c>
      <c r="K237" s="70" t="s">
        <v>21</v>
      </c>
      <c r="L237" s="70">
        <v>3.9808174059509684E-3</v>
      </c>
      <c r="M237" s="70">
        <v>8.811064504199384E-3</v>
      </c>
      <c r="N237" s="70">
        <v>1.1181522774171237E-2</v>
      </c>
      <c r="O237" s="62">
        <v>1.2583254380283317E-2</v>
      </c>
      <c r="P237" s="54" t="s">
        <v>21</v>
      </c>
      <c r="Q237" s="52" t="s">
        <v>21</v>
      </c>
      <c r="R237" s="93" t="s">
        <v>21</v>
      </c>
      <c r="S237" s="72" t="s">
        <v>21</v>
      </c>
      <c r="T237" s="62" t="s">
        <v>21</v>
      </c>
      <c r="V237" s="113">
        <v>1.11592084</v>
      </c>
      <c r="W237" s="71">
        <v>2.8796980100000003</v>
      </c>
      <c r="X237" s="71">
        <v>4.4522663599999994</v>
      </c>
      <c r="Y237" s="71">
        <v>5.81742895</v>
      </c>
      <c r="Z237" s="114">
        <v>7.5448504500000002</v>
      </c>
    </row>
    <row r="238" spans="2:26" x14ac:dyDescent="0.35">
      <c r="B238" s="54" t="s">
        <v>376</v>
      </c>
      <c r="C238" s="52" t="s">
        <v>232</v>
      </c>
      <c r="D238" s="52" t="s">
        <v>20</v>
      </c>
      <c r="E238" s="52" t="s">
        <v>21</v>
      </c>
      <c r="F238" s="70">
        <v>3.703670872651578E-2</v>
      </c>
      <c r="G238" s="70">
        <v>4.117606341047754E-2</v>
      </c>
      <c r="H238" s="70">
        <v>4.6923314427798471E-2</v>
      </c>
      <c r="I238" s="70">
        <v>5.0127499924991825E-2</v>
      </c>
      <c r="J238" s="62">
        <v>5.3112932345221395E-2</v>
      </c>
      <c r="K238" s="70" t="s">
        <v>21</v>
      </c>
      <c r="L238" s="70">
        <v>4.5261334104775451E-3</v>
      </c>
      <c r="M238" s="70">
        <v>9.7244631277984776E-3</v>
      </c>
      <c r="N238" s="70">
        <v>1.196425222499182E-2</v>
      </c>
      <c r="O238" s="62">
        <v>1.3631453945221386E-2</v>
      </c>
      <c r="P238" s="54" t="s">
        <v>405</v>
      </c>
      <c r="Q238" s="52" t="s">
        <v>406</v>
      </c>
      <c r="R238" s="93">
        <v>47825</v>
      </c>
      <c r="S238" s="72">
        <v>4.527759E-2</v>
      </c>
      <c r="T238" s="62">
        <v>1.6457244277984714E-3</v>
      </c>
      <c r="V238" s="113">
        <v>1.1161664599999999</v>
      </c>
      <c r="W238" s="71">
        <v>2.8800144599999999</v>
      </c>
      <c r="X238" s="71">
        <v>4.4482446299999996</v>
      </c>
      <c r="Y238" s="71">
        <v>5.8062999299999998</v>
      </c>
      <c r="Z238" s="114">
        <v>7.5185257099999996</v>
      </c>
    </row>
    <row r="239" spans="2:26" x14ac:dyDescent="0.35">
      <c r="B239" s="54" t="s">
        <v>362</v>
      </c>
      <c r="C239" s="52" t="s">
        <v>232</v>
      </c>
      <c r="D239" s="52" t="s">
        <v>20</v>
      </c>
      <c r="E239" s="52" t="s">
        <v>21</v>
      </c>
      <c r="F239" s="70">
        <v>3.7063028017570235E-2</v>
      </c>
      <c r="G239" s="70">
        <v>4.1644319871034396E-2</v>
      </c>
      <c r="H239" s="70">
        <v>4.6839471412688946E-2</v>
      </c>
      <c r="I239" s="70">
        <v>4.9809310411387107E-2</v>
      </c>
      <c r="J239" s="62">
        <v>5.2555318021460226E-2</v>
      </c>
      <c r="K239" s="70" t="s">
        <v>21</v>
      </c>
      <c r="L239" s="70">
        <v>4.9737045710343923E-3</v>
      </c>
      <c r="M239" s="70">
        <v>9.6436557126889384E-3</v>
      </c>
      <c r="N239" s="70">
        <v>1.1658926911387112E-2</v>
      </c>
      <c r="O239" s="62">
        <v>1.3095704921460231E-2</v>
      </c>
      <c r="P239" s="54" t="s">
        <v>21</v>
      </c>
      <c r="Q239" s="52" t="s">
        <v>21</v>
      </c>
      <c r="R239" s="93" t="s">
        <v>21</v>
      </c>
      <c r="S239" s="72" t="s">
        <v>21</v>
      </c>
      <c r="T239" s="62" t="s">
        <v>21</v>
      </c>
      <c r="V239" s="113">
        <v>1.1161273500000002</v>
      </c>
      <c r="W239" s="71">
        <v>2.8770377900000002</v>
      </c>
      <c r="X239" s="71">
        <v>4.44544271</v>
      </c>
      <c r="Y239" s="71">
        <v>5.8084217000000002</v>
      </c>
      <c r="Z239" s="114">
        <v>7.5304678900000006</v>
      </c>
    </row>
    <row r="240" spans="2:26" x14ac:dyDescent="0.35">
      <c r="B240" s="54" t="s">
        <v>363</v>
      </c>
      <c r="C240" s="52" t="s">
        <v>232</v>
      </c>
      <c r="D240" s="52" t="s">
        <v>20</v>
      </c>
      <c r="E240" s="52" t="s">
        <v>21</v>
      </c>
      <c r="F240" s="70">
        <v>3.7005042620435379E-2</v>
      </c>
      <c r="G240" s="70">
        <v>4.1465800286746339E-2</v>
      </c>
      <c r="H240" s="70">
        <v>4.6801168131452506E-2</v>
      </c>
      <c r="I240" s="70">
        <v>5.0243809075465523E-2</v>
      </c>
      <c r="J240" s="62">
        <v>5.3564876821617841E-2</v>
      </c>
      <c r="K240" s="70" t="s">
        <v>21</v>
      </c>
      <c r="L240" s="70">
        <v>4.8044101867463383E-3</v>
      </c>
      <c r="M240" s="70">
        <v>9.6081892314525078E-3</v>
      </c>
      <c r="N240" s="70">
        <v>1.2073611675465527E-2</v>
      </c>
      <c r="O240" s="62">
        <v>1.4064443921617837E-2</v>
      </c>
      <c r="P240" s="54" t="s">
        <v>21</v>
      </c>
      <c r="Q240" s="52" t="s">
        <v>21</v>
      </c>
      <c r="R240" s="93" t="s">
        <v>21</v>
      </c>
      <c r="S240" s="72" t="s">
        <v>21</v>
      </c>
      <c r="T240" s="62" t="s">
        <v>21</v>
      </c>
      <c r="V240" s="113">
        <v>1.11621437</v>
      </c>
      <c r="W240" s="71">
        <v>2.8782733</v>
      </c>
      <c r="X240" s="71">
        <v>4.4476317700000001</v>
      </c>
      <c r="Y240" s="71">
        <v>5.8074893200000002</v>
      </c>
      <c r="Z240" s="114">
        <v>7.5084069599999994</v>
      </c>
    </row>
    <row r="241" spans="2:26" x14ac:dyDescent="0.35">
      <c r="B241" s="54" t="s">
        <v>366</v>
      </c>
      <c r="C241" s="52" t="s">
        <v>232</v>
      </c>
      <c r="D241" s="52" t="s">
        <v>20</v>
      </c>
      <c r="E241" s="52" t="s">
        <v>264</v>
      </c>
      <c r="F241" s="70">
        <v>3.7110372865467804E-2</v>
      </c>
      <c r="G241" s="70">
        <v>4.1512646200559604E-2</v>
      </c>
      <c r="H241" s="70">
        <v>4.6786642955481773E-2</v>
      </c>
      <c r="I241" s="70">
        <v>5.023957337127638E-2</v>
      </c>
      <c r="J241" s="62">
        <v>5.3723175820407573E-2</v>
      </c>
      <c r="K241" s="70" t="s">
        <v>21</v>
      </c>
      <c r="L241" s="70">
        <v>4.8483135005596076E-3</v>
      </c>
      <c r="M241" s="70">
        <v>9.5936801554817788E-3</v>
      </c>
      <c r="N241" s="70">
        <v>1.2069663971276384E-2</v>
      </c>
      <c r="O241" s="62">
        <v>1.4216061820407569E-2</v>
      </c>
      <c r="P241" s="54" t="s">
        <v>397</v>
      </c>
      <c r="Q241" s="52" t="s">
        <v>398</v>
      </c>
      <c r="R241" s="93">
        <v>47710</v>
      </c>
      <c r="S241" s="72">
        <v>4.6659240000000005E-2</v>
      </c>
      <c r="T241" s="62">
        <v>1.2740295548176878E-4</v>
      </c>
      <c r="V241" s="113">
        <v>1.11604584</v>
      </c>
      <c r="W241" s="71">
        <v>2.8780508299999998</v>
      </c>
      <c r="X241" s="71">
        <v>4.4472224599999999</v>
      </c>
      <c r="Y241" s="71">
        <v>5.8055640300000002</v>
      </c>
      <c r="Z241" s="114">
        <v>7.5022686099999998</v>
      </c>
    </row>
    <row r="242" spans="2:26" x14ac:dyDescent="0.35">
      <c r="B242" s="54" t="s">
        <v>364</v>
      </c>
      <c r="C242" s="52" t="s">
        <v>232</v>
      </c>
      <c r="D242" s="52" t="s">
        <v>20</v>
      </c>
      <c r="E242" s="52" t="s">
        <v>112</v>
      </c>
      <c r="F242" s="70">
        <v>3.7154535191285143E-2</v>
      </c>
      <c r="G242" s="70">
        <v>4.1194640347434364E-2</v>
      </c>
      <c r="H242" s="70">
        <v>4.6774691428489848E-2</v>
      </c>
      <c r="I242" s="70">
        <v>5.0096199968892877E-2</v>
      </c>
      <c r="J242" s="62">
        <v>5.3187771665352671E-2</v>
      </c>
      <c r="K242" s="70" t="s">
        <v>21</v>
      </c>
      <c r="L242" s="70">
        <v>4.5440207474343654E-3</v>
      </c>
      <c r="M242" s="70">
        <v>9.5823375284898454E-3</v>
      </c>
      <c r="N242" s="70">
        <v>1.1933361868892873E-2</v>
      </c>
      <c r="O242" s="62">
        <v>1.3703209765352676E-2</v>
      </c>
      <c r="P242" s="54" t="s">
        <v>395</v>
      </c>
      <c r="Q242" s="52" t="s">
        <v>396</v>
      </c>
      <c r="R242" s="93">
        <v>47708</v>
      </c>
      <c r="S242" s="72">
        <v>4.3553259999999996E-2</v>
      </c>
      <c r="T242" s="62">
        <v>3.2214314284898515E-3</v>
      </c>
      <c r="V242" s="113">
        <v>1.1159643000000001</v>
      </c>
      <c r="W242" s="71">
        <v>2.8791323499999999</v>
      </c>
      <c r="X242" s="71">
        <v>4.4497476699999998</v>
      </c>
      <c r="Y242" s="71">
        <v>5.8096738400000003</v>
      </c>
      <c r="Z242" s="114">
        <v>7.51895939</v>
      </c>
    </row>
    <row r="243" spans="2:26" x14ac:dyDescent="0.35">
      <c r="B243" s="54" t="s">
        <v>355</v>
      </c>
      <c r="C243" s="52" t="s">
        <v>232</v>
      </c>
      <c r="D243" s="52" t="s">
        <v>20</v>
      </c>
      <c r="E243" s="52" t="s">
        <v>21</v>
      </c>
      <c r="F243" s="70">
        <v>3.6867348677953271E-2</v>
      </c>
      <c r="G243" s="70">
        <v>4.1154384212809036E-2</v>
      </c>
      <c r="H243" s="70">
        <v>4.6746407086744803E-2</v>
      </c>
      <c r="I243" s="70">
        <v>5.0584625795512643E-2</v>
      </c>
      <c r="J243" s="62">
        <v>5.412513962523121E-2</v>
      </c>
      <c r="K243" s="70" t="s">
        <v>21</v>
      </c>
      <c r="L243" s="70">
        <v>4.5078653128090389E-3</v>
      </c>
      <c r="M243" s="70">
        <v>9.557151686744805E-3</v>
      </c>
      <c r="N243" s="70">
        <v>1.2401240595512638E-2</v>
      </c>
      <c r="O243" s="62">
        <v>1.4605540325231205E-2</v>
      </c>
      <c r="P243" s="54" t="s">
        <v>21</v>
      </c>
      <c r="Q243" s="52" t="s">
        <v>21</v>
      </c>
      <c r="R243" s="93" t="s">
        <v>21</v>
      </c>
      <c r="S243" s="72" t="s">
        <v>21</v>
      </c>
      <c r="T243" s="62" t="s">
        <v>21</v>
      </c>
      <c r="V243" s="113">
        <v>1.11646343</v>
      </c>
      <c r="W243" s="71">
        <v>2.8806573100000001</v>
      </c>
      <c r="X243" s="71">
        <v>4.4512644400000001</v>
      </c>
      <c r="Y243" s="71">
        <v>5.80414429</v>
      </c>
      <c r="Z243" s="114">
        <v>7.4895601300000001</v>
      </c>
    </row>
    <row r="244" spans="2:26" x14ac:dyDescent="0.35">
      <c r="B244" s="54" t="s">
        <v>358</v>
      </c>
      <c r="C244" s="52" t="s">
        <v>232</v>
      </c>
      <c r="D244" s="52" t="s">
        <v>20</v>
      </c>
      <c r="E244" s="52" t="s">
        <v>21</v>
      </c>
      <c r="F244" s="70">
        <v>3.7064903225690053E-2</v>
      </c>
      <c r="G244" s="70">
        <v>4.1349691779962859E-2</v>
      </c>
      <c r="H244" s="70">
        <v>4.6709822933213858E-2</v>
      </c>
      <c r="I244" s="70">
        <v>5.0631935902890009E-2</v>
      </c>
      <c r="J244" s="62">
        <v>5.4233396403793363E-2</v>
      </c>
      <c r="K244" s="70" t="s">
        <v>21</v>
      </c>
      <c r="L244" s="70">
        <v>4.6924098799628645E-3</v>
      </c>
      <c r="M244" s="70">
        <v>9.5204386332138641E-3</v>
      </c>
      <c r="N244" s="70">
        <v>1.2443631002890011E-2</v>
      </c>
      <c r="O244" s="62">
        <v>1.4707323503793361E-2</v>
      </c>
      <c r="P244" s="54" t="s">
        <v>21</v>
      </c>
      <c r="Q244" s="52" t="s">
        <v>21</v>
      </c>
      <c r="R244" s="93" t="s">
        <v>21</v>
      </c>
      <c r="S244" s="72" t="s">
        <v>21</v>
      </c>
      <c r="T244" s="62" t="s">
        <v>21</v>
      </c>
      <c r="V244" s="113">
        <v>1.1161176500000001</v>
      </c>
      <c r="W244" s="71">
        <v>2.8791544600000001</v>
      </c>
      <c r="X244" s="71">
        <v>4.4492337900000001</v>
      </c>
      <c r="Y244" s="71">
        <v>5.80347452</v>
      </c>
      <c r="Z244" s="114">
        <v>7.4860091899999999</v>
      </c>
    </row>
    <row r="245" spans="2:26" x14ac:dyDescent="0.35">
      <c r="B245" s="54" t="s">
        <v>262</v>
      </c>
      <c r="C245" s="52" t="s">
        <v>232</v>
      </c>
      <c r="D245" s="52" t="s">
        <v>97</v>
      </c>
      <c r="E245" s="52" t="s">
        <v>21</v>
      </c>
      <c r="F245" s="70">
        <v>3.6500046008814478E-2</v>
      </c>
      <c r="G245" s="70">
        <v>4.0703689497087615E-2</v>
      </c>
      <c r="H245" s="70">
        <v>4.5633096383519749E-2</v>
      </c>
      <c r="I245" s="70">
        <v>4.8738470803965012E-2</v>
      </c>
      <c r="J245" s="62">
        <v>5.1336539785031769E-2</v>
      </c>
      <c r="K245" s="70" t="s">
        <v>21</v>
      </c>
      <c r="L245" s="70">
        <v>4.0535008970876193E-3</v>
      </c>
      <c r="M245" s="70">
        <v>8.4697041835197495E-3</v>
      </c>
      <c r="N245" s="70">
        <v>1.0611986003965002E-2</v>
      </c>
      <c r="O245" s="62">
        <v>1.1899710885031773E-2</v>
      </c>
      <c r="P245" s="54" t="s">
        <v>559</v>
      </c>
      <c r="Q245" s="52" t="s">
        <v>560</v>
      </c>
      <c r="R245" s="93">
        <v>47648</v>
      </c>
      <c r="S245" s="72">
        <v>4.2470040000000008E-2</v>
      </c>
      <c r="T245" s="62">
        <v>3.1630563835197412E-3</v>
      </c>
      <c r="V245" s="113">
        <v>1.1162295100000001</v>
      </c>
      <c r="W245" s="71">
        <v>2.87976893</v>
      </c>
      <c r="X245" s="71">
        <v>4.45574314</v>
      </c>
      <c r="Y245" s="71">
        <v>5.8299727099999998</v>
      </c>
      <c r="Z245" s="114">
        <v>7.5767650899999994</v>
      </c>
    </row>
    <row r="246" spans="2:26" x14ac:dyDescent="0.35">
      <c r="B246" s="54" t="s">
        <v>371</v>
      </c>
      <c r="C246" s="52" t="s">
        <v>232</v>
      </c>
      <c r="D246" s="52" t="s">
        <v>31</v>
      </c>
      <c r="E246" s="52" t="s">
        <v>289</v>
      </c>
      <c r="F246" s="70">
        <v>3.6581211136207228E-2</v>
      </c>
      <c r="G246" s="70">
        <v>4.0485890532911371E-2</v>
      </c>
      <c r="H246" s="70">
        <v>4.5522124527890527E-2</v>
      </c>
      <c r="I246" s="70">
        <v>4.8630014363272814E-2</v>
      </c>
      <c r="J246" s="62">
        <v>5.1510792052262361E-2</v>
      </c>
      <c r="K246" s="70" t="s">
        <v>21</v>
      </c>
      <c r="L246" s="70">
        <v>3.8459551329113706E-3</v>
      </c>
      <c r="M246" s="70">
        <v>8.3643355278905304E-3</v>
      </c>
      <c r="N246" s="70">
        <v>1.050889946327282E-2</v>
      </c>
      <c r="O246" s="62">
        <v>1.2067403052262362E-2</v>
      </c>
      <c r="P246" s="54" t="s">
        <v>21</v>
      </c>
      <c r="Q246" s="52" t="s">
        <v>21</v>
      </c>
      <c r="R246" s="93" t="s">
        <v>21</v>
      </c>
      <c r="S246" s="72" t="s">
        <v>21</v>
      </c>
      <c r="T246" s="62" t="s">
        <v>21</v>
      </c>
      <c r="V246" s="113">
        <v>1.11606169</v>
      </c>
      <c r="W246" s="71">
        <v>2.8808226299999999</v>
      </c>
      <c r="X246" s="71">
        <v>4.4583507899999999</v>
      </c>
      <c r="Y246" s="71">
        <v>5.83410998</v>
      </c>
      <c r="Z246" s="114">
        <v>7.5770499399999993</v>
      </c>
    </row>
    <row r="247" spans="2:26" x14ac:dyDescent="0.35">
      <c r="B247" s="54" t="s">
        <v>147</v>
      </c>
      <c r="C247" s="52" t="s">
        <v>232</v>
      </c>
      <c r="D247" s="52" t="s">
        <v>20</v>
      </c>
      <c r="E247" s="52" t="s">
        <v>21</v>
      </c>
      <c r="F247" s="70">
        <v>3.6686684974151645E-2</v>
      </c>
      <c r="G247" s="70">
        <v>4.0574927492162939E-2</v>
      </c>
      <c r="H247" s="70">
        <v>4.5984597772406301E-2</v>
      </c>
      <c r="I247" s="70">
        <v>4.9690387601700525E-2</v>
      </c>
      <c r="J247" s="62">
        <v>5.3045580386159495E-2</v>
      </c>
      <c r="K247" s="70" t="s">
        <v>21</v>
      </c>
      <c r="L247" s="70">
        <v>3.9516399921629393E-3</v>
      </c>
      <c r="M247" s="70">
        <v>8.8283936724063046E-3</v>
      </c>
      <c r="N247" s="70">
        <v>1.1546068401700521E-2</v>
      </c>
      <c r="O247" s="62">
        <v>1.3567989286159486E-2</v>
      </c>
      <c r="P247" s="54" t="s">
        <v>561</v>
      </c>
      <c r="Q247" s="52" t="s">
        <v>562</v>
      </c>
      <c r="R247" s="93">
        <v>47515</v>
      </c>
      <c r="S247" s="72">
        <v>4.5352089999999998E-2</v>
      </c>
      <c r="T247" s="62">
        <v>6.3250777240630301E-4</v>
      </c>
      <c r="V247" s="113">
        <v>1.1168151799999999</v>
      </c>
      <c r="W247" s="71">
        <v>2.88493924</v>
      </c>
      <c r="X247" s="71">
        <v>4.4637912499999999</v>
      </c>
      <c r="Y247" s="71">
        <v>5.8302799800000003</v>
      </c>
      <c r="Z247" s="114">
        <v>7.5426231399999999</v>
      </c>
    </row>
    <row r="248" spans="2:26" x14ac:dyDescent="0.35">
      <c r="B248" s="54" t="s">
        <v>372</v>
      </c>
      <c r="C248" s="52" t="s">
        <v>232</v>
      </c>
      <c r="D248" s="52" t="s">
        <v>20</v>
      </c>
      <c r="E248" s="52" t="s">
        <v>21</v>
      </c>
      <c r="F248" s="70">
        <v>3.7019054284536862E-2</v>
      </c>
      <c r="G248" s="70">
        <v>4.1039191536471425E-2</v>
      </c>
      <c r="H248" s="70">
        <v>4.5992747294651297E-2</v>
      </c>
      <c r="I248" s="70">
        <v>4.8938229298522241E-2</v>
      </c>
      <c r="J248" s="62">
        <v>5.1862434906233594E-2</v>
      </c>
      <c r="K248" s="70" t="s">
        <v>21</v>
      </c>
      <c r="L248" s="70">
        <v>4.3960362364714196E-3</v>
      </c>
      <c r="M248" s="70">
        <v>8.8355261946512983E-3</v>
      </c>
      <c r="N248" s="70">
        <v>1.0825136198522246E-2</v>
      </c>
      <c r="O248" s="62">
        <v>1.2424269006233587E-2</v>
      </c>
      <c r="P248" s="54" t="s">
        <v>21</v>
      </c>
      <c r="Q248" s="52" t="s">
        <v>21</v>
      </c>
      <c r="R248" s="93" t="s">
        <v>21</v>
      </c>
      <c r="S248" s="72" t="s">
        <v>21</v>
      </c>
      <c r="T248" s="62" t="s">
        <v>21</v>
      </c>
      <c r="V248" s="113">
        <v>1.1161985399999999</v>
      </c>
      <c r="W248" s="71">
        <v>2.8807769899999998</v>
      </c>
      <c r="X248" s="71">
        <v>4.4587766100000001</v>
      </c>
      <c r="Y248" s="71">
        <v>5.8367170499999999</v>
      </c>
      <c r="Z248" s="114">
        <v>7.5826226199999995</v>
      </c>
    </row>
    <row r="249" spans="2:26" x14ac:dyDescent="0.35">
      <c r="B249" s="54" t="s">
        <v>369</v>
      </c>
      <c r="C249" s="52" t="s">
        <v>232</v>
      </c>
      <c r="D249" s="52" t="s">
        <v>20</v>
      </c>
      <c r="E249" s="52" t="s">
        <v>256</v>
      </c>
      <c r="F249" s="70">
        <v>3.6682887982374374E-2</v>
      </c>
      <c r="G249" s="70">
        <v>4.0837714562266335E-2</v>
      </c>
      <c r="H249" s="70">
        <v>4.5973058654437737E-2</v>
      </c>
      <c r="I249" s="70">
        <v>4.9218543205126593E-2</v>
      </c>
      <c r="J249" s="62">
        <v>5.2040936298985346E-2</v>
      </c>
      <c r="K249" s="70" t="s">
        <v>21</v>
      </c>
      <c r="L249" s="70">
        <v>4.2027934622663396E-3</v>
      </c>
      <c r="M249" s="70">
        <v>8.8167271544377368E-3</v>
      </c>
      <c r="N249" s="70">
        <v>1.1093789205126603E-2</v>
      </c>
      <c r="O249" s="62">
        <v>1.2598473198985343E-2</v>
      </c>
      <c r="P249" s="54" t="s">
        <v>21</v>
      </c>
      <c r="Q249" s="52" t="s">
        <v>21</v>
      </c>
      <c r="R249" s="93" t="s">
        <v>21</v>
      </c>
      <c r="S249" s="72" t="s">
        <v>21</v>
      </c>
      <c r="T249" s="62" t="s">
        <v>21</v>
      </c>
      <c r="V249" s="113">
        <v>1.1168321000000001</v>
      </c>
      <c r="W249" s="71">
        <v>2.8832697</v>
      </c>
      <c r="X249" s="71">
        <v>4.4617756499999999</v>
      </c>
      <c r="Y249" s="71">
        <v>5.8356300399999999</v>
      </c>
      <c r="Z249" s="114">
        <v>7.5760030399999998</v>
      </c>
    </row>
    <row r="250" spans="2:26" x14ac:dyDescent="0.35">
      <c r="B250" s="54" t="s">
        <v>368</v>
      </c>
      <c r="C250" s="52" t="s">
        <v>232</v>
      </c>
      <c r="D250" s="52" t="s">
        <v>20</v>
      </c>
      <c r="E250" s="52" t="s">
        <v>292</v>
      </c>
      <c r="F250" s="70">
        <v>3.6720171846774681E-2</v>
      </c>
      <c r="G250" s="70">
        <v>4.0786584284371812E-2</v>
      </c>
      <c r="H250" s="70">
        <v>4.5854613864398333E-2</v>
      </c>
      <c r="I250" s="70">
        <v>4.9355420383706675E-2</v>
      </c>
      <c r="J250" s="62">
        <v>5.2500489125631294E-2</v>
      </c>
      <c r="K250" s="70" t="s">
        <v>21</v>
      </c>
      <c r="L250" s="70">
        <v>4.1534711843718135E-3</v>
      </c>
      <c r="M250" s="70">
        <v>8.7030981643983311E-3</v>
      </c>
      <c r="N250" s="70">
        <v>1.1224683883706675E-2</v>
      </c>
      <c r="O250" s="62">
        <v>1.3045653925631289E-2</v>
      </c>
      <c r="P250" s="54" t="s">
        <v>21</v>
      </c>
      <c r="Q250" s="52" t="s">
        <v>21</v>
      </c>
      <c r="R250" s="93" t="s">
        <v>21</v>
      </c>
      <c r="S250" s="72" t="s">
        <v>21</v>
      </c>
      <c r="T250" s="62" t="s">
        <v>21</v>
      </c>
      <c r="V250" s="113">
        <v>1.1167644399999999</v>
      </c>
      <c r="W250" s="71">
        <v>2.8835297799999999</v>
      </c>
      <c r="X250" s="71">
        <v>4.4637509099999999</v>
      </c>
      <c r="Y250" s="71">
        <v>5.83504077</v>
      </c>
      <c r="Z250" s="114">
        <v>7.5553523499999997</v>
      </c>
    </row>
    <row r="251" spans="2:26" x14ac:dyDescent="0.35">
      <c r="B251" s="54" t="s">
        <v>266</v>
      </c>
      <c r="C251" s="52" t="s">
        <v>232</v>
      </c>
      <c r="D251" s="52" t="s">
        <v>20</v>
      </c>
      <c r="E251" s="52" t="s">
        <v>21</v>
      </c>
      <c r="F251" s="70">
        <v>3.714589945768574E-2</v>
      </c>
      <c r="G251" s="70">
        <v>4.092736135310307E-2</v>
      </c>
      <c r="H251" s="70">
        <v>4.5568567273091339E-2</v>
      </c>
      <c r="I251" s="70">
        <v>4.8448924824525057E-2</v>
      </c>
      <c r="J251" s="62">
        <v>5.1018542727271382E-2</v>
      </c>
      <c r="K251" s="70" t="s">
        <v>21</v>
      </c>
      <c r="L251" s="70">
        <v>4.2872142531030716E-3</v>
      </c>
      <c r="M251" s="70">
        <v>8.4282854730913376E-3</v>
      </c>
      <c r="N251" s="70">
        <v>1.035474302452506E-2</v>
      </c>
      <c r="O251" s="62">
        <v>1.1608885727271388E-2</v>
      </c>
      <c r="P251" s="54" t="s">
        <v>563</v>
      </c>
      <c r="Q251" s="52" t="s">
        <v>564</v>
      </c>
      <c r="R251" s="93" t="s">
        <v>32</v>
      </c>
      <c r="S251" s="72">
        <v>4.1981010000000006E-2</v>
      </c>
      <c r="T251" s="62">
        <v>3.5875572730913324E-3</v>
      </c>
      <c r="V251" s="113">
        <v>1.1159765800000001</v>
      </c>
      <c r="W251" s="71">
        <v>2.881151</v>
      </c>
      <c r="X251" s="71">
        <v>4.4640274799999995</v>
      </c>
      <c r="Y251" s="71">
        <v>5.8496459600000001</v>
      </c>
      <c r="Z251" s="114">
        <v>7.6176048199999995</v>
      </c>
    </row>
    <row r="252" spans="2:26" x14ac:dyDescent="0.35">
      <c r="B252" s="54" t="s">
        <v>349</v>
      </c>
      <c r="C252" s="52" t="s">
        <v>232</v>
      </c>
      <c r="D252" s="52" t="s">
        <v>20</v>
      </c>
      <c r="E252" s="52" t="s">
        <v>316</v>
      </c>
      <c r="F252" s="70">
        <v>3.8875186877731165E-2</v>
      </c>
      <c r="G252" s="70">
        <v>4.5065542669680998E-2</v>
      </c>
      <c r="H252" s="70">
        <v>5.3331552362931377E-2</v>
      </c>
      <c r="I252" s="70">
        <v>5.7100815408245395E-2</v>
      </c>
      <c r="J252" s="62">
        <v>6.0681526618384031E-2</v>
      </c>
      <c r="K252" s="70">
        <v>1.1850419777311681E-3</v>
      </c>
      <c r="L252" s="70">
        <v>8.237677669680997E-3</v>
      </c>
      <c r="M252" s="70">
        <v>1.5808806662931378E-2</v>
      </c>
      <c r="N252" s="70">
        <v>1.8586840908245396E-2</v>
      </c>
      <c r="O252" s="62">
        <v>2.0845023818384028E-2</v>
      </c>
      <c r="P252" s="54" t="s">
        <v>389</v>
      </c>
      <c r="Q252" s="52" t="s">
        <v>390</v>
      </c>
      <c r="R252" s="93">
        <v>47507</v>
      </c>
      <c r="S252" s="72">
        <v>5.1240009999999996E-2</v>
      </c>
      <c r="T252" s="62">
        <v>2.0915423629313812E-3</v>
      </c>
      <c r="V252" s="113">
        <v>1.11271257</v>
      </c>
      <c r="W252" s="71">
        <v>2.8509083400000002</v>
      </c>
      <c r="X252" s="71">
        <v>4.3504426</v>
      </c>
      <c r="Y252" s="71">
        <v>5.6057661200000002</v>
      </c>
      <c r="Z252" s="114">
        <v>7.1332875300000005</v>
      </c>
    </row>
    <row r="253" spans="2:26" x14ac:dyDescent="0.35">
      <c r="B253" s="54" t="s">
        <v>375</v>
      </c>
      <c r="C253" s="52" t="s">
        <v>232</v>
      </c>
      <c r="D253" s="52" t="s">
        <v>20</v>
      </c>
      <c r="E253" s="52" t="s">
        <v>264</v>
      </c>
      <c r="F253" s="70">
        <v>3.6687190358482932E-2</v>
      </c>
      <c r="G253" s="70">
        <v>4.0768321641047427E-2</v>
      </c>
      <c r="H253" s="70">
        <v>4.5453886088904119E-2</v>
      </c>
      <c r="I253" s="70">
        <v>4.8303326858515815E-2</v>
      </c>
      <c r="J253" s="62">
        <v>5.1018556186295819E-2</v>
      </c>
      <c r="K253" s="70" t="s">
        <v>21</v>
      </c>
      <c r="L253" s="70">
        <v>4.1360903410474258E-3</v>
      </c>
      <c r="M253" s="70">
        <v>8.3196083889041216E-3</v>
      </c>
      <c r="N253" s="70">
        <v>1.0216215158515812E-2</v>
      </c>
      <c r="O253" s="62">
        <v>1.1614365786295818E-2</v>
      </c>
      <c r="P253" s="54" t="s">
        <v>403</v>
      </c>
      <c r="Q253" s="52" t="s">
        <v>404</v>
      </c>
      <c r="R253" s="93">
        <v>47515</v>
      </c>
      <c r="S253" s="72">
        <v>4.4454520000000004E-2</v>
      </c>
      <c r="T253" s="62">
        <v>9.9936608890411477E-4</v>
      </c>
      <c r="V253" s="113">
        <v>1.1168275300000001</v>
      </c>
      <c r="W253" s="71">
        <v>2.8835007400000001</v>
      </c>
      <c r="X253" s="71">
        <v>4.4671289600000001</v>
      </c>
      <c r="Y253" s="71">
        <v>5.8548539699999997</v>
      </c>
      <c r="Z253" s="114">
        <v>7.6141894500000005</v>
      </c>
    </row>
    <row r="254" spans="2:26" x14ac:dyDescent="0.35">
      <c r="B254" s="78" t="s">
        <v>160</v>
      </c>
      <c r="C254" s="135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6"/>
      <c r="P254" s="78"/>
      <c r="Q254" s="77"/>
      <c r="R254" s="94"/>
      <c r="S254" s="77"/>
      <c r="T254" s="76"/>
      <c r="V254" s="119"/>
      <c r="W254" s="108"/>
      <c r="X254" s="108"/>
      <c r="Y254" s="108"/>
      <c r="Z254" s="120"/>
    </row>
    <row r="255" spans="2:26" x14ac:dyDescent="0.35">
      <c r="B255" s="55" t="s">
        <v>162</v>
      </c>
      <c r="C255" s="52" t="s">
        <v>232</v>
      </c>
      <c r="D255" s="65" t="s">
        <v>20</v>
      </c>
      <c r="E255" s="65" t="s">
        <v>290</v>
      </c>
      <c r="F255" s="79">
        <v>4.5588709940738235E-2</v>
      </c>
      <c r="G255" s="79">
        <v>6.4253181960217495E-2</v>
      </c>
      <c r="H255" s="79">
        <v>8.361634744087576E-2</v>
      </c>
      <c r="I255" s="79">
        <v>9.5438532696704464E-2</v>
      </c>
      <c r="J255" s="61">
        <v>0.10165576989713178</v>
      </c>
      <c r="K255" s="79">
        <v>7.4718524407382386E-3</v>
      </c>
      <c r="L255" s="79">
        <v>2.6144884760217472E-2</v>
      </c>
      <c r="M255" s="79">
        <v>4.3661731340875767E-2</v>
      </c>
      <c r="N255" s="79">
        <v>5.3660933496704463E-2</v>
      </c>
      <c r="O255" s="61">
        <v>5.8397824397131773E-2</v>
      </c>
      <c r="P255" s="55" t="s">
        <v>21</v>
      </c>
      <c r="Q255" s="65" t="s">
        <v>21</v>
      </c>
      <c r="R255" s="99" t="s">
        <v>21</v>
      </c>
      <c r="S255" s="74" t="s">
        <v>21</v>
      </c>
      <c r="T255" s="61" t="s">
        <v>21</v>
      </c>
      <c r="V255" s="117">
        <v>1.0974519599999999</v>
      </c>
      <c r="W255" s="60">
        <v>2.7096451199999998</v>
      </c>
      <c r="X255" s="60">
        <v>3.9049817200000003</v>
      </c>
      <c r="Y255" s="60">
        <v>4.6989078400000004</v>
      </c>
      <c r="Z255" s="118">
        <v>5.4683083899999998</v>
      </c>
    </row>
    <row r="256" spans="2:26" x14ac:dyDescent="0.35">
      <c r="B256" s="54" t="s">
        <v>166</v>
      </c>
      <c r="C256" s="52" t="s">
        <v>232</v>
      </c>
      <c r="D256" s="52" t="s">
        <v>167</v>
      </c>
      <c r="E256" s="52" t="s">
        <v>234</v>
      </c>
      <c r="F256" s="70">
        <v>5.2843466367985148E-2</v>
      </c>
      <c r="G256" s="70">
        <v>6.5589945944182673E-2</v>
      </c>
      <c r="H256" s="70">
        <v>7.1657782199062325E-2</v>
      </c>
      <c r="I256" s="70">
        <v>7.4573443118810048E-2</v>
      </c>
      <c r="J256" s="62">
        <v>7.7383488584424551E-2</v>
      </c>
      <c r="K256" s="70">
        <v>1.3981660967985152E-2</v>
      </c>
      <c r="L256" s="70">
        <v>2.7265710444182682E-2</v>
      </c>
      <c r="M256" s="70">
        <v>3.2712604099062327E-2</v>
      </c>
      <c r="N256" s="70">
        <v>3.4700726518810066E-2</v>
      </c>
      <c r="O256" s="62">
        <v>3.6290566184424548E-2</v>
      </c>
      <c r="P256" s="54" t="s">
        <v>21</v>
      </c>
      <c r="Q256" s="52" t="s">
        <v>21</v>
      </c>
      <c r="R256" s="93" t="s">
        <v>21</v>
      </c>
      <c r="S256" s="72" t="s">
        <v>21</v>
      </c>
      <c r="T256" s="62" t="s">
        <v>21</v>
      </c>
      <c r="V256" s="113">
        <v>1.08294807</v>
      </c>
      <c r="W256" s="71">
        <v>2.6714828400000004</v>
      </c>
      <c r="X256" s="71">
        <v>3.9731360100000002</v>
      </c>
      <c r="Y256" s="71">
        <v>5.0216936400000005</v>
      </c>
      <c r="Z256" s="114">
        <v>6.2357920199999999</v>
      </c>
    </row>
    <row r="257" spans="2:26" x14ac:dyDescent="0.35">
      <c r="B257" s="54" t="s">
        <v>165</v>
      </c>
      <c r="C257" s="52" t="s">
        <v>232</v>
      </c>
      <c r="D257" s="52" t="s">
        <v>97</v>
      </c>
      <c r="E257" s="52" t="s">
        <v>565</v>
      </c>
      <c r="F257" s="70">
        <v>4.0884496973415445E-2</v>
      </c>
      <c r="G257" s="70">
        <v>5.4452798898441263E-2</v>
      </c>
      <c r="H257" s="70">
        <v>6.8231767318479436E-2</v>
      </c>
      <c r="I257" s="70">
        <v>7.3532805985868838E-2</v>
      </c>
      <c r="J257" s="62">
        <v>7.8150015415050594E-2</v>
      </c>
      <c r="K257" s="70">
        <v>3.0954101734154398E-3</v>
      </c>
      <c r="L257" s="70">
        <v>1.7067142698441264E-2</v>
      </c>
      <c r="M257" s="70">
        <v>2.9643576818479442E-2</v>
      </c>
      <c r="N257" s="70">
        <v>3.382381268586885E-2</v>
      </c>
      <c r="O257" s="62">
        <v>3.7089661615050604E-2</v>
      </c>
      <c r="P257" s="54" t="s">
        <v>21</v>
      </c>
      <c r="Q257" s="52" t="s">
        <v>21</v>
      </c>
      <c r="R257" s="93" t="s">
        <v>21</v>
      </c>
      <c r="S257" s="72" t="s">
        <v>21</v>
      </c>
      <c r="T257" s="62" t="s">
        <v>21</v>
      </c>
      <c r="V257" s="113">
        <v>1.10712758</v>
      </c>
      <c r="W257" s="71">
        <v>2.7789521100000001</v>
      </c>
      <c r="X257" s="71">
        <v>4.1144985500000004</v>
      </c>
      <c r="Y257" s="71">
        <v>5.1487028199999996</v>
      </c>
      <c r="Z257" s="114">
        <v>6.3028767099999996</v>
      </c>
    </row>
    <row r="258" spans="2:26" x14ac:dyDescent="0.35">
      <c r="B258" s="54" t="s">
        <v>233</v>
      </c>
      <c r="C258" s="52" t="s">
        <v>232</v>
      </c>
      <c r="D258" s="52" t="s">
        <v>43</v>
      </c>
      <c r="E258" s="52" t="s">
        <v>116</v>
      </c>
      <c r="F258" s="70">
        <v>4.0190144395608834E-2</v>
      </c>
      <c r="G258" s="70">
        <v>5.0207270012867365E-2</v>
      </c>
      <c r="H258" s="70">
        <v>6.3730780239696916E-2</v>
      </c>
      <c r="I258" s="70">
        <v>7.1370668028238493E-2</v>
      </c>
      <c r="J258" s="62">
        <v>7.6481847940675793E-2</v>
      </c>
      <c r="K258" s="70">
        <v>2.4199972956088301E-3</v>
      </c>
      <c r="L258" s="70">
        <v>1.3078406212867365E-2</v>
      </c>
      <c r="M258" s="70">
        <v>2.5480730339696913E-2</v>
      </c>
      <c r="N258" s="70">
        <v>3.1823127128238489E-2</v>
      </c>
      <c r="O258" s="62">
        <v>3.5554377740675804E-2</v>
      </c>
      <c r="P258" s="54" t="s">
        <v>21</v>
      </c>
      <c r="Q258" s="52" t="s">
        <v>21</v>
      </c>
      <c r="R258" s="93" t="s">
        <v>21</v>
      </c>
      <c r="S258" s="72" t="s">
        <v>21</v>
      </c>
      <c r="T258" s="62" t="s">
        <v>21</v>
      </c>
      <c r="V258" s="113">
        <v>1.1089853599999999</v>
      </c>
      <c r="W258" s="71">
        <v>2.8114156299999999</v>
      </c>
      <c r="X258" s="71">
        <v>4.1934532200000003</v>
      </c>
      <c r="Y258" s="71">
        <v>5.2531942100000002</v>
      </c>
      <c r="Z258" s="114">
        <v>6.4235689900000006</v>
      </c>
    </row>
    <row r="259" spans="2:26" x14ac:dyDescent="0.35">
      <c r="B259" s="54" t="s">
        <v>161</v>
      </c>
      <c r="C259" s="52" t="s">
        <v>232</v>
      </c>
      <c r="D259" s="52" t="s">
        <v>97</v>
      </c>
      <c r="E259" s="52" t="s">
        <v>566</v>
      </c>
      <c r="F259" s="70">
        <v>3.9364304725526225E-2</v>
      </c>
      <c r="G259" s="70">
        <v>4.9355217186293238E-2</v>
      </c>
      <c r="H259" s="70">
        <v>6.0079774584004923E-2</v>
      </c>
      <c r="I259" s="70">
        <v>6.6405018293995158E-2</v>
      </c>
      <c r="J259" s="62">
        <v>7.1497377963639031E-2</v>
      </c>
      <c r="K259" s="70">
        <v>1.6240943255262288E-3</v>
      </c>
      <c r="L259" s="70">
        <v>1.2269934786293239E-2</v>
      </c>
      <c r="M259" s="70">
        <v>2.2091041084004916E-2</v>
      </c>
      <c r="N259" s="70">
        <v>2.7233601693995156E-2</v>
      </c>
      <c r="O259" s="62">
        <v>3.0936899163639019E-2</v>
      </c>
      <c r="P259" s="54" t="s">
        <v>567</v>
      </c>
      <c r="Q259" s="52" t="s">
        <v>568</v>
      </c>
      <c r="R259" s="93">
        <v>47542</v>
      </c>
      <c r="S259" s="72">
        <v>4.920977E-2</v>
      </c>
      <c r="T259" s="62">
        <v>1.0870004584004923E-2</v>
      </c>
      <c r="V259" s="113">
        <v>1.1109102100000001</v>
      </c>
      <c r="W259" s="71">
        <v>2.8139274300000001</v>
      </c>
      <c r="X259" s="71">
        <v>4.2340459199999998</v>
      </c>
      <c r="Y259" s="71">
        <v>5.3613146299999999</v>
      </c>
      <c r="Z259" s="114">
        <v>6.6356659499999999</v>
      </c>
    </row>
    <row r="260" spans="2:26" x14ac:dyDescent="0.35">
      <c r="B260" s="54" t="s">
        <v>173</v>
      </c>
      <c r="C260" s="52" t="s">
        <v>232</v>
      </c>
      <c r="D260" s="52" t="s">
        <v>43</v>
      </c>
      <c r="E260" s="52" t="s">
        <v>569</v>
      </c>
      <c r="F260" s="70">
        <v>4.3206732063696345E-2</v>
      </c>
      <c r="G260" s="70">
        <v>4.9537414574665053E-2</v>
      </c>
      <c r="H260" s="70">
        <v>5.766036758875312E-2</v>
      </c>
      <c r="I260" s="70">
        <v>6.3525476882795848E-2</v>
      </c>
      <c r="J260" s="62">
        <v>6.9346771077501701E-2</v>
      </c>
      <c r="K260" s="70">
        <v>5.2114418636963486E-3</v>
      </c>
      <c r="L260" s="70">
        <v>1.2429732274665053E-2</v>
      </c>
      <c r="M260" s="70">
        <v>1.9826020588753115E-2</v>
      </c>
      <c r="N260" s="70">
        <v>2.4545023882795846E-2</v>
      </c>
      <c r="O260" s="62">
        <v>2.8916668977501694E-2</v>
      </c>
      <c r="P260" s="54" t="s">
        <v>21</v>
      </c>
      <c r="Q260" s="52" t="s">
        <v>21</v>
      </c>
      <c r="R260" s="93" t="s">
        <v>21</v>
      </c>
      <c r="S260" s="72" t="s">
        <v>21</v>
      </c>
      <c r="T260" s="62" t="s">
        <v>21</v>
      </c>
      <c r="V260" s="113">
        <v>1.10200111</v>
      </c>
      <c r="W260" s="71">
        <v>2.80271874</v>
      </c>
      <c r="X260" s="71">
        <v>4.2466644799999997</v>
      </c>
      <c r="Y260" s="71">
        <v>5.4129563200000002</v>
      </c>
      <c r="Z260" s="114">
        <v>6.7372255399999998</v>
      </c>
    </row>
    <row r="261" spans="2:26" x14ac:dyDescent="0.35">
      <c r="B261" s="54" t="s">
        <v>172</v>
      </c>
      <c r="C261" s="52" t="s">
        <v>232</v>
      </c>
      <c r="D261" s="52" t="s">
        <v>43</v>
      </c>
      <c r="E261" s="52" t="s">
        <v>140</v>
      </c>
      <c r="F261" s="70">
        <v>3.9837129943050442E-2</v>
      </c>
      <c r="G261" s="70">
        <v>4.7429897382805133E-2</v>
      </c>
      <c r="H261" s="70">
        <v>5.7475172852399663E-2</v>
      </c>
      <c r="I261" s="70">
        <v>6.3671374464419547E-2</v>
      </c>
      <c r="J261" s="62">
        <v>6.8209637455401789E-2</v>
      </c>
      <c r="K261" s="70">
        <v>2.0852832430504351E-3</v>
      </c>
      <c r="L261" s="70">
        <v>1.0456509182805131E-2</v>
      </c>
      <c r="M261" s="70">
        <v>1.966729455239967E-2</v>
      </c>
      <c r="N261" s="70">
        <v>2.4694575564419535E-2</v>
      </c>
      <c r="O261" s="62">
        <v>2.7877042655401772E-2</v>
      </c>
      <c r="P261" s="54" t="s">
        <v>570</v>
      </c>
      <c r="Q261" s="52" t="s">
        <v>571</v>
      </c>
      <c r="R261" s="93">
        <v>47535</v>
      </c>
      <c r="S261" s="72">
        <v>4.5376979999999997E-2</v>
      </c>
      <c r="T261" s="62">
        <v>1.2098192852399665E-2</v>
      </c>
      <c r="V261" s="113">
        <v>1.1098624099999999</v>
      </c>
      <c r="W261" s="71">
        <v>2.82855005</v>
      </c>
      <c r="X261" s="71">
        <v>4.27588816</v>
      </c>
      <c r="Y261" s="71">
        <v>5.43748626</v>
      </c>
      <c r="Z261" s="114">
        <v>6.7796036000000006</v>
      </c>
    </row>
    <row r="262" spans="2:26" x14ac:dyDescent="0.35">
      <c r="B262" s="54" t="s">
        <v>170</v>
      </c>
      <c r="C262" s="52" t="s">
        <v>232</v>
      </c>
      <c r="D262" s="52" t="s">
        <v>31</v>
      </c>
      <c r="E262" s="52" t="s">
        <v>572</v>
      </c>
      <c r="F262" s="70">
        <v>3.870463406495047E-2</v>
      </c>
      <c r="G262" s="70">
        <v>4.6445655570444902E-2</v>
      </c>
      <c r="H262" s="70">
        <v>5.7219033289402949E-2</v>
      </c>
      <c r="I262" s="70">
        <v>6.4840499908253982E-2</v>
      </c>
      <c r="J262" s="62">
        <v>7.1003318806670018E-2</v>
      </c>
      <c r="K262" s="70">
        <v>1.0013638649504688E-3</v>
      </c>
      <c r="L262" s="70">
        <v>9.5231938704449064E-3</v>
      </c>
      <c r="M262" s="70">
        <v>1.9428659989402956E-2</v>
      </c>
      <c r="N262" s="70">
        <v>2.5782510708253974E-2</v>
      </c>
      <c r="O262" s="62">
        <v>3.0480417606670016E-2</v>
      </c>
      <c r="P262" s="54" t="s">
        <v>573</v>
      </c>
      <c r="Q262" s="52" t="s">
        <v>574</v>
      </c>
      <c r="R262" s="93">
        <v>47664</v>
      </c>
      <c r="S262" s="72">
        <v>4.7999010000000002E-2</v>
      </c>
      <c r="T262" s="62">
        <v>9.2200232894029469E-3</v>
      </c>
      <c r="V262" s="113">
        <v>1.1120911600000001</v>
      </c>
      <c r="W262" s="71">
        <v>2.8385599099999999</v>
      </c>
      <c r="X262" s="71">
        <v>4.2895756</v>
      </c>
      <c r="Y262" s="71">
        <v>5.4350030299999998</v>
      </c>
      <c r="Z262" s="114">
        <v>6.7119839700000004</v>
      </c>
    </row>
    <row r="263" spans="2:26" x14ac:dyDescent="0.35">
      <c r="B263" s="54" t="s">
        <v>129</v>
      </c>
      <c r="C263" s="52" t="s">
        <v>232</v>
      </c>
      <c r="D263" s="52" t="s">
        <v>62</v>
      </c>
      <c r="E263" s="52" t="s">
        <v>286</v>
      </c>
      <c r="F263" s="70">
        <v>4.0221164702179797E-2</v>
      </c>
      <c r="G263" s="70">
        <v>4.807894993279993E-2</v>
      </c>
      <c r="H263" s="70">
        <v>5.6554290196664428E-2</v>
      </c>
      <c r="I263" s="70">
        <v>6.1924033867205817E-2</v>
      </c>
      <c r="J263" s="62">
        <v>6.6136964636306611E-2</v>
      </c>
      <c r="K263" s="70">
        <v>2.4478656021797969E-3</v>
      </c>
      <c r="L263" s="70">
        <v>1.1070480632799928E-2</v>
      </c>
      <c r="M263" s="70">
        <v>1.8806200896664429E-2</v>
      </c>
      <c r="N263" s="70">
        <v>2.3063857467205823E-2</v>
      </c>
      <c r="O263" s="62">
        <v>2.5933687636306615E-2</v>
      </c>
      <c r="P263" s="54" t="s">
        <v>21</v>
      </c>
      <c r="Q263" s="52" t="s">
        <v>21</v>
      </c>
      <c r="R263" s="93" t="s">
        <v>21</v>
      </c>
      <c r="S263" s="72" t="s">
        <v>21</v>
      </c>
      <c r="T263" s="62" t="s">
        <v>21</v>
      </c>
      <c r="V263" s="113">
        <v>1.1089199599999999</v>
      </c>
      <c r="W263" s="71">
        <v>2.82180724</v>
      </c>
      <c r="X263" s="71">
        <v>4.2775264700000006</v>
      </c>
      <c r="Y263" s="71">
        <v>5.4642224800000001</v>
      </c>
      <c r="Z263" s="114">
        <v>6.8560129200000004</v>
      </c>
    </row>
    <row r="264" spans="2:26" x14ac:dyDescent="0.35">
      <c r="B264" s="54" t="s">
        <v>407</v>
      </c>
      <c r="C264" s="52" t="s">
        <v>232</v>
      </c>
      <c r="D264" s="52" t="s">
        <v>20</v>
      </c>
      <c r="E264" s="52" t="s">
        <v>48</v>
      </c>
      <c r="F264" s="70">
        <v>3.9036473173950315E-2</v>
      </c>
      <c r="G264" s="70">
        <v>4.6821205144350307E-2</v>
      </c>
      <c r="H264" s="70">
        <v>5.5460431154197229E-2</v>
      </c>
      <c r="I264" s="70">
        <v>6.1575156338493815E-2</v>
      </c>
      <c r="J264" s="62">
        <v>6.5088813652431257E-2</v>
      </c>
      <c r="K264" s="70">
        <v>1.321388973950316E-3</v>
      </c>
      <c r="L264" s="70">
        <v>9.8963261443503047E-3</v>
      </c>
      <c r="M264" s="70">
        <v>1.7807861154197236E-2</v>
      </c>
      <c r="N264" s="70">
        <v>2.2773097538493818E-2</v>
      </c>
      <c r="O264" s="62">
        <v>2.4994562852431259E-2</v>
      </c>
      <c r="P264" s="54" t="s">
        <v>409</v>
      </c>
      <c r="Q264" s="52" t="s">
        <v>410</v>
      </c>
      <c r="R264" s="93">
        <v>47771</v>
      </c>
      <c r="S264" s="72">
        <v>5.1236129999999998E-2</v>
      </c>
      <c r="T264" s="62">
        <v>4.2243011541972311E-3</v>
      </c>
      <c r="V264" s="113">
        <v>1.1125048399999999</v>
      </c>
      <c r="W264" s="71">
        <v>2.8384929900000002</v>
      </c>
      <c r="X264" s="71">
        <v>4.3135251100000005</v>
      </c>
      <c r="Y264" s="71">
        <v>5.5109064399999994</v>
      </c>
      <c r="Z264" s="114">
        <v>6.9317565799999992</v>
      </c>
    </row>
    <row r="265" spans="2:26" x14ac:dyDescent="0.35">
      <c r="B265" s="54" t="s">
        <v>163</v>
      </c>
      <c r="C265" s="52" t="s">
        <v>232</v>
      </c>
      <c r="D265" s="52" t="s">
        <v>47</v>
      </c>
      <c r="E265" s="52" t="s">
        <v>575</v>
      </c>
      <c r="F265" s="70">
        <v>3.8869589125759878E-2</v>
      </c>
      <c r="G265" s="70">
        <v>4.5364256568641757E-2</v>
      </c>
      <c r="H265" s="70">
        <v>5.3679346465638544E-2</v>
      </c>
      <c r="I265" s="70">
        <v>5.9761670947711384E-2</v>
      </c>
      <c r="J265" s="62">
        <v>6.51453803709338E-2</v>
      </c>
      <c r="K265" s="70">
        <v>1.1633766257598778E-3</v>
      </c>
      <c r="L265" s="70">
        <v>8.4987572686417573E-3</v>
      </c>
      <c r="M265" s="70">
        <v>1.6108993865638549E-2</v>
      </c>
      <c r="N265" s="70">
        <v>2.1046916447711388E-2</v>
      </c>
      <c r="O265" s="62">
        <v>2.5009883270933807E-2</v>
      </c>
      <c r="P265" s="54" t="s">
        <v>21</v>
      </c>
      <c r="Q265" s="52" t="s">
        <v>21</v>
      </c>
      <c r="R265" s="93" t="s">
        <v>21</v>
      </c>
      <c r="S265" s="72" t="s">
        <v>21</v>
      </c>
      <c r="T265" s="62" t="s">
        <v>21</v>
      </c>
      <c r="V265" s="113">
        <v>1.1117579900000001</v>
      </c>
      <c r="W265" s="71">
        <v>2.8442908400000002</v>
      </c>
      <c r="X265" s="71">
        <v>4.3324200299999998</v>
      </c>
      <c r="Y265" s="71">
        <v>5.5481906199999997</v>
      </c>
      <c r="Z265" s="114">
        <v>6.9572082899999996</v>
      </c>
    </row>
    <row r="266" spans="2:26" x14ac:dyDescent="0.35">
      <c r="B266" s="54" t="s">
        <v>164</v>
      </c>
      <c r="C266" s="52" t="s">
        <v>232</v>
      </c>
      <c r="D266" s="52" t="s">
        <v>43</v>
      </c>
      <c r="E266" s="52" t="s">
        <v>291</v>
      </c>
      <c r="F266" s="70">
        <v>3.830108345062256E-2</v>
      </c>
      <c r="G266" s="70">
        <v>4.4941462069646478E-2</v>
      </c>
      <c r="H266" s="70">
        <v>5.2980977370569005E-2</v>
      </c>
      <c r="I266" s="70">
        <v>5.693272140618643E-2</v>
      </c>
      <c r="J266" s="62">
        <v>5.9844728754113195E-2</v>
      </c>
      <c r="K266" s="70">
        <v>6.0335975062257227E-4</v>
      </c>
      <c r="L266" s="70">
        <v>8.0901720696464757E-3</v>
      </c>
      <c r="M266" s="70">
        <v>1.544613397056901E-2</v>
      </c>
      <c r="N266" s="70">
        <v>1.8393975506186433E-2</v>
      </c>
      <c r="O266" s="62">
        <v>2.0025147654113205E-2</v>
      </c>
      <c r="P266" s="54" t="s">
        <v>21</v>
      </c>
      <c r="Q266" s="52" t="s">
        <v>21</v>
      </c>
      <c r="R266" s="93" t="s">
        <v>21</v>
      </c>
      <c r="S266" s="72" t="s">
        <v>21</v>
      </c>
      <c r="T266" s="62" t="s">
        <v>21</v>
      </c>
      <c r="V266" s="113">
        <v>1.1129296</v>
      </c>
      <c r="W266" s="71">
        <v>2.84880522</v>
      </c>
      <c r="X266" s="71">
        <v>4.3451718799999997</v>
      </c>
      <c r="Y266" s="71">
        <v>5.5973523400000005</v>
      </c>
      <c r="Z266" s="114">
        <v>7.1331270500000006</v>
      </c>
    </row>
    <row r="267" spans="2:26" x14ac:dyDescent="0.35">
      <c r="B267" s="54" t="s">
        <v>168</v>
      </c>
      <c r="C267" s="52" t="s">
        <v>232</v>
      </c>
      <c r="D267" s="52" t="s">
        <v>20</v>
      </c>
      <c r="E267" s="52" t="s">
        <v>408</v>
      </c>
      <c r="F267" s="70">
        <v>4.2733105527402844E-2</v>
      </c>
      <c r="G267" s="70">
        <v>5.1900888536614717E-2</v>
      </c>
      <c r="H267" s="70">
        <v>6.2988000393886398E-2</v>
      </c>
      <c r="I267" s="70">
        <v>6.8679979646413744E-2</v>
      </c>
      <c r="J267" s="62">
        <v>7.3733697559540234E-2</v>
      </c>
      <c r="K267" s="70">
        <v>4.8361229274028437E-3</v>
      </c>
      <c r="L267" s="70">
        <v>1.4697118536614723E-2</v>
      </c>
      <c r="M267" s="70">
        <v>2.4829097693886398E-2</v>
      </c>
      <c r="N267" s="70">
        <v>2.9383592946413756E-2</v>
      </c>
      <c r="O267" s="62">
        <v>3.3044819059540223E-2</v>
      </c>
      <c r="P267" s="54" t="s">
        <v>474</v>
      </c>
      <c r="Q267" s="52" t="s">
        <v>475</v>
      </c>
      <c r="R267" s="93">
        <v>47505</v>
      </c>
      <c r="S267" s="72">
        <v>5.5008639999999998E-2</v>
      </c>
      <c r="T267" s="62">
        <v>7.9793603938864005E-3</v>
      </c>
      <c r="V267" s="113">
        <v>1.1040500799999999</v>
      </c>
      <c r="W267" s="71">
        <v>2.7930866499999998</v>
      </c>
      <c r="X267" s="71">
        <v>4.1915596500000003</v>
      </c>
      <c r="Y267" s="71">
        <v>5.2861023500000002</v>
      </c>
      <c r="Z267" s="114">
        <v>6.5327139899999995</v>
      </c>
    </row>
    <row r="268" spans="2:26" x14ac:dyDescent="0.35">
      <c r="B268" s="54" t="s">
        <v>168</v>
      </c>
      <c r="C268" s="52" t="s">
        <v>232</v>
      </c>
      <c r="D268" s="52" t="s">
        <v>20</v>
      </c>
      <c r="E268" s="52" t="s">
        <v>576</v>
      </c>
      <c r="F268" s="70">
        <v>4.2733105527402844E-2</v>
      </c>
      <c r="G268" s="70">
        <v>5.1900888536614717E-2</v>
      </c>
      <c r="H268" s="70">
        <v>6.2988000393886398E-2</v>
      </c>
      <c r="I268" s="70">
        <v>6.8679979646413744E-2</v>
      </c>
      <c r="J268" s="62">
        <v>7.3733697559540234E-2</v>
      </c>
      <c r="K268" s="70">
        <v>4.8361229274028437E-3</v>
      </c>
      <c r="L268" s="70">
        <v>1.4697118536614723E-2</v>
      </c>
      <c r="M268" s="70">
        <v>2.4829097693886398E-2</v>
      </c>
      <c r="N268" s="70">
        <v>2.9383592946413756E-2</v>
      </c>
      <c r="O268" s="62">
        <v>3.3044819059540223E-2</v>
      </c>
      <c r="P268" s="54" t="s">
        <v>474</v>
      </c>
      <c r="Q268" s="52" t="s">
        <v>475</v>
      </c>
      <c r="R268" s="93">
        <v>47505</v>
      </c>
      <c r="S268" s="72">
        <v>5.5008639999999998E-2</v>
      </c>
      <c r="T268" s="62">
        <v>7.9793603938864005E-3</v>
      </c>
      <c r="V268" s="113">
        <v>1.1040500799999999</v>
      </c>
      <c r="W268" s="71">
        <v>2.7930866499999998</v>
      </c>
      <c r="X268" s="71">
        <v>4.1915596500000003</v>
      </c>
      <c r="Y268" s="71">
        <v>5.2861023500000002</v>
      </c>
      <c r="Z268" s="114">
        <v>6.5327139899999995</v>
      </c>
    </row>
    <row r="269" spans="2:26" x14ac:dyDescent="0.35">
      <c r="B269" s="54" t="s">
        <v>117</v>
      </c>
      <c r="C269" s="52" t="s">
        <v>232</v>
      </c>
      <c r="D269" s="52" t="s">
        <v>31</v>
      </c>
      <c r="E269" s="52" t="s">
        <v>123</v>
      </c>
      <c r="F269" s="70">
        <v>3.7555367719031722E-2</v>
      </c>
      <c r="G269" s="70">
        <v>4.4896212390749812E-2</v>
      </c>
      <c r="H269" s="70">
        <v>5.0123960189399887E-2</v>
      </c>
      <c r="I269" s="70">
        <v>5.4113079079012361E-2</v>
      </c>
      <c r="J269" s="62">
        <v>5.7129321001959957E-2</v>
      </c>
      <c r="K269" s="70" t="s">
        <v>21</v>
      </c>
      <c r="L269" s="70">
        <v>8.0516938907498094E-3</v>
      </c>
      <c r="M269" s="70">
        <v>1.2744393689399881E-2</v>
      </c>
      <c r="N269" s="70">
        <v>1.5727726179012358E-2</v>
      </c>
      <c r="O269" s="62">
        <v>1.7453514701959959E-2</v>
      </c>
      <c r="P269" s="54" t="s">
        <v>21</v>
      </c>
      <c r="Q269" s="52" t="s">
        <v>21</v>
      </c>
      <c r="R269" s="93" t="s">
        <v>21</v>
      </c>
      <c r="S269" s="72" t="s">
        <v>21</v>
      </c>
      <c r="T269" s="62" t="s">
        <v>21</v>
      </c>
      <c r="V269" s="113">
        <v>1.1142536000000001</v>
      </c>
      <c r="W269" s="71">
        <v>2.85101643</v>
      </c>
      <c r="X269" s="71">
        <v>4.37692674</v>
      </c>
      <c r="Y269" s="71">
        <v>5.6729129799999995</v>
      </c>
      <c r="Z269" s="114">
        <v>7.2733934099999997</v>
      </c>
    </row>
    <row r="270" spans="2:26" x14ac:dyDescent="0.35">
      <c r="B270" s="54" t="s">
        <v>138</v>
      </c>
      <c r="C270" s="52" t="s">
        <v>232</v>
      </c>
      <c r="D270" s="52" t="s">
        <v>139</v>
      </c>
      <c r="E270" s="52" t="s">
        <v>159</v>
      </c>
      <c r="F270" s="70">
        <v>3.8639139388232283E-2</v>
      </c>
      <c r="G270" s="70">
        <v>4.3143531647536877E-2</v>
      </c>
      <c r="H270" s="70">
        <v>4.9131901950384124E-2</v>
      </c>
      <c r="I270" s="70">
        <v>5.3558373532510813E-2</v>
      </c>
      <c r="J270" s="62">
        <v>5.8129515923964904E-2</v>
      </c>
      <c r="K270" s="70">
        <v>9.4491748823228444E-4</v>
      </c>
      <c r="L270" s="70">
        <v>6.3865657475368817E-3</v>
      </c>
      <c r="M270" s="70">
        <v>1.1805842550384126E-2</v>
      </c>
      <c r="N270" s="70">
        <v>1.5205655932510805E-2</v>
      </c>
      <c r="O270" s="62">
        <v>1.8403697723964909E-2</v>
      </c>
      <c r="P270" s="54" t="s">
        <v>21</v>
      </c>
      <c r="Q270" s="52" t="s">
        <v>21</v>
      </c>
      <c r="R270" s="93" t="s">
        <v>21</v>
      </c>
      <c r="S270" s="72" t="s">
        <v>21</v>
      </c>
      <c r="T270" s="62" t="s">
        <v>21</v>
      </c>
      <c r="V270" s="113">
        <v>1.1121755099999999</v>
      </c>
      <c r="W270" s="71">
        <v>2.8575835199999999</v>
      </c>
      <c r="X270" s="71">
        <v>4.3946469000000006</v>
      </c>
      <c r="Y270" s="71">
        <v>5.6993177099999999</v>
      </c>
      <c r="Z270" s="114">
        <v>7.2782172699999998</v>
      </c>
    </row>
    <row r="271" spans="2:26" x14ac:dyDescent="0.35">
      <c r="B271" s="56" t="s">
        <v>169</v>
      </c>
      <c r="C271" s="66" t="s">
        <v>232</v>
      </c>
      <c r="D271" s="66" t="s">
        <v>69</v>
      </c>
      <c r="E271" s="66" t="s">
        <v>110</v>
      </c>
      <c r="F271" s="75">
        <v>3.7023201614279355E-2</v>
      </c>
      <c r="G271" s="75">
        <v>4.1776397011088394E-2</v>
      </c>
      <c r="H271" s="75">
        <v>4.7824301054813688E-2</v>
      </c>
      <c r="I271" s="75">
        <v>5.1378529155402378E-2</v>
      </c>
      <c r="J271" s="63">
        <v>5.5482729699234852E-2</v>
      </c>
      <c r="K271" s="75" t="s">
        <v>21</v>
      </c>
      <c r="L271" s="75">
        <v>5.0790488110883936E-3</v>
      </c>
      <c r="M271" s="75">
        <v>1.056049705481369E-2</v>
      </c>
      <c r="N271" s="75">
        <v>1.3133262555402384E-2</v>
      </c>
      <c r="O271" s="63">
        <v>1.5879408699234848E-2</v>
      </c>
      <c r="P271" s="56" t="s">
        <v>21</v>
      </c>
      <c r="Q271" s="66" t="s">
        <v>21</v>
      </c>
      <c r="R271" s="95" t="s">
        <v>21</v>
      </c>
      <c r="S271" s="73" t="s">
        <v>21</v>
      </c>
      <c r="T271" s="63" t="s">
        <v>21</v>
      </c>
      <c r="V271" s="115">
        <v>1.11524884</v>
      </c>
      <c r="W271" s="107">
        <v>2.8713877800000001</v>
      </c>
      <c r="X271" s="107">
        <v>4.4234812100000003</v>
      </c>
      <c r="Y271" s="107">
        <v>5.7578945499999996</v>
      </c>
      <c r="Z271" s="116">
        <v>7.4009921199999997</v>
      </c>
    </row>
    <row r="272" spans="2:26" x14ac:dyDescent="0.35">
      <c r="P272" s="127"/>
      <c r="Q272" s="127"/>
      <c r="R272" s="44"/>
      <c r="S272" s="127"/>
      <c r="T272" s="127"/>
      <c r="V272" s="71"/>
      <c r="W272" s="71"/>
      <c r="X272" s="71"/>
      <c r="Y272" s="71"/>
      <c r="Z272" s="71"/>
    </row>
    <row r="273" spans="2:26" ht="15.5" x14ac:dyDescent="0.35">
      <c r="B273" s="121" t="s">
        <v>177</v>
      </c>
      <c r="R273" s="93"/>
      <c r="S273" s="70"/>
      <c r="T273" s="70"/>
      <c r="V273" s="71"/>
      <c r="W273" s="71"/>
      <c r="X273" s="71"/>
      <c r="Y273" s="71"/>
      <c r="Z273" s="71"/>
    </row>
    <row r="274" spans="2:26" x14ac:dyDescent="0.35">
      <c r="B274" s="84" t="s">
        <v>5</v>
      </c>
      <c r="C274" s="83" t="s">
        <v>6</v>
      </c>
      <c r="D274" s="83" t="s">
        <v>7</v>
      </c>
      <c r="E274" s="83" t="s">
        <v>8</v>
      </c>
      <c r="F274" s="82" t="s">
        <v>9</v>
      </c>
      <c r="G274" s="81" t="s">
        <v>10</v>
      </c>
      <c r="H274" s="81" t="s">
        <v>11</v>
      </c>
      <c r="I274" s="81" t="s">
        <v>12</v>
      </c>
      <c r="J274" s="80" t="s">
        <v>13</v>
      </c>
      <c r="K274" s="82" t="s">
        <v>9</v>
      </c>
      <c r="L274" s="81" t="s">
        <v>10</v>
      </c>
      <c r="M274" s="81" t="s">
        <v>11</v>
      </c>
      <c r="N274" s="81" t="s">
        <v>12</v>
      </c>
      <c r="O274" s="80" t="s">
        <v>13</v>
      </c>
      <c r="P274" s="69" t="s">
        <v>14</v>
      </c>
      <c r="Q274" s="57" t="s">
        <v>15</v>
      </c>
      <c r="R274" s="57" t="s">
        <v>16</v>
      </c>
      <c r="S274" s="57" t="s">
        <v>216</v>
      </c>
      <c r="T274" s="57" t="s">
        <v>18</v>
      </c>
      <c r="V274" s="105" t="s">
        <v>9</v>
      </c>
      <c r="W274" s="105" t="s">
        <v>10</v>
      </c>
      <c r="X274" s="105" t="s">
        <v>11</v>
      </c>
      <c r="Y274" s="105" t="s">
        <v>12</v>
      </c>
      <c r="Z274" s="110" t="s">
        <v>13</v>
      </c>
    </row>
    <row r="275" spans="2:26" x14ac:dyDescent="0.35">
      <c r="B275" s="55" t="s">
        <v>178</v>
      </c>
      <c r="C275" s="52" t="s">
        <v>232</v>
      </c>
      <c r="D275" s="65" t="s">
        <v>47</v>
      </c>
      <c r="E275" s="65" t="s">
        <v>577</v>
      </c>
      <c r="F275" s="79"/>
      <c r="G275" s="79"/>
      <c r="H275" s="79"/>
      <c r="I275" s="79"/>
      <c r="J275" s="61"/>
      <c r="K275" s="79"/>
      <c r="L275" s="79"/>
      <c r="M275" s="79"/>
      <c r="N275" s="79"/>
      <c r="O275" s="61"/>
      <c r="P275" s="55" t="s">
        <v>578</v>
      </c>
      <c r="Q275" s="65" t="s">
        <v>579</v>
      </c>
      <c r="R275" s="99" t="s">
        <v>32</v>
      </c>
      <c r="S275" s="74"/>
      <c r="T275" s="62"/>
      <c r="V275" s="71">
        <v>1.1159426300000002</v>
      </c>
      <c r="W275" s="71">
        <v>2.8771672599999998</v>
      </c>
      <c r="X275" s="71">
        <v>4.4427698699999993</v>
      </c>
      <c r="Y275" s="71">
        <v>5.7956309499999996</v>
      </c>
      <c r="Z275" s="114">
        <v>7.4834233299999999</v>
      </c>
    </row>
    <row r="276" spans="2:26" x14ac:dyDescent="0.35">
      <c r="B276" s="54" t="s">
        <v>269</v>
      </c>
      <c r="C276" s="52" t="s">
        <v>232</v>
      </c>
      <c r="D276" s="52" t="s">
        <v>20</v>
      </c>
      <c r="E276" s="52" t="s">
        <v>580</v>
      </c>
      <c r="F276" s="70" t="s">
        <v>21</v>
      </c>
      <c r="G276" s="70">
        <v>4.3386152067931116E-2</v>
      </c>
      <c r="H276" s="70">
        <v>4.7560586719291011E-2</v>
      </c>
      <c r="I276" s="70">
        <v>5.0928722791872806E-2</v>
      </c>
      <c r="J276" s="62">
        <v>5.3314448576056897E-2</v>
      </c>
      <c r="K276" s="70" t="s">
        <v>21</v>
      </c>
      <c r="L276" s="70">
        <v>6.6734015679311203E-3</v>
      </c>
      <c r="M276" s="70">
        <v>1.0347306719291013E-2</v>
      </c>
      <c r="N276" s="70">
        <v>1.2768091491872809E-2</v>
      </c>
      <c r="O276" s="62">
        <v>1.3863951376056897E-2</v>
      </c>
      <c r="P276" s="54" t="s">
        <v>581</v>
      </c>
      <c r="Q276" s="52" t="s">
        <v>582</v>
      </c>
      <c r="R276" s="93" t="s">
        <v>32</v>
      </c>
      <c r="S276" s="72">
        <v>3.9634219999999998E-2</v>
      </c>
      <c r="T276" s="62">
        <v>7.9263667192910128E-3</v>
      </c>
      <c r="V276" s="71">
        <v>1.1146281</v>
      </c>
      <c r="W276" s="71">
        <v>2.86715155</v>
      </c>
      <c r="X276" s="71">
        <v>4.4295484299999996</v>
      </c>
      <c r="Y276" s="71">
        <v>5.7926531699999995</v>
      </c>
      <c r="Z276" s="114">
        <v>7.5326095100000003</v>
      </c>
    </row>
    <row r="277" spans="2:26" x14ac:dyDescent="0.35">
      <c r="B277" s="54" t="s">
        <v>180</v>
      </c>
      <c r="C277" s="52" t="s">
        <v>232</v>
      </c>
      <c r="D277" s="52" t="s">
        <v>69</v>
      </c>
      <c r="E277" s="52" t="s">
        <v>270</v>
      </c>
      <c r="F277" s="70" t="s">
        <v>21</v>
      </c>
      <c r="G277" s="70">
        <v>4.1592296240782603E-2</v>
      </c>
      <c r="H277" s="70">
        <v>4.6035520439378606E-2</v>
      </c>
      <c r="I277" s="70">
        <v>4.9529952098499766E-2</v>
      </c>
      <c r="J277" s="62">
        <v>5.2500486911245529E-2</v>
      </c>
      <c r="K277" s="70" t="s">
        <v>21</v>
      </c>
      <c r="L277" s="70">
        <v>4.976008440782608E-3</v>
      </c>
      <c r="M277" s="70">
        <v>8.9089860393786052E-3</v>
      </c>
      <c r="N277" s="70">
        <v>1.1446216098499773E-2</v>
      </c>
      <c r="O277" s="62">
        <v>1.3094699111245531E-2</v>
      </c>
      <c r="P277" s="54" t="s">
        <v>583</v>
      </c>
      <c r="Q277" s="52" t="s">
        <v>584</v>
      </c>
      <c r="R277" s="93" t="s">
        <v>32</v>
      </c>
      <c r="S277" s="72">
        <v>3.8922089999999999E-2</v>
      </c>
      <c r="T277" s="62">
        <v>7.1134304393786069E-3</v>
      </c>
      <c r="V277" s="71">
        <v>1.1168216499999999</v>
      </c>
      <c r="W277" s="71">
        <v>2.8855924700000002</v>
      </c>
      <c r="X277" s="71">
        <v>4.47130954</v>
      </c>
      <c r="Y277" s="71">
        <v>5.8602462900000001</v>
      </c>
      <c r="Z277" s="114">
        <v>7.6309377499999993</v>
      </c>
    </row>
    <row r="278" spans="2:26" x14ac:dyDescent="0.35">
      <c r="B278" s="54" t="s">
        <v>181</v>
      </c>
      <c r="C278" s="52" t="s">
        <v>232</v>
      </c>
      <c r="D278" s="52" t="s">
        <v>182</v>
      </c>
      <c r="E278" s="52" t="s">
        <v>321</v>
      </c>
      <c r="F278" s="70" t="s">
        <v>21</v>
      </c>
      <c r="G278" s="70">
        <v>4.257269880693277E-2</v>
      </c>
      <c r="H278" s="70">
        <v>4.7636006736921852E-2</v>
      </c>
      <c r="I278" s="70">
        <v>5.2337556233371552E-2</v>
      </c>
      <c r="J278" s="62">
        <v>5.6757155553424164E-2</v>
      </c>
      <c r="K278" s="70" t="s">
        <v>21</v>
      </c>
      <c r="L278" s="70">
        <v>5.9152078069327806E-3</v>
      </c>
      <c r="M278" s="70">
        <v>1.0441605436921853E-2</v>
      </c>
      <c r="N278" s="70">
        <v>1.4140302633371557E-2</v>
      </c>
      <c r="O278" s="62">
        <v>1.7203573553424167E-2</v>
      </c>
      <c r="P278" s="54" t="s">
        <v>585</v>
      </c>
      <c r="Q278" s="52" t="s">
        <v>586</v>
      </c>
      <c r="R278" s="93" t="s">
        <v>32</v>
      </c>
      <c r="S278" s="72">
        <v>4.5584649999999997E-2</v>
      </c>
      <c r="T278" s="62">
        <v>2.0513567369218541E-3</v>
      </c>
      <c r="V278" s="71">
        <v>1.1168169100000001</v>
      </c>
      <c r="W278" s="71">
        <v>2.8796996699999999</v>
      </c>
      <c r="X278" s="71">
        <v>4.4481254900000007</v>
      </c>
      <c r="Y278" s="71">
        <v>5.7987631300000002</v>
      </c>
      <c r="Z278" s="114">
        <v>7.4679095099999993</v>
      </c>
    </row>
    <row r="279" spans="2:26" x14ac:dyDescent="0.35">
      <c r="B279" s="54" t="s">
        <v>183</v>
      </c>
      <c r="C279" s="52" t="s">
        <v>232</v>
      </c>
      <c r="D279" s="52" t="s">
        <v>53</v>
      </c>
      <c r="E279" s="52" t="s">
        <v>179</v>
      </c>
      <c r="F279" s="70" t="s">
        <v>21</v>
      </c>
      <c r="G279" s="70">
        <v>4.154322866993293E-2</v>
      </c>
      <c r="H279" s="70">
        <v>4.5927281221999301E-2</v>
      </c>
      <c r="I279" s="70">
        <v>4.9634370123925547E-2</v>
      </c>
      <c r="J279" s="62">
        <v>5.2715306389436528E-2</v>
      </c>
      <c r="K279" s="70" t="s">
        <v>21</v>
      </c>
      <c r="L279" s="70">
        <v>4.9280513699329299E-3</v>
      </c>
      <c r="M279" s="70">
        <v>8.8045973219992996E-3</v>
      </c>
      <c r="N279" s="70">
        <v>1.1546049323925549E-2</v>
      </c>
      <c r="O279" s="62">
        <v>1.3302944389436525E-2</v>
      </c>
      <c r="P279" s="54" t="s">
        <v>587</v>
      </c>
      <c r="Q279" s="52" t="s">
        <v>588</v>
      </c>
      <c r="R279" s="93" t="s">
        <v>32</v>
      </c>
      <c r="S279" s="72">
        <v>3.9727359999999996E-2</v>
      </c>
      <c r="T279" s="62">
        <v>6.199921221999305E-3</v>
      </c>
      <c r="V279" s="71">
        <v>1.1172391500000001</v>
      </c>
      <c r="W279" s="71">
        <v>2.8866245099999999</v>
      </c>
      <c r="X279" s="71">
        <v>4.4734349700000005</v>
      </c>
      <c r="Y279" s="71">
        <v>5.8611783399999995</v>
      </c>
      <c r="Z279" s="114">
        <v>7.6261889299999996</v>
      </c>
    </row>
    <row r="280" spans="2:26" x14ac:dyDescent="0.35">
      <c r="B280" s="54" t="s">
        <v>184</v>
      </c>
      <c r="C280" s="52" t="s">
        <v>232</v>
      </c>
      <c r="D280" s="52" t="s">
        <v>31</v>
      </c>
      <c r="E280" s="52" t="s">
        <v>589</v>
      </c>
      <c r="F280" s="70" t="s">
        <v>21</v>
      </c>
      <c r="G280" s="70">
        <v>4.2266543650421269E-2</v>
      </c>
      <c r="H280" s="70">
        <v>4.7148750957078052E-2</v>
      </c>
      <c r="I280" s="70">
        <v>5.1166008965509359E-2</v>
      </c>
      <c r="J280" s="62">
        <v>5.4716020824939357E-2</v>
      </c>
      <c r="K280" s="70" t="s">
        <v>21</v>
      </c>
      <c r="L280" s="70">
        <v>5.6217634504212742E-3</v>
      </c>
      <c r="M280" s="70">
        <v>9.9751902570780447E-3</v>
      </c>
      <c r="N280" s="70">
        <v>1.3017576465509356E-2</v>
      </c>
      <c r="O280" s="62">
        <v>1.5237018924939363E-2</v>
      </c>
      <c r="P280" s="54" t="s">
        <v>590</v>
      </c>
      <c r="Q280" s="52" t="s">
        <v>591</v>
      </c>
      <c r="R280" s="93" t="s">
        <v>32</v>
      </c>
      <c r="S280" s="72">
        <v>4.1221540000000001E-2</v>
      </c>
      <c r="T280" s="62">
        <v>5.927210957078051E-3</v>
      </c>
      <c r="V280" s="71">
        <v>1.11647311</v>
      </c>
      <c r="W280" s="71">
        <v>2.88093412</v>
      </c>
      <c r="X280" s="71">
        <v>4.4546778400000004</v>
      </c>
      <c r="Y280" s="71">
        <v>5.82097043</v>
      </c>
      <c r="Z280" s="114">
        <v>7.5382846000000008</v>
      </c>
    </row>
    <row r="281" spans="2:26" x14ac:dyDescent="0.35">
      <c r="B281" s="56" t="s">
        <v>185</v>
      </c>
      <c r="C281" s="66" t="s">
        <v>232</v>
      </c>
      <c r="D281" s="66" t="s">
        <v>139</v>
      </c>
      <c r="E281" s="66" t="s">
        <v>592</v>
      </c>
      <c r="F281" s="75" t="s">
        <v>21</v>
      </c>
      <c r="G281" s="75">
        <v>4.1538966165284692E-2</v>
      </c>
      <c r="H281" s="75">
        <v>4.5764929401887838E-2</v>
      </c>
      <c r="I281" s="75">
        <v>4.9899045052644593E-2</v>
      </c>
      <c r="J281" s="63">
        <v>5.3042325415549332E-2</v>
      </c>
      <c r="K281" s="75" t="s">
        <v>21</v>
      </c>
      <c r="L281" s="75">
        <v>4.9233834652846987E-3</v>
      </c>
      <c r="M281" s="75">
        <v>8.6483609018878395E-3</v>
      </c>
      <c r="N281" s="75">
        <v>1.1799604852644599E-2</v>
      </c>
      <c r="O281" s="63">
        <v>1.3620361915549335E-2</v>
      </c>
      <c r="P281" s="56" t="s">
        <v>593</v>
      </c>
      <c r="Q281" s="66" t="s">
        <v>594</v>
      </c>
      <c r="R281" s="95" t="s">
        <v>32</v>
      </c>
      <c r="S281" s="73">
        <v>3.8414030000000002E-2</v>
      </c>
      <c r="T281" s="63">
        <v>7.3508994018878365E-3</v>
      </c>
      <c r="V281" s="107">
        <v>1.11737303</v>
      </c>
      <c r="W281" s="107">
        <v>2.8868886300000001</v>
      </c>
      <c r="X281" s="107">
        <v>4.4752746000000005</v>
      </c>
      <c r="Y281" s="107">
        <v>5.8599806699999997</v>
      </c>
      <c r="Z281" s="116">
        <v>7.6158855299999999</v>
      </c>
    </row>
    <row r="282" spans="2:26" x14ac:dyDescent="0.35">
      <c r="V282" s="71"/>
      <c r="W282" s="71"/>
      <c r="X282" s="71"/>
      <c r="Y282" s="71"/>
      <c r="Z282" s="71"/>
    </row>
    <row r="283" spans="2:26" ht="15.5" x14ac:dyDescent="0.35">
      <c r="B283" s="121" t="s">
        <v>186</v>
      </c>
      <c r="R283" s="93"/>
      <c r="S283" s="70"/>
      <c r="T283" s="70"/>
      <c r="V283" s="71"/>
      <c r="W283" s="71"/>
      <c r="X283" s="71"/>
      <c r="Y283" s="71"/>
      <c r="Z283" s="71"/>
    </row>
    <row r="284" spans="2:26" x14ac:dyDescent="0.35">
      <c r="B284" s="84" t="s">
        <v>5</v>
      </c>
      <c r="C284" s="83" t="s">
        <v>6</v>
      </c>
      <c r="D284" s="83" t="s">
        <v>7</v>
      </c>
      <c r="E284" s="83" t="s">
        <v>8</v>
      </c>
      <c r="F284" s="82" t="s">
        <v>9</v>
      </c>
      <c r="G284" s="81" t="s">
        <v>10</v>
      </c>
      <c r="H284" s="81" t="s">
        <v>11</v>
      </c>
      <c r="I284" s="81" t="s">
        <v>12</v>
      </c>
      <c r="J284" s="80" t="s">
        <v>13</v>
      </c>
      <c r="K284" s="82" t="s">
        <v>9</v>
      </c>
      <c r="L284" s="81" t="s">
        <v>10</v>
      </c>
      <c r="M284" s="81" t="s">
        <v>11</v>
      </c>
      <c r="N284" s="81" t="s">
        <v>12</v>
      </c>
      <c r="O284" s="80" t="s">
        <v>13</v>
      </c>
      <c r="P284" s="69" t="s">
        <v>14</v>
      </c>
      <c r="Q284" s="57" t="s">
        <v>15</v>
      </c>
      <c r="R284" s="57" t="s">
        <v>16</v>
      </c>
      <c r="S284" s="57" t="s">
        <v>216</v>
      </c>
      <c r="T284" s="57" t="s">
        <v>18</v>
      </c>
      <c r="V284" s="105" t="s">
        <v>9</v>
      </c>
      <c r="W284" s="105" t="s">
        <v>10</v>
      </c>
      <c r="X284" s="105" t="s">
        <v>11</v>
      </c>
      <c r="Y284" s="105" t="s">
        <v>12</v>
      </c>
      <c r="Z284" s="110" t="s">
        <v>13</v>
      </c>
    </row>
    <row r="285" spans="2:26" x14ac:dyDescent="0.35">
      <c r="B285" s="56" t="s">
        <v>296</v>
      </c>
      <c r="C285" s="66"/>
      <c r="D285" s="68"/>
      <c r="E285" s="68"/>
      <c r="F285" s="102" t="s">
        <v>21</v>
      </c>
      <c r="G285" s="102"/>
      <c r="H285" s="102">
        <v>5.5942211245872106E-2</v>
      </c>
      <c r="I285" s="102" t="s">
        <v>21</v>
      </c>
      <c r="J285" s="103" t="s">
        <v>21</v>
      </c>
      <c r="K285" s="102" t="s">
        <v>21</v>
      </c>
      <c r="L285" s="102"/>
      <c r="M285" s="102">
        <v>1.8418503045872101E-2</v>
      </c>
      <c r="N285" s="102" t="s">
        <v>21</v>
      </c>
      <c r="O285" s="103" t="s">
        <v>21</v>
      </c>
      <c r="P285" s="55"/>
      <c r="Q285" s="68"/>
      <c r="R285" s="104"/>
      <c r="S285" s="74"/>
      <c r="T285" s="61"/>
      <c r="V285" s="71">
        <v>1.10019523</v>
      </c>
      <c r="W285" s="71">
        <v>2.8060168600000002</v>
      </c>
      <c r="X285" s="71">
        <v>4.3052513299999999</v>
      </c>
      <c r="Y285" s="71">
        <v>5.6006880800000003</v>
      </c>
      <c r="Z285" s="114">
        <v>7.2355197100000002</v>
      </c>
    </row>
    <row r="286" spans="2:26" x14ac:dyDescent="0.35">
      <c r="B286" s="54" t="s">
        <v>187</v>
      </c>
      <c r="C286" s="52" t="s">
        <v>232</v>
      </c>
      <c r="D286" s="65" t="s">
        <v>188</v>
      </c>
      <c r="E286" s="65" t="s">
        <v>271</v>
      </c>
      <c r="F286" s="79" t="s">
        <v>21</v>
      </c>
      <c r="G286" s="79">
        <v>4.0899831833389945E-2</v>
      </c>
      <c r="H286" s="79">
        <v>4.6493410958385696E-2</v>
      </c>
      <c r="I286" s="79" t="s">
        <v>21</v>
      </c>
      <c r="J286" s="61" t="s">
        <v>21</v>
      </c>
      <c r="K286" s="79" t="s">
        <v>21</v>
      </c>
      <c r="L286" s="79">
        <v>4.2880584333899454E-3</v>
      </c>
      <c r="M286" s="79">
        <v>9.3598339583856969E-3</v>
      </c>
      <c r="N286" s="79" t="s">
        <v>21</v>
      </c>
      <c r="O286" s="61" t="s">
        <v>21</v>
      </c>
      <c r="P286" s="55" t="s">
        <v>21</v>
      </c>
      <c r="Q286" s="65" t="s">
        <v>21</v>
      </c>
      <c r="R286" s="99" t="s">
        <v>21</v>
      </c>
      <c r="S286" s="74" t="s">
        <v>21</v>
      </c>
      <c r="T286" s="62" t="s">
        <v>21</v>
      </c>
      <c r="V286" s="71">
        <v>1.1170822299999998</v>
      </c>
      <c r="W286" s="71">
        <v>2.8872531000000001</v>
      </c>
      <c r="X286" s="71">
        <v>4.473217</v>
      </c>
      <c r="Y286" s="71">
        <v>5.8566530800000001</v>
      </c>
      <c r="Z286" s="114">
        <v>7.6145425899999992</v>
      </c>
    </row>
    <row r="287" spans="2:26" x14ac:dyDescent="0.35">
      <c r="B287" s="54" t="s">
        <v>189</v>
      </c>
      <c r="C287" s="52" t="s">
        <v>232</v>
      </c>
      <c r="D287" s="52" t="s">
        <v>190</v>
      </c>
      <c r="E287" s="52" t="s">
        <v>595</v>
      </c>
      <c r="F287" s="70" t="s">
        <v>21</v>
      </c>
      <c r="G287" s="70">
        <v>4.4194314673703952E-2</v>
      </c>
      <c r="H287" s="70">
        <v>5.0801926444319273E-2</v>
      </c>
      <c r="I287" s="70" t="s">
        <v>21</v>
      </c>
      <c r="J287" s="62" t="s">
        <v>21</v>
      </c>
      <c r="K287" s="70" t="s">
        <v>21</v>
      </c>
      <c r="L287" s="70">
        <v>7.4547312737039614E-3</v>
      </c>
      <c r="M287" s="70">
        <v>1.349453224431927E-2</v>
      </c>
      <c r="N287" s="70" t="s">
        <v>21</v>
      </c>
      <c r="O287" s="62" t="s">
        <v>21</v>
      </c>
      <c r="P287" s="54" t="s">
        <v>596</v>
      </c>
      <c r="Q287" s="52" t="s">
        <v>597</v>
      </c>
      <c r="R287" s="93" t="s">
        <v>32</v>
      </c>
      <c r="S287" s="72">
        <v>4.7257350000000004E-2</v>
      </c>
      <c r="T287" s="62">
        <v>3.5445764443192695E-3</v>
      </c>
      <c r="V287" s="71">
        <v>1.1126280100000001</v>
      </c>
      <c r="W287" s="71">
        <v>2.8637009299999998</v>
      </c>
      <c r="X287" s="71">
        <v>4.4113463499999996</v>
      </c>
      <c r="Y287" s="71">
        <v>5.7432099000000001</v>
      </c>
      <c r="Z287" s="114">
        <v>7.40116453</v>
      </c>
    </row>
    <row r="288" spans="2:26" x14ac:dyDescent="0.35">
      <c r="B288" s="54" t="s">
        <v>192</v>
      </c>
      <c r="C288" s="52" t="s">
        <v>232</v>
      </c>
      <c r="D288" s="52" t="s">
        <v>193</v>
      </c>
      <c r="E288" s="52" t="s">
        <v>292</v>
      </c>
      <c r="F288" s="70" t="s">
        <v>21</v>
      </c>
      <c r="G288" s="70">
        <v>4.0957636348531487E-2</v>
      </c>
      <c r="H288" s="70">
        <v>4.653776890720162E-2</v>
      </c>
      <c r="I288" s="70" t="s">
        <v>21</v>
      </c>
      <c r="J288" s="62" t="s">
        <v>21</v>
      </c>
      <c r="K288" s="70" t="s">
        <v>21</v>
      </c>
      <c r="L288" s="70">
        <v>4.3445604485314888E-3</v>
      </c>
      <c r="M288" s="70">
        <v>9.4029942072016252E-3</v>
      </c>
      <c r="N288" s="70" t="s">
        <v>21</v>
      </c>
      <c r="O288" s="62" t="s">
        <v>21</v>
      </c>
      <c r="P288" s="54" t="s">
        <v>598</v>
      </c>
      <c r="Q288" s="52" t="s">
        <v>599</v>
      </c>
      <c r="R288" s="93" t="s">
        <v>32</v>
      </c>
      <c r="S288" s="72">
        <v>4.5280690000000005E-2</v>
      </c>
      <c r="T288" s="62">
        <v>1.2570789072016142E-3</v>
      </c>
      <c r="V288" s="71">
        <v>1.1167513299999998</v>
      </c>
      <c r="W288" s="71">
        <v>2.8864498900000002</v>
      </c>
      <c r="X288" s="71">
        <v>4.4721445399999995</v>
      </c>
      <c r="Y288" s="71">
        <v>5.8565360499999999</v>
      </c>
      <c r="Z288" s="114">
        <v>7.6020212100000002</v>
      </c>
    </row>
    <row r="289" spans="2:26" x14ac:dyDescent="0.35">
      <c r="B289" s="54" t="s">
        <v>194</v>
      </c>
      <c r="C289" s="52" t="s">
        <v>232</v>
      </c>
      <c r="D289" s="52" t="s">
        <v>195</v>
      </c>
      <c r="E289" s="52" t="s">
        <v>600</v>
      </c>
      <c r="F289" s="70" t="s">
        <v>21</v>
      </c>
      <c r="G289" s="70">
        <v>4.7791990053352155E-2</v>
      </c>
      <c r="H289" s="70">
        <v>5.830758354403013E-2</v>
      </c>
      <c r="I289" s="70" t="s">
        <v>21</v>
      </c>
      <c r="J289" s="62" t="s">
        <v>21</v>
      </c>
      <c r="K289" s="70" t="s">
        <v>21</v>
      </c>
      <c r="L289" s="70">
        <v>1.089061025335215E-2</v>
      </c>
      <c r="M289" s="70">
        <v>2.0637442044030129E-2</v>
      </c>
      <c r="N289" s="70" t="s">
        <v>21</v>
      </c>
      <c r="O289" s="62" t="s">
        <v>21</v>
      </c>
      <c r="P289" s="54" t="s">
        <v>601</v>
      </c>
      <c r="Q289" s="52" t="s">
        <v>602</v>
      </c>
      <c r="R289" s="93" t="s">
        <v>32</v>
      </c>
      <c r="S289" s="72">
        <v>5.4544540000000002E-2</v>
      </c>
      <c r="T289" s="62">
        <v>3.7630435440301271E-3</v>
      </c>
      <c r="V289" s="71">
        <v>1.1126833600000001</v>
      </c>
      <c r="W289" s="71">
        <v>2.84754079</v>
      </c>
      <c r="X289" s="71">
        <v>4.3296821400000001</v>
      </c>
      <c r="Y289" s="71">
        <v>5.5421246899999996</v>
      </c>
      <c r="Z289" s="114">
        <v>6.9353074400000008</v>
      </c>
    </row>
    <row r="290" spans="2:26" x14ac:dyDescent="0.35">
      <c r="B290" s="54" t="s">
        <v>196</v>
      </c>
      <c r="C290" s="52" t="s">
        <v>232</v>
      </c>
      <c r="D290" s="52" t="s">
        <v>197</v>
      </c>
      <c r="E290" s="52" t="s">
        <v>55</v>
      </c>
      <c r="F290" s="70" t="s">
        <v>21</v>
      </c>
      <c r="G290" s="70">
        <v>4.6538983540822476E-2</v>
      </c>
      <c r="H290" s="70">
        <v>5.4439039978619819E-2</v>
      </c>
      <c r="I290" s="70" t="s">
        <v>21</v>
      </c>
      <c r="J290" s="62" t="s">
        <v>21</v>
      </c>
      <c r="K290" s="70" t="s">
        <v>21</v>
      </c>
      <c r="L290" s="70">
        <v>9.7096906408224784E-3</v>
      </c>
      <c r="M290" s="70">
        <v>1.697466047861982E-2</v>
      </c>
      <c r="N290" s="70" t="s">
        <v>21</v>
      </c>
      <c r="O290" s="62" t="s">
        <v>21</v>
      </c>
      <c r="P290" s="54" t="s">
        <v>603</v>
      </c>
      <c r="Q290" s="52" t="s">
        <v>604</v>
      </c>
      <c r="R290" s="93">
        <v>47586</v>
      </c>
      <c r="S290" s="72">
        <v>5.0394319999999999E-2</v>
      </c>
      <c r="T290" s="62">
        <v>4.0447199786198193E-3</v>
      </c>
      <c r="V290" s="71">
        <v>1.1121930900000001</v>
      </c>
      <c r="W290" s="71">
        <v>2.8517177</v>
      </c>
      <c r="X290" s="71">
        <v>4.3673873399999996</v>
      </c>
      <c r="Y290" s="71">
        <v>5.6375621899999997</v>
      </c>
      <c r="Z290" s="114">
        <v>7.1560450799999993</v>
      </c>
    </row>
    <row r="291" spans="2:26" x14ac:dyDescent="0.35">
      <c r="B291" s="54" t="s">
        <v>198</v>
      </c>
      <c r="C291" s="52" t="s">
        <v>232</v>
      </c>
      <c r="D291" s="52" t="s">
        <v>199</v>
      </c>
      <c r="E291" s="52" t="s">
        <v>293</v>
      </c>
      <c r="F291" s="70" t="s">
        <v>21</v>
      </c>
      <c r="G291" s="70">
        <v>4.8781513759379738E-2</v>
      </c>
      <c r="H291" s="70">
        <v>5.8038357489458042E-2</v>
      </c>
      <c r="I291" s="70" t="s">
        <v>21</v>
      </c>
      <c r="J291" s="62" t="s">
        <v>21</v>
      </c>
      <c r="K291" s="70" t="s">
        <v>21</v>
      </c>
      <c r="L291" s="70">
        <v>1.1856847259379744E-2</v>
      </c>
      <c r="M291" s="70">
        <v>2.0400622089458045E-2</v>
      </c>
      <c r="N291" s="70" t="s">
        <v>21</v>
      </c>
      <c r="O291" s="62" t="s">
        <v>21</v>
      </c>
      <c r="P291" s="54" t="s">
        <v>605</v>
      </c>
      <c r="Q291" s="52" t="s">
        <v>606</v>
      </c>
      <c r="R291" s="93" t="s">
        <v>32</v>
      </c>
      <c r="S291" s="72">
        <v>5.0461770000000003E-2</v>
      </c>
      <c r="T291" s="62">
        <v>7.5765874894580393E-3</v>
      </c>
      <c r="V291" s="71">
        <v>1.11077552</v>
      </c>
      <c r="W291" s="71">
        <v>2.8387255499999999</v>
      </c>
      <c r="X291" s="71">
        <v>4.3236323200000006</v>
      </c>
      <c r="Y291" s="71">
        <v>5.5434921900000003</v>
      </c>
      <c r="Z291" s="114">
        <v>6.9604580700000005</v>
      </c>
    </row>
    <row r="292" spans="2:26" x14ac:dyDescent="0.35">
      <c r="B292" s="54" t="s">
        <v>200</v>
      </c>
      <c r="C292" s="52" t="s">
        <v>232</v>
      </c>
      <c r="D292" s="52" t="s">
        <v>201</v>
      </c>
      <c r="E292" s="52" t="s">
        <v>179</v>
      </c>
      <c r="F292" s="70" t="s">
        <v>21</v>
      </c>
      <c r="G292" s="70">
        <v>4.5166178423326112E-2</v>
      </c>
      <c r="H292" s="70">
        <v>5.2228114865842334E-2</v>
      </c>
      <c r="I292" s="70" t="s">
        <v>21</v>
      </c>
      <c r="J292" s="62" t="s">
        <v>21</v>
      </c>
      <c r="K292" s="70" t="s">
        <v>21</v>
      </c>
      <c r="L292" s="70">
        <v>8.3847311233261126E-3</v>
      </c>
      <c r="M292" s="70">
        <v>1.4854183565842331E-2</v>
      </c>
      <c r="N292" s="70" t="s">
        <v>21</v>
      </c>
      <c r="O292" s="62" t="s">
        <v>21</v>
      </c>
      <c r="P292" s="54" t="s">
        <v>607</v>
      </c>
      <c r="Q292" s="52" t="s">
        <v>608</v>
      </c>
      <c r="R292" s="93" t="s">
        <v>32</v>
      </c>
      <c r="S292" s="72">
        <v>7.3255E-4</v>
      </c>
      <c r="T292" s="62">
        <v>5.1495564865842336E-2</v>
      </c>
      <c r="V292" s="71">
        <v>1.1126756</v>
      </c>
      <c r="W292" s="71">
        <v>2.8582362799999999</v>
      </c>
      <c r="X292" s="71">
        <v>4.3911398100000003</v>
      </c>
      <c r="Y292" s="71">
        <v>5.69360278</v>
      </c>
      <c r="Z292" s="114">
        <v>7.2921544599999999</v>
      </c>
    </row>
    <row r="293" spans="2:26" x14ac:dyDescent="0.35">
      <c r="B293" s="54" t="s">
        <v>202</v>
      </c>
      <c r="C293" s="52" t="s">
        <v>232</v>
      </c>
      <c r="D293" s="52" t="s">
        <v>203</v>
      </c>
      <c r="E293" s="52" t="s">
        <v>609</v>
      </c>
      <c r="F293" s="70" t="s">
        <v>21</v>
      </c>
      <c r="G293" s="70">
        <v>5.5896348251767945E-2</v>
      </c>
      <c r="H293" s="70">
        <v>6.7426194694267139E-2</v>
      </c>
      <c r="I293" s="70" t="s">
        <v>21</v>
      </c>
      <c r="J293" s="62" t="s">
        <v>21</v>
      </c>
      <c r="K293" s="70" t="s">
        <v>21</v>
      </c>
      <c r="L293" s="70">
        <v>1.8608274951767947E-2</v>
      </c>
      <c r="M293" s="70">
        <v>2.9230147694267128E-2</v>
      </c>
      <c r="N293" s="70" t="s">
        <v>21</v>
      </c>
      <c r="O293" s="62" t="s">
        <v>21</v>
      </c>
      <c r="P293" s="54" t="s">
        <v>21</v>
      </c>
      <c r="Q293" s="52" t="s">
        <v>21</v>
      </c>
      <c r="R293" s="93" t="s">
        <v>21</v>
      </c>
      <c r="S293" s="72" t="s">
        <v>21</v>
      </c>
      <c r="T293" s="62" t="s">
        <v>21</v>
      </c>
      <c r="V293" s="71">
        <v>1.10421839</v>
      </c>
      <c r="W293" s="71">
        <v>2.7911344099999997</v>
      </c>
      <c r="X293" s="71">
        <v>4.1970552300000001</v>
      </c>
      <c r="Y293" s="71">
        <v>5.3052859799999998</v>
      </c>
      <c r="Z293" s="114">
        <v>6.5381945200000002</v>
      </c>
    </row>
    <row r="294" spans="2:26" x14ac:dyDescent="0.35">
      <c r="B294" s="54" t="s">
        <v>204</v>
      </c>
      <c r="C294" s="52" t="s">
        <v>232</v>
      </c>
      <c r="D294" s="52" t="s">
        <v>205</v>
      </c>
      <c r="E294" s="52" t="s">
        <v>191</v>
      </c>
      <c r="F294" s="70" t="s">
        <v>21</v>
      </c>
      <c r="G294" s="70">
        <v>4.3764711599153842E-2</v>
      </c>
      <c r="H294" s="70">
        <v>4.9875927835744724E-2</v>
      </c>
      <c r="I294" s="70" t="s">
        <v>21</v>
      </c>
      <c r="J294" s="62" t="s">
        <v>21</v>
      </c>
      <c r="K294" s="70" t="s">
        <v>21</v>
      </c>
      <c r="L294" s="70">
        <v>7.045102299153852E-3</v>
      </c>
      <c r="M294" s="70">
        <v>1.2609224835744729E-2</v>
      </c>
      <c r="N294" s="70" t="s">
        <v>21</v>
      </c>
      <c r="O294" s="62" t="s">
        <v>21</v>
      </c>
      <c r="P294" s="54" t="s">
        <v>610</v>
      </c>
      <c r="Q294" s="52" t="s">
        <v>611</v>
      </c>
      <c r="R294" s="93" t="s">
        <v>32</v>
      </c>
      <c r="S294" s="72">
        <v>4.3496899999999998E-2</v>
      </c>
      <c r="T294" s="62">
        <v>6.3790278357447258E-3</v>
      </c>
      <c r="V294" s="71">
        <v>1.1139334000000001</v>
      </c>
      <c r="W294" s="71">
        <v>2.8678208600000001</v>
      </c>
      <c r="X294" s="71">
        <v>4.4231500500000003</v>
      </c>
      <c r="Y294" s="71">
        <v>5.7620533199999997</v>
      </c>
      <c r="Z294" s="114">
        <v>7.4340842</v>
      </c>
    </row>
    <row r="295" spans="2:26" x14ac:dyDescent="0.35">
      <c r="B295" s="54" t="s">
        <v>206</v>
      </c>
      <c r="C295" s="52" t="s">
        <v>232</v>
      </c>
      <c r="D295" s="52" t="s">
        <v>207</v>
      </c>
      <c r="E295" s="52" t="s">
        <v>179</v>
      </c>
      <c r="F295" s="70" t="s">
        <v>21</v>
      </c>
      <c r="G295" s="70">
        <v>4.8042969313350302E-2</v>
      </c>
      <c r="H295" s="70">
        <v>5.6675198052691965E-2</v>
      </c>
      <c r="I295" s="70" t="s">
        <v>21</v>
      </c>
      <c r="J295" s="62" t="s">
        <v>21</v>
      </c>
      <c r="K295" s="70" t="s">
        <v>21</v>
      </c>
      <c r="L295" s="70">
        <v>1.1145179813350297E-2</v>
      </c>
      <c r="M295" s="70">
        <v>1.9099288552691961E-2</v>
      </c>
      <c r="N295" s="70" t="s">
        <v>21</v>
      </c>
      <c r="O295" s="62" t="s">
        <v>21</v>
      </c>
      <c r="P295" s="54" t="s">
        <v>21</v>
      </c>
      <c r="Q295" s="52" t="s">
        <v>21</v>
      </c>
      <c r="R295" s="93" t="s">
        <v>21</v>
      </c>
      <c r="S295" s="72" t="s">
        <v>21</v>
      </c>
      <c r="T295" s="62" t="s">
        <v>21</v>
      </c>
      <c r="V295" s="71">
        <v>1.11062225</v>
      </c>
      <c r="W295" s="71">
        <v>2.8411403500000003</v>
      </c>
      <c r="X295" s="71">
        <v>4.3370843099999998</v>
      </c>
      <c r="Y295" s="71">
        <v>5.5778352699999996</v>
      </c>
      <c r="Z295" s="114">
        <v>7.0393781600000001</v>
      </c>
    </row>
    <row r="296" spans="2:26" x14ac:dyDescent="0.35">
      <c r="B296" s="54" t="s">
        <v>411</v>
      </c>
      <c r="C296" s="52" t="s">
        <v>232</v>
      </c>
      <c r="D296" s="52" t="s">
        <v>411</v>
      </c>
      <c r="E296" s="52" t="s">
        <v>612</v>
      </c>
      <c r="F296" s="70" t="s">
        <v>21</v>
      </c>
      <c r="G296" s="70">
        <v>7.4133021237206331E-2</v>
      </c>
      <c r="H296" s="70">
        <v>8.4959849443106875E-2</v>
      </c>
      <c r="I296" s="70" t="s">
        <v>21</v>
      </c>
      <c r="J296" s="62" t="s">
        <v>21</v>
      </c>
      <c r="K296" s="70" t="s">
        <v>21</v>
      </c>
      <c r="L296" s="70">
        <v>3.5627971237206318E-2</v>
      </c>
      <c r="M296" s="70">
        <v>4.5434745443106869E-2</v>
      </c>
      <c r="N296" s="70" t="s">
        <v>21</v>
      </c>
      <c r="O296" s="62" t="s">
        <v>21</v>
      </c>
      <c r="P296" s="54" t="s">
        <v>613</v>
      </c>
      <c r="Q296" s="52" t="s">
        <v>614</v>
      </c>
      <c r="R296" s="93" t="s">
        <v>32</v>
      </c>
      <c r="S296" s="72">
        <v>7.3499709999999996E-2</v>
      </c>
      <c r="T296" s="62">
        <v>1.1460139443106879E-2</v>
      </c>
      <c r="V296" s="71">
        <v>1.07276167</v>
      </c>
      <c r="W296" s="71">
        <v>2.65287037</v>
      </c>
      <c r="X296" s="71">
        <v>3.9118684200000002</v>
      </c>
      <c r="Y296" s="71">
        <v>4.8808228699999994</v>
      </c>
      <c r="Z296" s="114">
        <v>5.9361757400000004</v>
      </c>
    </row>
    <row r="297" spans="2:26" x14ac:dyDescent="0.35">
      <c r="B297" s="54" t="s">
        <v>208</v>
      </c>
      <c r="C297" s="52" t="s">
        <v>232</v>
      </c>
      <c r="D297" s="52" t="s">
        <v>208</v>
      </c>
      <c r="E297" s="52" t="s">
        <v>615</v>
      </c>
      <c r="F297" s="70" t="s">
        <v>21</v>
      </c>
      <c r="G297" s="70">
        <v>4.5505856899959916E-2</v>
      </c>
      <c r="H297" s="70">
        <v>5.1903513124728712E-2</v>
      </c>
      <c r="I297" s="70" t="s">
        <v>21</v>
      </c>
      <c r="J297" s="62" t="s">
        <v>21</v>
      </c>
      <c r="K297" s="70" t="s">
        <v>21</v>
      </c>
      <c r="L297" s="70">
        <v>8.7204779999599212E-3</v>
      </c>
      <c r="M297" s="70">
        <v>1.4553417824728706E-2</v>
      </c>
      <c r="N297" s="70" t="s">
        <v>21</v>
      </c>
      <c r="O297" s="62" t="s">
        <v>21</v>
      </c>
      <c r="P297" s="54" t="s">
        <v>616</v>
      </c>
      <c r="Q297" s="52" t="s">
        <v>617</v>
      </c>
      <c r="R297" s="93" t="s">
        <v>32</v>
      </c>
      <c r="S297" s="72">
        <v>4.8955719999999994E-2</v>
      </c>
      <c r="T297" s="62">
        <v>2.9477931247287176E-3</v>
      </c>
      <c r="V297" s="71">
        <v>1.1127185499999999</v>
      </c>
      <c r="W297" s="71">
        <v>2.8575709800000002</v>
      </c>
      <c r="X297" s="71">
        <v>4.3938582500000001</v>
      </c>
      <c r="Y297" s="71">
        <v>5.71199222</v>
      </c>
      <c r="Z297" s="114">
        <v>7.3528092700000007</v>
      </c>
    </row>
    <row r="298" spans="2:26" x14ac:dyDescent="0.35">
      <c r="B298" s="54" t="s">
        <v>209</v>
      </c>
      <c r="C298" s="52" t="s">
        <v>232</v>
      </c>
      <c r="D298" s="52" t="s">
        <v>209</v>
      </c>
      <c r="E298" s="52" t="s">
        <v>618</v>
      </c>
      <c r="F298" s="70" t="s">
        <v>21</v>
      </c>
      <c r="G298" s="70">
        <v>5.3120261042384112E-2</v>
      </c>
      <c r="H298" s="70">
        <v>6.2628471777142564E-2</v>
      </c>
      <c r="I298" s="70" t="s">
        <v>21</v>
      </c>
      <c r="J298" s="62" t="s">
        <v>21</v>
      </c>
      <c r="K298" s="70" t="s">
        <v>21</v>
      </c>
      <c r="L298" s="70">
        <v>1.5866875142384121E-2</v>
      </c>
      <c r="M298" s="70">
        <v>2.4596638677142575E-2</v>
      </c>
      <c r="N298" s="70" t="s">
        <v>21</v>
      </c>
      <c r="O298" s="62" t="s">
        <v>21</v>
      </c>
      <c r="P298" s="54" t="s">
        <v>619</v>
      </c>
      <c r="Q298" s="52" t="s">
        <v>620</v>
      </c>
      <c r="R298" s="93" t="s">
        <v>32</v>
      </c>
      <c r="S298" s="72">
        <v>7.131208E-2</v>
      </c>
      <c r="T298" s="62">
        <v>-8.6836082228574363E-3</v>
      </c>
      <c r="V298" s="71">
        <v>1.10342736</v>
      </c>
      <c r="W298" s="71">
        <v>2.7947044000000001</v>
      </c>
      <c r="X298" s="71">
        <v>4.2214230499999994</v>
      </c>
      <c r="Y298" s="71">
        <v>5.3829149699999999</v>
      </c>
      <c r="Z298" s="114">
        <v>6.7475377899999991</v>
      </c>
    </row>
    <row r="299" spans="2:26" x14ac:dyDescent="0.35">
      <c r="B299" s="54" t="s">
        <v>210</v>
      </c>
      <c r="C299" s="52" t="s">
        <v>232</v>
      </c>
      <c r="D299" s="52" t="s">
        <v>210</v>
      </c>
      <c r="E299" s="52" t="s">
        <v>572</v>
      </c>
      <c r="F299" s="70" t="s">
        <v>21</v>
      </c>
      <c r="G299" s="70">
        <v>6.4934721403925422E-2</v>
      </c>
      <c r="H299" s="70">
        <v>7.7908395332748501E-2</v>
      </c>
      <c r="I299" s="70" t="s">
        <v>21</v>
      </c>
      <c r="J299" s="62" t="s">
        <v>21</v>
      </c>
      <c r="K299" s="70" t="s">
        <v>21</v>
      </c>
      <c r="L299" s="70">
        <v>2.7083493503925426E-2</v>
      </c>
      <c r="M299" s="70">
        <v>3.8971464032748503E-2</v>
      </c>
      <c r="N299" s="70" t="s">
        <v>21</v>
      </c>
      <c r="O299" s="62" t="s">
        <v>21</v>
      </c>
      <c r="P299" s="54" t="s">
        <v>621</v>
      </c>
      <c r="Q299" s="52" t="s">
        <v>622</v>
      </c>
      <c r="R299" s="93" t="s">
        <v>32</v>
      </c>
      <c r="S299" s="72">
        <v>6.6417879999999999E-2</v>
      </c>
      <c r="T299" s="62">
        <v>1.1490515332748502E-2</v>
      </c>
      <c r="V299" s="71">
        <v>1.0918923</v>
      </c>
      <c r="W299" s="71">
        <v>2.7292808700000002</v>
      </c>
      <c r="X299" s="71">
        <v>4.04916082</v>
      </c>
      <c r="Y299" s="71">
        <v>5.0759551399999996</v>
      </c>
      <c r="Z299" s="114">
        <v>6.2118927400000006</v>
      </c>
    </row>
    <row r="300" spans="2:26" x14ac:dyDescent="0.35">
      <c r="B300" s="54" t="s">
        <v>211</v>
      </c>
      <c r="C300" s="52" t="s">
        <v>232</v>
      </c>
      <c r="D300" s="52" t="s">
        <v>211</v>
      </c>
      <c r="E300" s="52" t="s">
        <v>623</v>
      </c>
      <c r="F300" s="70" t="s">
        <v>21</v>
      </c>
      <c r="G300" s="70">
        <v>6.2109098759592932E-2</v>
      </c>
      <c r="H300" s="70">
        <v>7.360893353270262E-2</v>
      </c>
      <c r="I300" s="70" t="s">
        <v>21</v>
      </c>
      <c r="J300" s="62" t="s">
        <v>21</v>
      </c>
      <c r="K300" s="70" t="s">
        <v>21</v>
      </c>
      <c r="L300" s="70">
        <v>2.4416455359592939E-2</v>
      </c>
      <c r="M300" s="70">
        <v>3.4960910732702632E-2</v>
      </c>
      <c r="N300" s="70" t="s">
        <v>21</v>
      </c>
      <c r="O300" s="62" t="s">
        <v>21</v>
      </c>
      <c r="P300" s="54" t="s">
        <v>624</v>
      </c>
      <c r="Q300" s="52" t="s">
        <v>625</v>
      </c>
      <c r="R300" s="93" t="s">
        <v>32</v>
      </c>
      <c r="S300" s="72">
        <v>6.0093420000000002E-2</v>
      </c>
      <c r="T300" s="62">
        <v>1.3515513532702618E-2</v>
      </c>
      <c r="V300" s="71">
        <v>1.0965050699999999</v>
      </c>
      <c r="W300" s="71">
        <v>2.7469613399999999</v>
      </c>
      <c r="X300" s="71">
        <v>4.09775694</v>
      </c>
      <c r="Y300" s="71">
        <v>5.1568502399999998</v>
      </c>
      <c r="Z300" s="114">
        <v>6.3328594399999991</v>
      </c>
    </row>
    <row r="301" spans="2:26" x14ac:dyDescent="0.35">
      <c r="B301" s="54" t="s">
        <v>272</v>
      </c>
      <c r="C301" s="52" t="s">
        <v>232</v>
      </c>
      <c r="D301" s="52" t="s">
        <v>272</v>
      </c>
      <c r="E301" s="52" t="s">
        <v>286</v>
      </c>
      <c r="F301" s="70" t="s">
        <v>21</v>
      </c>
      <c r="G301" s="70">
        <v>4.3575110933152354E-2</v>
      </c>
      <c r="H301" s="70">
        <v>5.1241887212156459E-2</v>
      </c>
      <c r="I301" s="70" t="s">
        <v>21</v>
      </c>
      <c r="J301" s="62" t="s">
        <v>21</v>
      </c>
      <c r="K301" s="70" t="s">
        <v>21</v>
      </c>
      <c r="L301" s="70">
        <v>6.8679922331523636E-3</v>
      </c>
      <c r="M301" s="70">
        <v>1.3922931712156455E-2</v>
      </c>
      <c r="N301" s="70" t="s">
        <v>21</v>
      </c>
      <c r="O301" s="62" t="s">
        <v>21</v>
      </c>
      <c r="P301" s="54" t="s">
        <v>21</v>
      </c>
      <c r="Q301" s="52" t="s">
        <v>21</v>
      </c>
      <c r="R301" s="93" t="s">
        <v>21</v>
      </c>
      <c r="S301" s="72" t="s">
        <v>21</v>
      </c>
      <c r="T301" s="62" t="s">
        <v>21</v>
      </c>
      <c r="V301" s="71">
        <v>1.11479236</v>
      </c>
      <c r="W301" s="71">
        <v>2.8705687000000002</v>
      </c>
      <c r="X301" s="71">
        <v>4.4160010200000004</v>
      </c>
      <c r="Y301" s="71">
        <v>5.7224869900000002</v>
      </c>
      <c r="Z301" s="114">
        <v>7.3379865200000003</v>
      </c>
    </row>
    <row r="302" spans="2:26" x14ac:dyDescent="0.35">
      <c r="B302" s="54" t="s">
        <v>273</v>
      </c>
      <c r="C302" s="52" t="s">
        <v>232</v>
      </c>
      <c r="D302" s="52" t="s">
        <v>273</v>
      </c>
      <c r="E302" s="52" t="s">
        <v>274</v>
      </c>
      <c r="F302" s="70" t="s">
        <v>21</v>
      </c>
      <c r="G302" s="70">
        <v>4.7535899216555176E-2</v>
      </c>
      <c r="H302" s="70">
        <v>5.5379598681236208E-2</v>
      </c>
      <c r="I302" s="70" t="s">
        <v>21</v>
      </c>
      <c r="J302" s="62" t="s">
        <v>21</v>
      </c>
      <c r="K302" s="70" t="s">
        <v>21</v>
      </c>
      <c r="L302" s="70">
        <v>1.0657058416555169E-2</v>
      </c>
      <c r="M302" s="70">
        <v>1.7865821081236209E-2</v>
      </c>
      <c r="N302" s="70" t="s">
        <v>21</v>
      </c>
      <c r="O302" s="62" t="s">
        <v>21</v>
      </c>
      <c r="P302" s="54" t="s">
        <v>626</v>
      </c>
      <c r="Q302" s="52" t="s">
        <v>627</v>
      </c>
      <c r="R302" s="93" t="s">
        <v>32</v>
      </c>
      <c r="S302" s="72">
        <v>5.1403879999999999E-2</v>
      </c>
      <c r="T302" s="62">
        <v>3.9757186812362094E-3</v>
      </c>
      <c r="V302" s="71">
        <v>1.1130802200000001</v>
      </c>
      <c r="W302" s="71">
        <v>2.8490028000000001</v>
      </c>
      <c r="X302" s="71">
        <v>4.3553693999999998</v>
      </c>
      <c r="Y302" s="71">
        <v>5.6206626699999997</v>
      </c>
      <c r="Z302" s="114">
        <v>7.1587212499999993</v>
      </c>
    </row>
    <row r="303" spans="2:26" x14ac:dyDescent="0.35">
      <c r="B303" s="137" t="s">
        <v>277</v>
      </c>
      <c r="C303" s="138" t="s">
        <v>232</v>
      </c>
      <c r="D303" s="138" t="s">
        <v>277</v>
      </c>
      <c r="E303" s="138" t="s">
        <v>278</v>
      </c>
      <c r="F303" s="140" t="s">
        <v>21</v>
      </c>
      <c r="G303" s="140">
        <v>4.3712638486815947E-2</v>
      </c>
      <c r="H303" s="140">
        <v>5.0165240612623035E-2</v>
      </c>
      <c r="I303" s="140" t="s">
        <v>21</v>
      </c>
      <c r="J303" s="141" t="s">
        <v>21</v>
      </c>
      <c r="K303" s="140" t="s">
        <v>21</v>
      </c>
      <c r="L303" s="140">
        <v>6.9968531868159481E-3</v>
      </c>
      <c r="M303" s="140">
        <v>1.2888339312623035E-2</v>
      </c>
      <c r="N303" s="140" t="s">
        <v>21</v>
      </c>
      <c r="O303" s="141" t="s">
        <v>21</v>
      </c>
      <c r="P303" s="137" t="s">
        <v>628</v>
      </c>
      <c r="Q303" s="138" t="s">
        <v>629</v>
      </c>
      <c r="R303" s="142" t="s">
        <v>32</v>
      </c>
      <c r="S303" s="139">
        <v>4.2516490000000004E-2</v>
      </c>
      <c r="T303" s="141">
        <v>7.6487506126230315E-3</v>
      </c>
      <c r="V303" s="144">
        <v>1.1149088</v>
      </c>
      <c r="W303" s="144">
        <v>2.8695074899999997</v>
      </c>
      <c r="X303" s="144">
        <v>4.4219810499999994</v>
      </c>
      <c r="Y303" s="144">
        <v>5.7579867499999997</v>
      </c>
      <c r="Z303" s="145">
        <v>7.4253850699999999</v>
      </c>
    </row>
    <row r="304" spans="2:26" x14ac:dyDescent="0.35">
      <c r="B304" s="137" t="s">
        <v>279</v>
      </c>
      <c r="C304" s="138" t="s">
        <v>232</v>
      </c>
      <c r="D304" s="138" t="s">
        <v>279</v>
      </c>
      <c r="E304" s="138" t="s">
        <v>48</v>
      </c>
      <c r="F304" s="140" t="s">
        <v>21</v>
      </c>
      <c r="G304" s="140">
        <v>5.1471250980357049E-2</v>
      </c>
      <c r="H304" s="140">
        <v>6.0644887719314582E-2</v>
      </c>
      <c r="I304" s="140" t="s">
        <v>21</v>
      </c>
      <c r="J304" s="141" t="s">
        <v>21</v>
      </c>
      <c r="K304" s="140" t="s">
        <v>21</v>
      </c>
      <c r="L304" s="140">
        <v>1.4414198280357051E-2</v>
      </c>
      <c r="M304" s="140">
        <v>2.2854179219314579E-2</v>
      </c>
      <c r="N304" s="140" t="s">
        <v>21</v>
      </c>
      <c r="O304" s="141" t="s">
        <v>21</v>
      </c>
      <c r="P304" s="137" t="s">
        <v>630</v>
      </c>
      <c r="Q304" s="138" t="s">
        <v>631</v>
      </c>
      <c r="R304" s="142" t="s">
        <v>32</v>
      </c>
      <c r="S304" s="139">
        <v>5.4697839999999998E-2</v>
      </c>
      <c r="T304" s="141">
        <v>5.947047719314584E-3</v>
      </c>
      <c r="V304" s="144">
        <v>1.1081750299999999</v>
      </c>
      <c r="W304" s="144">
        <v>2.8191926199999999</v>
      </c>
      <c r="X304" s="144">
        <v>4.2797320700000006</v>
      </c>
      <c r="Y304" s="144">
        <v>5.4796973399999995</v>
      </c>
      <c r="Z304" s="145">
        <v>6.8724345399999995</v>
      </c>
    </row>
    <row r="305" spans="2:26" x14ac:dyDescent="0.35">
      <c r="B305" s="146" t="s">
        <v>275</v>
      </c>
      <c r="C305" s="147" t="s">
        <v>232</v>
      </c>
      <c r="D305" s="147" t="s">
        <v>276</v>
      </c>
      <c r="E305" s="147" t="s">
        <v>123</v>
      </c>
      <c r="F305" s="149" t="s">
        <v>21</v>
      </c>
      <c r="G305" s="149">
        <v>4.7550193704954932E-2</v>
      </c>
      <c r="H305" s="149">
        <v>5.4450035653720981E-2</v>
      </c>
      <c r="I305" s="149" t="s">
        <v>21</v>
      </c>
      <c r="J305" s="150" t="s">
        <v>21</v>
      </c>
      <c r="K305" s="149" t="s">
        <v>21</v>
      </c>
      <c r="L305" s="149">
        <v>1.064399260495493E-2</v>
      </c>
      <c r="M305" s="149">
        <v>1.6931717953720976E-2</v>
      </c>
      <c r="N305" s="149" t="s">
        <v>21</v>
      </c>
      <c r="O305" s="150" t="s">
        <v>21</v>
      </c>
      <c r="P305" s="146" t="s">
        <v>632</v>
      </c>
      <c r="Q305" s="147" t="s">
        <v>633</v>
      </c>
      <c r="R305" s="151" t="s">
        <v>32</v>
      </c>
      <c r="S305" s="148">
        <v>4.8262630000000001E-2</v>
      </c>
      <c r="T305" s="150">
        <v>6.1874056537209801E-3</v>
      </c>
      <c r="V305" s="153">
        <v>1.1089850000000001</v>
      </c>
      <c r="W305" s="153">
        <v>2.83322969</v>
      </c>
      <c r="X305" s="153">
        <v>4.32920617</v>
      </c>
      <c r="Y305" s="153">
        <v>5.5873766800000002</v>
      </c>
      <c r="Z305" s="154">
        <v>7.0887000899999997</v>
      </c>
    </row>
    <row r="306" spans="2:26" x14ac:dyDescent="0.35">
      <c r="B306" s="54" t="s">
        <v>212</v>
      </c>
      <c r="C306" s="52" t="s">
        <v>232</v>
      </c>
      <c r="D306" s="52" t="s">
        <v>199</v>
      </c>
      <c r="E306" s="52" t="s">
        <v>293</v>
      </c>
      <c r="F306" s="70" t="s">
        <v>21</v>
      </c>
      <c r="G306" s="70">
        <v>4.8109474688831824E-2</v>
      </c>
      <c r="H306" s="70">
        <v>5.8280955146757282E-2</v>
      </c>
      <c r="I306" s="70" t="s">
        <v>21</v>
      </c>
      <c r="J306" s="62" t="s">
        <v>21</v>
      </c>
      <c r="K306" s="70" t="s">
        <v>21</v>
      </c>
      <c r="L306" s="70">
        <v>1.1177276988831825E-2</v>
      </c>
      <c r="M306" s="70">
        <v>2.0588831946757282E-2</v>
      </c>
      <c r="N306" s="70" t="s">
        <v>21</v>
      </c>
      <c r="O306" s="62" t="s">
        <v>21</v>
      </c>
      <c r="P306" s="54" t="s">
        <v>634</v>
      </c>
      <c r="Q306" s="52" t="s">
        <v>635</v>
      </c>
      <c r="R306" s="93" t="s">
        <v>32</v>
      </c>
      <c r="S306" s="72">
        <v>5.2112119999999998E-2</v>
      </c>
      <c r="T306" s="62">
        <v>6.1688351467572844E-3</v>
      </c>
      <c r="V306" s="71">
        <v>1.11222256</v>
      </c>
      <c r="W306" s="71">
        <v>2.8410347999999996</v>
      </c>
      <c r="X306" s="71">
        <v>4.3184405000000003</v>
      </c>
      <c r="Y306" s="71">
        <v>5.5254024199999998</v>
      </c>
      <c r="Z306" s="114">
        <v>6.9271733899999992</v>
      </c>
    </row>
    <row r="307" spans="2:26" x14ac:dyDescent="0.35">
      <c r="B307" s="54" t="s">
        <v>213</v>
      </c>
      <c r="C307" s="52" t="s">
        <v>232</v>
      </c>
      <c r="D307" s="52" t="s">
        <v>197</v>
      </c>
      <c r="E307" s="52" t="s">
        <v>636</v>
      </c>
      <c r="F307" s="70" t="s">
        <v>21</v>
      </c>
      <c r="G307" s="70">
        <v>6.5272695742883594E-2</v>
      </c>
      <c r="H307" s="70">
        <v>7.544340558635583E-2</v>
      </c>
      <c r="I307" s="70" t="s">
        <v>21</v>
      </c>
      <c r="J307" s="62" t="s">
        <v>21</v>
      </c>
      <c r="K307" s="70" t="s">
        <v>21</v>
      </c>
      <c r="L307" s="70">
        <v>2.7374309242883588E-2</v>
      </c>
      <c r="M307" s="70">
        <v>3.6647014986355829E-2</v>
      </c>
      <c r="N307" s="70" t="s">
        <v>21</v>
      </c>
      <c r="O307" s="62" t="s">
        <v>21</v>
      </c>
      <c r="P307" s="54" t="s">
        <v>21</v>
      </c>
      <c r="Q307" s="52" t="s">
        <v>21</v>
      </c>
      <c r="R307" s="93" t="s">
        <v>21</v>
      </c>
      <c r="S307" s="72" t="s">
        <v>21</v>
      </c>
      <c r="T307" s="62" t="s">
        <v>21</v>
      </c>
      <c r="V307" s="71">
        <v>1.0863690500000001</v>
      </c>
      <c r="W307" s="71">
        <v>2.7133751699999999</v>
      </c>
      <c r="X307" s="71">
        <v>4.0479975699999997</v>
      </c>
      <c r="Y307" s="71">
        <v>5.0859491200000004</v>
      </c>
      <c r="Z307" s="114">
        <v>6.2359438599999999</v>
      </c>
    </row>
    <row r="308" spans="2:26" x14ac:dyDescent="0.35">
      <c r="B308" s="54" t="s">
        <v>280</v>
      </c>
      <c r="C308" s="52" t="s">
        <v>232</v>
      </c>
      <c r="D308" s="52" t="s">
        <v>199</v>
      </c>
      <c r="E308" s="52" t="s">
        <v>133</v>
      </c>
      <c r="F308" s="70" t="s">
        <v>21</v>
      </c>
      <c r="G308" s="70"/>
      <c r="H308" s="70">
        <v>4.7319959184882937E-2</v>
      </c>
      <c r="I308" s="70" t="s">
        <v>21</v>
      </c>
      <c r="J308" s="62" t="s">
        <v>21</v>
      </c>
      <c r="K308" s="70" t="s">
        <v>21</v>
      </c>
      <c r="L308" s="70"/>
      <c r="M308" s="70">
        <v>1.0032089884882939E-2</v>
      </c>
      <c r="N308" s="70" t="s">
        <v>21</v>
      </c>
      <c r="O308" s="62" t="s">
        <v>21</v>
      </c>
      <c r="P308" s="54" t="s">
        <v>294</v>
      </c>
      <c r="Q308" s="52" t="s">
        <v>295</v>
      </c>
      <c r="R308" s="93">
        <v>47581</v>
      </c>
      <c r="S308" s="72">
        <v>4.9631160000000001E-2</v>
      </c>
      <c r="T308" s="62">
        <v>-2.3112008151170635E-3</v>
      </c>
      <c r="V308" s="71">
        <v>1.1126429</v>
      </c>
      <c r="W308" s="71">
        <v>2.8642298999999998</v>
      </c>
      <c r="X308" s="71">
        <v>4.4134812300000004</v>
      </c>
      <c r="Y308" s="71">
        <v>5.7442840100000003</v>
      </c>
      <c r="Z308" s="114">
        <v>7.3800636899999992</v>
      </c>
    </row>
    <row r="309" spans="2:26" x14ac:dyDescent="0.35">
      <c r="B309" s="54" t="s">
        <v>281</v>
      </c>
      <c r="C309" s="52" t="s">
        <v>232</v>
      </c>
      <c r="D309" s="52" t="s">
        <v>195</v>
      </c>
      <c r="E309" s="52" t="s">
        <v>637</v>
      </c>
      <c r="F309" s="70" t="s">
        <v>21</v>
      </c>
      <c r="G309" s="70"/>
      <c r="H309" s="70">
        <v>7.7063815016531687E-2</v>
      </c>
      <c r="I309" s="70" t="s">
        <v>21</v>
      </c>
      <c r="J309" s="62" t="s">
        <v>21</v>
      </c>
      <c r="K309" s="70" t="s">
        <v>21</v>
      </c>
      <c r="L309" s="70"/>
      <c r="M309" s="70">
        <v>3.8122494216531688E-2</v>
      </c>
      <c r="N309" s="70" t="s">
        <v>21</v>
      </c>
      <c r="O309" s="62" t="s">
        <v>21</v>
      </c>
      <c r="P309" s="54" t="s">
        <v>21</v>
      </c>
      <c r="Q309" s="52" t="s">
        <v>21</v>
      </c>
      <c r="R309" s="93" t="s">
        <v>21</v>
      </c>
      <c r="S309" s="72" t="s">
        <v>21</v>
      </c>
      <c r="T309" s="62" t="s">
        <v>21</v>
      </c>
      <c r="V309" s="71">
        <v>1.08236811</v>
      </c>
      <c r="W309" s="71">
        <v>2.68306851</v>
      </c>
      <c r="X309" s="71">
        <v>3.9961063300000004</v>
      </c>
      <c r="Y309" s="71">
        <v>5.0559113</v>
      </c>
      <c r="Z309" s="114">
        <v>6.2892350099999996</v>
      </c>
    </row>
    <row r="310" spans="2:26" x14ac:dyDescent="0.35">
      <c r="B310" s="54" t="s">
        <v>282</v>
      </c>
      <c r="C310" s="52" t="s">
        <v>232</v>
      </c>
      <c r="D310" s="52" t="s">
        <v>195</v>
      </c>
      <c r="E310" s="52" t="s">
        <v>638</v>
      </c>
      <c r="F310" s="70" t="s">
        <v>21</v>
      </c>
      <c r="G310" s="70"/>
      <c r="H310" s="70">
        <v>7.9625696092002027E-2</v>
      </c>
      <c r="I310" s="70" t="s">
        <v>21</v>
      </c>
      <c r="J310" s="62" t="s">
        <v>21</v>
      </c>
      <c r="K310" s="70" t="s">
        <v>21</v>
      </c>
      <c r="L310" s="70"/>
      <c r="M310" s="70">
        <v>4.0937204592002022E-2</v>
      </c>
      <c r="N310" s="70" t="s">
        <v>21</v>
      </c>
      <c r="O310" s="62" t="s">
        <v>21</v>
      </c>
      <c r="P310" s="54" t="s">
        <v>21</v>
      </c>
      <c r="Q310" s="52" t="s">
        <v>21</v>
      </c>
      <c r="R310" s="93" t="s">
        <v>21</v>
      </c>
      <c r="S310" s="72" t="s">
        <v>21</v>
      </c>
      <c r="T310" s="62" t="s">
        <v>21</v>
      </c>
      <c r="V310" s="71">
        <v>1.08828714</v>
      </c>
      <c r="W310" s="71">
        <v>2.7246271399999999</v>
      </c>
      <c r="X310" s="71">
        <v>4.0674886200000007</v>
      </c>
      <c r="Y310" s="71">
        <v>5.1223805900000006</v>
      </c>
      <c r="Z310" s="114">
        <v>6.273471680000001</v>
      </c>
    </row>
    <row r="311" spans="2:26" x14ac:dyDescent="0.35">
      <c r="B311" s="56" t="s">
        <v>283</v>
      </c>
      <c r="C311" s="52" t="s">
        <v>232</v>
      </c>
      <c r="D311" s="66" t="s">
        <v>195</v>
      </c>
      <c r="E311" s="66" t="s">
        <v>268</v>
      </c>
      <c r="F311" s="75" t="s">
        <v>21</v>
      </c>
      <c r="G311" s="75"/>
      <c r="H311" s="75">
        <v>8.4879049213445315E-2</v>
      </c>
      <c r="I311" s="75" t="s">
        <v>21</v>
      </c>
      <c r="J311" s="63" t="s">
        <v>21</v>
      </c>
      <c r="K311" s="75" t="s">
        <v>21</v>
      </c>
      <c r="L311" s="75"/>
      <c r="M311" s="75">
        <v>4.4946884313445325E-2</v>
      </c>
      <c r="N311" s="75" t="s">
        <v>21</v>
      </c>
      <c r="O311" s="63" t="s">
        <v>21</v>
      </c>
      <c r="P311" s="56" t="s">
        <v>639</v>
      </c>
      <c r="Q311" s="66" t="s">
        <v>640</v>
      </c>
      <c r="R311" s="95">
        <v>47560</v>
      </c>
      <c r="S311" s="73">
        <v>7.841091E-2</v>
      </c>
      <c r="T311" s="63">
        <v>6.4681392134453147E-3</v>
      </c>
      <c r="V311" s="107">
        <v>1.0769631900000001</v>
      </c>
      <c r="W311" s="107">
        <v>2.6325210100000001</v>
      </c>
      <c r="X311" s="107">
        <v>3.8559366599999998</v>
      </c>
      <c r="Y311" s="107">
        <v>4.7989794799999999</v>
      </c>
      <c r="Z311" s="116">
        <v>5.7793536200000002</v>
      </c>
    </row>
    <row r="312" spans="2:26" x14ac:dyDescent="0.35"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V312" s="65"/>
      <c r="W312" s="65"/>
      <c r="X312" s="65"/>
      <c r="Y312" s="65"/>
      <c r="Z312" s="65"/>
    </row>
    <row r="313" spans="2:26" ht="15.5" x14ac:dyDescent="0.35">
      <c r="B313" s="121" t="s">
        <v>284</v>
      </c>
    </row>
    <row r="314" spans="2:26" x14ac:dyDescent="0.35">
      <c r="B314" s="84" t="s">
        <v>5</v>
      </c>
      <c r="C314" s="83" t="s">
        <v>6</v>
      </c>
      <c r="D314" s="83" t="s">
        <v>7</v>
      </c>
      <c r="E314" s="83" t="s">
        <v>8</v>
      </c>
      <c r="F314" s="82" t="s">
        <v>9</v>
      </c>
      <c r="G314" s="81" t="s">
        <v>10</v>
      </c>
      <c r="H314" s="81" t="s">
        <v>11</v>
      </c>
      <c r="I314" s="81" t="s">
        <v>12</v>
      </c>
      <c r="J314" s="80" t="s">
        <v>13</v>
      </c>
      <c r="K314" s="82" t="s">
        <v>9</v>
      </c>
      <c r="L314" s="81" t="s">
        <v>10</v>
      </c>
      <c r="M314" s="81" t="s">
        <v>11</v>
      </c>
      <c r="N314" s="81" t="s">
        <v>12</v>
      </c>
      <c r="O314" s="80" t="s">
        <v>13</v>
      </c>
      <c r="P314" s="82" t="s">
        <v>14</v>
      </c>
      <c r="Q314" s="81" t="s">
        <v>15</v>
      </c>
      <c r="R314" s="81" t="s">
        <v>16</v>
      </c>
      <c r="S314" s="81" t="s">
        <v>216</v>
      </c>
      <c r="T314" s="80" t="s">
        <v>18</v>
      </c>
      <c r="V314" s="105" t="s">
        <v>9</v>
      </c>
      <c r="W314" s="105" t="s">
        <v>10</v>
      </c>
      <c r="X314" s="105" t="s">
        <v>11</v>
      </c>
      <c r="Y314" s="105" t="s">
        <v>12</v>
      </c>
      <c r="Z314" s="110" t="s">
        <v>13</v>
      </c>
    </row>
    <row r="315" spans="2:26" x14ac:dyDescent="0.35">
      <c r="B315" s="54" t="s">
        <v>641</v>
      </c>
      <c r="C315" s="52" t="s">
        <v>232</v>
      </c>
      <c r="D315" s="52" t="s">
        <v>642</v>
      </c>
      <c r="E315" s="52" t="s">
        <v>643</v>
      </c>
      <c r="F315" s="70">
        <v>3.8769955897460219E-2</v>
      </c>
      <c r="G315" s="70">
        <v>4.4141699483582847E-2</v>
      </c>
      <c r="H315" s="70">
        <v>5.1136267215116986E-2</v>
      </c>
      <c r="I315" s="70">
        <v>5.4345827393821391E-2</v>
      </c>
      <c r="J315" s="62">
        <v>5.7154616355314769E-2</v>
      </c>
      <c r="K315" s="70">
        <v>1.0945709974602164E-3</v>
      </c>
      <c r="L315" s="70">
        <v>7.3627025835828449E-3</v>
      </c>
      <c r="M315" s="70">
        <v>1.3734751315116988E-2</v>
      </c>
      <c r="N315" s="70">
        <v>1.598108429382139E-2</v>
      </c>
      <c r="O315" s="62">
        <v>1.7505147255314761E-2</v>
      </c>
      <c r="P315" s="54" t="s">
        <v>644</v>
      </c>
      <c r="Q315" s="52" t="s">
        <v>645</v>
      </c>
      <c r="R315" s="93">
        <v>47545</v>
      </c>
      <c r="S315" s="72">
        <v>4.2578279999999996E-2</v>
      </c>
      <c r="T315" s="62">
        <v>8.5579872151169897E-3</v>
      </c>
      <c r="V315" s="71">
        <v>1.11284611</v>
      </c>
      <c r="W315" s="71">
        <v>2.8557701299999998</v>
      </c>
      <c r="X315" s="71">
        <v>4.3768816500000005</v>
      </c>
      <c r="Y315" s="71">
        <v>5.6738899600000003</v>
      </c>
      <c r="Z315" s="114">
        <v>7.2864986600000003</v>
      </c>
    </row>
    <row r="316" spans="2:26" x14ac:dyDescent="0.35">
      <c r="B316" s="54" t="s">
        <v>646</v>
      </c>
      <c r="C316" s="52" t="e">
        <v>#N/A</v>
      </c>
      <c r="D316" s="52" t="s">
        <v>647</v>
      </c>
      <c r="E316" s="52" t="s">
        <v>264</v>
      </c>
      <c r="F316" s="70">
        <v>3.9621952745351685E-2</v>
      </c>
      <c r="G316" s="70">
        <v>4.4745894518685193E-2</v>
      </c>
      <c r="H316" s="70">
        <v>5.145377073436376E-2</v>
      </c>
      <c r="I316" s="70">
        <v>5.450913001034622E-2</v>
      </c>
      <c r="J316" s="62">
        <v>5.7367779735886665E-2</v>
      </c>
      <c r="K316" s="70">
        <v>1.9158130453516891E-3</v>
      </c>
      <c r="L316" s="70">
        <v>7.9399550186851891E-3</v>
      </c>
      <c r="M316" s="70">
        <v>1.4036547634363756E-2</v>
      </c>
      <c r="N316" s="70">
        <v>1.6135455410346212E-2</v>
      </c>
      <c r="O316" s="62">
        <v>1.7706215635886667E-2</v>
      </c>
      <c r="P316" s="54" t="s">
        <v>21</v>
      </c>
      <c r="Q316" s="52" t="s">
        <v>21</v>
      </c>
      <c r="R316" s="93" t="s">
        <v>21</v>
      </c>
      <c r="S316" s="72" t="s">
        <v>21</v>
      </c>
      <c r="T316" s="62" t="s">
        <v>21</v>
      </c>
      <c r="V316" s="71">
        <v>1.11122104</v>
      </c>
      <c r="W316" s="71">
        <v>2.84896678</v>
      </c>
      <c r="X316" s="71">
        <v>4.3659014899999997</v>
      </c>
      <c r="Y316" s="71">
        <v>5.6616237200000006</v>
      </c>
      <c r="Z316" s="114">
        <v>7.2706305499999999</v>
      </c>
    </row>
    <row r="317" spans="2:26" x14ac:dyDescent="0.35">
      <c r="B317" s="54" t="s">
        <v>287</v>
      </c>
      <c r="C317" s="52" t="s">
        <v>232</v>
      </c>
      <c r="D317" s="52" t="s">
        <v>285</v>
      </c>
      <c r="E317" s="52" t="s">
        <v>179</v>
      </c>
      <c r="F317" s="70">
        <v>3.7748639860375521E-2</v>
      </c>
      <c r="G317" s="70">
        <v>4.2776071233655247E-2</v>
      </c>
      <c r="H317" s="70">
        <v>4.8940752942029722E-2</v>
      </c>
      <c r="I317" s="70">
        <v>5.2540545066136063E-2</v>
      </c>
      <c r="J317" s="62">
        <v>5.5692415135554063E-2</v>
      </c>
      <c r="K317" s="70">
        <v>1.0253616037552218E-4</v>
      </c>
      <c r="L317" s="70">
        <v>6.0553662336552457E-3</v>
      </c>
      <c r="M317" s="70">
        <v>1.1646372242029721E-2</v>
      </c>
      <c r="N317" s="70">
        <v>1.4264251266136063E-2</v>
      </c>
      <c r="O317" s="62">
        <v>1.6108198935554062E-2</v>
      </c>
      <c r="P317" s="54" t="s">
        <v>648</v>
      </c>
      <c r="Q317" s="52" t="s">
        <v>649</v>
      </c>
      <c r="R317" s="93" t="s">
        <v>32</v>
      </c>
      <c r="S317" s="72">
        <v>4.328941E-2</v>
      </c>
      <c r="T317" s="62">
        <v>5.6513429420297218E-3</v>
      </c>
      <c r="V317" s="71">
        <v>1.114827</v>
      </c>
      <c r="W317" s="71">
        <v>2.8684347700000004</v>
      </c>
      <c r="X317" s="71">
        <v>4.41497019</v>
      </c>
      <c r="Y317" s="71">
        <v>5.7371103100000003</v>
      </c>
      <c r="Z317" s="114">
        <v>7.38141917</v>
      </c>
    </row>
    <row r="318" spans="2:26" x14ac:dyDescent="0.35">
      <c r="B318" s="54" t="s">
        <v>650</v>
      </c>
      <c r="C318" s="52" t="s">
        <v>232</v>
      </c>
      <c r="D318" s="52" t="s">
        <v>642</v>
      </c>
      <c r="E318" s="52" t="s">
        <v>651</v>
      </c>
      <c r="F318" s="70">
        <v>3.9374498622869958E-2</v>
      </c>
      <c r="G318" s="70">
        <v>4.5972608224557773E-2</v>
      </c>
      <c r="H318" s="70">
        <v>5.2856453742736662E-2</v>
      </c>
      <c r="I318" s="70">
        <v>5.6881128878589315E-2</v>
      </c>
      <c r="J318" s="62">
        <v>6.0988146617697025E-2</v>
      </c>
      <c r="K318" s="70">
        <v>1.6683955228699613E-3</v>
      </c>
      <c r="L318" s="70">
        <v>9.1017137245577757E-3</v>
      </c>
      <c r="M318" s="70">
        <v>1.536054364273667E-2</v>
      </c>
      <c r="N318" s="70">
        <v>1.8376078078589316E-2</v>
      </c>
      <c r="O318" s="62">
        <v>2.1128935817697033E-2</v>
      </c>
      <c r="P318" s="54" t="s">
        <v>652</v>
      </c>
      <c r="Q318" s="52" t="s">
        <v>653</v>
      </c>
      <c r="R318" s="93">
        <v>47651</v>
      </c>
      <c r="S318" s="72">
        <v>4.4519120000000002E-2</v>
      </c>
      <c r="T318" s="62">
        <v>8.3373337427366592E-3</v>
      </c>
      <c r="V318" s="71">
        <v>1.1117469</v>
      </c>
      <c r="W318" s="71">
        <v>2.8432738099999999</v>
      </c>
      <c r="X318" s="71">
        <v>4.3443884000000006</v>
      </c>
      <c r="Y318" s="71">
        <v>5.6072298499999995</v>
      </c>
      <c r="Z318" s="114">
        <v>7.1282709999999998</v>
      </c>
    </row>
    <row r="319" spans="2:26" x14ac:dyDescent="0.35">
      <c r="B319" s="54" t="s">
        <v>654</v>
      </c>
      <c r="C319" s="52" t="s">
        <v>232</v>
      </c>
      <c r="D319" s="52" t="s">
        <v>642</v>
      </c>
      <c r="E319" s="52" t="s">
        <v>643</v>
      </c>
      <c r="F319" s="70">
        <v>4.001053050937918E-2</v>
      </c>
      <c r="G319" s="70">
        <v>4.6210848421067457E-2</v>
      </c>
      <c r="H319" s="70">
        <v>5.3277924340018407E-2</v>
      </c>
      <c r="I319" s="70">
        <v>5.660719725745255E-2</v>
      </c>
      <c r="J319" s="62">
        <v>6.005948839518005E-2</v>
      </c>
      <c r="K319" s="70">
        <v>2.286413309379183E-3</v>
      </c>
      <c r="L319" s="70">
        <v>9.3316593210674547E-3</v>
      </c>
      <c r="M319" s="70">
        <v>1.5761268640018405E-2</v>
      </c>
      <c r="N319" s="70">
        <v>1.8119771657452557E-2</v>
      </c>
      <c r="O319" s="62">
        <v>2.0252338795180055E-2</v>
      </c>
      <c r="P319" s="54" t="s">
        <v>655</v>
      </c>
      <c r="Q319" s="52" t="s">
        <v>656</v>
      </c>
      <c r="R319" s="93">
        <v>47599</v>
      </c>
      <c r="S319" s="72">
        <v>4.3146139999999999E-2</v>
      </c>
      <c r="T319" s="62">
        <v>1.0131784340018407E-2</v>
      </c>
      <c r="V319" s="71">
        <v>1.1105033600000001</v>
      </c>
      <c r="W319" s="71">
        <v>2.8388244</v>
      </c>
      <c r="X319" s="71">
        <v>4.33555855</v>
      </c>
      <c r="Y319" s="71">
        <v>5.6016621099999995</v>
      </c>
      <c r="Z319" s="114">
        <v>7.1483188899999996</v>
      </c>
    </row>
    <row r="320" spans="2:26" x14ac:dyDescent="0.35">
      <c r="B320" s="56" t="s">
        <v>657</v>
      </c>
      <c r="C320" s="66" t="s">
        <v>232</v>
      </c>
      <c r="D320" s="66" t="s">
        <v>642</v>
      </c>
      <c r="E320" s="66" t="s">
        <v>658</v>
      </c>
      <c r="F320" s="75">
        <v>4.0233898352356093E-2</v>
      </c>
      <c r="G320" s="75">
        <v>4.6978074873894764E-2</v>
      </c>
      <c r="H320" s="75">
        <v>5.3713027986344718E-2</v>
      </c>
      <c r="I320" s="75">
        <v>5.7237065941997782E-2</v>
      </c>
      <c r="J320" s="63">
        <v>6.0562003453692191E-2</v>
      </c>
      <c r="K320" s="75">
        <v>2.5044231523560822E-3</v>
      </c>
      <c r="L320" s="75">
        <v>1.0062123273894765E-2</v>
      </c>
      <c r="M320" s="75">
        <v>1.6173358586344729E-2</v>
      </c>
      <c r="N320" s="75">
        <v>1.8713696341997779E-2</v>
      </c>
      <c r="O320" s="63">
        <v>2.0727126853692174E-2</v>
      </c>
      <c r="P320" s="56" t="s">
        <v>659</v>
      </c>
      <c r="Q320" s="66" t="s">
        <v>660</v>
      </c>
      <c r="R320" s="95">
        <v>47490</v>
      </c>
      <c r="S320" s="73">
        <v>4.3874969999999999E-2</v>
      </c>
      <c r="T320" s="63">
        <v>9.8380579863447185E-3</v>
      </c>
      <c r="V320" s="107">
        <v>1.1099827600000001</v>
      </c>
      <c r="W320" s="107">
        <v>2.8331554799999998</v>
      </c>
      <c r="X320" s="107">
        <v>4.3239289799999998</v>
      </c>
      <c r="Y320" s="107">
        <v>5.5819819600000002</v>
      </c>
      <c r="Z320" s="116">
        <v>7.1161868799999999</v>
      </c>
    </row>
  </sheetData>
  <mergeCells count="6">
    <mergeCell ref="V14:Z14"/>
    <mergeCell ref="F3:J3"/>
    <mergeCell ref="K3:O3"/>
    <mergeCell ref="F4:J4"/>
    <mergeCell ref="K4:O4"/>
    <mergeCell ref="V5:Z5"/>
  </mergeCells>
  <conditionalFormatting sqref="F26">
    <cfRule type="colorScale" priority="41">
      <colorScale>
        <cfvo type="min"/>
        <cfvo type="max"/>
        <color rgb="FFFFEF9C"/>
        <color rgb="FF63BE7B"/>
      </colorScale>
    </cfRule>
  </conditionalFormatting>
  <conditionalFormatting sqref="F7:J12">
    <cfRule type="colorScale" priority="45">
      <colorScale>
        <cfvo type="min"/>
        <cfvo type="max"/>
        <color rgb="FFFFEF9C"/>
        <color rgb="FF63BE7B"/>
      </colorScale>
    </cfRule>
  </conditionalFormatting>
  <conditionalFormatting sqref="F16:J21">
    <cfRule type="colorScale" priority="26">
      <colorScale>
        <cfvo type="min"/>
        <cfvo type="max"/>
        <color rgb="FFFFEF9C"/>
        <color rgb="FF63BE7B"/>
      </colorScale>
    </cfRule>
  </conditionalFormatting>
  <conditionalFormatting sqref="F26:J105">
    <cfRule type="colorScale" priority="62">
      <colorScale>
        <cfvo type="min"/>
        <cfvo type="max"/>
        <color rgb="FFFFEF9C"/>
        <color rgb="FF63BE7B"/>
      </colorScale>
    </cfRule>
  </conditionalFormatting>
  <conditionalFormatting sqref="F40:J48">
    <cfRule type="cellIs" dxfId="19" priority="43" operator="lessThan">
      <formula>0</formula>
    </cfRule>
  </conditionalFormatting>
  <conditionalFormatting sqref="F46:J46">
    <cfRule type="colorScale" priority="42">
      <colorScale>
        <cfvo type="min"/>
        <cfvo type="max"/>
        <color rgb="FFFFEF9C"/>
        <color rgb="FF63BE7B"/>
      </colorScale>
    </cfRule>
  </conditionalFormatting>
  <conditionalFormatting sqref="F50:J55 F57:J60 F62:J66 F68:J70 F72:J73 F75:J93 F110:J129 F131:J133 F138:J253 F255:J271 F315:J320">
    <cfRule type="cellIs" dxfId="18" priority="46" operator="lessThan">
      <formula>0</formula>
    </cfRule>
  </conditionalFormatting>
  <conditionalFormatting sqref="F57:J60 F47:J48 F27:J34 G26:J26 F36:J38 F40:J45 F50:J55 F75:J93 F62:J66 F68:J70 F95:J105 F72:J73">
    <cfRule type="colorScale" priority="48">
      <colorScale>
        <cfvo type="min"/>
        <cfvo type="max"/>
        <color rgb="FFFFEF9C"/>
        <color rgb="FF63BE7B"/>
      </colorScale>
    </cfRule>
  </conditionalFormatting>
  <conditionalFormatting sqref="F57:J60 F50:J55 F26:J34 F36:J38 F40:J48 F75:J93 F62:J66 F68:J70 F95:J105 F72:J73">
    <cfRule type="colorScale" priority="49">
      <colorScale>
        <cfvo type="min"/>
        <cfvo type="max"/>
        <color rgb="FFFFEF9C"/>
        <color rgb="FF63BE7B"/>
      </colorScale>
    </cfRule>
  </conditionalFormatting>
  <conditionalFormatting sqref="F110:J129">
    <cfRule type="colorScale" priority="47">
      <colorScale>
        <cfvo type="min"/>
        <cfvo type="max"/>
        <color rgb="FFFFEF9C"/>
        <color rgb="FF63BE7B"/>
      </colorScale>
    </cfRule>
  </conditionalFormatting>
  <conditionalFormatting sqref="F131:J133 F110:J129">
    <cfRule type="colorScale" priority="51">
      <colorScale>
        <cfvo type="min"/>
        <cfvo type="max"/>
        <color rgb="FFFFEF9C"/>
        <color rgb="FF63BE7B"/>
      </colorScale>
    </cfRule>
  </conditionalFormatting>
  <conditionalFormatting sqref="F131:J133">
    <cfRule type="colorScale" priority="50">
      <colorScale>
        <cfvo type="min"/>
        <cfvo type="max"/>
        <color rgb="FFFFEF9C"/>
        <color rgb="FF63BE7B"/>
      </colorScale>
    </cfRule>
  </conditionalFormatting>
  <conditionalFormatting sqref="F138:J253">
    <cfRule type="colorScale" priority="59">
      <colorScale>
        <cfvo type="min"/>
        <cfvo type="max"/>
        <color rgb="FFFFEF9C"/>
        <color rgb="FF63BE7B"/>
      </colorScale>
    </cfRule>
  </conditionalFormatting>
  <conditionalFormatting sqref="F255:J271">
    <cfRule type="colorScale" priority="63">
      <colorScale>
        <cfvo type="min"/>
        <cfvo type="max"/>
        <color rgb="FFFFEF9C"/>
        <color rgb="FF63BE7B"/>
      </colorScale>
    </cfRule>
  </conditionalFormatting>
  <conditionalFormatting sqref="F275:J281">
    <cfRule type="cellIs" dxfId="17" priority="39" operator="lessThan">
      <formula>0</formula>
    </cfRule>
    <cfRule type="colorScale" priority="40">
      <colorScale>
        <cfvo type="min"/>
        <cfvo type="max"/>
        <color rgb="FFFFEF9C"/>
        <color rgb="FF63BE7B"/>
      </colorScale>
    </cfRule>
  </conditionalFormatting>
  <conditionalFormatting sqref="F285:J294">
    <cfRule type="colorScale" priority="52">
      <colorScale>
        <cfvo type="min"/>
        <cfvo type="max"/>
        <color rgb="FFFFEF9C"/>
        <color rgb="FF63BE7B"/>
      </colorScale>
    </cfRule>
  </conditionalFormatting>
  <conditionalFormatting sqref="F285:J311">
    <cfRule type="cellIs" dxfId="16" priority="22" operator="lessThan">
      <formula>0</formula>
    </cfRule>
  </conditionalFormatting>
  <conditionalFormatting sqref="F295:J298">
    <cfRule type="colorScale" priority="54">
      <colorScale>
        <cfvo type="min"/>
        <cfvo type="max"/>
        <color rgb="FFFFEF9C"/>
        <color rgb="FF63BE7B"/>
      </colorScale>
    </cfRule>
  </conditionalFormatting>
  <conditionalFormatting sqref="F299:J305">
    <cfRule type="colorScale" priority="34">
      <colorScale>
        <cfvo type="min"/>
        <cfvo type="max"/>
        <color rgb="FFFFEF9C"/>
        <color rgb="FF63BE7B"/>
      </colorScale>
    </cfRule>
  </conditionalFormatting>
  <conditionalFormatting sqref="F306:J306">
    <cfRule type="colorScale" priority="23">
      <colorScale>
        <cfvo type="min"/>
        <cfvo type="max"/>
        <color rgb="FFFFEF9C"/>
        <color rgb="FF63BE7B"/>
      </colorScale>
    </cfRule>
  </conditionalFormatting>
  <conditionalFormatting sqref="F307:J310">
    <cfRule type="colorScale" priority="31">
      <colorScale>
        <cfvo type="min"/>
        <cfvo type="max"/>
        <color rgb="FFFFEF9C"/>
        <color rgb="FF63BE7B"/>
      </colorScale>
    </cfRule>
  </conditionalFormatting>
  <conditionalFormatting sqref="F311:J311">
    <cfRule type="colorScale" priority="28">
      <colorScale>
        <cfvo type="min"/>
        <cfvo type="max"/>
        <color rgb="FFFFEF9C"/>
        <color rgb="FF63BE7B"/>
      </colorScale>
    </cfRule>
  </conditionalFormatting>
  <conditionalFormatting sqref="F315:J320">
    <cfRule type="colorScale" priority="56">
      <colorScale>
        <cfvo type="min"/>
        <cfvo type="max"/>
        <color rgb="FFFFEF9C"/>
        <color rgb="FF63BE7B"/>
      </colorScale>
    </cfRule>
  </conditionalFormatting>
  <conditionalFormatting sqref="G285:H311">
    <cfRule type="colorScale" priority="55">
      <colorScale>
        <cfvo type="min"/>
        <cfvo type="max"/>
        <color rgb="FFFFEF9C"/>
        <color rgb="FF63BE7B"/>
      </colorScale>
    </cfRule>
  </conditionalFormatting>
  <conditionalFormatting sqref="G315:H320">
    <cfRule type="colorScale" priority="58">
      <colorScale>
        <cfvo type="min"/>
        <cfvo type="max"/>
        <color rgb="FFFFEF9C"/>
        <color rgb="FF63BE7B"/>
      </colorScale>
    </cfRule>
  </conditionalFormatting>
  <conditionalFormatting sqref="G26:J26 F27:J34 F36:J38 F95:J107">
    <cfRule type="cellIs" dxfId="15" priority="44" operator="lessThan">
      <formula>0</formula>
    </cfRule>
  </conditionalFormatting>
  <conditionalFormatting sqref="K7:O12">
    <cfRule type="colorScale" priority="38">
      <colorScale>
        <cfvo type="min"/>
        <cfvo type="max"/>
        <color theme="0"/>
        <color theme="8" tint="0.39997558519241921"/>
      </colorScale>
    </cfRule>
  </conditionalFormatting>
  <conditionalFormatting sqref="K16:O21">
    <cfRule type="colorScale" priority="25">
      <colorScale>
        <cfvo type="min"/>
        <cfvo type="max"/>
        <color theme="0"/>
        <color theme="8" tint="0.39997558519241921"/>
      </colorScale>
    </cfRule>
  </conditionalFormatting>
  <conditionalFormatting sqref="K26:O105">
    <cfRule type="colorScale" priority="61">
      <colorScale>
        <cfvo type="min"/>
        <cfvo type="max"/>
        <color theme="0"/>
        <color theme="8" tint="0.39997558519241921"/>
      </colorScale>
    </cfRule>
  </conditionalFormatting>
  <conditionalFormatting sqref="K110:O133">
    <cfRule type="colorScale" priority="37">
      <colorScale>
        <cfvo type="min"/>
        <cfvo type="max"/>
        <color theme="0"/>
        <color theme="8" tint="0.39997558519241921"/>
      </colorScale>
    </cfRule>
  </conditionalFormatting>
  <conditionalFormatting sqref="K138:O253">
    <cfRule type="colorScale" priority="60">
      <colorScale>
        <cfvo type="min"/>
        <cfvo type="max"/>
        <color theme="0"/>
        <color theme="8" tint="0.39997558519241921"/>
      </colorScale>
    </cfRule>
  </conditionalFormatting>
  <conditionalFormatting sqref="K255:O271">
    <cfRule type="colorScale" priority="64">
      <colorScale>
        <cfvo type="min"/>
        <cfvo type="max"/>
        <color theme="0"/>
        <color theme="8" tint="0.39997558519241921"/>
      </colorScale>
    </cfRule>
  </conditionalFormatting>
  <conditionalFormatting sqref="K275:O281">
    <cfRule type="colorScale" priority="36">
      <colorScale>
        <cfvo type="min"/>
        <cfvo type="max"/>
        <color theme="0"/>
        <color theme="8" tint="0.39997558519241921"/>
      </colorScale>
    </cfRule>
  </conditionalFormatting>
  <conditionalFormatting sqref="K285:O298">
    <cfRule type="colorScale" priority="53">
      <colorScale>
        <cfvo type="min"/>
        <cfvo type="max"/>
        <color theme="0"/>
        <color theme="8" tint="0.39997558519241921"/>
      </colorScale>
    </cfRule>
  </conditionalFormatting>
  <conditionalFormatting sqref="K299:O305">
    <cfRule type="colorScale" priority="35">
      <colorScale>
        <cfvo type="min"/>
        <cfvo type="max"/>
        <color theme="0"/>
        <color theme="8" tint="0.39997558519241921"/>
      </colorScale>
    </cfRule>
  </conditionalFormatting>
  <conditionalFormatting sqref="K306:O306">
    <cfRule type="colorScale" priority="24">
      <colorScale>
        <cfvo type="min"/>
        <cfvo type="max"/>
        <color theme="0"/>
        <color theme="8" tint="0.39997558519241921"/>
      </colorScale>
    </cfRule>
  </conditionalFormatting>
  <conditionalFormatting sqref="K307:O310">
    <cfRule type="colorScale" priority="32">
      <colorScale>
        <cfvo type="min"/>
        <cfvo type="max"/>
        <color theme="0"/>
        <color theme="8" tint="0.39997558519241921"/>
      </colorScale>
    </cfRule>
  </conditionalFormatting>
  <conditionalFormatting sqref="K311:O311">
    <cfRule type="colorScale" priority="29">
      <colorScale>
        <cfvo type="min"/>
        <cfvo type="max"/>
        <color theme="0"/>
        <color theme="8" tint="0.39997558519241921"/>
      </colorScale>
    </cfRule>
  </conditionalFormatting>
  <conditionalFormatting sqref="K315:O320">
    <cfRule type="colorScale" priority="57">
      <colorScale>
        <cfvo type="min"/>
        <cfvo type="max"/>
        <color theme="0"/>
        <color theme="8" tint="0.39997558519241921"/>
      </colorScale>
    </cfRule>
  </conditionalFormatting>
  <conditionalFormatting sqref="T26:T105">
    <cfRule type="colorScale" priority="19">
      <colorScale>
        <cfvo type="min"/>
        <cfvo type="num" val="0"/>
        <cfvo type="max"/>
        <color theme="5" tint="0.39997558519241921"/>
        <color theme="0"/>
        <color rgb="FF06D053"/>
      </colorScale>
    </cfRule>
  </conditionalFormatting>
  <conditionalFormatting sqref="T109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10:T133">
    <cfRule type="colorScale" priority="4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11:T129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0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1:T133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4:T135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7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8:T271">
    <cfRule type="colorScale" priority="21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39:T253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54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55:T271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7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73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75:T281">
    <cfRule type="colorScale" priority="3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283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85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86:T311">
    <cfRule type="colorScale" priority="2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315:T320">
    <cfRule type="colorScale" priority="17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pageMargins left="0.7" right="0.7" top="0.75" bottom="0.75" header="0.3" footer="0.3"/>
  <pageSetup paperSize="9" orientation="portrait" r:id="rId1"/>
  <headerFooter>
    <oddFooter>&amp;C&amp;1#&amp;"Calibri"&amp;10&amp;K000000 For internal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01502-6AA6-416D-83B7-498FCFF435A9}">
  <sheetPr codeName="Sheet01"/>
  <dimension ref="B3:Z320"/>
  <sheetViews>
    <sheetView showGridLines="0" zoomScale="85" zoomScaleNormal="85" workbookViewId="0">
      <selection sqref="A1:XFD1048576"/>
    </sheetView>
  </sheetViews>
  <sheetFormatPr defaultColWidth="9.1796875" defaultRowHeight="14.5" x14ac:dyDescent="0.35"/>
  <cols>
    <col min="1" max="1" width="9.1796875" style="52"/>
    <col min="2" max="2" width="88.08984375" style="52" bestFit="1" customWidth="1"/>
    <col min="3" max="3" width="15" style="52" bestFit="1" customWidth="1"/>
    <col min="4" max="4" width="21.36328125" style="52" bestFit="1" customWidth="1"/>
    <col min="5" max="5" width="18.08984375" style="52" bestFit="1" customWidth="1"/>
    <col min="6" max="15" width="6.1796875" style="52" bestFit="1" customWidth="1"/>
    <col min="16" max="16" width="15.08984375" style="52" bestFit="1" customWidth="1"/>
    <col min="17" max="17" width="22.7265625" style="52" bestFit="1" customWidth="1"/>
    <col min="18" max="18" width="13.1796875" style="52" bestFit="1" customWidth="1"/>
    <col min="19" max="19" width="9.08984375" style="52" bestFit="1" customWidth="1"/>
    <col min="20" max="20" width="19.08984375" style="52" bestFit="1" customWidth="1"/>
    <col min="21" max="21" width="9.1796875" style="52"/>
    <col min="22" max="26" width="4.7265625" style="52" bestFit="1" customWidth="1"/>
    <col min="27" max="16384" width="9.1796875" style="52"/>
  </cols>
  <sheetData>
    <row r="3" spans="2:26" x14ac:dyDescent="0.35">
      <c r="F3" s="158" t="s">
        <v>220</v>
      </c>
      <c r="G3" s="159"/>
      <c r="H3" s="159"/>
      <c r="I3" s="159"/>
      <c r="J3" s="160"/>
      <c r="K3" s="158" t="s">
        <v>0</v>
      </c>
      <c r="L3" s="159"/>
      <c r="M3" s="159"/>
      <c r="N3" s="159"/>
      <c r="O3" s="160"/>
    </row>
    <row r="4" spans="2:26" x14ac:dyDescent="0.35">
      <c r="F4" s="155" t="s">
        <v>1</v>
      </c>
      <c r="G4" s="156"/>
      <c r="H4" s="156"/>
      <c r="I4" s="156"/>
      <c r="J4" s="157"/>
      <c r="K4" s="155" t="s">
        <v>2</v>
      </c>
      <c r="L4" s="156"/>
      <c r="M4" s="156"/>
      <c r="N4" s="156"/>
      <c r="O4" s="157"/>
    </row>
    <row r="5" spans="2:26" ht="15.5" x14ac:dyDescent="0.35">
      <c r="B5" s="121" t="s">
        <v>222</v>
      </c>
      <c r="C5" s="122"/>
      <c r="D5" s="122"/>
      <c r="E5" s="122"/>
      <c r="F5" s="125"/>
      <c r="G5" s="125"/>
      <c r="H5" s="125"/>
      <c r="I5" s="125"/>
      <c r="J5" s="125"/>
      <c r="K5" s="125"/>
      <c r="L5" s="125"/>
      <c r="M5" s="125"/>
      <c r="N5" s="125"/>
      <c r="O5" s="125"/>
      <c r="Q5" s="125"/>
      <c r="R5" s="125"/>
      <c r="S5" s="125"/>
      <c r="T5" s="125"/>
      <c r="V5" s="155" t="s">
        <v>4</v>
      </c>
      <c r="W5" s="156"/>
      <c r="X5" s="156"/>
      <c r="Y5" s="156"/>
      <c r="Z5" s="157"/>
    </row>
    <row r="6" spans="2:26" x14ac:dyDescent="0.35">
      <c r="B6" s="84" t="s">
        <v>5</v>
      </c>
      <c r="C6" s="83" t="s">
        <v>6</v>
      </c>
      <c r="D6" s="83" t="s">
        <v>7</v>
      </c>
      <c r="E6" s="83" t="s">
        <v>8</v>
      </c>
      <c r="F6" s="82" t="s">
        <v>9</v>
      </c>
      <c r="G6" s="81" t="s">
        <v>10</v>
      </c>
      <c r="H6" s="81" t="s">
        <v>11</v>
      </c>
      <c r="I6" s="81" t="s">
        <v>12</v>
      </c>
      <c r="J6" s="80" t="s">
        <v>13</v>
      </c>
      <c r="K6" s="82" t="s">
        <v>9</v>
      </c>
      <c r="L6" s="81" t="s">
        <v>10</v>
      </c>
      <c r="M6" s="81" t="s">
        <v>11</v>
      </c>
      <c r="N6" s="81" t="s">
        <v>12</v>
      </c>
      <c r="O6" s="80" t="s">
        <v>13</v>
      </c>
      <c r="P6" s="69" t="s">
        <v>14</v>
      </c>
      <c r="Q6" s="57" t="s">
        <v>15</v>
      </c>
      <c r="R6" s="57" t="s">
        <v>16</v>
      </c>
      <c r="S6" s="57" t="s">
        <v>17</v>
      </c>
      <c r="T6" s="57" t="s">
        <v>18</v>
      </c>
      <c r="V6" s="109" t="s">
        <v>9</v>
      </c>
      <c r="W6" s="105" t="s">
        <v>10</v>
      </c>
      <c r="X6" s="105" t="s">
        <v>11</v>
      </c>
      <c r="Y6" s="105" t="s">
        <v>12</v>
      </c>
      <c r="Z6" s="110" t="s">
        <v>13</v>
      </c>
    </row>
    <row r="7" spans="2:26" x14ac:dyDescent="0.35">
      <c r="B7" s="55" t="s">
        <v>19</v>
      </c>
      <c r="C7" s="123"/>
      <c r="D7" s="11" t="s">
        <v>20</v>
      </c>
      <c r="E7" s="123"/>
      <c r="F7" s="74"/>
      <c r="G7" s="79">
        <v>3.2356914405196675E-2</v>
      </c>
      <c r="H7" s="79">
        <v>3.6601391590424873E-2</v>
      </c>
      <c r="I7" s="79">
        <v>4.0385280155438325E-2</v>
      </c>
      <c r="J7" s="61">
        <v>4.4674640648525811E-2</v>
      </c>
      <c r="K7" s="74"/>
      <c r="L7" s="79">
        <v>4.7429633051966798E-3</v>
      </c>
      <c r="M7" s="79">
        <v>8.486798490424878E-3</v>
      </c>
      <c r="N7" s="79">
        <v>1.1485178155438331E-2</v>
      </c>
      <c r="O7" s="61">
        <v>1.4527443148525816E-2</v>
      </c>
      <c r="P7" s="15"/>
      <c r="Q7" s="132"/>
      <c r="R7" s="132"/>
      <c r="S7" s="132"/>
      <c r="T7" s="16"/>
      <c r="V7" s="17">
        <v>1.12621642</v>
      </c>
      <c r="W7" s="18">
        <v>2.9242932399999999</v>
      </c>
      <c r="X7" s="18">
        <v>4.5532840300000004</v>
      </c>
      <c r="Y7" s="18">
        <v>5.9851308799999998</v>
      </c>
      <c r="Z7" s="19">
        <v>7.8025903699999999</v>
      </c>
    </row>
    <row r="8" spans="2:26" x14ac:dyDescent="0.35">
      <c r="B8" s="54" t="s">
        <v>22</v>
      </c>
      <c r="C8" s="122"/>
      <c r="D8" s="20" t="s">
        <v>23</v>
      </c>
      <c r="E8" s="122"/>
      <c r="F8" s="72">
        <v>2.5314794487455383E-2</v>
      </c>
      <c r="G8" s="70">
        <v>3.3206757471310307E-2</v>
      </c>
      <c r="H8" s="70">
        <v>3.7791943771596226E-2</v>
      </c>
      <c r="I8" s="70">
        <v>4.1581317655765018E-2</v>
      </c>
      <c r="J8" s="62">
        <v>4.5816161634615361E-2</v>
      </c>
      <c r="K8" s="72" t="s">
        <v>21</v>
      </c>
      <c r="L8" s="70">
        <v>5.5772642713103164E-3</v>
      </c>
      <c r="M8" s="70">
        <v>9.6505539715962315E-3</v>
      </c>
      <c r="N8" s="70">
        <v>1.2654798155765024E-2</v>
      </c>
      <c r="O8" s="62">
        <v>1.5647759334615367E-2</v>
      </c>
      <c r="P8" s="24"/>
      <c r="Q8" s="25"/>
      <c r="R8" s="25"/>
      <c r="S8" s="25"/>
      <c r="T8" s="26"/>
      <c r="V8" s="27">
        <v>1.13067286</v>
      </c>
      <c r="W8" s="28">
        <v>2.9281644999999998</v>
      </c>
      <c r="X8" s="28">
        <v>4.5486916400000004</v>
      </c>
      <c r="Y8" s="28">
        <v>5.9689781900000005</v>
      </c>
      <c r="Z8" s="29">
        <v>7.76795949</v>
      </c>
    </row>
    <row r="9" spans="2:26" x14ac:dyDescent="0.35">
      <c r="B9" s="55" t="s">
        <v>24</v>
      </c>
      <c r="C9" s="123"/>
      <c r="D9" s="11" t="s">
        <v>20</v>
      </c>
      <c r="E9" s="123"/>
      <c r="F9" s="74">
        <v>4.8634988077311925E-2</v>
      </c>
      <c r="G9" s="79">
        <v>5.7875913154974236E-2</v>
      </c>
      <c r="H9" s="79">
        <v>6.4811734633450177E-2</v>
      </c>
      <c r="I9" s="79"/>
      <c r="J9" s="61"/>
      <c r="K9" s="74">
        <v>2.076174517731192E-2</v>
      </c>
      <c r="L9" s="79">
        <v>2.9102788954974233E-2</v>
      </c>
      <c r="M9" s="79">
        <v>3.5322444233450191E-2</v>
      </c>
      <c r="N9" s="79"/>
      <c r="O9" s="61"/>
      <c r="P9" s="15"/>
      <c r="Q9" s="132"/>
      <c r="R9" s="132"/>
      <c r="S9" s="132"/>
      <c r="T9" s="16"/>
      <c r="V9" s="17">
        <v>1.0935761500000001</v>
      </c>
      <c r="W9" s="18">
        <v>2.72715124</v>
      </c>
      <c r="X9" s="18">
        <v>4.0886225399999994</v>
      </c>
      <c r="Y9" s="18">
        <v>5.2108751500000006</v>
      </c>
      <c r="Z9" s="19">
        <v>6.5503760900000003</v>
      </c>
    </row>
    <row r="10" spans="2:26" x14ac:dyDescent="0.35">
      <c r="B10" s="56" t="s">
        <v>25</v>
      </c>
      <c r="C10" s="124"/>
      <c r="D10" s="20" t="s">
        <v>23</v>
      </c>
      <c r="E10" s="124"/>
      <c r="F10" s="73">
        <v>3.6902946562223725E-2</v>
      </c>
      <c r="G10" s="75">
        <v>5.4093935772306007E-2</v>
      </c>
      <c r="H10" s="75">
        <v>6.5630725493209779E-2</v>
      </c>
      <c r="I10" s="75">
        <v>7.0917570927838056E-2</v>
      </c>
      <c r="J10" s="63">
        <v>7.6674299999150361E-2</v>
      </c>
      <c r="K10" s="73">
        <v>9.473843862223736E-3</v>
      </c>
      <c r="L10" s="75">
        <v>2.5474494072306009E-2</v>
      </c>
      <c r="M10" s="75">
        <v>3.5924208693209773E-2</v>
      </c>
      <c r="N10" s="75">
        <v>4.0255692027838068E-2</v>
      </c>
      <c r="O10" s="63">
        <v>4.4704691499150365E-2</v>
      </c>
      <c r="P10" s="33"/>
      <c r="Q10" s="133"/>
      <c r="R10" s="133"/>
      <c r="S10" s="133"/>
      <c r="T10" s="34"/>
      <c r="V10" s="27">
        <v>1.0857922900000001</v>
      </c>
      <c r="W10" s="28">
        <v>2.7237429999999998</v>
      </c>
      <c r="X10" s="28">
        <v>4.03925497</v>
      </c>
      <c r="Y10" s="28">
        <v>5.0635954999999999</v>
      </c>
      <c r="Z10" s="29">
        <v>6.1874566800000004</v>
      </c>
    </row>
    <row r="11" spans="2:26" x14ac:dyDescent="0.35">
      <c r="B11" s="54" t="s">
        <v>26</v>
      </c>
      <c r="C11" s="122"/>
      <c r="D11" s="11" t="s">
        <v>23</v>
      </c>
      <c r="E11" s="122"/>
      <c r="F11" s="72">
        <v>2.5565174268706439E-2</v>
      </c>
      <c r="G11" s="70">
        <v>3.3399509234941893E-2</v>
      </c>
      <c r="H11" s="70">
        <v>3.8330752789355223E-2</v>
      </c>
      <c r="I11" s="70"/>
      <c r="J11" s="62"/>
      <c r="K11" s="72" t="s">
        <v>21</v>
      </c>
      <c r="L11" s="70">
        <v>5.7676938349419064E-3</v>
      </c>
      <c r="M11" s="70">
        <v>1.0173876289355222E-2</v>
      </c>
      <c r="N11" s="70"/>
      <c r="O11" s="62"/>
      <c r="P11" s="24"/>
      <c r="Q11" s="25"/>
      <c r="R11" s="25"/>
      <c r="S11" s="25"/>
      <c r="T11" s="26"/>
      <c r="V11" s="17">
        <v>1.1195791099999999</v>
      </c>
      <c r="W11" s="18">
        <v>2.8907505200000001</v>
      </c>
      <c r="X11" s="18">
        <v>4.5015226200000003</v>
      </c>
      <c r="Y11" s="18">
        <v>5.8867049099999997</v>
      </c>
      <c r="Z11" s="19">
        <v>7.5922947599999997</v>
      </c>
    </row>
    <row r="12" spans="2:26" x14ac:dyDescent="0.35">
      <c r="B12" s="56" t="s">
        <v>27</v>
      </c>
      <c r="C12" s="124"/>
      <c r="D12" s="35" t="s">
        <v>23</v>
      </c>
      <c r="E12" s="124"/>
      <c r="F12" s="73"/>
      <c r="G12" s="75">
        <v>3.6066327328350224E-2</v>
      </c>
      <c r="H12" s="75">
        <v>4.3138368050073025E-2</v>
      </c>
      <c r="I12" s="75"/>
      <c r="J12" s="63">
        <v>5.8584779948387969E-2</v>
      </c>
      <c r="K12" s="73"/>
      <c r="L12" s="75">
        <v>8.3815808283502196E-3</v>
      </c>
      <c r="M12" s="75">
        <v>1.4866408150073028E-2</v>
      </c>
      <c r="N12" s="75"/>
      <c r="O12" s="63">
        <v>2.7995444848387972E-2</v>
      </c>
      <c r="P12" s="33"/>
      <c r="Q12" s="133"/>
      <c r="R12" s="133"/>
      <c r="S12" s="133"/>
      <c r="T12" s="34"/>
      <c r="V12" s="36">
        <v>1.1158569199999999</v>
      </c>
      <c r="W12" s="37">
        <v>2.8720459699999998</v>
      </c>
      <c r="X12" s="37">
        <v>4.4591583899999998</v>
      </c>
      <c r="Y12" s="37">
        <v>5.7987250800000005</v>
      </c>
      <c r="Z12" s="38">
        <v>7.4022566400000001</v>
      </c>
    </row>
    <row r="13" spans="2:26" x14ac:dyDescent="0.35">
      <c r="C13" s="122"/>
      <c r="D13" s="122"/>
      <c r="E13" s="122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V13" s="40"/>
      <c r="W13" s="40"/>
      <c r="X13" s="40"/>
      <c r="Y13" s="40"/>
      <c r="Z13" s="40"/>
    </row>
    <row r="14" spans="2:26" ht="15.5" x14ac:dyDescent="0.35">
      <c r="B14" s="121" t="s">
        <v>223</v>
      </c>
      <c r="C14" s="122"/>
      <c r="D14" s="122"/>
      <c r="E14" s="122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Q14" s="125"/>
      <c r="R14" s="125"/>
      <c r="S14" s="125"/>
      <c r="T14" s="125"/>
      <c r="V14" s="155" t="s">
        <v>4</v>
      </c>
      <c r="W14" s="156"/>
      <c r="X14" s="156"/>
      <c r="Y14" s="156"/>
      <c r="Z14" s="157"/>
    </row>
    <row r="15" spans="2:26" x14ac:dyDescent="0.35">
      <c r="B15" s="84" t="s">
        <v>5</v>
      </c>
      <c r="C15" s="83" t="s">
        <v>6</v>
      </c>
      <c r="D15" s="83" t="s">
        <v>7</v>
      </c>
      <c r="E15" s="83" t="s">
        <v>8</v>
      </c>
      <c r="F15" s="82" t="s">
        <v>9</v>
      </c>
      <c r="G15" s="81" t="s">
        <v>10</v>
      </c>
      <c r="H15" s="81" t="s">
        <v>11</v>
      </c>
      <c r="I15" s="81" t="s">
        <v>12</v>
      </c>
      <c r="J15" s="80" t="s">
        <v>13</v>
      </c>
      <c r="K15" s="82" t="s">
        <v>9</v>
      </c>
      <c r="L15" s="81" t="s">
        <v>10</v>
      </c>
      <c r="M15" s="81" t="s">
        <v>11</v>
      </c>
      <c r="N15" s="81" t="s">
        <v>12</v>
      </c>
      <c r="O15" s="80" t="s">
        <v>13</v>
      </c>
      <c r="P15" s="69" t="s">
        <v>14</v>
      </c>
      <c r="Q15" s="57" t="s">
        <v>15</v>
      </c>
      <c r="R15" s="57" t="s">
        <v>16</v>
      </c>
      <c r="S15" s="57" t="s">
        <v>17</v>
      </c>
      <c r="T15" s="57" t="s">
        <v>18</v>
      </c>
      <c r="V15" s="109" t="s">
        <v>9</v>
      </c>
      <c r="W15" s="105" t="s">
        <v>10</v>
      </c>
      <c r="X15" s="105" t="s">
        <v>11</v>
      </c>
      <c r="Y15" s="105" t="s">
        <v>12</v>
      </c>
      <c r="Z15" s="110" t="s">
        <v>13</v>
      </c>
    </row>
    <row r="16" spans="2:26" x14ac:dyDescent="0.35">
      <c r="B16" s="55" t="s">
        <v>19</v>
      </c>
      <c r="C16" s="123"/>
      <c r="D16" s="11" t="s">
        <v>20</v>
      </c>
      <c r="E16" s="123"/>
      <c r="F16" s="74"/>
      <c r="G16" s="79">
        <v>3.4990288099963157E-2</v>
      </c>
      <c r="H16" s="79">
        <v>4.0144897623919762E-2</v>
      </c>
      <c r="I16" s="79">
        <v>4.4622629152593199E-2</v>
      </c>
      <c r="J16" s="61">
        <v>4.9452844703277744E-2</v>
      </c>
      <c r="K16" s="74"/>
      <c r="L16" s="79">
        <v>7.3494002999631609E-3</v>
      </c>
      <c r="M16" s="79">
        <v>1.1986244723919759E-2</v>
      </c>
      <c r="N16" s="79">
        <v>1.5656786952593198E-2</v>
      </c>
      <c r="O16" s="61">
        <v>1.921619780327774E-2</v>
      </c>
      <c r="P16" s="15"/>
      <c r="Q16" s="132"/>
      <c r="R16" s="132"/>
      <c r="S16" s="132"/>
      <c r="T16" s="16"/>
      <c r="V16" s="17">
        <v>1.12621642</v>
      </c>
      <c r="W16" s="18">
        <v>2.9242932399999999</v>
      </c>
      <c r="X16" s="18">
        <v>4.5532840300000004</v>
      </c>
      <c r="Y16" s="18">
        <v>5.9851308799999998</v>
      </c>
      <c r="Z16" s="19">
        <v>7.8025903699999999</v>
      </c>
    </row>
    <row r="17" spans="2:26" x14ac:dyDescent="0.35">
      <c r="B17" s="54" t="s">
        <v>22</v>
      </c>
      <c r="C17" s="122"/>
      <c r="D17" s="20" t="s">
        <v>23</v>
      </c>
      <c r="E17" s="122"/>
      <c r="F17" s="72">
        <v>2.6025229881871795E-2</v>
      </c>
      <c r="G17" s="70">
        <v>3.5988470240203324E-2</v>
      </c>
      <c r="H17" s="70">
        <v>4.1618480932540072E-2</v>
      </c>
      <c r="I17" s="70">
        <v>4.6088108494022492E-2</v>
      </c>
      <c r="J17" s="62">
        <v>5.0817353541537436E-2</v>
      </c>
      <c r="K17" s="72" t="s">
        <v>21</v>
      </c>
      <c r="L17" s="70">
        <v>8.328367840203332E-3</v>
      </c>
      <c r="M17" s="70">
        <v>1.3424466532540076E-2</v>
      </c>
      <c r="N17" s="70">
        <v>1.7086001094022498E-2</v>
      </c>
      <c r="O17" s="62">
        <v>2.0549847741537446E-2</v>
      </c>
      <c r="P17" s="24"/>
      <c r="Q17" s="25"/>
      <c r="R17" s="25"/>
      <c r="S17" s="25"/>
      <c r="T17" s="26"/>
      <c r="V17" s="27">
        <v>1.13067286</v>
      </c>
      <c r="W17" s="28">
        <v>2.9281644999999998</v>
      </c>
      <c r="X17" s="28">
        <v>4.5486916400000004</v>
      </c>
      <c r="Y17" s="28">
        <v>5.9689781900000005</v>
      </c>
      <c r="Z17" s="29">
        <v>7.76795949</v>
      </c>
    </row>
    <row r="18" spans="2:26" x14ac:dyDescent="0.35">
      <c r="B18" s="55" t="s">
        <v>24</v>
      </c>
      <c r="C18" s="123"/>
      <c r="D18" s="11" t="s">
        <v>20</v>
      </c>
      <c r="E18" s="123"/>
      <c r="F18" s="74">
        <v>5.4842301236506179E-2</v>
      </c>
      <c r="G18" s="79">
        <v>6.5725248080140797E-2</v>
      </c>
      <c r="H18" s="79">
        <v>7.3472012100707154E-2</v>
      </c>
      <c r="I18" s="79"/>
      <c r="J18" s="61"/>
      <c r="K18" s="74">
        <v>2.6730109736506181E-2</v>
      </c>
      <c r="L18" s="79">
        <v>3.6624133280140789E-2</v>
      </c>
      <c r="M18" s="79">
        <v>4.3574145400707164E-2</v>
      </c>
      <c r="N18" s="79"/>
      <c r="O18" s="61"/>
      <c r="P18" s="15"/>
      <c r="Q18" s="132"/>
      <c r="R18" s="132"/>
      <c r="S18" s="132"/>
      <c r="T18" s="16"/>
      <c r="V18" s="17">
        <v>1.0935761500000001</v>
      </c>
      <c r="W18" s="18">
        <v>2.72715124</v>
      </c>
      <c r="X18" s="18">
        <v>4.0886225399999994</v>
      </c>
      <c r="Y18" s="18">
        <v>5.2108751500000006</v>
      </c>
      <c r="Z18" s="19">
        <v>6.5503760900000003</v>
      </c>
    </row>
    <row r="19" spans="2:26" x14ac:dyDescent="0.35">
      <c r="B19" s="56" t="s">
        <v>25</v>
      </c>
      <c r="C19" s="124"/>
      <c r="D19" s="20" t="s">
        <v>23</v>
      </c>
      <c r="E19" s="124"/>
      <c r="F19" s="73">
        <v>4.1591322892196698E-2</v>
      </c>
      <c r="G19" s="75">
        <v>6.3465007521315175E-2</v>
      </c>
      <c r="H19" s="75">
        <v>7.7596014102134792E-2</v>
      </c>
      <c r="I19" s="75">
        <v>8.3183846644730108E-2</v>
      </c>
      <c r="J19" s="63">
        <v>8.8564252437403901E-2</v>
      </c>
      <c r="K19" s="73">
        <v>1.4008323792196704E-2</v>
      </c>
      <c r="L19" s="75">
        <v>3.4422614821315194E-2</v>
      </c>
      <c r="M19" s="75">
        <v>4.7184366502134784E-2</v>
      </c>
      <c r="N19" s="75">
        <v>5.1727328544730111E-2</v>
      </c>
      <c r="O19" s="63">
        <v>5.5746741637403896E-2</v>
      </c>
      <c r="P19" s="33"/>
      <c r="Q19" s="133"/>
      <c r="R19" s="133"/>
      <c r="S19" s="133"/>
      <c r="T19" s="34"/>
      <c r="V19" s="27">
        <v>1.0857922900000001</v>
      </c>
      <c r="W19" s="28">
        <v>2.7237429999999998</v>
      </c>
      <c r="X19" s="28">
        <v>4.03925497</v>
      </c>
      <c r="Y19" s="28">
        <v>5.0635954999999999</v>
      </c>
      <c r="Z19" s="29">
        <v>6.1874566800000004</v>
      </c>
    </row>
    <row r="20" spans="2:26" x14ac:dyDescent="0.35">
      <c r="B20" s="54" t="s">
        <v>26</v>
      </c>
      <c r="C20" s="122"/>
      <c r="D20" s="11" t="s">
        <v>23</v>
      </c>
      <c r="E20" s="122"/>
      <c r="F20" s="72">
        <v>2.6384348993666689E-2</v>
      </c>
      <c r="G20" s="70">
        <v>3.6258811807577201E-2</v>
      </c>
      <c r="H20" s="70">
        <v>4.2315424854637823E-2</v>
      </c>
      <c r="I20" s="70"/>
      <c r="J20" s="62"/>
      <c r="K20" s="72" t="s">
        <v>21</v>
      </c>
      <c r="L20" s="70">
        <v>8.5947668075772084E-3</v>
      </c>
      <c r="M20" s="70">
        <v>1.4100987154637829E-2</v>
      </c>
      <c r="N20" s="70"/>
      <c r="O20" s="62"/>
      <c r="P20" s="24"/>
      <c r="Q20" s="25"/>
      <c r="R20" s="25"/>
      <c r="S20" s="25"/>
      <c r="T20" s="26"/>
      <c r="V20" s="17">
        <v>1.1195791099999999</v>
      </c>
      <c r="W20" s="18">
        <v>2.8907505200000001</v>
      </c>
      <c r="X20" s="18">
        <v>4.5015226200000003</v>
      </c>
      <c r="Y20" s="18">
        <v>5.8867049099999997</v>
      </c>
      <c r="Z20" s="19">
        <v>7.5922947599999997</v>
      </c>
    </row>
    <row r="21" spans="2:26" x14ac:dyDescent="0.35">
      <c r="B21" s="56" t="s">
        <v>27</v>
      </c>
      <c r="C21" s="124"/>
      <c r="D21" s="35" t="s">
        <v>23</v>
      </c>
      <c r="E21" s="124"/>
      <c r="F21" s="73"/>
      <c r="G21" s="75">
        <v>3.811906006745313E-2</v>
      </c>
      <c r="H21" s="75">
        <v>4.5913760534337801E-2</v>
      </c>
      <c r="I21" s="75"/>
      <c r="J21" s="63">
        <v>6.2709781081665653E-2</v>
      </c>
      <c r="K21" s="73"/>
      <c r="L21" s="75">
        <v>1.0412822967453137E-2</v>
      </c>
      <c r="M21" s="75">
        <v>1.759892073433781E-2</v>
      </c>
      <c r="N21" s="75"/>
      <c r="O21" s="63">
        <v>3.2001579581665655E-2</v>
      </c>
      <c r="P21" s="33"/>
      <c r="Q21" s="133"/>
      <c r="R21" s="133"/>
      <c r="S21" s="133"/>
      <c r="T21" s="34"/>
      <c r="V21" s="36">
        <v>1.1158569199999999</v>
      </c>
      <c r="W21" s="37">
        <v>2.8720459699999998</v>
      </c>
      <c r="X21" s="37">
        <v>4.4591583899999998</v>
      </c>
      <c r="Y21" s="37">
        <v>5.7987250800000005</v>
      </c>
      <c r="Z21" s="38">
        <v>7.4022566400000001</v>
      </c>
    </row>
    <row r="22" spans="2:26" x14ac:dyDescent="0.35">
      <c r="C22" s="122"/>
      <c r="D22" s="122"/>
      <c r="E22" s="122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V22" s="40"/>
      <c r="W22" s="40"/>
      <c r="X22" s="40"/>
      <c r="Y22" s="40"/>
      <c r="Z22" s="40"/>
    </row>
    <row r="23" spans="2:26" ht="15.5" x14ac:dyDescent="0.35">
      <c r="B23" s="121" t="s">
        <v>28</v>
      </c>
      <c r="C23" s="122"/>
      <c r="D23" s="122"/>
      <c r="E23" s="122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V23" s="40"/>
      <c r="W23" s="40"/>
      <c r="X23" s="40"/>
      <c r="Y23" s="40"/>
      <c r="Z23" s="40"/>
    </row>
    <row r="24" spans="2:26" x14ac:dyDescent="0.35">
      <c r="B24" s="84" t="s">
        <v>5</v>
      </c>
      <c r="C24" s="83" t="s">
        <v>6</v>
      </c>
      <c r="D24" s="83" t="s">
        <v>7</v>
      </c>
      <c r="E24" s="83" t="s">
        <v>8</v>
      </c>
      <c r="F24" s="82" t="s">
        <v>9</v>
      </c>
      <c r="G24" s="81" t="s">
        <v>10</v>
      </c>
      <c r="H24" s="81" t="s">
        <v>11</v>
      </c>
      <c r="I24" s="81" t="s">
        <v>12</v>
      </c>
      <c r="J24" s="80" t="s">
        <v>13</v>
      </c>
      <c r="K24" s="82" t="s">
        <v>9</v>
      </c>
      <c r="L24" s="81" t="s">
        <v>10</v>
      </c>
      <c r="M24" s="81" t="s">
        <v>11</v>
      </c>
      <c r="N24" s="81" t="s">
        <v>12</v>
      </c>
      <c r="O24" s="80" t="s">
        <v>13</v>
      </c>
      <c r="P24" s="69" t="s">
        <v>14</v>
      </c>
      <c r="Q24" s="57" t="s">
        <v>15</v>
      </c>
      <c r="R24" s="57" t="s">
        <v>16</v>
      </c>
      <c r="S24" s="57" t="s">
        <v>17</v>
      </c>
      <c r="T24" s="57" t="s">
        <v>18</v>
      </c>
      <c r="V24" s="109" t="s">
        <v>9</v>
      </c>
      <c r="W24" s="105" t="s">
        <v>10</v>
      </c>
      <c r="X24" s="105" t="s">
        <v>11</v>
      </c>
      <c r="Y24" s="105" t="s">
        <v>12</v>
      </c>
      <c r="Z24" s="110" t="s">
        <v>13</v>
      </c>
    </row>
    <row r="25" spans="2:26" x14ac:dyDescent="0.35">
      <c r="B25" s="78" t="s">
        <v>416</v>
      </c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6"/>
      <c r="P25" s="78"/>
      <c r="Q25" s="77"/>
      <c r="R25" s="77"/>
      <c r="S25" s="77"/>
      <c r="T25" s="76"/>
      <c r="V25" s="111"/>
      <c r="W25" s="106"/>
      <c r="X25" s="106"/>
      <c r="Y25" s="106"/>
      <c r="Z25" s="112"/>
    </row>
    <row r="26" spans="2:26" x14ac:dyDescent="0.35">
      <c r="B26" s="55" t="s">
        <v>29</v>
      </c>
      <c r="C26" s="52" t="s">
        <v>30</v>
      </c>
      <c r="D26" s="52" t="s">
        <v>31</v>
      </c>
      <c r="E26" s="52" t="s">
        <v>417</v>
      </c>
      <c r="F26" s="74">
        <v>2.4461679163763746E-2</v>
      </c>
      <c r="G26" s="70">
        <v>3.0761477472959743E-2</v>
      </c>
      <c r="H26" s="70">
        <v>3.5115424497792973E-2</v>
      </c>
      <c r="I26" s="70">
        <v>3.7966950320360709E-2</v>
      </c>
      <c r="J26" s="62">
        <v>4.0986606478194167E-2</v>
      </c>
      <c r="K26" s="72" t="s">
        <v>21</v>
      </c>
      <c r="L26" s="70">
        <v>3.1818187729597421E-3</v>
      </c>
      <c r="M26" s="70">
        <v>7.0579722977929674E-3</v>
      </c>
      <c r="N26" s="70">
        <v>9.1456542203607084E-3</v>
      </c>
      <c r="O26" s="62">
        <v>1.0931948578194156E-2</v>
      </c>
      <c r="P26" s="54" t="s">
        <v>418</v>
      </c>
      <c r="Q26" s="52" t="s">
        <v>419</v>
      </c>
      <c r="R26" s="93" t="s">
        <v>32</v>
      </c>
      <c r="S26" s="70">
        <v>4.0575260000000002E-2</v>
      </c>
      <c r="T26" s="62">
        <v>-5.4598355022070291E-3</v>
      </c>
      <c r="V26" s="113">
        <v>1.13061831</v>
      </c>
      <c r="W26" s="71">
        <v>2.9399705000000003</v>
      </c>
      <c r="X26" s="71">
        <v>4.5917090700000003</v>
      </c>
      <c r="Y26" s="71">
        <v>6.0613816900000002</v>
      </c>
      <c r="Z26" s="114">
        <v>7.966604049999999</v>
      </c>
    </row>
    <row r="27" spans="2:26" x14ac:dyDescent="0.35">
      <c r="B27" s="54" t="s">
        <v>29</v>
      </c>
      <c r="C27" s="52" t="s">
        <v>33</v>
      </c>
      <c r="D27" s="52" t="s">
        <v>31</v>
      </c>
      <c r="E27" s="52" t="s">
        <v>34</v>
      </c>
      <c r="F27" s="72">
        <v>2.4809384441799177E-2</v>
      </c>
      <c r="G27" s="70">
        <v>3.2487954494128689E-2</v>
      </c>
      <c r="H27" s="70">
        <v>3.8103154404209715E-2</v>
      </c>
      <c r="I27" s="70">
        <v>4.1797146215425574E-2</v>
      </c>
      <c r="J27" s="62">
        <v>4.5287330901247612E-2</v>
      </c>
      <c r="K27" s="72" t="s">
        <v>21</v>
      </c>
      <c r="L27" s="70">
        <v>4.8492883941286952E-3</v>
      </c>
      <c r="M27" s="70">
        <v>9.9405876042097142E-3</v>
      </c>
      <c r="N27" s="70">
        <v>1.2834433215425572E-2</v>
      </c>
      <c r="O27" s="62">
        <v>1.5094320801247615E-2</v>
      </c>
      <c r="P27" s="54" t="s">
        <v>21</v>
      </c>
      <c r="Q27" s="52" t="s">
        <v>21</v>
      </c>
      <c r="R27" s="93" t="s">
        <v>21</v>
      </c>
      <c r="S27" s="70" t="s">
        <v>21</v>
      </c>
      <c r="T27" s="62" t="s">
        <v>21</v>
      </c>
      <c r="V27" s="113">
        <v>1.1299620800000001</v>
      </c>
      <c r="W27" s="71">
        <v>2.9276521900000003</v>
      </c>
      <c r="X27" s="71">
        <v>4.5441473599999993</v>
      </c>
      <c r="Y27" s="71">
        <v>5.9517593399999997</v>
      </c>
      <c r="Z27" s="114">
        <v>7.7317753399999996</v>
      </c>
    </row>
    <row r="28" spans="2:26" x14ac:dyDescent="0.35">
      <c r="B28" s="56" t="s">
        <v>29</v>
      </c>
      <c r="C28" s="66" t="s">
        <v>35</v>
      </c>
      <c r="D28" s="66" t="s">
        <v>31</v>
      </c>
      <c r="E28" s="66" t="s">
        <v>338</v>
      </c>
      <c r="F28" s="73">
        <v>2.563165719981194E-2</v>
      </c>
      <c r="G28" s="75">
        <v>3.4751987184311196E-2</v>
      </c>
      <c r="H28" s="75">
        <v>4.1792941568294911E-2</v>
      </c>
      <c r="I28" s="75">
        <v>4.6503312870147209E-2</v>
      </c>
      <c r="J28" s="63">
        <v>5.0908630627633539E-2</v>
      </c>
      <c r="K28" s="73" t="s">
        <v>21</v>
      </c>
      <c r="L28" s="75">
        <v>7.068297284311199E-3</v>
      </c>
      <c r="M28" s="75">
        <v>1.3550635168294908E-2</v>
      </c>
      <c r="N28" s="75">
        <v>1.7423912270147203E-2</v>
      </c>
      <c r="O28" s="63">
        <v>2.0573570627633535E-2</v>
      </c>
      <c r="P28" s="54" t="s">
        <v>21</v>
      </c>
      <c r="Q28" s="52" t="s">
        <v>21</v>
      </c>
      <c r="R28" s="93" t="s">
        <v>21</v>
      </c>
      <c r="S28" s="70" t="s">
        <v>21</v>
      </c>
      <c r="T28" s="62" t="s">
        <v>21</v>
      </c>
      <c r="V28" s="115">
        <v>1.1298031099999999</v>
      </c>
      <c r="W28" s="107">
        <v>2.9232692599999996</v>
      </c>
      <c r="X28" s="107">
        <v>4.5271762400000002</v>
      </c>
      <c r="Y28" s="107">
        <v>5.9121526500000003</v>
      </c>
      <c r="Z28" s="116">
        <v>7.64115754</v>
      </c>
    </row>
    <row r="29" spans="2:26" x14ac:dyDescent="0.35">
      <c r="B29" s="54" t="s">
        <v>37</v>
      </c>
      <c r="C29" s="52" t="s">
        <v>30</v>
      </c>
      <c r="D29" s="52" t="s">
        <v>31</v>
      </c>
      <c r="E29" s="52" t="s">
        <v>338</v>
      </c>
      <c r="F29" s="72">
        <v>2.4929772738046335E-2</v>
      </c>
      <c r="G29" s="70">
        <v>3.1652362414032312E-2</v>
      </c>
      <c r="H29" s="70">
        <v>3.5737543249966086E-2</v>
      </c>
      <c r="I29" s="70">
        <v>3.8624146529869757E-2</v>
      </c>
      <c r="J29" s="62">
        <v>4.160355623081749E-2</v>
      </c>
      <c r="K29" s="72" t="s">
        <v>21</v>
      </c>
      <c r="L29" s="70">
        <v>4.0433195140323142E-3</v>
      </c>
      <c r="M29" s="70">
        <v>7.6595612499660848E-3</v>
      </c>
      <c r="N29" s="70">
        <v>9.7799087298697622E-3</v>
      </c>
      <c r="O29" s="62">
        <v>1.1529698930817487E-2</v>
      </c>
      <c r="P29" s="55" t="s">
        <v>21</v>
      </c>
      <c r="Q29" s="65" t="s">
        <v>21</v>
      </c>
      <c r="R29" s="99" t="s">
        <v>21</v>
      </c>
      <c r="S29" s="79" t="s">
        <v>21</v>
      </c>
      <c r="T29" s="61" t="s">
        <v>21</v>
      </c>
      <c r="V29" s="113">
        <v>1.1297111</v>
      </c>
      <c r="W29" s="71">
        <v>2.9325801400000002</v>
      </c>
      <c r="X29" s="71">
        <v>4.5757859600000002</v>
      </c>
      <c r="Y29" s="71">
        <v>6.0349645600000006</v>
      </c>
      <c r="Z29" s="114">
        <v>7.92232833</v>
      </c>
    </row>
    <row r="30" spans="2:26" x14ac:dyDescent="0.35">
      <c r="B30" s="54" t="s">
        <v>37</v>
      </c>
      <c r="C30" s="52" t="s">
        <v>33</v>
      </c>
      <c r="D30" s="52" t="s">
        <v>31</v>
      </c>
      <c r="E30" s="52" t="s">
        <v>38</v>
      </c>
      <c r="F30" s="72">
        <v>2.5219964258623828E-2</v>
      </c>
      <c r="G30" s="70">
        <v>3.2615254827752654E-2</v>
      </c>
      <c r="H30" s="70">
        <v>3.8151591180459979E-2</v>
      </c>
      <c r="I30" s="70">
        <v>4.1749748628673963E-2</v>
      </c>
      <c r="J30" s="62">
        <v>4.5334506624034848E-2</v>
      </c>
      <c r="K30" s="72" t="s">
        <v>21</v>
      </c>
      <c r="L30" s="70">
        <v>4.973506527752661E-3</v>
      </c>
      <c r="M30" s="70">
        <v>9.9880578804599808E-3</v>
      </c>
      <c r="N30" s="70">
        <v>1.278943252867396E-2</v>
      </c>
      <c r="O30" s="62">
        <v>1.5139106624034853E-2</v>
      </c>
      <c r="P30" s="54" t="s">
        <v>21</v>
      </c>
      <c r="Q30" s="52" t="s">
        <v>21</v>
      </c>
      <c r="R30" s="93" t="s">
        <v>21</v>
      </c>
      <c r="S30" s="70" t="s">
        <v>21</v>
      </c>
      <c r="T30" s="62" t="s">
        <v>21</v>
      </c>
      <c r="V30" s="113">
        <v>1.1291390400000001</v>
      </c>
      <c r="W30" s="71">
        <v>2.9253461399999998</v>
      </c>
      <c r="X30" s="71">
        <v>4.5411108899999997</v>
      </c>
      <c r="Y30" s="71">
        <v>5.9494572699999999</v>
      </c>
      <c r="Z30" s="114">
        <v>7.7291073700000004</v>
      </c>
    </row>
    <row r="31" spans="2:26" x14ac:dyDescent="0.35">
      <c r="B31" s="56" t="s">
        <v>37</v>
      </c>
      <c r="C31" s="66" t="s">
        <v>35</v>
      </c>
      <c r="D31" s="66" t="s">
        <v>31</v>
      </c>
      <c r="E31" s="66" t="s">
        <v>39</v>
      </c>
      <c r="F31" s="73">
        <v>2.5664812386848049E-2</v>
      </c>
      <c r="G31" s="75">
        <v>3.491083470952723E-2</v>
      </c>
      <c r="H31" s="75">
        <v>4.188257896440882E-2</v>
      </c>
      <c r="I31" s="75">
        <v>4.6501043649970812E-2</v>
      </c>
      <c r="J31" s="63">
        <v>5.0997988012179266E-2</v>
      </c>
      <c r="K31" s="73" t="s">
        <v>21</v>
      </c>
      <c r="L31" s="75">
        <v>7.2265116095272253E-3</v>
      </c>
      <c r="M31" s="75">
        <v>1.3640172064408821E-2</v>
      </c>
      <c r="N31" s="75">
        <v>1.7424327249970811E-2</v>
      </c>
      <c r="O31" s="63">
        <v>2.0661070912179266E-2</v>
      </c>
      <c r="P31" s="56" t="s">
        <v>21</v>
      </c>
      <c r="Q31" s="66" t="s">
        <v>21</v>
      </c>
      <c r="R31" s="95" t="s">
        <v>21</v>
      </c>
      <c r="S31" s="75" t="s">
        <v>21</v>
      </c>
      <c r="T31" s="63" t="s">
        <v>21</v>
      </c>
      <c r="V31" s="115">
        <v>1.1296836799999999</v>
      </c>
      <c r="W31" s="107">
        <v>2.92225505</v>
      </c>
      <c r="X31" s="107">
        <v>4.5250969699999999</v>
      </c>
      <c r="Y31" s="107">
        <v>5.9099520199999995</v>
      </c>
      <c r="Z31" s="116">
        <v>7.6376109600000008</v>
      </c>
    </row>
    <row r="32" spans="2:26" x14ac:dyDescent="0.35">
      <c r="B32" s="54" t="s">
        <v>40</v>
      </c>
      <c r="C32" s="52" t="s">
        <v>30</v>
      </c>
      <c r="D32" s="52" t="s">
        <v>31</v>
      </c>
      <c r="E32" s="52" t="s">
        <v>21</v>
      </c>
      <c r="F32" s="72">
        <v>2.5294566042699501E-2</v>
      </c>
      <c r="G32" s="70">
        <v>3.1741922260711652E-2</v>
      </c>
      <c r="H32" s="70">
        <v>3.6096008886027556E-2</v>
      </c>
      <c r="I32" s="70">
        <v>3.9365197716732477E-2</v>
      </c>
      <c r="J32" s="62">
        <v>4.2832230053521742E-2</v>
      </c>
      <c r="K32" s="72" t="s">
        <v>21</v>
      </c>
      <c r="L32" s="70">
        <v>4.1298306607116565E-3</v>
      </c>
      <c r="M32" s="70">
        <v>8.0058086860275521E-3</v>
      </c>
      <c r="N32" s="70">
        <v>1.0494640616732481E-2</v>
      </c>
      <c r="O32" s="62">
        <v>1.2720405353521744E-2</v>
      </c>
      <c r="P32" s="54" t="s">
        <v>21</v>
      </c>
      <c r="Q32" s="52" t="s">
        <v>21</v>
      </c>
      <c r="R32" s="93" t="s">
        <v>21</v>
      </c>
      <c r="S32" s="70" t="s">
        <v>21</v>
      </c>
      <c r="T32" s="62" t="s">
        <v>21</v>
      </c>
      <c r="V32" s="113">
        <v>1.12900494</v>
      </c>
      <c r="W32" s="71">
        <v>2.9307353000000003</v>
      </c>
      <c r="X32" s="71">
        <v>4.5700309600000004</v>
      </c>
      <c r="Y32" s="71">
        <v>6.0176030599999999</v>
      </c>
      <c r="Z32" s="114">
        <v>7.8700643900000005</v>
      </c>
    </row>
    <row r="33" spans="2:26" x14ac:dyDescent="0.35">
      <c r="B33" s="54" t="s">
        <v>40</v>
      </c>
      <c r="C33" s="52" t="s">
        <v>33</v>
      </c>
      <c r="D33" s="52" t="s">
        <v>31</v>
      </c>
      <c r="E33" s="52" t="s">
        <v>41</v>
      </c>
      <c r="F33" s="72">
        <v>2.5580387356176168E-2</v>
      </c>
      <c r="G33" s="70">
        <v>3.3427623448050128E-2</v>
      </c>
      <c r="H33" s="70">
        <v>3.9487981503479527E-2</v>
      </c>
      <c r="I33" s="70">
        <v>4.3623541698455469E-2</v>
      </c>
      <c r="J33" s="62">
        <v>4.7600376238953156E-2</v>
      </c>
      <c r="K33" s="72" t="s">
        <v>21</v>
      </c>
      <c r="L33" s="70">
        <v>5.7554980480501259E-3</v>
      </c>
      <c r="M33" s="70">
        <v>1.1271614003479521E-2</v>
      </c>
      <c r="N33" s="70">
        <v>1.4583444398455474E-2</v>
      </c>
      <c r="O33" s="62">
        <v>1.7316792238953153E-2</v>
      </c>
      <c r="P33" s="54" t="s">
        <v>420</v>
      </c>
      <c r="Q33" s="52" t="s">
        <v>421</v>
      </c>
      <c r="R33" s="93">
        <v>47729</v>
      </c>
      <c r="S33" s="70">
        <v>3.69856E-2</v>
      </c>
      <c r="T33" s="62">
        <v>2.5023815034795269E-3</v>
      </c>
      <c r="V33" s="113">
        <v>1.1284641899999999</v>
      </c>
      <c r="W33" s="71">
        <v>2.91893432</v>
      </c>
      <c r="X33" s="71">
        <v>4.51911196</v>
      </c>
      <c r="Y33" s="71">
        <v>5.8981689800000003</v>
      </c>
      <c r="Z33" s="114">
        <v>7.6148871800000002</v>
      </c>
    </row>
    <row r="34" spans="2:26" x14ac:dyDescent="0.35">
      <c r="B34" s="56" t="s">
        <v>40</v>
      </c>
      <c r="C34" s="66" t="s">
        <v>35</v>
      </c>
      <c r="D34" s="66" t="s">
        <v>31</v>
      </c>
      <c r="E34" s="66" t="s">
        <v>21</v>
      </c>
      <c r="F34" s="73">
        <v>2.6029974525346548E-2</v>
      </c>
      <c r="G34" s="75">
        <v>3.5842830913341596E-2</v>
      </c>
      <c r="H34" s="75">
        <v>4.3542406203692395E-2</v>
      </c>
      <c r="I34" s="75">
        <v>4.8982195478922748E-2</v>
      </c>
      <c r="J34" s="63">
        <v>5.3999485619874284E-2</v>
      </c>
      <c r="K34" s="73" t="s">
        <v>21</v>
      </c>
      <c r="L34" s="75">
        <v>8.1275351133415948E-3</v>
      </c>
      <c r="M34" s="75">
        <v>1.5236831703692395E-2</v>
      </c>
      <c r="N34" s="75">
        <v>1.9803030678922744E-2</v>
      </c>
      <c r="O34" s="63">
        <v>2.3542772319874294E-2</v>
      </c>
      <c r="P34" s="54" t="s">
        <v>21</v>
      </c>
      <c r="Q34" s="52" t="s">
        <v>21</v>
      </c>
      <c r="R34" s="93" t="s">
        <v>21</v>
      </c>
      <c r="S34" s="70" t="s">
        <v>21</v>
      </c>
      <c r="T34" s="62" t="s">
        <v>21</v>
      </c>
      <c r="V34" s="115">
        <v>1.1291700499999999</v>
      </c>
      <c r="W34" s="107">
        <v>2.9168224600000001</v>
      </c>
      <c r="X34" s="107">
        <v>4.5047409599999995</v>
      </c>
      <c r="Y34" s="107">
        <v>5.8602590699999997</v>
      </c>
      <c r="Z34" s="116">
        <v>7.5244592700000004</v>
      </c>
    </row>
    <row r="35" spans="2:26" x14ac:dyDescent="0.35">
      <c r="B35" s="78" t="s">
        <v>422</v>
      </c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6"/>
      <c r="P35" s="78"/>
      <c r="Q35" s="77"/>
      <c r="R35" s="94"/>
      <c r="S35" s="77"/>
      <c r="T35" s="76"/>
      <c r="V35" s="111"/>
      <c r="W35" s="106"/>
      <c r="X35" s="106"/>
      <c r="Y35" s="106"/>
      <c r="Z35" s="112"/>
    </row>
    <row r="36" spans="2:26" x14ac:dyDescent="0.35">
      <c r="B36" s="54" t="s">
        <v>42</v>
      </c>
      <c r="C36" s="52" t="s">
        <v>30</v>
      </c>
      <c r="D36" s="52" t="s">
        <v>43</v>
      </c>
      <c r="E36" s="52" t="s">
        <v>423</v>
      </c>
      <c r="F36" s="72">
        <v>2.5028329076311726E-2</v>
      </c>
      <c r="G36" s="70">
        <v>3.1660300429714378E-2</v>
      </c>
      <c r="H36" s="70">
        <v>3.6353792019145813E-2</v>
      </c>
      <c r="I36" s="70">
        <v>3.9565211877582149E-2</v>
      </c>
      <c r="J36" s="62">
        <v>4.2794538726350723E-2</v>
      </c>
      <c r="K36" s="72" t="s">
        <v>21</v>
      </c>
      <c r="L36" s="70">
        <v>4.0505235297143777E-3</v>
      </c>
      <c r="M36" s="70">
        <v>8.2545271191458037E-3</v>
      </c>
      <c r="N36" s="70">
        <v>1.0687794977582146E-2</v>
      </c>
      <c r="O36" s="62">
        <v>1.2685239726350718E-2</v>
      </c>
      <c r="P36" s="54" t="s">
        <v>424</v>
      </c>
      <c r="Q36" s="52" t="s">
        <v>425</v>
      </c>
      <c r="R36" s="93" t="s">
        <v>32</v>
      </c>
      <c r="S36" s="70">
        <v>3.547202E-2</v>
      </c>
      <c r="T36" s="62">
        <v>8.8177201914581282E-4</v>
      </c>
      <c r="V36" s="113">
        <v>1.1295294600000001</v>
      </c>
      <c r="W36" s="71">
        <v>2.9322075400000003</v>
      </c>
      <c r="X36" s="71">
        <v>4.56893437</v>
      </c>
      <c r="Y36" s="71">
        <v>6.01275212</v>
      </c>
      <c r="Z36" s="114">
        <v>7.8649522200000002</v>
      </c>
    </row>
    <row r="37" spans="2:26" x14ac:dyDescent="0.35">
      <c r="B37" s="54" t="s">
        <v>42</v>
      </c>
      <c r="C37" s="52" t="s">
        <v>33</v>
      </c>
      <c r="D37" s="52" t="s">
        <v>43</v>
      </c>
      <c r="E37" s="52" t="s">
        <v>426</v>
      </c>
      <c r="F37" s="72">
        <v>2.4912955261195809E-2</v>
      </c>
      <c r="G37" s="70">
        <v>3.3548944314619772E-2</v>
      </c>
      <c r="H37" s="70">
        <v>3.9639578691616731E-2</v>
      </c>
      <c r="I37" s="70">
        <v>4.4008149262244362E-2</v>
      </c>
      <c r="J37" s="62">
        <v>4.7942980935524328E-2</v>
      </c>
      <c r="K37" s="72" t="s">
        <v>21</v>
      </c>
      <c r="L37" s="70">
        <v>5.8747123146197719E-3</v>
      </c>
      <c r="M37" s="70">
        <v>1.1419041891616726E-2</v>
      </c>
      <c r="N37" s="70">
        <v>1.4952841562244353E-2</v>
      </c>
      <c r="O37" s="62">
        <v>1.764806213552432E-2</v>
      </c>
      <c r="P37" s="54" t="s">
        <v>427</v>
      </c>
      <c r="Q37" s="52" t="s">
        <v>428</v>
      </c>
      <c r="R37" s="93" t="s">
        <v>32</v>
      </c>
      <c r="S37" s="70">
        <v>3.9143129999999998E-2</v>
      </c>
      <c r="T37" s="62">
        <v>4.9644869161673266E-4</v>
      </c>
      <c r="V37" s="113">
        <v>1.1297127299999998</v>
      </c>
      <c r="W37" s="71">
        <v>2.9203633600000001</v>
      </c>
      <c r="X37" s="71">
        <v>4.5185140300000004</v>
      </c>
      <c r="Y37" s="71">
        <v>5.8916674799999997</v>
      </c>
      <c r="Z37" s="114">
        <v>7.5978416199999996</v>
      </c>
    </row>
    <row r="38" spans="2:26" x14ac:dyDescent="0.35">
      <c r="B38" s="54" t="s">
        <v>42</v>
      </c>
      <c r="C38" s="52" t="s">
        <v>35</v>
      </c>
      <c r="D38" s="52" t="s">
        <v>43</v>
      </c>
      <c r="E38" s="52" t="s">
        <v>429</v>
      </c>
      <c r="F38" s="72">
        <v>2.637652170066011E-2</v>
      </c>
      <c r="G38" s="70">
        <v>3.6705374916384537E-2</v>
      </c>
      <c r="H38" s="70">
        <v>4.4909812825687082E-2</v>
      </c>
      <c r="I38" s="70">
        <v>5.0518936997944137E-2</v>
      </c>
      <c r="J38" s="62">
        <v>5.6051393176486206E-2</v>
      </c>
      <c r="K38" s="72" t="s">
        <v>21</v>
      </c>
      <c r="L38" s="70">
        <v>8.959712416384543E-3</v>
      </c>
      <c r="M38" s="70">
        <v>1.6548817025687081E-2</v>
      </c>
      <c r="N38" s="70">
        <v>2.1271741197944137E-2</v>
      </c>
      <c r="O38" s="62">
        <v>2.5504144576486205E-2</v>
      </c>
      <c r="P38" s="54" t="s">
        <v>21</v>
      </c>
      <c r="Q38" s="52" t="s">
        <v>21</v>
      </c>
      <c r="R38" s="93" t="s">
        <v>21</v>
      </c>
      <c r="S38" s="70" t="s">
        <v>21</v>
      </c>
      <c r="T38" s="62" t="s">
        <v>21</v>
      </c>
      <c r="V38" s="113">
        <v>1.1286939300000001</v>
      </c>
      <c r="W38" s="71">
        <v>2.9118106200000002</v>
      </c>
      <c r="X38" s="71">
        <v>4.48738159</v>
      </c>
      <c r="Y38" s="71">
        <v>5.8244766000000006</v>
      </c>
      <c r="Z38" s="114">
        <v>7.4477918700000005</v>
      </c>
    </row>
    <row r="39" spans="2:26" x14ac:dyDescent="0.35">
      <c r="B39" s="78" t="s">
        <v>45</v>
      </c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6"/>
      <c r="P39" s="78"/>
      <c r="Q39" s="77"/>
      <c r="R39" s="94"/>
      <c r="S39" s="77"/>
      <c r="T39" s="76"/>
      <c r="V39" s="111"/>
      <c r="W39" s="106"/>
      <c r="X39" s="106"/>
      <c r="Y39" s="106"/>
      <c r="Z39" s="112"/>
    </row>
    <row r="40" spans="2:26" x14ac:dyDescent="0.35">
      <c r="B40" s="55" t="s">
        <v>46</v>
      </c>
      <c r="C40" s="65" t="s">
        <v>30</v>
      </c>
      <c r="D40" s="65" t="s">
        <v>47</v>
      </c>
      <c r="E40" s="65" t="s">
        <v>430</v>
      </c>
      <c r="F40" s="74">
        <v>2.4414727643128544E-2</v>
      </c>
      <c r="G40" s="79">
        <v>3.1388180749436723E-2</v>
      </c>
      <c r="H40" s="79">
        <v>3.5995974971191454E-2</v>
      </c>
      <c r="I40" s="79">
        <v>3.955687944550413E-2</v>
      </c>
      <c r="J40" s="61">
        <v>4.3213485969612324E-2</v>
      </c>
      <c r="K40" s="74" t="s">
        <v>21</v>
      </c>
      <c r="L40" s="79">
        <v>3.7871474494367203E-3</v>
      </c>
      <c r="M40" s="79">
        <v>7.9088724711914478E-3</v>
      </c>
      <c r="N40" s="79">
        <v>1.0679673645504128E-2</v>
      </c>
      <c r="O40" s="61">
        <v>1.3091074469612328E-2</v>
      </c>
      <c r="P40" s="54" t="s">
        <v>431</v>
      </c>
      <c r="Q40" s="52" t="s">
        <v>432</v>
      </c>
      <c r="R40" s="93" t="s">
        <v>32</v>
      </c>
      <c r="S40" s="70">
        <v>3.472799E-2</v>
      </c>
      <c r="T40" s="62">
        <v>1.2679849711914534E-3</v>
      </c>
      <c r="V40" s="117">
        <v>1.1307269899999999</v>
      </c>
      <c r="W40" s="60">
        <v>2.9361190599999998</v>
      </c>
      <c r="X40" s="60">
        <v>4.5771244500000003</v>
      </c>
      <c r="Y40" s="60">
        <v>6.0217236200000004</v>
      </c>
      <c r="Z40" s="118">
        <v>7.8624367400000006</v>
      </c>
    </row>
    <row r="41" spans="2:26" x14ac:dyDescent="0.35">
      <c r="B41" s="54" t="s">
        <v>46</v>
      </c>
      <c r="C41" s="52" t="s">
        <v>33</v>
      </c>
      <c r="D41" s="52" t="s">
        <v>47</v>
      </c>
      <c r="E41" s="52" t="s">
        <v>433</v>
      </c>
      <c r="F41" s="72">
        <v>2.5096097003585754E-2</v>
      </c>
      <c r="G41" s="70">
        <v>3.3224536202459652E-2</v>
      </c>
      <c r="H41" s="70">
        <v>3.9436193511553301E-2</v>
      </c>
      <c r="I41" s="70">
        <v>4.3571254023767811E-2</v>
      </c>
      <c r="J41" s="62">
        <v>4.7269188422355536E-2</v>
      </c>
      <c r="K41" s="72" t="s">
        <v>21</v>
      </c>
      <c r="L41" s="70">
        <v>5.559295802459654E-3</v>
      </c>
      <c r="M41" s="70">
        <v>1.1221694611553304E-2</v>
      </c>
      <c r="N41" s="70">
        <v>1.4533690023767813E-2</v>
      </c>
      <c r="O41" s="62">
        <v>1.7000627122355533E-2</v>
      </c>
      <c r="P41" s="54" t="s">
        <v>21</v>
      </c>
      <c r="Q41" s="52" t="s">
        <v>21</v>
      </c>
      <c r="R41" s="93" t="s">
        <v>21</v>
      </c>
      <c r="S41" s="70" t="s">
        <v>21</v>
      </c>
      <c r="T41" s="62" t="s">
        <v>21</v>
      </c>
      <c r="V41" s="113">
        <v>1.1294119300000001</v>
      </c>
      <c r="W41" s="71">
        <v>2.92193506</v>
      </c>
      <c r="X41" s="71">
        <v>4.5229950400000005</v>
      </c>
      <c r="Y41" s="71">
        <v>5.9026151699999998</v>
      </c>
      <c r="Z41" s="114">
        <v>7.6269059099999996</v>
      </c>
    </row>
    <row r="42" spans="2:26" x14ac:dyDescent="0.35">
      <c r="B42" s="56" t="s">
        <v>46</v>
      </c>
      <c r="C42" s="66" t="s">
        <v>35</v>
      </c>
      <c r="D42" s="66" t="s">
        <v>47</v>
      </c>
      <c r="E42" s="66" t="s">
        <v>21</v>
      </c>
      <c r="F42" s="73">
        <v>2.6058384908645333E-2</v>
      </c>
      <c r="G42" s="75">
        <v>3.5847681581336742E-2</v>
      </c>
      <c r="H42" s="75">
        <v>4.3747402590768494E-2</v>
      </c>
      <c r="I42" s="75">
        <v>4.9002805127675936E-2</v>
      </c>
      <c r="J42" s="63">
        <v>5.4027679739754135E-2</v>
      </c>
      <c r="K42" s="73" t="s">
        <v>21</v>
      </c>
      <c r="L42" s="75">
        <v>8.1276122813367466E-3</v>
      </c>
      <c r="M42" s="75">
        <v>1.5430460090768504E-2</v>
      </c>
      <c r="N42" s="75">
        <v>1.9820056327675931E-2</v>
      </c>
      <c r="O42" s="63">
        <v>2.3567069639754142E-2</v>
      </c>
      <c r="P42" s="54" t="s">
        <v>21</v>
      </c>
      <c r="Q42" s="52" t="s">
        <v>21</v>
      </c>
      <c r="R42" s="93" t="s">
        <v>21</v>
      </c>
      <c r="S42" s="70" t="s">
        <v>21</v>
      </c>
      <c r="T42" s="62" t="s">
        <v>21</v>
      </c>
      <c r="V42" s="115">
        <v>1.12920205</v>
      </c>
      <c r="W42" s="107">
        <v>2.9168862600000001</v>
      </c>
      <c r="X42" s="107">
        <v>4.5032237000000004</v>
      </c>
      <c r="Y42" s="107">
        <v>5.8581582799999996</v>
      </c>
      <c r="Z42" s="116">
        <v>7.52220567</v>
      </c>
    </row>
    <row r="43" spans="2:26" x14ac:dyDescent="0.35">
      <c r="B43" s="54" t="s">
        <v>49</v>
      </c>
      <c r="C43" s="52" t="s">
        <v>30</v>
      </c>
      <c r="D43" s="52" t="s">
        <v>47</v>
      </c>
      <c r="E43" s="52" t="s">
        <v>356</v>
      </c>
      <c r="F43" s="72">
        <v>2.4208070398754663E-2</v>
      </c>
      <c r="G43" s="70">
        <v>3.0763594679841917E-2</v>
      </c>
      <c r="H43" s="70">
        <v>3.527211639046559E-2</v>
      </c>
      <c r="I43" s="70">
        <v>3.8265552358501417E-2</v>
      </c>
      <c r="J43" s="62">
        <v>4.2056949673905254E-2</v>
      </c>
      <c r="K43" s="72" t="s">
        <v>21</v>
      </c>
      <c r="L43" s="70">
        <v>3.1833410798419188E-3</v>
      </c>
      <c r="M43" s="70">
        <v>7.2093088904655878E-3</v>
      </c>
      <c r="N43" s="70">
        <v>9.4342328585014165E-3</v>
      </c>
      <c r="O43" s="62">
        <v>1.1969375073905259E-2</v>
      </c>
      <c r="P43" s="55" t="s">
        <v>434</v>
      </c>
      <c r="Q43" s="65" t="s">
        <v>435</v>
      </c>
      <c r="R43" s="99" t="s">
        <v>32</v>
      </c>
      <c r="S43" s="79">
        <v>3.4140950000000003E-2</v>
      </c>
      <c r="T43" s="61">
        <v>1.1311663904655864E-3</v>
      </c>
      <c r="V43" s="113">
        <v>1.1311214999999999</v>
      </c>
      <c r="W43" s="71">
        <v>2.9408676300000001</v>
      </c>
      <c r="X43" s="71">
        <v>4.5909076799999999</v>
      </c>
      <c r="Y43" s="71">
        <v>6.0557316299999995</v>
      </c>
      <c r="Z43" s="114">
        <v>7.9324543400000005</v>
      </c>
    </row>
    <row r="44" spans="2:26" x14ac:dyDescent="0.35">
      <c r="B44" s="54" t="s">
        <v>49</v>
      </c>
      <c r="C44" s="52" t="s">
        <v>33</v>
      </c>
      <c r="D44" s="52" t="s">
        <v>47</v>
      </c>
      <c r="E44" s="52" t="s">
        <v>274</v>
      </c>
      <c r="F44" s="72">
        <v>2.4623843679356903E-2</v>
      </c>
      <c r="G44" s="70">
        <v>3.270606178991517E-2</v>
      </c>
      <c r="H44" s="70">
        <v>3.8509754486671266E-2</v>
      </c>
      <c r="I44" s="70">
        <v>4.2384853817163344E-2</v>
      </c>
      <c r="J44" s="62">
        <v>4.6395985089893538E-2</v>
      </c>
      <c r="K44" s="72" t="s">
        <v>21</v>
      </c>
      <c r="L44" s="70">
        <v>5.0619691899151682E-3</v>
      </c>
      <c r="M44" s="70">
        <v>1.033344298667126E-2</v>
      </c>
      <c r="N44" s="70">
        <v>1.3399537617163337E-2</v>
      </c>
      <c r="O44" s="62">
        <v>1.6161672089893546E-2</v>
      </c>
      <c r="P44" s="54" t="s">
        <v>436</v>
      </c>
      <c r="Q44" s="52" t="s">
        <v>437</v>
      </c>
      <c r="R44" s="93" t="s">
        <v>32</v>
      </c>
      <c r="S44" s="70">
        <v>3.9055579999999999E-2</v>
      </c>
      <c r="T44" s="62">
        <v>-5.4582551332873347E-4</v>
      </c>
      <c r="V44" s="113">
        <v>1.1302780100000001</v>
      </c>
      <c r="W44" s="71">
        <v>2.9267919</v>
      </c>
      <c r="X44" s="71">
        <v>4.5384767799999999</v>
      </c>
      <c r="Y44" s="71">
        <v>5.9367369800000001</v>
      </c>
      <c r="Z44" s="114">
        <v>7.6871489999999998</v>
      </c>
    </row>
    <row r="45" spans="2:26" x14ac:dyDescent="0.35">
      <c r="B45" s="56" t="s">
        <v>49</v>
      </c>
      <c r="C45" s="66" t="s">
        <v>35</v>
      </c>
      <c r="D45" s="66" t="s">
        <v>47</v>
      </c>
      <c r="E45" s="66" t="s">
        <v>21</v>
      </c>
      <c r="F45" s="73">
        <v>2.5747380662844974E-2</v>
      </c>
      <c r="G45" s="75">
        <v>3.5006011966578869E-2</v>
      </c>
      <c r="H45" s="75">
        <v>4.2379996427144934E-2</v>
      </c>
      <c r="I45" s="75">
        <v>4.7829905688297841E-2</v>
      </c>
      <c r="J45" s="63">
        <v>5.2763265653313754E-2</v>
      </c>
      <c r="K45" s="73" t="s">
        <v>21</v>
      </c>
      <c r="L45" s="75">
        <v>7.313058966578875E-3</v>
      </c>
      <c r="M45" s="75">
        <v>1.4115172827144938E-2</v>
      </c>
      <c r="N45" s="75">
        <v>1.8696162488297835E-2</v>
      </c>
      <c r="O45" s="63">
        <v>2.2355722953313759E-2</v>
      </c>
      <c r="P45" s="56" t="s">
        <v>21</v>
      </c>
      <c r="Q45" s="66" t="s">
        <v>21</v>
      </c>
      <c r="R45" s="95" t="s">
        <v>21</v>
      </c>
      <c r="S45" s="75" t="s">
        <v>21</v>
      </c>
      <c r="T45" s="63" t="s">
        <v>21</v>
      </c>
      <c r="V45" s="115">
        <v>1.12965498</v>
      </c>
      <c r="W45" s="107">
        <v>2.9217780200000001</v>
      </c>
      <c r="X45" s="107">
        <v>4.5205308899999999</v>
      </c>
      <c r="Y45" s="107">
        <v>5.8902390599999999</v>
      </c>
      <c r="Z45" s="116">
        <v>7.5798598199999994</v>
      </c>
    </row>
    <row r="46" spans="2:26" x14ac:dyDescent="0.35">
      <c r="B46" s="55" t="s">
        <v>50</v>
      </c>
      <c r="C46" s="65" t="s">
        <v>30</v>
      </c>
      <c r="D46" s="65" t="s">
        <v>47</v>
      </c>
      <c r="E46" s="65" t="s">
        <v>179</v>
      </c>
      <c r="F46" s="74">
        <v>2.4039142178032716E-2</v>
      </c>
      <c r="G46" s="79">
        <v>3.0833616816362496E-2</v>
      </c>
      <c r="H46" s="79">
        <v>3.5580645984999451E-2</v>
      </c>
      <c r="I46" s="79">
        <v>3.8858842250559404E-2</v>
      </c>
      <c r="J46" s="61">
        <v>4.246200094813541E-2</v>
      </c>
      <c r="K46" s="74" t="s">
        <v>21</v>
      </c>
      <c r="L46" s="79">
        <v>3.251552716362501E-3</v>
      </c>
      <c r="M46" s="79">
        <v>7.508088684999456E-3</v>
      </c>
      <c r="N46" s="79">
        <v>1.0007597350559408E-2</v>
      </c>
      <c r="O46" s="61">
        <v>1.2364276048135413E-2</v>
      </c>
      <c r="P46" s="54" t="s">
        <v>438</v>
      </c>
      <c r="Q46" s="52" t="s">
        <v>439</v>
      </c>
      <c r="R46" s="93" t="s">
        <v>32</v>
      </c>
      <c r="S46" s="70">
        <v>3.3326600000000005E-2</v>
      </c>
      <c r="T46" s="62">
        <v>2.2540459849994463E-3</v>
      </c>
      <c r="V46" s="117">
        <v>1.1314404199999999</v>
      </c>
      <c r="W46" s="60">
        <v>2.9409831</v>
      </c>
      <c r="X46" s="60">
        <v>4.5875566599999997</v>
      </c>
      <c r="Y46" s="60">
        <v>6.0428738400000004</v>
      </c>
      <c r="Z46" s="118">
        <v>7.9056367399999994</v>
      </c>
    </row>
    <row r="47" spans="2:26" x14ac:dyDescent="0.35">
      <c r="B47" s="54" t="s">
        <v>50</v>
      </c>
      <c r="C47" s="52" t="s">
        <v>33</v>
      </c>
      <c r="D47" s="52" t="s">
        <v>47</v>
      </c>
      <c r="E47" s="52" t="s">
        <v>133</v>
      </c>
      <c r="F47" s="72">
        <v>2.4857160694422377E-2</v>
      </c>
      <c r="G47" s="70">
        <v>3.2923778103607172E-2</v>
      </c>
      <c r="H47" s="70">
        <v>3.8923898037194218E-2</v>
      </c>
      <c r="I47" s="70">
        <v>4.3169523641415936E-2</v>
      </c>
      <c r="J47" s="62">
        <v>4.6862725649663844E-2</v>
      </c>
      <c r="K47" s="72" t="s">
        <v>21</v>
      </c>
      <c r="L47" s="70">
        <v>5.2695322036071671E-3</v>
      </c>
      <c r="M47" s="70">
        <v>1.0729789537194218E-2</v>
      </c>
      <c r="N47" s="70">
        <v>1.4149399541415933E-2</v>
      </c>
      <c r="O47" s="62">
        <v>1.6611046449663842E-2</v>
      </c>
      <c r="P47" s="54" t="s">
        <v>440</v>
      </c>
      <c r="Q47" s="52" t="s">
        <v>441</v>
      </c>
      <c r="R47" s="93" t="s">
        <v>32</v>
      </c>
      <c r="S47" s="70">
        <v>3.4409999999999996E-2</v>
      </c>
      <c r="T47" s="62">
        <v>4.5138980371942222E-3</v>
      </c>
      <c r="V47" s="113">
        <v>1.12987211</v>
      </c>
      <c r="W47" s="71">
        <v>2.9246884799999999</v>
      </c>
      <c r="X47" s="71">
        <v>4.5316768100000004</v>
      </c>
      <c r="Y47" s="71">
        <v>5.9179905900000005</v>
      </c>
      <c r="Z47" s="114">
        <v>7.6530199500000009</v>
      </c>
    </row>
    <row r="48" spans="2:26" x14ac:dyDescent="0.35">
      <c r="B48" s="56" t="s">
        <v>50</v>
      </c>
      <c r="C48" s="66" t="s">
        <v>35</v>
      </c>
      <c r="D48" s="66" t="s">
        <v>47</v>
      </c>
      <c r="E48" s="66" t="s">
        <v>21</v>
      </c>
      <c r="F48" s="73">
        <v>2.6081651441665139E-2</v>
      </c>
      <c r="G48" s="75">
        <v>3.5787447670838378E-2</v>
      </c>
      <c r="H48" s="75">
        <v>4.3647129993247845E-2</v>
      </c>
      <c r="I48" s="75">
        <v>4.9083354849727485E-2</v>
      </c>
      <c r="J48" s="63">
        <v>5.4010459124720106E-2</v>
      </c>
      <c r="K48" s="73" t="s">
        <v>21</v>
      </c>
      <c r="L48" s="75">
        <v>8.0695531708383852E-3</v>
      </c>
      <c r="M48" s="75">
        <v>1.5334233493247857E-2</v>
      </c>
      <c r="N48" s="75">
        <v>1.9897206849727497E-2</v>
      </c>
      <c r="O48" s="63">
        <v>2.3551327224720107E-2</v>
      </c>
      <c r="P48" s="54" t="s">
        <v>21</v>
      </c>
      <c r="Q48" s="52" t="s">
        <v>21</v>
      </c>
      <c r="R48" s="93" t="s">
        <v>21</v>
      </c>
      <c r="S48" s="70" t="s">
        <v>21</v>
      </c>
      <c r="T48" s="62" t="s">
        <v>21</v>
      </c>
      <c r="V48" s="115">
        <v>1.12916511</v>
      </c>
      <c r="W48" s="107">
        <v>2.9171098500000001</v>
      </c>
      <c r="X48" s="107">
        <v>4.5043543800000005</v>
      </c>
      <c r="Y48" s="107">
        <v>5.8586046099999995</v>
      </c>
      <c r="Z48" s="116">
        <v>7.5222665499999994</v>
      </c>
    </row>
    <row r="49" spans="2:26" x14ac:dyDescent="0.35">
      <c r="B49" s="78" t="s">
        <v>51</v>
      </c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6"/>
      <c r="P49" s="78"/>
      <c r="Q49" s="77"/>
      <c r="R49" s="94"/>
      <c r="S49" s="77"/>
      <c r="T49" s="76"/>
      <c r="V49" s="111"/>
      <c r="W49" s="106"/>
      <c r="X49" s="106"/>
      <c r="Y49" s="106"/>
      <c r="Z49" s="112"/>
    </row>
    <row r="50" spans="2:26" x14ac:dyDescent="0.35">
      <c r="B50" s="55" t="s">
        <v>52</v>
      </c>
      <c r="C50" s="65" t="s">
        <v>30</v>
      </c>
      <c r="D50" s="65" t="s">
        <v>53</v>
      </c>
      <c r="E50" s="65" t="s">
        <v>57</v>
      </c>
      <c r="F50" s="74">
        <v>2.5111267442381402E-2</v>
      </c>
      <c r="G50" s="79">
        <v>3.1543090086035355E-2</v>
      </c>
      <c r="H50" s="79">
        <v>3.5736842163460514E-2</v>
      </c>
      <c r="I50" s="79">
        <v>3.8721541470745434E-2</v>
      </c>
      <c r="J50" s="61">
        <v>4.1990936229701251E-2</v>
      </c>
      <c r="K50" s="74" t="s">
        <v>21</v>
      </c>
      <c r="L50" s="79">
        <v>3.9370964860353528E-3</v>
      </c>
      <c r="M50" s="79">
        <v>7.6583934634605151E-3</v>
      </c>
      <c r="N50" s="79">
        <v>9.8735330707454341E-3</v>
      </c>
      <c r="O50" s="61">
        <v>1.1904737729701248E-2</v>
      </c>
      <c r="P50" s="54" t="s">
        <v>442</v>
      </c>
      <c r="Q50" s="52" t="s">
        <v>443</v>
      </c>
      <c r="R50" s="93" t="s">
        <v>32</v>
      </c>
      <c r="S50" s="70">
        <v>3.2694000000000001E-2</v>
      </c>
      <c r="T50" s="62">
        <v>3.0428421634605129E-3</v>
      </c>
      <c r="V50" s="117">
        <v>1.12937197</v>
      </c>
      <c r="W50" s="60">
        <v>2.9326828799999998</v>
      </c>
      <c r="X50" s="60">
        <v>4.5761932399999994</v>
      </c>
      <c r="Y50" s="60">
        <v>6.0339130400000007</v>
      </c>
      <c r="Z50" s="118">
        <v>7.9109296699999998</v>
      </c>
    </row>
    <row r="51" spans="2:26" x14ac:dyDescent="0.35">
      <c r="B51" s="54" t="s">
        <v>52</v>
      </c>
      <c r="C51" s="52" t="s">
        <v>33</v>
      </c>
      <c r="D51" s="52" t="s">
        <v>53</v>
      </c>
      <c r="E51" s="52" t="s">
        <v>58</v>
      </c>
      <c r="F51" s="72">
        <v>2.5519073419418482E-2</v>
      </c>
      <c r="G51" s="70">
        <v>3.2977304940550185E-2</v>
      </c>
      <c r="H51" s="70">
        <v>3.8821211054857918E-2</v>
      </c>
      <c r="I51" s="70">
        <v>4.259271618826007E-2</v>
      </c>
      <c r="J51" s="62">
        <v>4.6279877551183651E-2</v>
      </c>
      <c r="K51" s="72" t="s">
        <v>21</v>
      </c>
      <c r="L51" s="70">
        <v>5.3209956405501852E-3</v>
      </c>
      <c r="M51" s="70">
        <v>1.0630770854857923E-2</v>
      </c>
      <c r="N51" s="70">
        <v>1.3596640288260067E-2</v>
      </c>
      <c r="O51" s="62">
        <v>1.604823205118365E-2</v>
      </c>
      <c r="P51" s="54" t="s">
        <v>444</v>
      </c>
      <c r="Q51" s="52" t="s">
        <v>445</v>
      </c>
      <c r="R51" s="93" t="s">
        <v>32</v>
      </c>
      <c r="S51" s="70">
        <v>3.4723709999999998E-2</v>
      </c>
      <c r="T51" s="62">
        <v>4.0975010548579202E-3</v>
      </c>
      <c r="V51" s="113">
        <v>1.1285925000000001</v>
      </c>
      <c r="W51" s="71">
        <v>2.9220578099999996</v>
      </c>
      <c r="X51" s="71">
        <v>4.5301421299999998</v>
      </c>
      <c r="Y51" s="71">
        <v>5.92512039</v>
      </c>
      <c r="Z51" s="114">
        <v>7.67824084</v>
      </c>
    </row>
    <row r="52" spans="2:26" x14ac:dyDescent="0.35">
      <c r="B52" s="56" t="s">
        <v>52</v>
      </c>
      <c r="C52" s="66" t="s">
        <v>35</v>
      </c>
      <c r="D52" s="66" t="s">
        <v>53</v>
      </c>
      <c r="E52" s="66" t="s">
        <v>351</v>
      </c>
      <c r="F52" s="73">
        <v>2.610325156598943E-2</v>
      </c>
      <c r="G52" s="75">
        <v>3.5855490333523199E-2</v>
      </c>
      <c r="H52" s="75">
        <v>4.3550748015964903E-2</v>
      </c>
      <c r="I52" s="75">
        <v>4.8988717739907074E-2</v>
      </c>
      <c r="J52" s="63">
        <v>5.3651409433429699E-2</v>
      </c>
      <c r="K52" s="73" t="s">
        <v>21</v>
      </c>
      <c r="L52" s="75">
        <v>8.1357830335232074E-3</v>
      </c>
      <c r="M52" s="75">
        <v>1.5241871415964909E-2</v>
      </c>
      <c r="N52" s="75">
        <v>1.9806708839907067E-2</v>
      </c>
      <c r="O52" s="63">
        <v>2.3207759633429699E-2</v>
      </c>
      <c r="P52" s="54" t="s">
        <v>21</v>
      </c>
      <c r="Q52" s="52" t="s">
        <v>21</v>
      </c>
      <c r="R52" s="93" t="s">
        <v>21</v>
      </c>
      <c r="S52" s="70" t="s">
        <v>21</v>
      </c>
      <c r="T52" s="62" t="s">
        <v>21</v>
      </c>
      <c r="V52" s="115">
        <v>1.1291271300000001</v>
      </c>
      <c r="W52" s="107">
        <v>2.91670973</v>
      </c>
      <c r="X52" s="107">
        <v>4.5046143499999998</v>
      </c>
      <c r="Y52" s="107">
        <v>5.8601200499999999</v>
      </c>
      <c r="Z52" s="116">
        <v>7.5305367799999994</v>
      </c>
    </row>
    <row r="53" spans="2:26" x14ac:dyDescent="0.35">
      <c r="B53" s="54" t="s">
        <v>56</v>
      </c>
      <c r="C53" s="52" t="s">
        <v>30</v>
      </c>
      <c r="D53" s="52" t="s">
        <v>53</v>
      </c>
      <c r="E53" s="52" t="s">
        <v>446</v>
      </c>
      <c r="F53" s="72">
        <v>2.4753473877556397E-2</v>
      </c>
      <c r="G53" s="70">
        <v>3.1490402804879802E-2</v>
      </c>
      <c r="H53" s="70">
        <v>3.5737985274302102E-2</v>
      </c>
      <c r="I53" s="70">
        <v>3.8917544989656265E-2</v>
      </c>
      <c r="J53" s="62">
        <v>4.1995511248235959E-2</v>
      </c>
      <c r="K53" s="72" t="s">
        <v>21</v>
      </c>
      <c r="L53" s="70">
        <v>3.8862879048798004E-3</v>
      </c>
      <c r="M53" s="70">
        <v>7.6596855743020966E-3</v>
      </c>
      <c r="N53" s="70">
        <v>1.0062939189656268E-2</v>
      </c>
      <c r="O53" s="62">
        <v>1.1911000648235952E-2</v>
      </c>
      <c r="P53" s="55" t="s">
        <v>447</v>
      </c>
      <c r="Q53" s="65" t="s">
        <v>448</v>
      </c>
      <c r="R53" s="99" t="s">
        <v>32</v>
      </c>
      <c r="S53" s="79">
        <v>4.1482369999999998E-2</v>
      </c>
      <c r="T53" s="61">
        <v>-5.7443847256978958E-3</v>
      </c>
      <c r="V53" s="113">
        <v>1.13006311</v>
      </c>
      <c r="W53" s="71">
        <v>2.9342629200000001</v>
      </c>
      <c r="X53" s="71">
        <v>4.5778122300000001</v>
      </c>
      <c r="Y53" s="71">
        <v>6.0325678099999998</v>
      </c>
      <c r="Z53" s="114">
        <v>7.9077225700000007</v>
      </c>
    </row>
    <row r="54" spans="2:26" x14ac:dyDescent="0.35">
      <c r="B54" s="54" t="s">
        <v>56</v>
      </c>
      <c r="C54" s="52" t="s">
        <v>33</v>
      </c>
      <c r="D54" s="52" t="s">
        <v>53</v>
      </c>
      <c r="E54" s="52" t="s">
        <v>449</v>
      </c>
      <c r="F54" s="72">
        <v>2.543886232016921E-2</v>
      </c>
      <c r="G54" s="70">
        <v>3.2854331083092533E-2</v>
      </c>
      <c r="H54" s="70">
        <v>3.8514911052917017E-2</v>
      </c>
      <c r="I54" s="70">
        <v>4.2150666406365174E-2</v>
      </c>
      <c r="J54" s="62">
        <v>4.5739214138150019E-2</v>
      </c>
      <c r="K54" s="72" t="s">
        <v>21</v>
      </c>
      <c r="L54" s="70">
        <v>5.2020901830925372E-3</v>
      </c>
      <c r="M54" s="70">
        <v>1.0336071752917014E-2</v>
      </c>
      <c r="N54" s="70">
        <v>1.3172735506365177E-2</v>
      </c>
      <c r="O54" s="62">
        <v>1.5527692638150025E-2</v>
      </c>
      <c r="P54" s="54" t="s">
        <v>450</v>
      </c>
      <c r="Q54" s="52" t="s">
        <v>451</v>
      </c>
      <c r="R54" s="93" t="s">
        <v>32</v>
      </c>
      <c r="S54" s="70">
        <v>3.6038100000000003E-2</v>
      </c>
      <c r="T54" s="62">
        <v>2.4768110529170134E-3</v>
      </c>
      <c r="V54" s="113">
        <v>1.1287541999999999</v>
      </c>
      <c r="W54" s="71">
        <v>2.9231400399999998</v>
      </c>
      <c r="X54" s="71">
        <v>4.5346738799999997</v>
      </c>
      <c r="Y54" s="71">
        <v>5.9366306700000004</v>
      </c>
      <c r="Z54" s="114">
        <v>7.7049425099999995</v>
      </c>
    </row>
    <row r="55" spans="2:26" x14ac:dyDescent="0.35">
      <c r="B55" s="54" t="s">
        <v>56</v>
      </c>
      <c r="C55" s="52" t="s">
        <v>35</v>
      </c>
      <c r="D55" s="52" t="s">
        <v>53</v>
      </c>
      <c r="E55" s="52" t="s">
        <v>54</v>
      </c>
      <c r="F55" s="72">
        <v>2.5759058779694227E-2</v>
      </c>
      <c r="G55" s="70">
        <v>3.5057147566287451E-2</v>
      </c>
      <c r="H55" s="70">
        <v>4.2280682567159146E-2</v>
      </c>
      <c r="I55" s="70">
        <v>4.745357691524818E-2</v>
      </c>
      <c r="J55" s="62">
        <v>5.2212074689913762E-2</v>
      </c>
      <c r="K55" s="72" t="s">
        <v>21</v>
      </c>
      <c r="L55" s="70">
        <v>7.364061366287443E-3</v>
      </c>
      <c r="M55" s="70">
        <v>1.4020622167159146E-2</v>
      </c>
      <c r="N55" s="70">
        <v>1.8336115015248174E-2</v>
      </c>
      <c r="O55" s="62">
        <v>2.1826802189913765E-2</v>
      </c>
      <c r="P55" s="56" t="s">
        <v>452</v>
      </c>
      <c r="Q55" s="66" t="s">
        <v>453</v>
      </c>
      <c r="R55" s="95" t="s">
        <v>32</v>
      </c>
      <c r="S55" s="75">
        <v>3.9543590000000003E-2</v>
      </c>
      <c r="T55" s="63">
        <v>2.7370925671591426E-3</v>
      </c>
      <c r="V55" s="113">
        <v>1.1296137899999998</v>
      </c>
      <c r="W55" s="71">
        <v>2.9214462800000001</v>
      </c>
      <c r="X55" s="71">
        <v>4.5208941899999999</v>
      </c>
      <c r="Y55" s="71">
        <v>5.8948551399999998</v>
      </c>
      <c r="Z55" s="114">
        <v>7.5962771700000005</v>
      </c>
    </row>
    <row r="56" spans="2:26" x14ac:dyDescent="0.35">
      <c r="B56" s="78" t="s">
        <v>59</v>
      </c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6"/>
      <c r="P56" s="78"/>
      <c r="Q56" s="77"/>
      <c r="R56" s="94"/>
      <c r="S56" s="77"/>
      <c r="T56" s="76"/>
      <c r="V56" s="111"/>
      <c r="W56" s="106"/>
      <c r="X56" s="106"/>
      <c r="Y56" s="106"/>
      <c r="Z56" s="112"/>
    </row>
    <row r="57" spans="2:26" x14ac:dyDescent="0.35">
      <c r="B57" s="55" t="s">
        <v>60</v>
      </c>
      <c r="C57" s="65" t="s">
        <v>61</v>
      </c>
      <c r="D57" s="65" t="s">
        <v>62</v>
      </c>
      <c r="E57" s="65" t="s">
        <v>179</v>
      </c>
      <c r="F57" s="74">
        <v>2.5513270126538482E-2</v>
      </c>
      <c r="G57" s="79">
        <v>3.1872033494163877E-2</v>
      </c>
      <c r="H57" s="79">
        <v>3.6248767107230642E-2</v>
      </c>
      <c r="I57" s="79">
        <v>3.9074334486808644E-2</v>
      </c>
      <c r="J57" s="61">
        <v>4.230066575031366E-2</v>
      </c>
      <c r="K57" s="74" t="s">
        <v>21</v>
      </c>
      <c r="L57" s="79">
        <v>4.2562189941638788E-3</v>
      </c>
      <c r="M57" s="79">
        <v>8.1537592072306389E-3</v>
      </c>
      <c r="N57" s="79">
        <v>1.0214706186808642E-2</v>
      </c>
      <c r="O57" s="61">
        <v>1.2204830250313667E-2</v>
      </c>
      <c r="P57" s="54" t="s">
        <v>454</v>
      </c>
      <c r="Q57" s="52" t="s">
        <v>455</v>
      </c>
      <c r="R57" s="93" t="s">
        <v>32</v>
      </c>
      <c r="S57" s="70">
        <v>0</v>
      </c>
      <c r="T57" s="62">
        <v>3.6248767107230642E-2</v>
      </c>
      <c r="V57" s="117">
        <v>1.1285678299999999</v>
      </c>
      <c r="W57" s="60">
        <v>2.9291054999999999</v>
      </c>
      <c r="X57" s="60">
        <v>4.5665259000000002</v>
      </c>
      <c r="Y57" s="60">
        <v>6.0180047800000001</v>
      </c>
      <c r="Z57" s="118">
        <v>7.8862960499999994</v>
      </c>
    </row>
    <row r="58" spans="2:26" x14ac:dyDescent="0.35">
      <c r="B58" s="56" t="s">
        <v>60</v>
      </c>
      <c r="C58" s="66" t="s">
        <v>63</v>
      </c>
      <c r="D58" s="66" t="s">
        <v>62</v>
      </c>
      <c r="E58" s="66" t="s">
        <v>21</v>
      </c>
      <c r="F58" s="73">
        <v>2.7242917683974025E-2</v>
      </c>
      <c r="G58" s="75">
        <v>3.5094360347871771E-2</v>
      </c>
      <c r="H58" s="75">
        <v>4.0956501854661084E-2</v>
      </c>
      <c r="I58" s="75">
        <v>4.4794476818587968E-2</v>
      </c>
      <c r="J58" s="63">
        <v>4.8195777780238411E-2</v>
      </c>
      <c r="K58" s="73">
        <v>1.2755378397402012E-4</v>
      </c>
      <c r="L58" s="75">
        <v>7.4089744478717705E-3</v>
      </c>
      <c r="M58" s="75">
        <v>1.2750166954661081E-2</v>
      </c>
      <c r="N58" s="75">
        <v>1.5784335018587971E-2</v>
      </c>
      <c r="O58" s="63">
        <v>1.7960098980238412E-2</v>
      </c>
      <c r="P58" s="54" t="s">
        <v>21</v>
      </c>
      <c r="Q58" s="52" t="s">
        <v>21</v>
      </c>
      <c r="R58" s="93" t="s">
        <v>21</v>
      </c>
      <c r="S58" s="70" t="s">
        <v>21</v>
      </c>
      <c r="T58" s="62" t="s">
        <v>21</v>
      </c>
      <c r="V58" s="115">
        <v>1.1271511200000002</v>
      </c>
      <c r="W58" s="107">
        <v>2.9170015899999999</v>
      </c>
      <c r="X58" s="107">
        <v>4.5270154600000003</v>
      </c>
      <c r="Y58" s="107">
        <v>5.9325948500000001</v>
      </c>
      <c r="Z58" s="116">
        <v>7.7197690799999998</v>
      </c>
    </row>
    <row r="59" spans="2:26" x14ac:dyDescent="0.35">
      <c r="B59" s="55" t="s">
        <v>64</v>
      </c>
      <c r="C59" s="65" t="s">
        <v>65</v>
      </c>
      <c r="D59" s="65" t="s">
        <v>62</v>
      </c>
      <c r="E59" s="65" t="s">
        <v>179</v>
      </c>
      <c r="F59" s="74">
        <v>2.4799740341741781E-2</v>
      </c>
      <c r="G59" s="79">
        <v>3.2122537701440211E-2</v>
      </c>
      <c r="H59" s="79">
        <v>3.7538549082250072E-2</v>
      </c>
      <c r="I59" s="79">
        <v>4.0909775893900623E-2</v>
      </c>
      <c r="J59" s="61">
        <v>4.410590811647791E-2</v>
      </c>
      <c r="K59" s="74" t="s">
        <v>21</v>
      </c>
      <c r="L59" s="79">
        <v>4.4959891014402127E-3</v>
      </c>
      <c r="M59" s="79">
        <v>9.396514182250076E-3</v>
      </c>
      <c r="N59" s="79">
        <v>1.1982010193900623E-2</v>
      </c>
      <c r="O59" s="61">
        <v>1.3954454016477909E-2</v>
      </c>
      <c r="P59" s="55" t="s">
        <v>21</v>
      </c>
      <c r="Q59" s="65" t="s">
        <v>21</v>
      </c>
      <c r="R59" s="99" t="s">
        <v>21</v>
      </c>
      <c r="S59" s="79" t="s">
        <v>21</v>
      </c>
      <c r="T59" s="61" t="s">
        <v>21</v>
      </c>
      <c r="V59" s="117">
        <v>1.1299925100000001</v>
      </c>
      <c r="W59" s="60">
        <v>2.9300666799999999</v>
      </c>
      <c r="X59" s="60">
        <v>4.5532910900000001</v>
      </c>
      <c r="Y59" s="60">
        <v>5.9748117000000001</v>
      </c>
      <c r="Z59" s="118">
        <v>7.7880823100000001</v>
      </c>
    </row>
    <row r="60" spans="2:26" x14ac:dyDescent="0.35">
      <c r="B60" s="56" t="s">
        <v>64</v>
      </c>
      <c r="C60" s="66" t="s">
        <v>66</v>
      </c>
      <c r="D60" s="66" t="s">
        <v>62</v>
      </c>
      <c r="E60" s="66" t="s">
        <v>21</v>
      </c>
      <c r="F60" s="73">
        <v>2.5877665917616012E-2</v>
      </c>
      <c r="G60" s="75">
        <v>3.461937937349855E-2</v>
      </c>
      <c r="H60" s="75">
        <v>4.1592097252058605E-2</v>
      </c>
      <c r="I60" s="75">
        <v>4.5366355450459209E-2</v>
      </c>
      <c r="J60" s="63">
        <v>4.9598455641135797E-2</v>
      </c>
      <c r="K60" s="73" t="s">
        <v>21</v>
      </c>
      <c r="L60" s="75">
        <v>6.9419475734985494E-3</v>
      </c>
      <c r="M60" s="75">
        <v>1.3358542552058608E-2</v>
      </c>
      <c r="N60" s="75">
        <v>1.6332420550459206E-2</v>
      </c>
      <c r="O60" s="63">
        <v>1.9310940141135803E-2</v>
      </c>
      <c r="P60" s="56" t="s">
        <v>21</v>
      </c>
      <c r="Q60" s="66" t="s">
        <v>21</v>
      </c>
      <c r="R60" s="95" t="s">
        <v>21</v>
      </c>
      <c r="S60" s="75" t="s">
        <v>21</v>
      </c>
      <c r="T60" s="63" t="s">
        <v>21</v>
      </c>
      <c r="V60" s="115">
        <v>1.1294115900000001</v>
      </c>
      <c r="W60" s="107">
        <v>2.92319738</v>
      </c>
      <c r="X60" s="107">
        <v>4.5289624599999998</v>
      </c>
      <c r="Y60" s="107">
        <v>5.9265118999999995</v>
      </c>
      <c r="Z60" s="116">
        <v>7.6852874</v>
      </c>
    </row>
    <row r="61" spans="2:26" x14ac:dyDescent="0.35">
      <c r="B61" s="78" t="s">
        <v>226</v>
      </c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6"/>
      <c r="P61" s="78"/>
      <c r="Q61" s="77"/>
      <c r="R61" s="94"/>
      <c r="S61" s="77"/>
      <c r="T61" s="76"/>
      <c r="V61" s="111"/>
      <c r="W61" s="106"/>
      <c r="X61" s="106"/>
      <c r="Y61" s="106"/>
      <c r="Z61" s="112"/>
    </row>
    <row r="62" spans="2:26" x14ac:dyDescent="0.35">
      <c r="B62" s="55" t="s">
        <v>227</v>
      </c>
      <c r="C62" s="65" t="s">
        <v>61</v>
      </c>
      <c r="D62" s="65" t="s">
        <v>97</v>
      </c>
      <c r="E62" s="65" t="s">
        <v>21</v>
      </c>
      <c r="F62" s="74">
        <v>2.3931043500618542E-2</v>
      </c>
      <c r="G62" s="79">
        <v>3.0071618347564312E-2</v>
      </c>
      <c r="H62" s="79">
        <v>3.3879922763730197E-2</v>
      </c>
      <c r="I62" s="79">
        <v>3.6317600537893506E-2</v>
      </c>
      <c r="J62" s="61">
        <v>3.8682746294749631E-2</v>
      </c>
      <c r="K62" s="74" t="s">
        <v>21</v>
      </c>
      <c r="L62" s="79">
        <v>2.512904547564311E-3</v>
      </c>
      <c r="M62" s="79">
        <v>5.8603581637302043E-3</v>
      </c>
      <c r="N62" s="79">
        <v>7.547676437893505E-3</v>
      </c>
      <c r="O62" s="61">
        <v>8.6874936947496286E-3</v>
      </c>
      <c r="P62" s="54" t="s">
        <v>21</v>
      </c>
      <c r="Q62" s="52" t="s">
        <v>21</v>
      </c>
      <c r="R62" s="93" t="s">
        <v>21</v>
      </c>
      <c r="S62" s="70" t="s">
        <v>21</v>
      </c>
      <c r="T62" s="62" t="s">
        <v>21</v>
      </c>
      <c r="V62" s="117">
        <v>1.13166681</v>
      </c>
      <c r="W62" s="60">
        <v>2.9463433299999999</v>
      </c>
      <c r="X62" s="60">
        <v>4.61273483</v>
      </c>
      <c r="Y62" s="60">
        <v>6.1095825399999999</v>
      </c>
      <c r="Z62" s="118">
        <v>8.0822107600000006</v>
      </c>
    </row>
    <row r="63" spans="2:26" x14ac:dyDescent="0.35">
      <c r="B63" s="56" t="s">
        <v>227</v>
      </c>
      <c r="C63" s="66" t="s">
        <v>63</v>
      </c>
      <c r="D63" s="66" t="s">
        <v>97</v>
      </c>
      <c r="E63" s="66" t="s">
        <v>21</v>
      </c>
      <c r="F63" s="73">
        <v>2.5350074575523983E-2</v>
      </c>
      <c r="G63" s="75">
        <v>3.2817144159582007E-2</v>
      </c>
      <c r="H63" s="75">
        <v>3.8018788973080656E-2</v>
      </c>
      <c r="I63" s="75">
        <v>4.1573960228943892E-2</v>
      </c>
      <c r="J63" s="63">
        <v>4.4547092316985545E-2</v>
      </c>
      <c r="K63" s="73" t="s">
        <v>21</v>
      </c>
      <c r="L63" s="75">
        <v>5.1950049595820055E-3</v>
      </c>
      <c r="M63" s="75">
        <v>9.903476673080655E-3</v>
      </c>
      <c r="N63" s="75">
        <v>1.2673723328943896E-2</v>
      </c>
      <c r="O63" s="63">
        <v>1.4426718016985541E-2</v>
      </c>
      <c r="P63" s="54" t="s">
        <v>21</v>
      </c>
      <c r="Q63" s="52" t="s">
        <v>21</v>
      </c>
      <c r="R63" s="93" t="s">
        <v>21</v>
      </c>
      <c r="S63" s="70" t="s">
        <v>21</v>
      </c>
      <c r="T63" s="62" t="s">
        <v>21</v>
      </c>
      <c r="V63" s="113">
        <v>1.13016088</v>
      </c>
      <c r="W63" s="107">
        <v>2.9333179999999999</v>
      </c>
      <c r="X63" s="107">
        <v>4.57012324</v>
      </c>
      <c r="Y63" s="107">
        <v>6.0156476300000001</v>
      </c>
      <c r="Z63" s="114">
        <v>7.8826473800000008</v>
      </c>
    </row>
    <row r="64" spans="2:26" x14ac:dyDescent="0.35">
      <c r="B64" s="55" t="s">
        <v>228</v>
      </c>
      <c r="C64" s="65" t="s">
        <v>65</v>
      </c>
      <c r="D64" s="65" t="s">
        <v>97</v>
      </c>
      <c r="E64" s="65" t="s">
        <v>21</v>
      </c>
      <c r="F64" s="74">
        <v>2.4669969837087479E-2</v>
      </c>
      <c r="G64" s="79">
        <v>3.2123520333161661E-2</v>
      </c>
      <c r="H64" s="79">
        <v>3.7588539093260112E-2</v>
      </c>
      <c r="I64" s="79">
        <v>4.090984806507611E-2</v>
      </c>
      <c r="J64" s="61">
        <v>4.4484928227661084E-2</v>
      </c>
      <c r="K64" s="74" t="s">
        <v>21</v>
      </c>
      <c r="L64" s="79">
        <v>4.4977085331616594E-3</v>
      </c>
      <c r="M64" s="79">
        <v>9.4452610932601131E-3</v>
      </c>
      <c r="N64" s="79">
        <v>1.1982702965076104E-2</v>
      </c>
      <c r="O64" s="61">
        <v>1.4319543027661089E-2</v>
      </c>
      <c r="P64" s="55" t="s">
        <v>21</v>
      </c>
      <c r="Q64" s="65" t="s">
        <v>21</v>
      </c>
      <c r="R64" s="99" t="s">
        <v>21</v>
      </c>
      <c r="S64" s="79" t="s">
        <v>21</v>
      </c>
      <c r="T64" s="61" t="s">
        <v>21</v>
      </c>
      <c r="V64" s="117">
        <v>1.13022898</v>
      </c>
      <c r="W64" s="60">
        <v>2.9304766400000002</v>
      </c>
      <c r="X64" s="60">
        <v>4.5531331399999999</v>
      </c>
      <c r="Y64" s="60">
        <v>5.9744707100000003</v>
      </c>
      <c r="Z64" s="118">
        <v>7.7786890299999998</v>
      </c>
    </row>
    <row r="65" spans="2:26" x14ac:dyDescent="0.35">
      <c r="B65" s="56" t="s">
        <v>228</v>
      </c>
      <c r="C65" s="66" t="s">
        <v>66</v>
      </c>
      <c r="D65" s="66" t="s">
        <v>97</v>
      </c>
      <c r="E65" s="66" t="s">
        <v>21</v>
      </c>
      <c r="F65" s="73">
        <v>2.580168391526837E-2</v>
      </c>
      <c r="G65" s="75">
        <v>3.5176011625972621E-2</v>
      </c>
      <c r="H65" s="75">
        <v>4.2473639267977766E-2</v>
      </c>
      <c r="I65" s="75">
        <v>4.7272009838419185E-2</v>
      </c>
      <c r="J65" s="63">
        <v>5.1495681410202263E-2</v>
      </c>
      <c r="K65" s="73" t="s">
        <v>21</v>
      </c>
      <c r="L65" s="75">
        <v>7.4802051259726145E-3</v>
      </c>
      <c r="M65" s="75">
        <v>1.4207181367977773E-2</v>
      </c>
      <c r="N65" s="75">
        <v>1.8162711138419187E-2</v>
      </c>
      <c r="O65" s="63">
        <v>2.1139203310202269E-2</v>
      </c>
      <c r="P65" s="56" t="s">
        <v>21</v>
      </c>
      <c r="Q65" s="66" t="s">
        <v>21</v>
      </c>
      <c r="R65" s="95" t="s">
        <v>21</v>
      </c>
      <c r="S65" s="75" t="s">
        <v>21</v>
      </c>
      <c r="T65" s="63" t="s">
        <v>21</v>
      </c>
      <c r="V65" s="115">
        <v>1.1295345700000001</v>
      </c>
      <c r="W65" s="71">
        <v>2.9207205599999999</v>
      </c>
      <c r="X65" s="71">
        <v>4.5183935599999998</v>
      </c>
      <c r="Y65" s="71">
        <v>5.89394799</v>
      </c>
      <c r="Z65" s="114">
        <v>7.6096330399999994</v>
      </c>
    </row>
    <row r="66" spans="2:26" x14ac:dyDescent="0.35">
      <c r="B66" s="56" t="s">
        <v>306</v>
      </c>
      <c r="C66" s="66" t="s">
        <v>61</v>
      </c>
      <c r="D66" s="66" t="s">
        <v>97</v>
      </c>
      <c r="E66" s="66" t="s">
        <v>21</v>
      </c>
      <c r="F66" s="73">
        <v>2.3667740408082241E-2</v>
      </c>
      <c r="G66" s="75">
        <v>2.9871558846051503E-2</v>
      </c>
      <c r="H66" s="75">
        <v>3.3672975230385746E-2</v>
      </c>
      <c r="I66" s="75">
        <v>3.6214544108319105E-2</v>
      </c>
      <c r="J66" s="63">
        <v>3.8872931718148686E-2</v>
      </c>
      <c r="K66" s="73" t="s">
        <v>21</v>
      </c>
      <c r="L66" s="75">
        <v>2.3195545460515062E-3</v>
      </c>
      <c r="M66" s="75">
        <v>5.6599745303857491E-3</v>
      </c>
      <c r="N66" s="75">
        <v>7.4480399083190962E-3</v>
      </c>
      <c r="O66" s="63">
        <v>8.8732560181486852E-3</v>
      </c>
      <c r="P66" s="56" t="s">
        <v>21</v>
      </c>
      <c r="Q66" s="66" t="s">
        <v>21</v>
      </c>
      <c r="R66" s="95" t="s">
        <v>21</v>
      </c>
      <c r="S66" s="75" t="s">
        <v>21</v>
      </c>
      <c r="T66" s="63" t="s">
        <v>21</v>
      </c>
      <c r="V66" s="117">
        <v>1.1321673000000001</v>
      </c>
      <c r="W66" s="60">
        <v>2.9485408</v>
      </c>
      <c r="X66" s="60">
        <v>4.6175517800000003</v>
      </c>
      <c r="Y66" s="60">
        <v>6.1163220900000006</v>
      </c>
      <c r="Z66" s="118">
        <v>8.0842938499999999</v>
      </c>
    </row>
    <row r="67" spans="2:26" x14ac:dyDescent="0.35">
      <c r="B67" s="78" t="s">
        <v>301</v>
      </c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6"/>
      <c r="P67" s="78"/>
      <c r="Q67" s="77"/>
      <c r="R67" s="94"/>
      <c r="S67" s="77"/>
      <c r="T67" s="76"/>
      <c r="V67" s="111"/>
      <c r="W67" s="106"/>
      <c r="X67" s="106"/>
      <c r="Y67" s="106"/>
      <c r="Z67" s="112"/>
    </row>
    <row r="68" spans="2:26" x14ac:dyDescent="0.35">
      <c r="B68" s="55" t="s">
        <v>303</v>
      </c>
      <c r="C68" s="65" t="s">
        <v>30</v>
      </c>
      <c r="D68" s="65" t="s">
        <v>304</v>
      </c>
      <c r="E68" s="65" t="s">
        <v>21</v>
      </c>
      <c r="F68" s="74">
        <v>2.4020664511541813E-2</v>
      </c>
      <c r="G68" s="79">
        <v>3.0492750930767542E-2</v>
      </c>
      <c r="H68" s="79">
        <v>3.4499877519413545E-2</v>
      </c>
      <c r="I68" s="79">
        <v>3.7563934886680507E-2</v>
      </c>
      <c r="J68" s="61">
        <v>4.0771541761576061E-2</v>
      </c>
      <c r="K68" s="74" t="s">
        <v>21</v>
      </c>
      <c r="L68" s="79">
        <v>2.9210967307675404E-3</v>
      </c>
      <c r="M68" s="79">
        <v>6.4616226194135536E-3</v>
      </c>
      <c r="N68" s="79">
        <v>8.7552526866805022E-3</v>
      </c>
      <c r="O68" s="61">
        <v>1.0722749361576059E-2</v>
      </c>
      <c r="P68" s="54" t="s">
        <v>21</v>
      </c>
      <c r="Q68" s="52" t="s">
        <v>21</v>
      </c>
      <c r="R68" s="93" t="s">
        <v>21</v>
      </c>
      <c r="S68" s="70" t="s">
        <v>21</v>
      </c>
      <c r="T68" s="62" t="s">
        <v>21</v>
      </c>
      <c r="V68" s="117">
        <v>1.1314868299999998</v>
      </c>
      <c r="W68" s="60">
        <v>2.9432819800000001</v>
      </c>
      <c r="X68" s="60">
        <v>4.6021045799999998</v>
      </c>
      <c r="Y68" s="60">
        <v>6.0791836699999999</v>
      </c>
      <c r="Z68" s="118">
        <v>7.9912192699999993</v>
      </c>
    </row>
    <row r="69" spans="2:26" x14ac:dyDescent="0.35">
      <c r="B69" s="54" t="s">
        <v>303</v>
      </c>
      <c r="C69" s="66" t="s">
        <v>35</v>
      </c>
      <c r="D69" s="52" t="s">
        <v>304</v>
      </c>
      <c r="E69" s="52" t="s">
        <v>21</v>
      </c>
      <c r="F69" s="72">
        <v>2.6080835932180586E-2</v>
      </c>
      <c r="G69" s="70">
        <v>3.5795640443116505E-2</v>
      </c>
      <c r="H69" s="70">
        <v>4.3454123571537231E-2</v>
      </c>
      <c r="I69" s="70">
        <v>4.8614631624946024E-2</v>
      </c>
      <c r="J69" s="62">
        <v>5.2477574657359395E-2</v>
      </c>
      <c r="K69" s="72" t="s">
        <v>21</v>
      </c>
      <c r="L69" s="70">
        <v>8.0774795431165017E-3</v>
      </c>
      <c r="M69" s="70">
        <v>1.5148681371537232E-2</v>
      </c>
      <c r="N69" s="70">
        <v>1.9448309124946026E-2</v>
      </c>
      <c r="O69" s="62">
        <v>2.2082606457359391E-2</v>
      </c>
      <c r="P69" s="54" t="s">
        <v>21</v>
      </c>
      <c r="Q69" s="52" t="s">
        <v>21</v>
      </c>
      <c r="R69" s="93" t="s">
        <v>21</v>
      </c>
      <c r="S69" s="70" t="s">
        <v>21</v>
      </c>
      <c r="T69" s="62" t="s">
        <v>21</v>
      </c>
      <c r="V69" s="113">
        <v>1.1291662600000001</v>
      </c>
      <c r="W69" s="71">
        <v>2.9170722199999997</v>
      </c>
      <c r="X69" s="71">
        <v>4.5058592500000003</v>
      </c>
      <c r="Y69" s="71">
        <v>5.8655022600000004</v>
      </c>
      <c r="Z69" s="114">
        <v>7.5585294100000002</v>
      </c>
    </row>
    <row r="70" spans="2:26" x14ac:dyDescent="0.35">
      <c r="B70" s="56" t="s">
        <v>303</v>
      </c>
      <c r="C70" s="52" t="s">
        <v>33</v>
      </c>
      <c r="D70" s="66" t="s">
        <v>304</v>
      </c>
      <c r="E70" s="53" t="s">
        <v>21</v>
      </c>
      <c r="F70" s="73">
        <v>2.4710093240500497E-2</v>
      </c>
      <c r="G70" s="75">
        <v>3.2786464334779768E-2</v>
      </c>
      <c r="H70" s="75">
        <v>3.8512111381178389E-2</v>
      </c>
      <c r="I70" s="75">
        <v>4.2339213218151532E-2</v>
      </c>
      <c r="J70" s="63">
        <v>4.6023264861839885E-2</v>
      </c>
      <c r="K70" s="73" t="s">
        <v>21</v>
      </c>
      <c r="L70" s="75">
        <v>5.1387960347797756E-3</v>
      </c>
      <c r="M70" s="75">
        <v>1.0335158281178385E-2</v>
      </c>
      <c r="N70" s="75">
        <v>1.3355229518151518E-2</v>
      </c>
      <c r="O70" s="63">
        <v>1.5803396061839878E-2</v>
      </c>
      <c r="P70" s="54" t="s">
        <v>21</v>
      </c>
      <c r="Q70" s="52" t="s">
        <v>21</v>
      </c>
      <c r="R70" s="93" t="s">
        <v>21</v>
      </c>
      <c r="S70" s="70" t="s">
        <v>21</v>
      </c>
      <c r="T70" s="62" t="s">
        <v>21</v>
      </c>
      <c r="V70" s="113">
        <v>1.1301247800000001</v>
      </c>
      <c r="W70" s="107">
        <v>2.9260073900000001</v>
      </c>
      <c r="X70" s="107">
        <v>4.5375234100000004</v>
      </c>
      <c r="Y70" s="107">
        <v>5.93653692</v>
      </c>
      <c r="Z70" s="114">
        <v>7.6962954299999993</v>
      </c>
    </row>
    <row r="71" spans="2:26" x14ac:dyDescent="0.35">
      <c r="B71" s="78" t="s">
        <v>302</v>
      </c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6"/>
      <c r="P71" s="78"/>
      <c r="Q71" s="77"/>
      <c r="R71" s="94"/>
      <c r="S71" s="77"/>
      <c r="T71" s="76"/>
      <c r="V71" s="111"/>
      <c r="W71" s="106"/>
      <c r="X71" s="106"/>
      <c r="Y71" s="106"/>
      <c r="Z71" s="112"/>
    </row>
    <row r="72" spans="2:26" x14ac:dyDescent="0.35">
      <c r="B72" s="55" t="s">
        <v>305</v>
      </c>
      <c r="C72" s="65" t="s">
        <v>30</v>
      </c>
      <c r="D72" s="65" t="s">
        <v>131</v>
      </c>
      <c r="E72" s="65" t="s">
        <v>21</v>
      </c>
      <c r="F72" s="74">
        <v>2.4111289055377478E-2</v>
      </c>
      <c r="G72" s="79">
        <v>3.0501066490021086E-2</v>
      </c>
      <c r="H72" s="79">
        <v>3.4550680052361143E-2</v>
      </c>
      <c r="I72" s="79">
        <v>3.7367153426774338E-2</v>
      </c>
      <c r="J72" s="61">
        <v>4.0136566905245114E-2</v>
      </c>
      <c r="K72" s="74" t="s">
        <v>21</v>
      </c>
      <c r="L72" s="79">
        <v>2.9292372900210891E-3</v>
      </c>
      <c r="M72" s="79">
        <v>6.5108774523611477E-3</v>
      </c>
      <c r="N72" s="79">
        <v>8.5650011267743315E-3</v>
      </c>
      <c r="O72" s="61">
        <v>1.0105504905245113E-2</v>
      </c>
      <c r="P72" s="55" t="s">
        <v>21</v>
      </c>
      <c r="Q72" s="65" t="s">
        <v>21</v>
      </c>
      <c r="R72" s="99" t="s">
        <v>21</v>
      </c>
      <c r="S72" s="79" t="s">
        <v>21</v>
      </c>
      <c r="T72" s="61" t="s">
        <v>21</v>
      </c>
      <c r="V72" s="117">
        <v>1.13130891</v>
      </c>
      <c r="W72" s="60">
        <v>2.9429067299999998</v>
      </c>
      <c r="X72" s="60">
        <v>4.6011846800000002</v>
      </c>
      <c r="Y72" s="60">
        <v>6.0810096700000003</v>
      </c>
      <c r="Z72" s="118">
        <v>8.0105589199999994</v>
      </c>
    </row>
    <row r="73" spans="2:26" x14ac:dyDescent="0.35">
      <c r="B73" s="56" t="s">
        <v>305</v>
      </c>
      <c r="C73" s="66" t="s">
        <v>35</v>
      </c>
      <c r="D73" s="66" t="s">
        <v>131</v>
      </c>
      <c r="E73" s="66" t="s">
        <v>21</v>
      </c>
      <c r="F73" s="73">
        <v>2.6095978498341537E-2</v>
      </c>
      <c r="G73" s="75">
        <v>3.5801454414660192E-2</v>
      </c>
      <c r="H73" s="75">
        <v>4.3457883028669854E-2</v>
      </c>
      <c r="I73" s="75">
        <v>4.8617527270011014E-2</v>
      </c>
      <c r="J73" s="63">
        <v>5.2836646492946289E-2</v>
      </c>
      <c r="K73" s="73" t="s">
        <v>21</v>
      </c>
      <c r="L73" s="75">
        <v>8.0813193146602007E-3</v>
      </c>
      <c r="M73" s="75">
        <v>1.5150971528669864E-2</v>
      </c>
      <c r="N73" s="75">
        <v>1.9449954070011009E-2</v>
      </c>
      <c r="O73" s="63">
        <v>2.2425504892946299E-2</v>
      </c>
      <c r="P73" s="56" t="s">
        <v>21</v>
      </c>
      <c r="Q73" s="66" t="s">
        <v>21</v>
      </c>
      <c r="R73" s="95" t="s">
        <v>21</v>
      </c>
      <c r="S73" s="75" t="s">
        <v>21</v>
      </c>
      <c r="T73" s="63" t="s">
        <v>21</v>
      </c>
      <c r="V73" s="115">
        <v>1.1291726199999998</v>
      </c>
      <c r="W73" s="71">
        <v>2.9170667699999999</v>
      </c>
      <c r="X73" s="71">
        <v>4.5058443300000004</v>
      </c>
      <c r="Y73" s="71">
        <v>5.8654788599999996</v>
      </c>
      <c r="Z73" s="114">
        <v>7.55218173</v>
      </c>
    </row>
    <row r="74" spans="2:26" x14ac:dyDescent="0.35">
      <c r="B74" s="78" t="s">
        <v>67</v>
      </c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6"/>
      <c r="P74" s="78"/>
      <c r="Q74" s="77"/>
      <c r="R74" s="94"/>
      <c r="S74" s="77"/>
      <c r="T74" s="76"/>
      <c r="V74" s="111"/>
      <c r="W74" s="106"/>
      <c r="X74" s="106"/>
      <c r="Y74" s="106"/>
      <c r="Z74" s="112"/>
    </row>
    <row r="75" spans="2:26" x14ac:dyDescent="0.35">
      <c r="B75" s="55" t="s">
        <v>68</v>
      </c>
      <c r="C75" s="65" t="s">
        <v>61</v>
      </c>
      <c r="D75" s="65" t="s">
        <v>69</v>
      </c>
      <c r="E75" s="65" t="s">
        <v>21</v>
      </c>
      <c r="F75" s="74">
        <v>2.6610462458126462E-2</v>
      </c>
      <c r="G75" s="79">
        <v>3.3269291672836175E-2</v>
      </c>
      <c r="H75" s="79">
        <v>3.8107171901392373E-2</v>
      </c>
      <c r="I75" s="79">
        <v>4.1178608164575338E-2</v>
      </c>
      <c r="J75" s="61">
        <v>4.4380357595379824E-2</v>
      </c>
      <c r="K75" s="74" t="s">
        <v>21</v>
      </c>
      <c r="L75" s="79">
        <v>5.6028611728361783E-3</v>
      </c>
      <c r="M75" s="79">
        <v>9.9439638013923779E-3</v>
      </c>
      <c r="N75" s="79">
        <v>1.2238874864575335E-2</v>
      </c>
      <c r="O75" s="61">
        <v>1.4214675195379819E-2</v>
      </c>
      <c r="P75" s="55" t="s">
        <v>21</v>
      </c>
      <c r="Q75" s="65" t="s">
        <v>21</v>
      </c>
      <c r="R75" s="99" t="s">
        <v>21</v>
      </c>
      <c r="S75" s="79" t="s">
        <v>21</v>
      </c>
      <c r="T75" s="61" t="s">
        <v>21</v>
      </c>
      <c r="V75" s="117">
        <v>1.1264756199999999</v>
      </c>
      <c r="W75" s="60">
        <v>2.9163977700000001</v>
      </c>
      <c r="X75" s="60">
        <v>4.5314947400000003</v>
      </c>
      <c r="Y75" s="60">
        <v>5.9490606499999998</v>
      </c>
      <c r="Z75" s="118">
        <v>7.7571268700000005</v>
      </c>
    </row>
    <row r="76" spans="2:26" x14ac:dyDescent="0.35">
      <c r="B76" s="56" t="s">
        <v>68</v>
      </c>
      <c r="C76" s="66" t="s">
        <v>63</v>
      </c>
      <c r="D76" s="66" t="s">
        <v>69</v>
      </c>
      <c r="E76" s="66" t="s">
        <v>81</v>
      </c>
      <c r="F76" s="73">
        <v>2.807493887113939E-2</v>
      </c>
      <c r="G76" s="75">
        <v>3.5787611411106514E-2</v>
      </c>
      <c r="H76" s="75">
        <v>4.1395137596065057E-2</v>
      </c>
      <c r="I76" s="75">
        <v>4.4835368834256692E-2</v>
      </c>
      <c r="J76" s="63">
        <v>4.7936801371670758E-2</v>
      </c>
      <c r="K76" s="73">
        <v>9.1591387113938976E-4</v>
      </c>
      <c r="L76" s="75">
        <v>8.073718911106512E-3</v>
      </c>
      <c r="M76" s="75">
        <v>1.3168493396065054E-2</v>
      </c>
      <c r="N76" s="75">
        <v>1.5819365234256696E-2</v>
      </c>
      <c r="O76" s="63">
        <v>1.7705045171670753E-2</v>
      </c>
      <c r="P76" s="56" t="s">
        <v>21</v>
      </c>
      <c r="Q76" s="66" t="s">
        <v>21</v>
      </c>
      <c r="R76" s="95" t="s">
        <v>21</v>
      </c>
      <c r="S76" s="75" t="s">
        <v>21</v>
      </c>
      <c r="T76" s="63" t="s">
        <v>21</v>
      </c>
      <c r="V76" s="115">
        <v>1.12569246</v>
      </c>
      <c r="W76" s="107">
        <v>2.9108900200000001</v>
      </c>
      <c r="X76" s="107">
        <v>4.5167642600000004</v>
      </c>
      <c r="Y76" s="107">
        <v>5.9216054300000005</v>
      </c>
      <c r="Z76" s="116">
        <v>7.7149302799999999</v>
      </c>
    </row>
    <row r="77" spans="2:26" x14ac:dyDescent="0.35">
      <c r="B77" s="55" t="s">
        <v>70</v>
      </c>
      <c r="C77" s="65" t="s">
        <v>65</v>
      </c>
      <c r="D77" s="65" t="s">
        <v>69</v>
      </c>
      <c r="E77" s="65" t="s">
        <v>229</v>
      </c>
      <c r="F77" s="74">
        <v>2.686642700745577E-2</v>
      </c>
      <c r="G77" s="79">
        <v>3.3971553581270159E-2</v>
      </c>
      <c r="H77" s="79">
        <v>3.9032683730536852E-2</v>
      </c>
      <c r="I77" s="79">
        <v>4.2612006111057796E-2</v>
      </c>
      <c r="J77" s="61">
        <v>4.6113893702985527E-2</v>
      </c>
      <c r="K77" s="74" t="s">
        <v>21</v>
      </c>
      <c r="L77" s="79">
        <v>6.2805783812701632E-3</v>
      </c>
      <c r="M77" s="79">
        <v>1.0834787030536853E-2</v>
      </c>
      <c r="N77" s="79">
        <v>1.3614286611057787E-2</v>
      </c>
      <c r="O77" s="61">
        <v>1.5885569702985526E-2</v>
      </c>
      <c r="P77" s="54" t="s">
        <v>456</v>
      </c>
      <c r="Q77" s="52" t="s">
        <v>457</v>
      </c>
      <c r="R77" s="93">
        <v>47371</v>
      </c>
      <c r="S77" s="70">
        <v>3.6275000000000002E-2</v>
      </c>
      <c r="T77" s="62">
        <v>2.7576837305368501E-3</v>
      </c>
      <c r="V77" s="117">
        <v>1.12595614</v>
      </c>
      <c r="W77" s="60">
        <v>2.9109663100000001</v>
      </c>
      <c r="X77" s="60">
        <v>4.5149384700000006</v>
      </c>
      <c r="Y77" s="60">
        <v>5.91032972</v>
      </c>
      <c r="Z77" s="118">
        <v>7.6695563199999999</v>
      </c>
    </row>
    <row r="78" spans="2:26" x14ac:dyDescent="0.35">
      <c r="B78" s="54" t="s">
        <v>70</v>
      </c>
      <c r="C78" s="52" t="s">
        <v>66</v>
      </c>
      <c r="D78" s="52" t="s">
        <v>69</v>
      </c>
      <c r="E78" s="52" t="s">
        <v>81</v>
      </c>
      <c r="F78" s="72">
        <v>2.8092386843095243E-2</v>
      </c>
      <c r="G78" s="70">
        <v>3.6910563165992193E-2</v>
      </c>
      <c r="H78" s="70">
        <v>4.3948786301125128E-2</v>
      </c>
      <c r="I78" s="70">
        <v>4.9020032793542813E-2</v>
      </c>
      <c r="J78" s="62">
        <v>5.3062650596473165E-2</v>
      </c>
      <c r="K78" s="72">
        <v>9.2671664309524129E-4</v>
      </c>
      <c r="L78" s="70">
        <v>9.1563277659921973E-3</v>
      </c>
      <c r="M78" s="70">
        <v>1.5624223301125135E-2</v>
      </c>
      <c r="N78" s="70">
        <v>1.9835227093542809E-2</v>
      </c>
      <c r="O78" s="62">
        <v>2.2640297396473167E-2</v>
      </c>
      <c r="P78" s="54" t="s">
        <v>21</v>
      </c>
      <c r="Q78" s="52" t="s">
        <v>21</v>
      </c>
      <c r="R78" s="93" t="s">
        <v>21</v>
      </c>
      <c r="S78" s="70" t="s">
        <v>21</v>
      </c>
      <c r="T78" s="62" t="s">
        <v>21</v>
      </c>
      <c r="V78" s="115">
        <v>1.12571453</v>
      </c>
      <c r="W78" s="107">
        <v>2.90551103</v>
      </c>
      <c r="X78" s="107">
        <v>4.48881219</v>
      </c>
      <c r="Y78" s="107">
        <v>5.8442899399999995</v>
      </c>
      <c r="Z78" s="116">
        <v>7.5273021699999996</v>
      </c>
    </row>
    <row r="79" spans="2:26" x14ac:dyDescent="0.35">
      <c r="B79" s="55" t="s">
        <v>71</v>
      </c>
      <c r="C79" s="65" t="s">
        <v>61</v>
      </c>
      <c r="D79" s="65" t="s">
        <v>69</v>
      </c>
      <c r="E79" s="65" t="s">
        <v>21</v>
      </c>
      <c r="F79" s="74">
        <v>2.4784230296035124E-2</v>
      </c>
      <c r="G79" s="79">
        <v>3.0998365824688866E-2</v>
      </c>
      <c r="H79" s="79">
        <v>3.4804694470325401E-2</v>
      </c>
      <c r="I79" s="79">
        <v>3.7469995169385747E-2</v>
      </c>
      <c r="J79" s="61">
        <v>4.0145569716400896E-2</v>
      </c>
      <c r="K79" s="74" t="s">
        <v>21</v>
      </c>
      <c r="L79" s="79">
        <v>3.4120197246888741E-3</v>
      </c>
      <c r="M79" s="79">
        <v>6.7577557703254014E-3</v>
      </c>
      <c r="N79" s="79">
        <v>8.6647135693857513E-3</v>
      </c>
      <c r="O79" s="61">
        <v>1.0113182816400893E-2</v>
      </c>
      <c r="P79" s="55" t="s">
        <v>21</v>
      </c>
      <c r="Q79" s="65" t="s">
        <v>21</v>
      </c>
      <c r="R79" s="99" t="s">
        <v>21</v>
      </c>
      <c r="S79" s="79" t="s">
        <v>21</v>
      </c>
      <c r="T79" s="61" t="s">
        <v>21</v>
      </c>
      <c r="V79" s="117">
        <v>1.1299724800000002</v>
      </c>
      <c r="W79" s="60">
        <v>2.9372653200000003</v>
      </c>
      <c r="X79" s="60">
        <v>4.5917824099999995</v>
      </c>
      <c r="Y79" s="60">
        <v>6.0698775400000002</v>
      </c>
      <c r="Z79" s="118">
        <v>7.9996794800000011</v>
      </c>
    </row>
    <row r="80" spans="2:26" x14ac:dyDescent="0.35">
      <c r="B80" s="56" t="s">
        <v>71</v>
      </c>
      <c r="C80" s="66" t="s">
        <v>63</v>
      </c>
      <c r="D80" s="66" t="s">
        <v>69</v>
      </c>
      <c r="E80" s="66" t="s">
        <v>21</v>
      </c>
      <c r="F80" s="73">
        <v>2.6306073294663116E-2</v>
      </c>
      <c r="G80" s="75">
        <v>3.3437657812491035E-2</v>
      </c>
      <c r="H80" s="75">
        <v>3.8051939081771576E-2</v>
      </c>
      <c r="I80" s="75">
        <v>4.1256394404913632E-2</v>
      </c>
      <c r="J80" s="63">
        <v>4.407543884094161E-2</v>
      </c>
      <c r="K80" s="73" t="s">
        <v>21</v>
      </c>
      <c r="L80" s="75">
        <v>5.7989079124910348E-3</v>
      </c>
      <c r="M80" s="75">
        <v>9.9364103817715758E-3</v>
      </c>
      <c r="N80" s="75">
        <v>1.2366470104913634E-2</v>
      </c>
      <c r="O80" s="63">
        <v>1.3966995540941605E-2</v>
      </c>
      <c r="P80" s="56" t="s">
        <v>21</v>
      </c>
      <c r="Q80" s="66" t="s">
        <v>21</v>
      </c>
      <c r="R80" s="95" t="s">
        <v>21</v>
      </c>
      <c r="S80" s="75" t="s">
        <v>21</v>
      </c>
      <c r="T80" s="63" t="s">
        <v>21</v>
      </c>
      <c r="V80" s="115">
        <v>1.1287463</v>
      </c>
      <c r="W80" s="107">
        <v>2.9279510200000001</v>
      </c>
      <c r="X80" s="107">
        <v>4.5640891400000001</v>
      </c>
      <c r="Y80" s="107">
        <v>6.0134253900000001</v>
      </c>
      <c r="Z80" s="116">
        <v>7.8918558900000004</v>
      </c>
    </row>
    <row r="81" spans="2:26" x14ac:dyDescent="0.35">
      <c r="B81" s="54" t="s">
        <v>72</v>
      </c>
      <c r="C81" s="52" t="s">
        <v>65</v>
      </c>
      <c r="D81" s="52" t="s">
        <v>69</v>
      </c>
      <c r="E81" s="52" t="s">
        <v>34</v>
      </c>
      <c r="F81" s="72">
        <v>2.4667446595574915E-2</v>
      </c>
      <c r="G81" s="70">
        <v>3.1705266310765055E-2</v>
      </c>
      <c r="H81" s="70">
        <v>3.6869217925498174E-2</v>
      </c>
      <c r="I81" s="70">
        <v>4.0161677611865794E-2</v>
      </c>
      <c r="J81" s="62">
        <v>4.3776919880095778E-2</v>
      </c>
      <c r="K81" s="72" t="s">
        <v>21</v>
      </c>
      <c r="L81" s="70">
        <v>4.0933084107650577E-3</v>
      </c>
      <c r="M81" s="70">
        <v>8.7515789254981775E-3</v>
      </c>
      <c r="N81" s="70">
        <v>1.1262595411865788E-2</v>
      </c>
      <c r="O81" s="62">
        <v>1.3635349380095769E-2</v>
      </c>
      <c r="P81" s="54" t="s">
        <v>21</v>
      </c>
      <c r="Q81" s="52" t="s">
        <v>21</v>
      </c>
      <c r="R81" s="93" t="s">
        <v>21</v>
      </c>
      <c r="S81" s="70" t="s">
        <v>21</v>
      </c>
      <c r="T81" s="62" t="s">
        <v>21</v>
      </c>
      <c r="V81" s="117">
        <v>1.13024239</v>
      </c>
      <c r="W81" s="60">
        <v>2.9332033699999998</v>
      </c>
      <c r="X81" s="60">
        <v>4.5643527000000006</v>
      </c>
      <c r="Y81" s="60">
        <v>5.9980768300000005</v>
      </c>
      <c r="Z81" s="118">
        <v>7.8229125499999999</v>
      </c>
    </row>
    <row r="82" spans="2:26" x14ac:dyDescent="0.35">
      <c r="B82" s="56" t="s">
        <v>72</v>
      </c>
      <c r="C82" s="66" t="s">
        <v>66</v>
      </c>
      <c r="D82" s="66" t="s">
        <v>69</v>
      </c>
      <c r="E82" s="66" t="s">
        <v>36</v>
      </c>
      <c r="F82" s="73">
        <v>2.5655632272879696E-2</v>
      </c>
      <c r="G82" s="75">
        <v>3.4793238240670758E-2</v>
      </c>
      <c r="H82" s="75">
        <v>4.1691651473419439E-2</v>
      </c>
      <c r="I82" s="75">
        <v>4.6357684438541505E-2</v>
      </c>
      <c r="J82" s="63">
        <v>5.0268753342891291E-2</v>
      </c>
      <c r="K82" s="73" t="s">
        <v>21</v>
      </c>
      <c r="L82" s="75">
        <v>7.1104911406707494E-3</v>
      </c>
      <c r="M82" s="75">
        <v>1.3454634773419441E-2</v>
      </c>
      <c r="N82" s="75">
        <v>1.7285258838541512E-2</v>
      </c>
      <c r="O82" s="63">
        <v>1.9959585742891289E-2</v>
      </c>
      <c r="P82" s="56" t="s">
        <v>21</v>
      </c>
      <c r="Q82" s="66" t="s">
        <v>21</v>
      </c>
      <c r="R82" s="95" t="s">
        <v>21</v>
      </c>
      <c r="S82" s="75" t="s">
        <v>21</v>
      </c>
      <c r="T82" s="63" t="s">
        <v>21</v>
      </c>
      <c r="V82" s="115">
        <v>1.1297317100000002</v>
      </c>
      <c r="W82" s="107">
        <v>2.9229261600000003</v>
      </c>
      <c r="X82" s="107">
        <v>4.5275512200000003</v>
      </c>
      <c r="Y82" s="107">
        <v>5.9143138900000007</v>
      </c>
      <c r="Z82" s="116">
        <v>7.6554864599999997</v>
      </c>
    </row>
    <row r="83" spans="2:26" x14ac:dyDescent="0.35">
      <c r="B83" s="56" t="s">
        <v>74</v>
      </c>
      <c r="C83" s="66" t="s">
        <v>61</v>
      </c>
      <c r="D83" s="66" t="s">
        <v>69</v>
      </c>
      <c r="E83" s="66" t="s">
        <v>312</v>
      </c>
      <c r="F83" s="73">
        <v>2.5619453048342278E-2</v>
      </c>
      <c r="G83" s="75">
        <v>3.2523411574742957E-2</v>
      </c>
      <c r="H83" s="75">
        <v>3.7281235553800807E-2</v>
      </c>
      <c r="I83" s="75">
        <v>4.0566975455301676E-2</v>
      </c>
      <c r="J83" s="63">
        <v>4.3855956342317842E-2</v>
      </c>
      <c r="K83" s="73" t="s">
        <v>21</v>
      </c>
      <c r="L83" s="75">
        <v>4.8846576747429583E-3</v>
      </c>
      <c r="M83" s="75">
        <v>9.1495292538008102E-3</v>
      </c>
      <c r="N83" s="75">
        <v>1.165212645530167E-2</v>
      </c>
      <c r="O83" s="63">
        <v>1.3710856542317844E-2</v>
      </c>
      <c r="P83" s="56" t="s">
        <v>21</v>
      </c>
      <c r="Q83" s="66" t="s">
        <v>21</v>
      </c>
      <c r="R83" s="95" t="s">
        <v>21</v>
      </c>
      <c r="S83" s="75" t="s">
        <v>21</v>
      </c>
      <c r="T83" s="63" t="s">
        <v>21</v>
      </c>
      <c r="V83" s="117">
        <v>1.1283704000000001</v>
      </c>
      <c r="W83" s="60">
        <v>2.92456307</v>
      </c>
      <c r="X83" s="60">
        <v>4.5497155500000002</v>
      </c>
      <c r="Y83" s="60">
        <v>5.9773991100000003</v>
      </c>
      <c r="Z83" s="118">
        <v>7.7995100499999994</v>
      </c>
    </row>
    <row r="84" spans="2:26" x14ac:dyDescent="0.35">
      <c r="B84" s="54" t="s">
        <v>76</v>
      </c>
      <c r="C84" s="52" t="s">
        <v>65</v>
      </c>
      <c r="D84" s="52" t="s">
        <v>69</v>
      </c>
      <c r="E84" s="52" t="s">
        <v>34</v>
      </c>
      <c r="F84" s="72">
        <v>2.5657621363384678E-2</v>
      </c>
      <c r="G84" s="70">
        <v>3.2918015768377079E-2</v>
      </c>
      <c r="H84" s="70">
        <v>3.8714697736692123E-2</v>
      </c>
      <c r="I84" s="70">
        <v>4.2297990034745672E-2</v>
      </c>
      <c r="J84" s="62">
        <v>4.5795449358214557E-2</v>
      </c>
      <c r="K84" s="72" t="s">
        <v>21</v>
      </c>
      <c r="L84" s="70">
        <v>5.265535268377081E-3</v>
      </c>
      <c r="M84" s="70">
        <v>1.0529558136692117E-2</v>
      </c>
      <c r="N84" s="70">
        <v>1.3315187134745676E-2</v>
      </c>
      <c r="O84" s="62">
        <v>1.5582826058214556E-2</v>
      </c>
      <c r="P84" s="54" t="s">
        <v>21</v>
      </c>
      <c r="Q84" s="52" t="s">
        <v>21</v>
      </c>
      <c r="R84" s="93" t="s">
        <v>21</v>
      </c>
      <c r="S84" s="70" t="s">
        <v>21</v>
      </c>
      <c r="T84" s="62" t="s">
        <v>21</v>
      </c>
      <c r="V84" s="117">
        <v>1.1282915500000001</v>
      </c>
      <c r="W84" s="60">
        <v>2.9218841100000001</v>
      </c>
      <c r="X84" s="60">
        <v>4.5312028800000004</v>
      </c>
      <c r="Y84" s="60">
        <v>5.9305984599999997</v>
      </c>
      <c r="Z84" s="118">
        <v>7.6970713100000001</v>
      </c>
    </row>
    <row r="85" spans="2:26" x14ac:dyDescent="0.35">
      <c r="B85" s="56" t="s">
        <v>76</v>
      </c>
      <c r="C85" s="66" t="s">
        <v>66</v>
      </c>
      <c r="D85" s="66" t="s">
        <v>69</v>
      </c>
      <c r="E85" s="66" t="s">
        <v>21</v>
      </c>
      <c r="F85" s="73">
        <v>2.6667082999834214E-2</v>
      </c>
      <c r="G85" s="75">
        <v>3.6135960458118038E-2</v>
      </c>
      <c r="H85" s="75">
        <v>4.4023516085293493E-2</v>
      </c>
      <c r="I85" s="75">
        <v>4.890469738303229E-2</v>
      </c>
      <c r="J85" s="63">
        <v>5.2680685840199144E-2</v>
      </c>
      <c r="K85" s="73" t="s">
        <v>21</v>
      </c>
      <c r="L85" s="75">
        <v>8.4135769581180388E-3</v>
      </c>
      <c r="M85" s="75">
        <v>1.5700933685293492E-2</v>
      </c>
      <c r="N85" s="75">
        <v>1.9730346683032286E-2</v>
      </c>
      <c r="O85" s="63">
        <v>2.2280113840199144E-2</v>
      </c>
      <c r="P85" s="56" t="s">
        <v>21</v>
      </c>
      <c r="Q85" s="66" t="s">
        <v>21</v>
      </c>
      <c r="R85" s="95" t="s">
        <v>21</v>
      </c>
      <c r="S85" s="75" t="s">
        <v>21</v>
      </c>
      <c r="T85" s="63" t="s">
        <v>21</v>
      </c>
      <c r="V85" s="115">
        <v>1.1282060300000001</v>
      </c>
      <c r="W85" s="107">
        <v>2.91366367</v>
      </c>
      <c r="X85" s="107">
        <v>4.4972781800000003</v>
      </c>
      <c r="Y85" s="107">
        <v>5.8528806099999997</v>
      </c>
      <c r="Z85" s="116">
        <v>7.5420668299999996</v>
      </c>
    </row>
    <row r="86" spans="2:26" x14ac:dyDescent="0.35">
      <c r="B86" s="54" t="s">
        <v>77</v>
      </c>
      <c r="C86" s="52" t="s">
        <v>61</v>
      </c>
      <c r="D86" s="52" t="s">
        <v>69</v>
      </c>
      <c r="E86" s="52" t="s">
        <v>21</v>
      </c>
      <c r="F86" s="72">
        <v>2.4887240866830338E-2</v>
      </c>
      <c r="G86" s="70">
        <v>3.127186811487323E-2</v>
      </c>
      <c r="H86" s="70">
        <v>3.5220917647703527E-2</v>
      </c>
      <c r="I86" s="70">
        <v>3.8121117585645709E-2</v>
      </c>
      <c r="J86" s="62">
        <v>4.0803748217552178E-2</v>
      </c>
      <c r="K86" s="72" t="s">
        <v>21</v>
      </c>
      <c r="L86" s="70">
        <v>3.6752150148732306E-3</v>
      </c>
      <c r="M86" s="70">
        <v>7.1597234477035337E-3</v>
      </c>
      <c r="N86" s="70">
        <v>9.2936821856457099E-3</v>
      </c>
      <c r="O86" s="62">
        <v>1.0753703817552172E-2</v>
      </c>
      <c r="P86" s="54" t="s">
        <v>21</v>
      </c>
      <c r="Q86" s="52" t="s">
        <v>21</v>
      </c>
      <c r="R86" s="93" t="s">
        <v>21</v>
      </c>
      <c r="S86" s="70" t="s">
        <v>21</v>
      </c>
      <c r="T86" s="62" t="s">
        <v>21</v>
      </c>
      <c r="V86" s="117">
        <v>1.1297998899999999</v>
      </c>
      <c r="W86" s="60">
        <v>2.9352001300000001</v>
      </c>
      <c r="X86" s="60">
        <v>4.58473022</v>
      </c>
      <c r="Y86" s="60">
        <v>6.0523899600000002</v>
      </c>
      <c r="Z86" s="118">
        <v>7.9618747299999999</v>
      </c>
    </row>
    <row r="87" spans="2:26" x14ac:dyDescent="0.35">
      <c r="B87" s="56" t="s">
        <v>77</v>
      </c>
      <c r="C87" s="66" t="s">
        <v>63</v>
      </c>
      <c r="D87" s="66" t="s">
        <v>69</v>
      </c>
      <c r="E87" s="66" t="s">
        <v>21</v>
      </c>
      <c r="F87" s="73">
        <v>2.6648653407861392E-2</v>
      </c>
      <c r="G87" s="75">
        <v>3.3926154254314986E-2</v>
      </c>
      <c r="H87" s="75">
        <v>3.8727584441627536E-2</v>
      </c>
      <c r="I87" s="75">
        <v>4.1592438239296335E-2</v>
      </c>
      <c r="J87" s="63">
        <v>4.4260169358975032E-2</v>
      </c>
      <c r="K87" s="73" t="s">
        <v>21</v>
      </c>
      <c r="L87" s="75">
        <v>6.2719356543149947E-3</v>
      </c>
      <c r="M87" s="75">
        <v>1.0590700541627538E-2</v>
      </c>
      <c r="N87" s="75">
        <v>1.2691220039296333E-2</v>
      </c>
      <c r="O87" s="63">
        <v>1.4145207858975042E-2</v>
      </c>
      <c r="P87" s="56" t="s">
        <v>21</v>
      </c>
      <c r="Q87" s="66" t="s">
        <v>21</v>
      </c>
      <c r="R87" s="95" t="s">
        <v>21</v>
      </c>
      <c r="S87" s="75" t="s">
        <v>21</v>
      </c>
      <c r="T87" s="63" t="s">
        <v>21</v>
      </c>
      <c r="V87" s="115">
        <v>1.1282631700000001</v>
      </c>
      <c r="W87" s="107">
        <v>2.9246702299999998</v>
      </c>
      <c r="X87" s="107">
        <v>4.5542556799999998</v>
      </c>
      <c r="Y87" s="107">
        <v>5.9987636699999998</v>
      </c>
      <c r="Z87" s="116">
        <v>7.8732176300000001</v>
      </c>
    </row>
    <row r="88" spans="2:26" x14ac:dyDescent="0.35">
      <c r="B88" s="54" t="s">
        <v>78</v>
      </c>
      <c r="C88" s="52" t="s">
        <v>65</v>
      </c>
      <c r="D88" s="52" t="s">
        <v>69</v>
      </c>
      <c r="E88" s="52" t="s">
        <v>79</v>
      </c>
      <c r="F88" s="72">
        <v>2.4925345828935509E-2</v>
      </c>
      <c r="G88" s="70">
        <v>3.2331728234015721E-2</v>
      </c>
      <c r="H88" s="70">
        <v>3.7893518784405875E-2</v>
      </c>
      <c r="I88" s="70">
        <v>4.1401340858864016E-2</v>
      </c>
      <c r="J88" s="62">
        <v>4.4982174440491872E-2</v>
      </c>
      <c r="K88" s="72" t="s">
        <v>21</v>
      </c>
      <c r="L88" s="70">
        <v>4.7000834340157147E-3</v>
      </c>
      <c r="M88" s="70">
        <v>9.739868684405871E-3</v>
      </c>
      <c r="N88" s="70">
        <v>1.2455437958864009E-2</v>
      </c>
      <c r="O88" s="62">
        <v>1.480003144049187E-2</v>
      </c>
      <c r="P88" s="54" t="s">
        <v>21</v>
      </c>
      <c r="Q88" s="52" t="s">
        <v>21</v>
      </c>
      <c r="R88" s="93" t="s">
        <v>21</v>
      </c>
      <c r="S88" s="70" t="s">
        <v>21</v>
      </c>
      <c r="T88" s="62" t="s">
        <v>21</v>
      </c>
      <c r="V88" s="117">
        <v>1.12970653</v>
      </c>
      <c r="W88" s="60">
        <v>2.9281853600000001</v>
      </c>
      <c r="X88" s="60">
        <v>4.5472105000000003</v>
      </c>
      <c r="Y88" s="60">
        <v>5.9608997499999994</v>
      </c>
      <c r="Z88" s="118">
        <v>7.7505013199999997</v>
      </c>
    </row>
    <row r="89" spans="2:26" x14ac:dyDescent="0.35">
      <c r="B89" s="56" t="s">
        <v>78</v>
      </c>
      <c r="C89" s="66" t="s">
        <v>66</v>
      </c>
      <c r="D89" s="66" t="s">
        <v>69</v>
      </c>
      <c r="E89" s="66" t="s">
        <v>133</v>
      </c>
      <c r="F89" s="73">
        <v>2.6150518128693089E-2</v>
      </c>
      <c r="G89" s="75">
        <v>3.5844029737075955E-2</v>
      </c>
      <c r="H89" s="75">
        <v>4.3742448196519804E-2</v>
      </c>
      <c r="I89" s="75">
        <v>4.8621776428429173E-2</v>
      </c>
      <c r="J89" s="63">
        <v>5.2752648838798571E-2</v>
      </c>
      <c r="K89" s="73" t="s">
        <v>21</v>
      </c>
      <c r="L89" s="75">
        <v>8.1252442370759494E-3</v>
      </c>
      <c r="M89" s="75">
        <v>1.5426541896519807E-2</v>
      </c>
      <c r="N89" s="75">
        <v>1.9455996628429166E-2</v>
      </c>
      <c r="O89" s="63">
        <v>2.234602083879857E-2</v>
      </c>
      <c r="P89" s="56" t="s">
        <v>21</v>
      </c>
      <c r="Q89" s="66" t="s">
        <v>21</v>
      </c>
      <c r="R89" s="95" t="s">
        <v>21</v>
      </c>
      <c r="S89" s="75" t="s">
        <v>21</v>
      </c>
      <c r="T89" s="63" t="s">
        <v>21</v>
      </c>
      <c r="V89" s="115">
        <v>1.12904988</v>
      </c>
      <c r="W89" s="107">
        <v>2.9166235499999997</v>
      </c>
      <c r="X89" s="107">
        <v>4.5030008000000006</v>
      </c>
      <c r="Y89" s="107">
        <v>5.8619847000000007</v>
      </c>
      <c r="Z89" s="116">
        <v>7.55066462</v>
      </c>
    </row>
    <row r="90" spans="2:26" x14ac:dyDescent="0.35">
      <c r="B90" s="54" t="s">
        <v>80</v>
      </c>
      <c r="C90" s="52" t="s">
        <v>61</v>
      </c>
      <c r="D90" s="52" t="s">
        <v>69</v>
      </c>
      <c r="E90" s="52" t="s">
        <v>21</v>
      </c>
      <c r="F90" s="72">
        <v>2.4575992676925881E-2</v>
      </c>
      <c r="G90" s="70">
        <v>3.1151875257169673E-2</v>
      </c>
      <c r="H90" s="70">
        <v>3.5937380757633558E-2</v>
      </c>
      <c r="I90" s="70">
        <v>3.8767603549732556E-2</v>
      </c>
      <c r="J90" s="62">
        <v>4.1844765219875603E-2</v>
      </c>
      <c r="K90" s="72" t="s">
        <v>21</v>
      </c>
      <c r="L90" s="70">
        <v>3.560615257169671E-3</v>
      </c>
      <c r="M90" s="70">
        <v>7.8535650576335575E-3</v>
      </c>
      <c r="N90" s="70">
        <v>9.9201569497325542E-3</v>
      </c>
      <c r="O90" s="62">
        <v>1.1765819219875602E-2</v>
      </c>
      <c r="P90" s="54" t="s">
        <v>21</v>
      </c>
      <c r="Q90" s="52" t="s">
        <v>21</v>
      </c>
      <c r="R90" s="93" t="s">
        <v>21</v>
      </c>
      <c r="S90" s="70" t="s">
        <v>21</v>
      </c>
      <c r="T90" s="62" t="s">
        <v>21</v>
      </c>
      <c r="V90" s="117">
        <v>1.13037415</v>
      </c>
      <c r="W90" s="60">
        <v>2.9369933800000001</v>
      </c>
      <c r="X90" s="60">
        <v>4.5791448099999998</v>
      </c>
      <c r="Y90" s="60">
        <v>6.0351149799999995</v>
      </c>
      <c r="Z90" s="118">
        <v>7.9150761099999993</v>
      </c>
    </row>
    <row r="91" spans="2:26" x14ac:dyDescent="0.35">
      <c r="B91" s="54" t="s">
        <v>80</v>
      </c>
      <c r="C91" s="52" t="s">
        <v>63</v>
      </c>
      <c r="D91" s="52" t="s">
        <v>69</v>
      </c>
      <c r="E91" s="52" t="s">
        <v>36</v>
      </c>
      <c r="F91" s="72">
        <v>2.6409292522864294E-2</v>
      </c>
      <c r="G91" s="70">
        <v>3.3826486579406137E-2</v>
      </c>
      <c r="H91" s="70">
        <v>3.8735789807643195E-2</v>
      </c>
      <c r="I91" s="70">
        <v>4.2288592316810043E-2</v>
      </c>
      <c r="J91" s="62">
        <v>4.5644220597757967E-2</v>
      </c>
      <c r="K91" s="72" t="s">
        <v>21</v>
      </c>
      <c r="L91" s="70">
        <v>6.1746436794061377E-3</v>
      </c>
      <c r="M91" s="70">
        <v>1.0598158407643204E-2</v>
      </c>
      <c r="N91" s="70">
        <v>1.3363882316810039E-2</v>
      </c>
      <c r="O91" s="62">
        <v>1.5488632297757977E-2</v>
      </c>
      <c r="P91" s="54" t="s">
        <v>21</v>
      </c>
      <c r="Q91" s="52" t="s">
        <v>21</v>
      </c>
      <c r="R91" s="93" t="s">
        <v>21</v>
      </c>
      <c r="S91" s="70" t="s">
        <v>21</v>
      </c>
      <c r="T91" s="62" t="s">
        <v>21</v>
      </c>
      <c r="V91" s="115">
        <v>1.1286207499999998</v>
      </c>
      <c r="W91" s="107">
        <v>2.9255258299999998</v>
      </c>
      <c r="X91" s="107">
        <v>4.5559856599999993</v>
      </c>
      <c r="Y91" s="107">
        <v>5.9927548599999998</v>
      </c>
      <c r="Z91" s="116">
        <v>7.8370738800000002</v>
      </c>
    </row>
    <row r="92" spans="2:26" x14ac:dyDescent="0.35">
      <c r="B92" s="55" t="s">
        <v>82</v>
      </c>
      <c r="C92" s="65" t="s">
        <v>65</v>
      </c>
      <c r="D92" s="65" t="s">
        <v>69</v>
      </c>
      <c r="E92" s="65" t="s">
        <v>34</v>
      </c>
      <c r="F92" s="74">
        <v>2.5275641371721377E-2</v>
      </c>
      <c r="G92" s="79">
        <v>3.2841548988905678E-2</v>
      </c>
      <c r="H92" s="79">
        <v>3.8716108054284895E-2</v>
      </c>
      <c r="I92" s="79">
        <v>4.2297872910826664E-2</v>
      </c>
      <c r="J92" s="61">
        <v>4.5841488884296025E-2</v>
      </c>
      <c r="K92" s="74" t="s">
        <v>21</v>
      </c>
      <c r="L92" s="79">
        <v>5.1911357889056825E-3</v>
      </c>
      <c r="M92" s="79">
        <v>1.0530568754284902E-2</v>
      </c>
      <c r="N92" s="79">
        <v>1.3315055310826666E-2</v>
      </c>
      <c r="O92" s="61">
        <v>1.5627306884296022E-2</v>
      </c>
      <c r="P92" s="55" t="s">
        <v>21</v>
      </c>
      <c r="Q92" s="65" t="s">
        <v>21</v>
      </c>
      <c r="R92" s="99" t="s">
        <v>21</v>
      </c>
      <c r="S92" s="79" t="s">
        <v>21</v>
      </c>
      <c r="T92" s="61" t="s">
        <v>21</v>
      </c>
      <c r="V92" s="113">
        <v>1.1290437</v>
      </c>
      <c r="W92" s="71">
        <v>2.9237268699999999</v>
      </c>
      <c r="X92" s="71">
        <v>4.5331307399999998</v>
      </c>
      <c r="Y92" s="71">
        <v>5.9323717400000007</v>
      </c>
      <c r="Z92" s="114">
        <v>7.6975311399999997</v>
      </c>
    </row>
    <row r="93" spans="2:26" x14ac:dyDescent="0.35">
      <c r="B93" s="56" t="s">
        <v>82</v>
      </c>
      <c r="C93" s="66" t="s">
        <v>66</v>
      </c>
      <c r="D93" s="66" t="s">
        <v>69</v>
      </c>
      <c r="E93" s="66" t="s">
        <v>21</v>
      </c>
      <c r="F93" s="73">
        <v>2.6236543703278478E-2</v>
      </c>
      <c r="G93" s="75">
        <v>3.6214115264921909E-2</v>
      </c>
      <c r="H93" s="75">
        <v>4.4129956451767857E-2</v>
      </c>
      <c r="I93" s="75">
        <v>4.909998657888108E-2</v>
      </c>
      <c r="J93" s="63">
        <v>5.3230780244205994E-2</v>
      </c>
      <c r="K93" s="73" t="s">
        <v>21</v>
      </c>
      <c r="L93" s="75">
        <v>8.4852259649219157E-3</v>
      </c>
      <c r="M93" s="75">
        <v>1.5800379351767858E-2</v>
      </c>
      <c r="N93" s="75">
        <v>1.9915062278881075E-2</v>
      </c>
      <c r="O93" s="63">
        <v>2.2805647244206001E-2</v>
      </c>
      <c r="P93" s="56" t="s">
        <v>21</v>
      </c>
      <c r="Q93" s="66" t="s">
        <v>21</v>
      </c>
      <c r="R93" s="95" t="s">
        <v>21</v>
      </c>
      <c r="S93" s="75" t="s">
        <v>21</v>
      </c>
      <c r="T93" s="63" t="s">
        <v>21</v>
      </c>
      <c r="V93" s="113">
        <v>1.1288918400000001</v>
      </c>
      <c r="W93" s="71">
        <v>2.9145366400000001</v>
      </c>
      <c r="X93" s="71">
        <v>4.4971578999999995</v>
      </c>
      <c r="Y93" s="71">
        <v>5.8504957099999997</v>
      </c>
      <c r="Z93" s="114">
        <v>7.5290984399999994</v>
      </c>
    </row>
    <row r="94" spans="2:26" x14ac:dyDescent="0.35">
      <c r="B94" s="78" t="s">
        <v>458</v>
      </c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6"/>
      <c r="P94" s="78"/>
      <c r="Q94" s="77"/>
      <c r="R94" s="94"/>
      <c r="S94" s="77"/>
      <c r="T94" s="76"/>
      <c r="V94" s="111"/>
      <c r="W94" s="106"/>
      <c r="X94" s="106"/>
      <c r="Y94" s="106"/>
      <c r="Z94" s="112"/>
    </row>
    <row r="95" spans="2:26" x14ac:dyDescent="0.35">
      <c r="B95" s="54" t="s">
        <v>84</v>
      </c>
      <c r="C95" s="52" t="s">
        <v>85</v>
      </c>
      <c r="D95" s="52" t="s">
        <v>20</v>
      </c>
      <c r="E95" s="52" t="s">
        <v>459</v>
      </c>
      <c r="F95" s="72">
        <v>2.6081195119925342E-2</v>
      </c>
      <c r="G95" s="70">
        <v>3.2708826384578206E-2</v>
      </c>
      <c r="H95" s="70">
        <v>3.7187786715147067E-2</v>
      </c>
      <c r="I95" s="70">
        <v>4.0197491803512182E-2</v>
      </c>
      <c r="J95" s="62">
        <v>4.3141342290805629E-2</v>
      </c>
      <c r="K95" s="72" t="s">
        <v>21</v>
      </c>
      <c r="L95" s="70">
        <v>5.0445059845782118E-3</v>
      </c>
      <c r="M95" s="70">
        <v>9.0401026151470682E-3</v>
      </c>
      <c r="N95" s="70">
        <v>1.127657320351219E-2</v>
      </c>
      <c r="O95" s="62">
        <v>1.3001959190805634E-2</v>
      </c>
      <c r="P95" s="54" t="s">
        <v>21</v>
      </c>
      <c r="Q95" s="52" t="s">
        <v>21</v>
      </c>
      <c r="R95" s="93" t="s">
        <v>21</v>
      </c>
      <c r="S95" s="70" t="s">
        <v>21</v>
      </c>
      <c r="T95" s="62" t="s">
        <v>21</v>
      </c>
      <c r="V95" s="113">
        <v>1.12658171</v>
      </c>
      <c r="W95" s="71">
        <v>2.9168992399999998</v>
      </c>
      <c r="X95" s="71">
        <v>4.53718792</v>
      </c>
      <c r="Y95" s="71">
        <v>5.96181524</v>
      </c>
      <c r="Z95" s="114">
        <v>7.7891278999999995</v>
      </c>
    </row>
    <row r="96" spans="2:26" x14ac:dyDescent="0.35">
      <c r="B96" s="54" t="s">
        <v>86</v>
      </c>
      <c r="C96" s="52" t="s">
        <v>85</v>
      </c>
      <c r="D96" s="52" t="s">
        <v>20</v>
      </c>
      <c r="E96" s="52" t="s">
        <v>459</v>
      </c>
      <c r="F96" s="72">
        <v>2.6130941327769882E-2</v>
      </c>
      <c r="G96" s="70">
        <v>3.2869065819708207E-2</v>
      </c>
      <c r="H96" s="70">
        <v>3.7295799978498266E-2</v>
      </c>
      <c r="I96" s="70">
        <v>4.0311451964092741E-2</v>
      </c>
      <c r="J96" s="62">
        <v>4.334229055815627E-2</v>
      </c>
      <c r="K96" s="72" t="s">
        <v>21</v>
      </c>
      <c r="L96" s="70">
        <v>5.1990678197082031E-3</v>
      </c>
      <c r="M96" s="70">
        <v>9.1442569784982667E-3</v>
      </c>
      <c r="N96" s="70">
        <v>1.1386497164092735E-2</v>
      </c>
      <c r="O96" s="62">
        <v>1.3195905258156268E-2</v>
      </c>
      <c r="P96" s="54" t="s">
        <v>21</v>
      </c>
      <c r="Q96" s="52" t="s">
        <v>21</v>
      </c>
      <c r="R96" s="93" t="s">
        <v>21</v>
      </c>
      <c r="S96" s="70" t="s">
        <v>21</v>
      </c>
      <c r="T96" s="62" t="s">
        <v>21</v>
      </c>
      <c r="V96" s="113">
        <v>1.1264565200000001</v>
      </c>
      <c r="W96" s="71">
        <v>2.91646165</v>
      </c>
      <c r="X96" s="71">
        <v>4.5354070399999999</v>
      </c>
      <c r="Y96" s="71">
        <v>5.9573998399999999</v>
      </c>
      <c r="Z96" s="114">
        <v>7.7795764899999993</v>
      </c>
    </row>
    <row r="97" spans="2:26" x14ac:dyDescent="0.35">
      <c r="B97" s="54" t="s">
        <v>87</v>
      </c>
      <c r="C97" s="52" t="s">
        <v>85</v>
      </c>
      <c r="D97" s="52" t="s">
        <v>20</v>
      </c>
      <c r="E97" s="52" t="s">
        <v>88</v>
      </c>
      <c r="F97" s="72">
        <v>2.6013075241105202E-2</v>
      </c>
      <c r="G97" s="70">
        <v>3.271978158839435E-2</v>
      </c>
      <c r="H97" s="70">
        <v>3.745052468069044E-2</v>
      </c>
      <c r="I97" s="70">
        <v>4.0196882105749801E-2</v>
      </c>
      <c r="J97" s="62">
        <v>4.3190747281945691E-2</v>
      </c>
      <c r="K97" s="72" t="s">
        <v>21</v>
      </c>
      <c r="L97" s="70">
        <v>5.0556171883943514E-3</v>
      </c>
      <c r="M97" s="70">
        <v>9.2934078806904442E-3</v>
      </c>
      <c r="N97" s="70">
        <v>1.1276011305749799E-2</v>
      </c>
      <c r="O97" s="62">
        <v>1.3049031181945687E-2</v>
      </c>
      <c r="P97" s="54" t="s">
        <v>21</v>
      </c>
      <c r="Q97" s="52" t="s">
        <v>21</v>
      </c>
      <c r="R97" s="93" t="s">
        <v>21</v>
      </c>
      <c r="S97" s="70" t="s">
        <v>21</v>
      </c>
      <c r="T97" s="62" t="s">
        <v>21</v>
      </c>
      <c r="V97" s="113">
        <v>1.1266928900000002</v>
      </c>
      <c r="W97" s="71">
        <v>2.91682511</v>
      </c>
      <c r="X97" s="71">
        <v>4.5348847800000005</v>
      </c>
      <c r="Y97" s="71">
        <v>5.9613342200000004</v>
      </c>
      <c r="Z97" s="114">
        <v>7.7884904099999996</v>
      </c>
    </row>
    <row r="98" spans="2:26" x14ac:dyDescent="0.35">
      <c r="B98" s="54" t="s">
        <v>89</v>
      </c>
      <c r="C98" s="52" t="s">
        <v>85</v>
      </c>
      <c r="D98" s="52" t="s">
        <v>20</v>
      </c>
      <c r="E98" s="52" t="s">
        <v>312</v>
      </c>
      <c r="F98" s="72">
        <v>2.4755321744542924E-2</v>
      </c>
      <c r="G98" s="70">
        <v>3.1243134218983712E-2</v>
      </c>
      <c r="H98" s="70">
        <v>3.5314284572892853E-2</v>
      </c>
      <c r="I98" s="70">
        <v>3.8227486266624054E-2</v>
      </c>
      <c r="J98" s="62">
        <v>4.1147696448226315E-2</v>
      </c>
      <c r="K98" s="72" t="s">
        <v>21</v>
      </c>
      <c r="L98" s="70">
        <v>3.6304012189837106E-3</v>
      </c>
      <c r="M98" s="70">
        <v>7.23312727289286E-3</v>
      </c>
      <c r="N98" s="70">
        <v>9.3792869666240522E-3</v>
      </c>
      <c r="O98" s="62">
        <v>1.1072167748226308E-2</v>
      </c>
      <c r="P98" s="54" t="s">
        <v>21</v>
      </c>
      <c r="Q98" s="52" t="s">
        <v>21</v>
      </c>
      <c r="R98" s="93" t="s">
        <v>21</v>
      </c>
      <c r="S98" s="70" t="s">
        <v>21</v>
      </c>
      <c r="T98" s="62" t="s">
        <v>21</v>
      </c>
      <c r="V98" s="113">
        <v>1.1290882199999999</v>
      </c>
      <c r="W98" s="71">
        <v>2.9306587400000002</v>
      </c>
      <c r="X98" s="71">
        <v>4.5735838900000001</v>
      </c>
      <c r="Y98" s="71">
        <v>6.0307807000000002</v>
      </c>
      <c r="Z98" s="114">
        <v>7.916966490000001</v>
      </c>
    </row>
    <row r="99" spans="2:26" x14ac:dyDescent="0.35">
      <c r="B99" s="54" t="s">
        <v>90</v>
      </c>
      <c r="C99" s="52" t="s">
        <v>85</v>
      </c>
      <c r="D99" s="52" t="s">
        <v>20</v>
      </c>
      <c r="E99" s="52" t="s">
        <v>75</v>
      </c>
      <c r="F99" s="72">
        <v>2.604788521164712E-2</v>
      </c>
      <c r="G99" s="70">
        <v>3.3023223846037592E-2</v>
      </c>
      <c r="H99" s="70">
        <v>3.7647840846314458E-2</v>
      </c>
      <c r="I99" s="70">
        <v>4.0752409948625307E-2</v>
      </c>
      <c r="J99" s="62">
        <v>4.3602328720110689E-2</v>
      </c>
      <c r="K99" s="72" t="s">
        <v>21</v>
      </c>
      <c r="L99" s="70">
        <v>5.3456500460375908E-3</v>
      </c>
      <c r="M99" s="70">
        <v>9.4818334463144596E-3</v>
      </c>
      <c r="N99" s="70">
        <v>1.1808982448625294E-2</v>
      </c>
      <c r="O99" s="62">
        <v>1.3447095320110684E-2</v>
      </c>
      <c r="P99" s="54" t="s">
        <v>21</v>
      </c>
      <c r="Q99" s="52" t="s">
        <v>21</v>
      </c>
      <c r="R99" s="93" t="s">
        <v>21</v>
      </c>
      <c r="S99" s="70" t="s">
        <v>21</v>
      </c>
      <c r="T99" s="62" t="s">
        <v>21</v>
      </c>
      <c r="V99" s="113">
        <v>1.1266313300000002</v>
      </c>
      <c r="W99" s="71">
        <v>2.91539664</v>
      </c>
      <c r="X99" s="71">
        <v>4.5299647800000002</v>
      </c>
      <c r="Y99" s="71">
        <v>5.9456710599999996</v>
      </c>
      <c r="Z99" s="114">
        <v>7.7592708999999997</v>
      </c>
    </row>
    <row r="100" spans="2:26" x14ac:dyDescent="0.35">
      <c r="B100" s="54" t="s">
        <v>91</v>
      </c>
      <c r="C100" s="52" t="s">
        <v>85</v>
      </c>
      <c r="D100" s="52" t="s">
        <v>20</v>
      </c>
      <c r="E100" s="52" t="s">
        <v>92</v>
      </c>
      <c r="F100" s="72">
        <v>2.5410941750306119E-2</v>
      </c>
      <c r="G100" s="70">
        <v>3.1999487087470094E-2</v>
      </c>
      <c r="H100" s="70">
        <v>3.6661917268158518E-2</v>
      </c>
      <c r="I100" s="70">
        <v>3.9553842914500079E-2</v>
      </c>
      <c r="J100" s="62">
        <v>4.2515703756406453E-2</v>
      </c>
      <c r="K100" s="72" t="s">
        <v>21</v>
      </c>
      <c r="L100" s="70">
        <v>4.3593497874700998E-3</v>
      </c>
      <c r="M100" s="70">
        <v>8.5328543681585257E-3</v>
      </c>
      <c r="N100" s="70">
        <v>1.0657838314500078E-2</v>
      </c>
      <c r="O100" s="62">
        <v>1.2397986256406465E-2</v>
      </c>
      <c r="P100" s="54" t="s">
        <v>21</v>
      </c>
      <c r="Q100" s="52" t="s">
        <v>21</v>
      </c>
      <c r="R100" s="93" t="s">
        <v>21</v>
      </c>
      <c r="S100" s="70" t="s">
        <v>21</v>
      </c>
      <c r="T100" s="62" t="s">
        <v>21</v>
      </c>
      <c r="V100" s="113">
        <v>1.1278541499999999</v>
      </c>
      <c r="W100" s="71">
        <v>2.9239736600000001</v>
      </c>
      <c r="X100" s="71">
        <v>4.5510828800000001</v>
      </c>
      <c r="Y100" s="71">
        <v>5.9846914900000003</v>
      </c>
      <c r="Z100" s="114">
        <v>7.8292778499999995</v>
      </c>
    </row>
    <row r="101" spans="2:26" x14ac:dyDescent="0.35">
      <c r="B101" s="54" t="s">
        <v>307</v>
      </c>
      <c r="C101" s="52" t="s">
        <v>85</v>
      </c>
      <c r="D101" s="52" t="s">
        <v>20</v>
      </c>
      <c r="E101" s="52" t="s">
        <v>313</v>
      </c>
      <c r="F101" s="72">
        <v>2.378830056054285E-2</v>
      </c>
      <c r="G101" s="70">
        <v>3.0743414660153803E-2</v>
      </c>
      <c r="H101" s="70">
        <v>3.5285206623212287E-2</v>
      </c>
      <c r="I101" s="70">
        <v>3.8186494577249146E-2</v>
      </c>
      <c r="J101" s="62">
        <v>4.1149508166701959E-2</v>
      </c>
      <c r="K101" s="72" t="s">
        <v>21</v>
      </c>
      <c r="L101" s="70">
        <v>3.1458774601538023E-3</v>
      </c>
      <c r="M101" s="70">
        <v>7.2042762232122845E-3</v>
      </c>
      <c r="N101" s="70">
        <v>9.340346377249148E-3</v>
      </c>
      <c r="O101" s="62">
        <v>1.1077243766701958E-2</v>
      </c>
      <c r="P101" s="54" t="s">
        <v>21</v>
      </c>
      <c r="Q101" s="52" t="s">
        <v>21</v>
      </c>
      <c r="R101" s="93" t="s">
        <v>21</v>
      </c>
      <c r="S101" s="70" t="s">
        <v>21</v>
      </c>
      <c r="T101" s="62" t="s">
        <v>21</v>
      </c>
      <c r="V101" s="113">
        <v>1.13100146</v>
      </c>
      <c r="W101" s="71">
        <v>2.9377129100000001</v>
      </c>
      <c r="X101" s="71">
        <v>4.5820298099999999</v>
      </c>
      <c r="Y101" s="71">
        <v>6.0387936699999996</v>
      </c>
      <c r="Z101" s="114">
        <v>7.9205995599999994</v>
      </c>
    </row>
    <row r="102" spans="2:26" x14ac:dyDescent="0.35">
      <c r="B102" s="54" t="s">
        <v>308</v>
      </c>
      <c r="C102" s="52" t="s">
        <v>85</v>
      </c>
      <c r="D102" s="52" t="s">
        <v>20</v>
      </c>
      <c r="E102" s="52" t="s">
        <v>73</v>
      </c>
      <c r="F102" s="72">
        <v>2.5774474514412712E-2</v>
      </c>
      <c r="G102" s="70">
        <v>3.3767502555533395E-2</v>
      </c>
      <c r="H102" s="70">
        <v>4.0032027842046271E-2</v>
      </c>
      <c r="I102" s="70">
        <v>4.3507875332725432E-2</v>
      </c>
      <c r="J102" s="62">
        <v>4.7317218259850205E-2</v>
      </c>
      <c r="K102" s="72" t="s">
        <v>21</v>
      </c>
      <c r="L102" s="70">
        <v>6.0622329555333962E-3</v>
      </c>
      <c r="M102" s="70">
        <v>1.177150134204628E-2</v>
      </c>
      <c r="N102" s="70">
        <v>1.445069443272543E-2</v>
      </c>
      <c r="O102" s="62">
        <v>1.7025231959850208E-2</v>
      </c>
      <c r="P102" s="54" t="s">
        <v>21</v>
      </c>
      <c r="Q102" s="52" t="s">
        <v>21</v>
      </c>
      <c r="R102" s="93" t="s">
        <v>21</v>
      </c>
      <c r="S102" s="70" t="s">
        <v>21</v>
      </c>
      <c r="T102" s="62" t="s">
        <v>21</v>
      </c>
      <c r="V102" s="113">
        <v>1.12715685</v>
      </c>
      <c r="W102" s="71">
        <v>2.9116477700000001</v>
      </c>
      <c r="X102" s="71">
        <v>4.4999370800000005</v>
      </c>
      <c r="Y102" s="71">
        <v>5.86963305</v>
      </c>
      <c r="Z102" s="114">
        <v>7.5750081499999995</v>
      </c>
    </row>
    <row r="103" spans="2:26" x14ac:dyDescent="0.35">
      <c r="B103" s="54" t="s">
        <v>309</v>
      </c>
      <c r="C103" s="52" t="s">
        <v>85</v>
      </c>
      <c r="D103" s="52" t="s">
        <v>20</v>
      </c>
      <c r="E103" s="52" t="s">
        <v>48</v>
      </c>
      <c r="F103" s="72">
        <v>2.775648844300356E-2</v>
      </c>
      <c r="G103" s="70">
        <v>3.9400462340530386E-2</v>
      </c>
      <c r="H103" s="70">
        <v>4.8160634097594739E-2</v>
      </c>
      <c r="I103" s="70">
        <v>5.409950467285795E-2</v>
      </c>
      <c r="J103" s="62">
        <v>5.8131855087517725E-2</v>
      </c>
      <c r="K103" s="72">
        <v>5.5191944300356666E-4</v>
      </c>
      <c r="L103" s="70">
        <v>1.1453377340530386E-2</v>
      </c>
      <c r="M103" s="70">
        <v>1.9498091097594733E-2</v>
      </c>
      <c r="N103" s="70">
        <v>2.4481950072857951E-2</v>
      </c>
      <c r="O103" s="62">
        <v>2.7295636687517718E-2</v>
      </c>
      <c r="P103" s="54" t="s">
        <v>21</v>
      </c>
      <c r="Q103" s="52" t="s">
        <v>21</v>
      </c>
      <c r="R103" s="93" t="s">
        <v>21</v>
      </c>
      <c r="S103" s="70" t="s">
        <v>21</v>
      </c>
      <c r="T103" s="62" t="s">
        <v>21</v>
      </c>
      <c r="V103" s="113">
        <v>1.1225531800000002</v>
      </c>
      <c r="W103" s="71">
        <v>2.86657662</v>
      </c>
      <c r="X103" s="71">
        <v>4.3613297400000004</v>
      </c>
      <c r="Y103" s="71">
        <v>5.5746988499999999</v>
      </c>
      <c r="Z103" s="114">
        <v>7.0180447600000004</v>
      </c>
    </row>
    <row r="104" spans="2:26" x14ac:dyDescent="0.35">
      <c r="B104" s="54" t="s">
        <v>310</v>
      </c>
      <c r="C104" s="52" t="s">
        <v>85</v>
      </c>
      <c r="D104" s="52" t="s">
        <v>20</v>
      </c>
      <c r="E104" s="52" t="s">
        <v>159</v>
      </c>
      <c r="F104" s="72">
        <v>2.388731522720753E-2</v>
      </c>
      <c r="G104" s="70">
        <v>3.1108690833055577E-2</v>
      </c>
      <c r="H104" s="70">
        <v>3.577178773051954E-2</v>
      </c>
      <c r="I104" s="70">
        <v>3.9747621043339891E-2</v>
      </c>
      <c r="J104" s="62">
        <v>4.2336569716875445E-2</v>
      </c>
      <c r="K104" s="72" t="s">
        <v>21</v>
      </c>
      <c r="L104" s="70">
        <v>3.5002721330555731E-3</v>
      </c>
      <c r="M104" s="70">
        <v>7.6753249305195354E-3</v>
      </c>
      <c r="N104" s="70">
        <v>1.0845381243339882E-2</v>
      </c>
      <c r="O104" s="62">
        <v>1.2231805716875448E-2</v>
      </c>
      <c r="P104" s="54" t="s">
        <v>314</v>
      </c>
      <c r="Q104" s="52" t="s">
        <v>315</v>
      </c>
      <c r="R104" s="93">
        <v>47788</v>
      </c>
      <c r="S104" s="70">
        <v>3.4230820000000002E-2</v>
      </c>
      <c r="T104" s="62">
        <v>1.5409677305195379E-3</v>
      </c>
      <c r="V104" s="113">
        <v>1.1307848599999999</v>
      </c>
      <c r="W104" s="71">
        <v>2.9347029199999999</v>
      </c>
      <c r="X104" s="71">
        <v>4.5721681099999998</v>
      </c>
      <c r="Y104" s="71">
        <v>6.0045086300000001</v>
      </c>
      <c r="Z104" s="114">
        <v>7.8488775400000002</v>
      </c>
    </row>
    <row r="105" spans="2:26" x14ac:dyDescent="0.35">
      <c r="B105" s="56" t="s">
        <v>311</v>
      </c>
      <c r="C105" s="52" t="s">
        <v>85</v>
      </c>
      <c r="D105" s="66" t="s">
        <v>20</v>
      </c>
      <c r="E105" s="66" t="s">
        <v>274</v>
      </c>
      <c r="F105" s="73">
        <v>2.48681270468528E-2</v>
      </c>
      <c r="G105" s="75">
        <v>3.2684316709525506E-2</v>
      </c>
      <c r="H105" s="75">
        <v>3.9011410851681826E-2</v>
      </c>
      <c r="I105" s="75">
        <v>4.3416461417063297E-2</v>
      </c>
      <c r="J105" s="63">
        <v>4.7328731629139573E-2</v>
      </c>
      <c r="K105" s="73" t="s">
        <v>21</v>
      </c>
      <c r="L105" s="75">
        <v>5.021286709525505E-3</v>
      </c>
      <c r="M105" s="75">
        <v>1.0794432251681823E-2</v>
      </c>
      <c r="N105" s="75">
        <v>1.4364878317063299E-2</v>
      </c>
      <c r="O105" s="63">
        <v>1.7039969629139583E-2</v>
      </c>
      <c r="P105" s="56" t="s">
        <v>21</v>
      </c>
      <c r="Q105" s="66" t="s">
        <v>21</v>
      </c>
      <c r="R105" s="95" t="s">
        <v>21</v>
      </c>
      <c r="S105" s="75" t="s">
        <v>21</v>
      </c>
      <c r="T105" s="63" t="s">
        <v>21</v>
      </c>
      <c r="V105" s="115">
        <v>1.1288726600000001</v>
      </c>
      <c r="W105" s="107">
        <v>2.92123249</v>
      </c>
      <c r="X105" s="107">
        <v>4.52172412</v>
      </c>
      <c r="Y105" s="107">
        <v>5.8944291</v>
      </c>
      <c r="Z105" s="116">
        <v>7.6004939399999998</v>
      </c>
    </row>
    <row r="106" spans="2:26" x14ac:dyDescent="0.35">
      <c r="B106" s="52" t="s">
        <v>21</v>
      </c>
      <c r="C106" s="52" t="s">
        <v>21</v>
      </c>
      <c r="E106" s="52" t="s">
        <v>21</v>
      </c>
      <c r="F106" s="70" t="s">
        <v>21</v>
      </c>
      <c r="G106" s="70"/>
      <c r="H106" s="70" t="s">
        <v>21</v>
      </c>
      <c r="I106" s="70"/>
      <c r="J106" s="70" t="s">
        <v>21</v>
      </c>
      <c r="K106" s="70" t="s">
        <v>21</v>
      </c>
      <c r="L106" s="70"/>
      <c r="M106" s="70" t="s">
        <v>21</v>
      </c>
      <c r="N106" s="70"/>
      <c r="O106" s="70" t="s">
        <v>21</v>
      </c>
      <c r="R106" s="93"/>
      <c r="V106" s="71"/>
      <c r="W106" s="71"/>
      <c r="X106" s="71"/>
      <c r="Y106" s="71"/>
      <c r="Z106" s="71"/>
    </row>
    <row r="107" spans="2:26" ht="15.5" x14ac:dyDescent="0.35">
      <c r="B107" s="121" t="s">
        <v>93</v>
      </c>
      <c r="C107" s="52" t="s">
        <v>21</v>
      </c>
      <c r="E107" s="52" t="s">
        <v>21</v>
      </c>
      <c r="F107" s="70" t="s">
        <v>21</v>
      </c>
      <c r="G107" s="70"/>
      <c r="H107" s="70" t="s">
        <v>21</v>
      </c>
      <c r="I107" s="70"/>
      <c r="J107" s="70" t="s">
        <v>21</v>
      </c>
      <c r="K107" s="70" t="s">
        <v>21</v>
      </c>
      <c r="L107" s="70"/>
      <c r="M107" s="70" t="s">
        <v>21</v>
      </c>
      <c r="N107" s="70"/>
      <c r="O107" s="70" t="s">
        <v>21</v>
      </c>
      <c r="R107" s="93"/>
      <c r="V107" s="71"/>
      <c r="W107" s="71"/>
      <c r="X107" s="71"/>
      <c r="Y107" s="71"/>
      <c r="Z107" s="71"/>
    </row>
    <row r="108" spans="2:26" x14ac:dyDescent="0.35">
      <c r="B108" s="84" t="s">
        <v>5</v>
      </c>
      <c r="C108" s="83" t="s">
        <v>6</v>
      </c>
      <c r="D108" s="83" t="s">
        <v>7</v>
      </c>
      <c r="E108" s="83" t="s">
        <v>8</v>
      </c>
      <c r="F108" s="82" t="s">
        <v>9</v>
      </c>
      <c r="G108" s="81" t="s">
        <v>10</v>
      </c>
      <c r="H108" s="81" t="s">
        <v>11</v>
      </c>
      <c r="I108" s="81" t="s">
        <v>12</v>
      </c>
      <c r="J108" s="80" t="s">
        <v>13</v>
      </c>
      <c r="K108" s="82" t="s">
        <v>9</v>
      </c>
      <c r="L108" s="81" t="s">
        <v>10</v>
      </c>
      <c r="M108" s="81" t="s">
        <v>11</v>
      </c>
      <c r="N108" s="81" t="s">
        <v>12</v>
      </c>
      <c r="O108" s="80" t="s">
        <v>13</v>
      </c>
      <c r="P108" s="69" t="s">
        <v>14</v>
      </c>
      <c r="Q108" s="57" t="s">
        <v>15</v>
      </c>
      <c r="R108" s="57" t="s">
        <v>16</v>
      </c>
      <c r="S108" s="57" t="s">
        <v>17</v>
      </c>
      <c r="T108" s="57" t="s">
        <v>18</v>
      </c>
      <c r="V108" s="109" t="s">
        <v>9</v>
      </c>
      <c r="W108" s="105" t="s">
        <v>10</v>
      </c>
      <c r="X108" s="105" t="s">
        <v>11</v>
      </c>
      <c r="Y108" s="105" t="s">
        <v>12</v>
      </c>
      <c r="Z108" s="110" t="s">
        <v>13</v>
      </c>
    </row>
    <row r="109" spans="2:26" x14ac:dyDescent="0.35">
      <c r="B109" s="78" t="s">
        <v>94</v>
      </c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6"/>
      <c r="P109" s="78"/>
      <c r="Q109" s="77"/>
      <c r="R109" s="94"/>
      <c r="S109" s="77"/>
      <c r="T109" s="76"/>
      <c r="V109" s="111"/>
      <c r="W109" s="106"/>
      <c r="X109" s="106"/>
      <c r="Y109" s="106"/>
      <c r="Z109" s="112"/>
    </row>
    <row r="110" spans="2:26" x14ac:dyDescent="0.35">
      <c r="B110" s="55" t="s">
        <v>95</v>
      </c>
      <c r="C110" s="65" t="s">
        <v>85</v>
      </c>
      <c r="D110" s="65" t="s">
        <v>43</v>
      </c>
      <c r="E110" s="65" t="s">
        <v>230</v>
      </c>
      <c r="F110" s="74">
        <v>2.4233304750680591E-2</v>
      </c>
      <c r="G110" s="79">
        <v>3.1315481304359613E-2</v>
      </c>
      <c r="H110" s="79">
        <v>3.6199222818257715E-2</v>
      </c>
      <c r="I110" s="79">
        <v>3.9070094203608866E-2</v>
      </c>
      <c r="J110" s="61">
        <v>4.1908744899232027E-2</v>
      </c>
      <c r="K110" s="74" t="s">
        <v>21</v>
      </c>
      <c r="L110" s="79">
        <v>3.7177616043596144E-3</v>
      </c>
      <c r="M110" s="79">
        <v>8.1058851182577198E-3</v>
      </c>
      <c r="N110" s="79">
        <v>1.0211756803608869E-2</v>
      </c>
      <c r="O110" s="61">
        <v>1.1828725199232022E-2</v>
      </c>
      <c r="P110" s="55" t="s">
        <v>21</v>
      </c>
      <c r="Q110" s="65" t="s">
        <v>21</v>
      </c>
      <c r="R110" s="99" t="s">
        <v>21</v>
      </c>
      <c r="S110" s="79" t="s">
        <v>21</v>
      </c>
      <c r="T110" s="62" t="s">
        <v>21</v>
      </c>
      <c r="V110" s="117">
        <v>1.13106102</v>
      </c>
      <c r="W110" s="60">
        <v>2.9371801900000003</v>
      </c>
      <c r="X110" s="60">
        <v>4.5761547199999999</v>
      </c>
      <c r="Y110" s="60">
        <v>6.0270798700000006</v>
      </c>
      <c r="Z110" s="118">
        <v>7.9037590299999998</v>
      </c>
    </row>
    <row r="111" spans="2:26" x14ac:dyDescent="0.35">
      <c r="B111" s="56" t="s">
        <v>95</v>
      </c>
      <c r="C111" s="66" t="s">
        <v>35</v>
      </c>
      <c r="D111" s="66" t="s">
        <v>43</v>
      </c>
      <c r="E111" s="66" t="s">
        <v>231</v>
      </c>
      <c r="F111" s="73">
        <v>2.5516434258066621E-2</v>
      </c>
      <c r="G111" s="75">
        <v>3.4502755073436114E-2</v>
      </c>
      <c r="H111" s="75">
        <v>4.1399270138545344E-2</v>
      </c>
      <c r="I111" s="75">
        <v>4.5267837094283427E-2</v>
      </c>
      <c r="J111" s="63">
        <v>4.8953985531480407E-2</v>
      </c>
      <c r="K111" s="73" t="s">
        <v>21</v>
      </c>
      <c r="L111" s="75">
        <v>6.8281776734361189E-3</v>
      </c>
      <c r="M111" s="75">
        <v>1.3172171038545342E-2</v>
      </c>
      <c r="N111" s="75">
        <v>1.6237274894283425E-2</v>
      </c>
      <c r="O111" s="63">
        <v>1.8690891131480401E-2</v>
      </c>
      <c r="P111" s="56" t="s">
        <v>21</v>
      </c>
      <c r="Q111" s="66" t="s">
        <v>21</v>
      </c>
      <c r="R111" s="95" t="s">
        <v>21</v>
      </c>
      <c r="S111" s="75" t="s">
        <v>21</v>
      </c>
      <c r="T111" s="63" t="s">
        <v>21</v>
      </c>
      <c r="V111" s="115">
        <v>1.12994901</v>
      </c>
      <c r="W111" s="107">
        <v>2.9247336399999999</v>
      </c>
      <c r="X111" s="107">
        <v>4.5322252399999998</v>
      </c>
      <c r="Y111" s="107">
        <v>5.9311428300000006</v>
      </c>
      <c r="Z111" s="116">
        <v>7.7016381100000002</v>
      </c>
    </row>
    <row r="112" spans="2:26" x14ac:dyDescent="0.35">
      <c r="B112" s="54" t="s">
        <v>96</v>
      </c>
      <c r="C112" s="52" t="s">
        <v>85</v>
      </c>
      <c r="D112" s="52" t="s">
        <v>97</v>
      </c>
      <c r="E112" s="52" t="s">
        <v>21</v>
      </c>
      <c r="F112" s="72">
        <v>2.4771232391300222E-2</v>
      </c>
      <c r="G112" s="70">
        <v>3.1956721819226437E-2</v>
      </c>
      <c r="H112" s="70">
        <v>3.6971244267966427E-2</v>
      </c>
      <c r="I112" s="70">
        <v>4.0213360401768601E-2</v>
      </c>
      <c r="J112" s="62">
        <v>4.3306385651161211E-2</v>
      </c>
      <c r="K112" s="72" t="s">
        <v>21</v>
      </c>
      <c r="L112" s="70">
        <v>4.3373009192264403E-3</v>
      </c>
      <c r="M112" s="70">
        <v>8.8506173679664298E-3</v>
      </c>
      <c r="N112" s="70">
        <v>1.1312715301768602E-2</v>
      </c>
      <c r="O112" s="62">
        <v>1.3181945051161215E-2</v>
      </c>
      <c r="P112" s="54" t="s">
        <v>21</v>
      </c>
      <c r="Q112" s="52" t="s">
        <v>21</v>
      </c>
      <c r="R112" s="93" t="s">
        <v>21</v>
      </c>
      <c r="S112" s="70" t="s">
        <v>21</v>
      </c>
      <c r="T112" s="62" t="s">
        <v>21</v>
      </c>
      <c r="V112" s="113">
        <v>1.13001949</v>
      </c>
      <c r="W112" s="71">
        <v>2.9309969200000001</v>
      </c>
      <c r="X112" s="71">
        <v>4.56114877</v>
      </c>
      <c r="Y112" s="71">
        <v>5.9940265200000002</v>
      </c>
      <c r="Z112" s="114">
        <v>7.8303484300000008</v>
      </c>
    </row>
    <row r="113" spans="2:26" x14ac:dyDescent="0.35">
      <c r="B113" s="56" t="s">
        <v>96</v>
      </c>
      <c r="C113" s="66" t="s">
        <v>35</v>
      </c>
      <c r="D113" s="66" t="s">
        <v>97</v>
      </c>
      <c r="E113" s="66" t="s">
        <v>44</v>
      </c>
      <c r="F113" s="73">
        <v>2.70625411388997E-2</v>
      </c>
      <c r="G113" s="75">
        <v>3.5446178218403457E-2</v>
      </c>
      <c r="H113" s="75">
        <v>4.2180167646096625E-2</v>
      </c>
      <c r="I113" s="75">
        <v>4.670611301985525E-2</v>
      </c>
      <c r="J113" s="63">
        <v>5.0301753265234853E-2</v>
      </c>
      <c r="K113" s="73" t="s">
        <v>21</v>
      </c>
      <c r="L113" s="75">
        <v>7.7433463184034615E-3</v>
      </c>
      <c r="M113" s="75">
        <v>1.3925352246096626E-2</v>
      </c>
      <c r="N113" s="75">
        <v>1.7619341019855243E-2</v>
      </c>
      <c r="O113" s="63">
        <v>1.9990073765234852E-2</v>
      </c>
      <c r="P113" s="56" t="s">
        <v>21</v>
      </c>
      <c r="Q113" s="66" t="s">
        <v>21</v>
      </c>
      <c r="R113" s="95" t="s">
        <v>21</v>
      </c>
      <c r="S113" s="75" t="s">
        <v>21</v>
      </c>
      <c r="T113" s="63" t="s">
        <v>21</v>
      </c>
      <c r="V113" s="115">
        <v>1.12761863</v>
      </c>
      <c r="W113" s="107">
        <v>2.9156945300000001</v>
      </c>
      <c r="X113" s="107">
        <v>4.5157188799999997</v>
      </c>
      <c r="Y113" s="107">
        <v>5.8983451899999997</v>
      </c>
      <c r="Z113" s="116">
        <v>7.6387110100000006</v>
      </c>
    </row>
    <row r="114" spans="2:26" x14ac:dyDescent="0.35">
      <c r="B114" s="54" t="s">
        <v>98</v>
      </c>
      <c r="C114" s="52" t="s">
        <v>85</v>
      </c>
      <c r="D114" s="52" t="s">
        <v>47</v>
      </c>
      <c r="E114" s="52" t="s">
        <v>21</v>
      </c>
      <c r="F114" s="72">
        <v>2.4787015313461419E-2</v>
      </c>
      <c r="G114" s="70">
        <v>3.2084330927237455E-2</v>
      </c>
      <c r="H114" s="70">
        <v>3.748257988212729E-2</v>
      </c>
      <c r="I114" s="70">
        <v>4.0759341292349302E-2</v>
      </c>
      <c r="J114" s="62">
        <v>4.4002010342684146E-2</v>
      </c>
      <c r="K114" s="72" t="s">
        <v>21</v>
      </c>
      <c r="L114" s="70">
        <v>4.461296227237458E-3</v>
      </c>
      <c r="M114" s="70">
        <v>9.3441527821272879E-3</v>
      </c>
      <c r="N114" s="70">
        <v>1.1838728592349305E-2</v>
      </c>
      <c r="O114" s="62">
        <v>1.3854706142684147E-2</v>
      </c>
      <c r="P114" s="54" t="s">
        <v>21</v>
      </c>
      <c r="Q114" s="52" t="s">
        <v>21</v>
      </c>
      <c r="R114" s="93" t="s">
        <v>21</v>
      </c>
      <c r="S114" s="70" t="s">
        <v>21</v>
      </c>
      <c r="T114" s="62" t="s">
        <v>21</v>
      </c>
      <c r="V114" s="113">
        <v>1.12997367</v>
      </c>
      <c r="W114" s="71">
        <v>2.9302576600000001</v>
      </c>
      <c r="X114" s="71">
        <v>4.5541061200000001</v>
      </c>
      <c r="Y114" s="71">
        <v>5.97786098</v>
      </c>
      <c r="Z114" s="114">
        <v>7.7945595800000005</v>
      </c>
    </row>
    <row r="115" spans="2:26" x14ac:dyDescent="0.35">
      <c r="B115" s="56" t="s">
        <v>98</v>
      </c>
      <c r="C115" s="66" t="s">
        <v>35</v>
      </c>
      <c r="D115" s="66" t="s">
        <v>47</v>
      </c>
      <c r="E115" s="66" t="s">
        <v>460</v>
      </c>
      <c r="F115" s="73">
        <v>2.620638099946819E-2</v>
      </c>
      <c r="G115" s="75">
        <v>3.5162203938635145E-2</v>
      </c>
      <c r="H115" s="75">
        <v>4.2466324988418548E-2</v>
      </c>
      <c r="I115" s="75">
        <v>4.7360648112888877E-2</v>
      </c>
      <c r="J115" s="63">
        <v>5.1406191755010829E-2</v>
      </c>
      <c r="K115" s="73" t="s">
        <v>21</v>
      </c>
      <c r="L115" s="75">
        <v>7.4697686386351533E-3</v>
      </c>
      <c r="M115" s="75">
        <v>1.4202191288418547E-2</v>
      </c>
      <c r="N115" s="75">
        <v>1.8249335012888883E-2</v>
      </c>
      <c r="O115" s="63">
        <v>2.1054970555010835E-2</v>
      </c>
      <c r="P115" s="56" t="s">
        <v>461</v>
      </c>
      <c r="Q115" s="66" t="s">
        <v>462</v>
      </c>
      <c r="R115" s="95" t="s">
        <v>32</v>
      </c>
      <c r="S115" s="75">
        <v>3.6282519999999999E-2</v>
      </c>
      <c r="T115" s="63">
        <v>6.1838049884185495E-3</v>
      </c>
      <c r="V115" s="115">
        <v>1.1288999799999999</v>
      </c>
      <c r="W115" s="107">
        <v>2.91963141</v>
      </c>
      <c r="X115" s="107">
        <v>4.5174002599999996</v>
      </c>
      <c r="Y115" s="107">
        <v>5.89204332</v>
      </c>
      <c r="Z115" s="116">
        <v>7.6088455699999997</v>
      </c>
    </row>
    <row r="116" spans="2:26" x14ac:dyDescent="0.35">
      <c r="B116" s="54" t="s">
        <v>99</v>
      </c>
      <c r="C116" s="52" t="s">
        <v>85</v>
      </c>
      <c r="D116" s="52" t="s">
        <v>69</v>
      </c>
      <c r="E116" s="52" t="s">
        <v>100</v>
      </c>
      <c r="F116" s="72">
        <v>2.4565282993303288E-2</v>
      </c>
      <c r="G116" s="70">
        <v>3.2581072799789536E-2</v>
      </c>
      <c r="H116" s="70">
        <v>3.8303735828807223E-2</v>
      </c>
      <c r="I116" s="70">
        <v>4.1799581474813455E-2</v>
      </c>
      <c r="J116" s="62">
        <v>4.538441184577769E-2</v>
      </c>
      <c r="K116" s="72" t="s">
        <v>21</v>
      </c>
      <c r="L116" s="70">
        <v>4.9417946997895364E-3</v>
      </c>
      <c r="M116" s="70">
        <v>1.0135576928807221E-2</v>
      </c>
      <c r="N116" s="70">
        <v>1.2838725674813454E-2</v>
      </c>
      <c r="O116" s="62">
        <v>1.5188534945777687E-2</v>
      </c>
      <c r="P116" s="54" t="s">
        <v>21</v>
      </c>
      <c r="Q116" s="52" t="s">
        <v>21</v>
      </c>
      <c r="R116" s="93" t="s">
        <v>21</v>
      </c>
      <c r="S116" s="70" t="s">
        <v>21</v>
      </c>
      <c r="T116" s="62" t="s">
        <v>21</v>
      </c>
      <c r="V116" s="113">
        <v>1.1303836899999999</v>
      </c>
      <c r="W116" s="71">
        <v>2.9277817000000002</v>
      </c>
      <c r="X116" s="71">
        <v>4.5418717600000003</v>
      </c>
      <c r="Y116" s="71">
        <v>5.9488831900000001</v>
      </c>
      <c r="Z116" s="114">
        <v>7.7270294599999998</v>
      </c>
    </row>
    <row r="117" spans="2:26" x14ac:dyDescent="0.35">
      <c r="B117" s="56" t="s">
        <v>99</v>
      </c>
      <c r="C117" s="66" t="s">
        <v>35</v>
      </c>
      <c r="D117" s="66" t="s">
        <v>69</v>
      </c>
      <c r="E117" s="66" t="s">
        <v>224</v>
      </c>
      <c r="F117" s="73">
        <v>2.5213237357077017E-2</v>
      </c>
      <c r="G117" s="75">
        <v>3.5162192108920777E-2</v>
      </c>
      <c r="H117" s="75">
        <v>4.2569726987908112E-2</v>
      </c>
      <c r="I117" s="75">
        <v>4.7552358461884173E-2</v>
      </c>
      <c r="J117" s="63">
        <v>5.1281493870243972E-2</v>
      </c>
      <c r="K117" s="73" t="s">
        <v>21</v>
      </c>
      <c r="L117" s="75">
        <v>7.4676996089207814E-3</v>
      </c>
      <c r="M117" s="75">
        <v>1.4300482087908104E-2</v>
      </c>
      <c r="N117" s="75">
        <v>1.8432557361884174E-2</v>
      </c>
      <c r="O117" s="63">
        <v>2.0935912370243972E-2</v>
      </c>
      <c r="P117" s="56" t="s">
        <v>463</v>
      </c>
      <c r="Q117" s="66" t="s">
        <v>464</v>
      </c>
      <c r="R117" s="95" t="s">
        <v>32</v>
      </c>
      <c r="S117" s="75">
        <v>4.0432810000000007E-2</v>
      </c>
      <c r="T117" s="63">
        <v>2.1369169879081051E-3</v>
      </c>
      <c r="V117" s="115">
        <v>1.1303754699999999</v>
      </c>
      <c r="W117" s="107">
        <v>2.9222888299999998</v>
      </c>
      <c r="X117" s="107">
        <v>4.5191047300000005</v>
      </c>
      <c r="Y117" s="107">
        <v>5.8913340600000002</v>
      </c>
      <c r="Z117" s="116">
        <v>7.6092157800000004</v>
      </c>
    </row>
    <row r="118" spans="2:26" x14ac:dyDescent="0.35">
      <c r="B118" s="54" t="s">
        <v>101</v>
      </c>
      <c r="C118" s="52" t="s">
        <v>85</v>
      </c>
      <c r="D118" s="52" t="s">
        <v>31</v>
      </c>
      <c r="E118" s="52" t="s">
        <v>21</v>
      </c>
      <c r="F118" s="72">
        <v>2.4237418868133808E-2</v>
      </c>
      <c r="G118" s="70">
        <v>3.1908588713290692E-2</v>
      </c>
      <c r="H118" s="70">
        <v>3.7179004651616408E-2</v>
      </c>
      <c r="I118" s="70">
        <v>4.0607607088163564E-2</v>
      </c>
      <c r="J118" s="62">
        <v>4.3989485645585871E-2</v>
      </c>
      <c r="K118" s="72" t="s">
        <v>21</v>
      </c>
      <c r="L118" s="70">
        <v>4.2902810132906853E-3</v>
      </c>
      <c r="M118" s="70">
        <v>9.0508374516164065E-3</v>
      </c>
      <c r="N118" s="70">
        <v>1.1692244788163556E-2</v>
      </c>
      <c r="O118" s="62">
        <v>1.3842611845585879E-2</v>
      </c>
      <c r="P118" s="54" t="s">
        <v>21</v>
      </c>
      <c r="Q118" s="52" t="s">
        <v>21</v>
      </c>
      <c r="R118" s="93" t="s">
        <v>21</v>
      </c>
      <c r="S118" s="70" t="s">
        <v>21</v>
      </c>
      <c r="T118" s="62" t="s">
        <v>21</v>
      </c>
      <c r="V118" s="113">
        <v>1.1310661099999999</v>
      </c>
      <c r="W118" s="71">
        <v>2.9333629299999999</v>
      </c>
      <c r="X118" s="71">
        <v>4.5607048900000002</v>
      </c>
      <c r="Y118" s="71">
        <v>5.9872292700000003</v>
      </c>
      <c r="Z118" s="114">
        <v>7.8043099399999996</v>
      </c>
    </row>
    <row r="119" spans="2:26" x14ac:dyDescent="0.35">
      <c r="B119" s="56" t="s">
        <v>101</v>
      </c>
      <c r="C119" s="66" t="s">
        <v>35</v>
      </c>
      <c r="D119" s="66" t="s">
        <v>31</v>
      </c>
      <c r="E119" s="66" t="s">
        <v>21</v>
      </c>
      <c r="F119" s="73">
        <v>2.5516571318081924E-2</v>
      </c>
      <c r="G119" s="75">
        <v>3.4502807564912086E-2</v>
      </c>
      <c r="H119" s="75">
        <v>4.139930398041565E-2</v>
      </c>
      <c r="I119" s="75">
        <v>4.5550366644563273E-2</v>
      </c>
      <c r="J119" s="63">
        <v>4.914487593593838E-2</v>
      </c>
      <c r="K119" s="73" t="s">
        <v>21</v>
      </c>
      <c r="L119" s="75">
        <v>6.8282129649120818E-3</v>
      </c>
      <c r="M119" s="75">
        <v>1.3172192280415645E-2</v>
      </c>
      <c r="N119" s="75">
        <v>1.6508950344563279E-2</v>
      </c>
      <c r="O119" s="63">
        <v>1.8875899535938375E-2</v>
      </c>
      <c r="P119" s="56" t="s">
        <v>21</v>
      </c>
      <c r="Q119" s="66" t="s">
        <v>21</v>
      </c>
      <c r="R119" s="95" t="s">
        <v>21</v>
      </c>
      <c r="S119" s="75" t="s">
        <v>21</v>
      </c>
      <c r="T119" s="63" t="s">
        <v>21</v>
      </c>
      <c r="V119" s="115">
        <v>1.1299490599999999</v>
      </c>
      <c r="W119" s="107">
        <v>2.9247335900000002</v>
      </c>
      <c r="X119" s="107">
        <v>4.5322250999999998</v>
      </c>
      <c r="Y119" s="107">
        <v>5.9281044400000003</v>
      </c>
      <c r="Z119" s="116">
        <v>7.6934745299999996</v>
      </c>
    </row>
    <row r="120" spans="2:26" x14ac:dyDescent="0.35">
      <c r="B120" s="54" t="s">
        <v>102</v>
      </c>
      <c r="C120" s="52" t="s">
        <v>85</v>
      </c>
      <c r="D120" s="52" t="s">
        <v>69</v>
      </c>
      <c r="E120" s="52" t="s">
        <v>465</v>
      </c>
      <c r="F120" s="72">
        <v>2.5092824776006994E-2</v>
      </c>
      <c r="G120" s="70">
        <v>3.2611591614215889E-2</v>
      </c>
      <c r="H120" s="70">
        <v>3.8356560632921317E-2</v>
      </c>
      <c r="I120" s="70">
        <v>4.1899835710868555E-2</v>
      </c>
      <c r="J120" s="62">
        <v>4.529785976685017E-2</v>
      </c>
      <c r="K120" s="72" t="s">
        <v>21</v>
      </c>
      <c r="L120" s="70">
        <v>4.9695723142158844E-3</v>
      </c>
      <c r="M120" s="70">
        <v>1.0185033732921319E-2</v>
      </c>
      <c r="N120" s="70">
        <v>1.2933556210868566E-2</v>
      </c>
      <c r="O120" s="62">
        <v>1.5104517766850168E-2</v>
      </c>
      <c r="P120" s="54" t="s">
        <v>21</v>
      </c>
      <c r="Q120" s="52" t="s">
        <v>21</v>
      </c>
      <c r="R120" s="93" t="s">
        <v>21</v>
      </c>
      <c r="S120" s="70" t="s">
        <v>21</v>
      </c>
      <c r="T120" s="62" t="s">
        <v>21</v>
      </c>
      <c r="V120" s="113">
        <v>1.1293931500000001</v>
      </c>
      <c r="W120" s="71">
        <v>2.9258283899999999</v>
      </c>
      <c r="X120" s="71">
        <v>4.53944334</v>
      </c>
      <c r="Y120" s="71">
        <v>5.9450603099999997</v>
      </c>
      <c r="Z120" s="114">
        <v>7.7248962599999995</v>
      </c>
    </row>
    <row r="121" spans="2:26" x14ac:dyDescent="0.35">
      <c r="B121" s="56" t="s">
        <v>102</v>
      </c>
      <c r="C121" s="66" t="s">
        <v>35</v>
      </c>
      <c r="D121" s="66" t="s">
        <v>69</v>
      </c>
      <c r="E121" s="66" t="s">
        <v>159</v>
      </c>
      <c r="F121" s="73">
        <v>2.5817995225187344E-2</v>
      </c>
      <c r="G121" s="75">
        <v>3.5155581454323993E-2</v>
      </c>
      <c r="H121" s="75">
        <v>4.2567750947096694E-2</v>
      </c>
      <c r="I121" s="75">
        <v>4.7178829162787622E-2</v>
      </c>
      <c r="J121" s="63">
        <v>5.1223638342964187E-2</v>
      </c>
      <c r="K121" s="73" t="s">
        <v>21</v>
      </c>
      <c r="L121" s="75">
        <v>7.4615431543239921E-3</v>
      </c>
      <c r="M121" s="75">
        <v>1.4298608147096693E-2</v>
      </c>
      <c r="N121" s="75">
        <v>1.8074137862787623E-2</v>
      </c>
      <c r="O121" s="63">
        <v>2.087828184296419E-2</v>
      </c>
      <c r="P121" s="56" t="s">
        <v>21</v>
      </c>
      <c r="Q121" s="66" t="s">
        <v>21</v>
      </c>
      <c r="R121" s="95" t="s">
        <v>21</v>
      </c>
      <c r="S121" s="75" t="s">
        <v>21</v>
      </c>
      <c r="T121" s="63" t="s">
        <v>21</v>
      </c>
      <c r="V121" s="113">
        <v>1.12949286</v>
      </c>
      <c r="W121" s="71">
        <v>2.9207377299999999</v>
      </c>
      <c r="X121" s="71">
        <v>4.5176680200000003</v>
      </c>
      <c r="Y121" s="71">
        <v>5.8939856900000001</v>
      </c>
      <c r="Z121" s="114">
        <v>7.6151909700000004</v>
      </c>
    </row>
    <row r="122" spans="2:26" x14ac:dyDescent="0.35">
      <c r="B122" s="55" t="s">
        <v>104</v>
      </c>
      <c r="C122" s="65" t="s">
        <v>85</v>
      </c>
      <c r="D122" s="65" t="s">
        <v>43</v>
      </c>
      <c r="E122" s="64" t="s">
        <v>423</v>
      </c>
      <c r="F122" s="79">
        <v>2.4258970795089697E-2</v>
      </c>
      <c r="G122" s="79">
        <v>3.1199489560155856E-2</v>
      </c>
      <c r="H122" s="79">
        <v>3.6199412394744175E-2</v>
      </c>
      <c r="I122" s="79">
        <v>3.906959215088629E-2</v>
      </c>
      <c r="J122" s="61">
        <v>4.1956114224935406E-2</v>
      </c>
      <c r="K122" s="79" t="s">
        <v>21</v>
      </c>
      <c r="L122" s="79">
        <v>3.6046712601558546E-3</v>
      </c>
      <c r="M122" s="79">
        <v>8.1054748947441795E-3</v>
      </c>
      <c r="N122" s="79">
        <v>1.0210964950886286E-2</v>
      </c>
      <c r="O122" s="61">
        <v>1.187448762493541E-2</v>
      </c>
      <c r="P122" s="55" t="s">
        <v>21</v>
      </c>
      <c r="Q122" s="65" t="s">
        <v>21</v>
      </c>
      <c r="R122" s="99" t="s">
        <v>21</v>
      </c>
      <c r="S122" s="79" t="s">
        <v>21</v>
      </c>
      <c r="T122" s="61" t="s">
        <v>21</v>
      </c>
      <c r="V122" s="117">
        <v>1.1310298000000001</v>
      </c>
      <c r="W122" s="60">
        <v>2.9383632400000002</v>
      </c>
      <c r="X122" s="60">
        <v>4.5773933299999996</v>
      </c>
      <c r="Y122" s="60">
        <v>6.0282156499999999</v>
      </c>
      <c r="Z122" s="118">
        <v>7.90358348</v>
      </c>
    </row>
    <row r="123" spans="2:26" x14ac:dyDescent="0.35">
      <c r="B123" s="56" t="s">
        <v>104</v>
      </c>
      <c r="C123" s="66" t="s">
        <v>35</v>
      </c>
      <c r="D123" s="66" t="s">
        <v>43</v>
      </c>
      <c r="E123" s="53" t="s">
        <v>423</v>
      </c>
      <c r="F123" s="75">
        <v>2.5757459262655935E-2</v>
      </c>
      <c r="G123" s="75">
        <v>3.5056534081170029E-2</v>
      </c>
      <c r="H123" s="75">
        <v>4.2280286736985397E-2</v>
      </c>
      <c r="I123" s="75">
        <v>4.6424633537462213E-2</v>
      </c>
      <c r="J123" s="63">
        <v>4.9927468261778837E-2</v>
      </c>
      <c r="K123" s="75" t="s">
        <v>21</v>
      </c>
      <c r="L123" s="75">
        <v>7.3636522811700335E-3</v>
      </c>
      <c r="M123" s="75">
        <v>1.4020376936985404E-2</v>
      </c>
      <c r="N123" s="75">
        <v>1.7348828837462221E-2</v>
      </c>
      <c r="O123" s="63">
        <v>1.9629708361778839E-2</v>
      </c>
      <c r="P123" s="66" t="s">
        <v>21</v>
      </c>
      <c r="Q123" s="66" t="s">
        <v>21</v>
      </c>
      <c r="R123" s="95" t="s">
        <v>21</v>
      </c>
      <c r="S123" s="75" t="s">
        <v>21</v>
      </c>
      <c r="T123" s="63" t="s">
        <v>21</v>
      </c>
      <c r="V123" s="115">
        <v>1.1296131199999999</v>
      </c>
      <c r="W123" s="107">
        <v>2.9214468600000001</v>
      </c>
      <c r="X123" s="107">
        <v>4.5208957700000001</v>
      </c>
      <c r="Y123" s="107">
        <v>5.9058588099999998</v>
      </c>
      <c r="Z123" s="116">
        <v>7.6540783799999996</v>
      </c>
    </row>
    <row r="124" spans="2:26" x14ac:dyDescent="0.35">
      <c r="B124" s="54" t="s">
        <v>105</v>
      </c>
      <c r="C124" s="52" t="s">
        <v>85</v>
      </c>
      <c r="D124" s="52" t="s">
        <v>43</v>
      </c>
      <c r="E124" s="52" t="s">
        <v>423</v>
      </c>
      <c r="F124" s="72">
        <v>2.4213348565743739E-2</v>
      </c>
      <c r="G124" s="70">
        <v>3.1254118479462939E-2</v>
      </c>
      <c r="H124" s="70">
        <v>3.6096621169067415E-2</v>
      </c>
      <c r="I124" s="70">
        <v>3.8970051980622214E-2</v>
      </c>
      <c r="J124" s="62">
        <v>4.1759098067417504E-2</v>
      </c>
      <c r="K124" s="72" t="s">
        <v>21</v>
      </c>
      <c r="L124" s="70">
        <v>3.6582483794629413E-3</v>
      </c>
      <c r="M124" s="70">
        <v>8.006661669067416E-3</v>
      </c>
      <c r="N124" s="70">
        <v>1.011510898062222E-2</v>
      </c>
      <c r="O124" s="62">
        <v>1.1683633767417495E-2</v>
      </c>
      <c r="P124" s="54" t="s">
        <v>21</v>
      </c>
      <c r="Q124" s="52" t="s">
        <v>21</v>
      </c>
      <c r="R124" s="93" t="s">
        <v>21</v>
      </c>
      <c r="S124" s="70" t="s">
        <v>21</v>
      </c>
      <c r="T124" s="62" t="s">
        <v>21</v>
      </c>
      <c r="V124" s="113">
        <v>1.13110347</v>
      </c>
      <c r="W124" s="71">
        <v>2.9376552399999998</v>
      </c>
      <c r="X124" s="71">
        <v>4.5778514800000005</v>
      </c>
      <c r="Y124" s="71">
        <v>6.0304664799999994</v>
      </c>
      <c r="Z124" s="114">
        <v>7.9112992500000008</v>
      </c>
    </row>
    <row r="125" spans="2:26" x14ac:dyDescent="0.35">
      <c r="B125" s="56" t="s">
        <v>105</v>
      </c>
      <c r="C125" s="66" t="s">
        <v>35</v>
      </c>
      <c r="D125" s="66" t="s">
        <v>43</v>
      </c>
      <c r="E125" s="66" t="s">
        <v>21</v>
      </c>
      <c r="F125" s="73">
        <v>2.5695711556582904E-2</v>
      </c>
      <c r="G125" s="75">
        <v>3.4930335112413717E-2</v>
      </c>
      <c r="H125" s="75">
        <v>4.2082556024295469E-2</v>
      </c>
      <c r="I125" s="75">
        <v>4.6134935856406573E-2</v>
      </c>
      <c r="J125" s="63">
        <v>4.9729097477394797E-2</v>
      </c>
      <c r="K125" s="73" t="s">
        <v>21</v>
      </c>
      <c r="L125" s="75">
        <v>7.2425973124137198E-3</v>
      </c>
      <c r="M125" s="75">
        <v>1.3830793524295464E-2</v>
      </c>
      <c r="N125" s="75">
        <v>1.7071202056406571E-2</v>
      </c>
      <c r="O125" s="63">
        <v>1.9438787177394799E-2</v>
      </c>
      <c r="P125" s="56" t="s">
        <v>21</v>
      </c>
      <c r="Q125" s="66" t="s">
        <v>21</v>
      </c>
      <c r="R125" s="95" t="s">
        <v>21</v>
      </c>
      <c r="S125" s="75" t="s">
        <v>21</v>
      </c>
      <c r="T125" s="63" t="s">
        <v>21</v>
      </c>
      <c r="V125" s="113">
        <v>1.12968432</v>
      </c>
      <c r="W125" s="71">
        <v>2.9221797300000003</v>
      </c>
      <c r="X125" s="71">
        <v>4.5234175199999997</v>
      </c>
      <c r="Y125" s="71">
        <v>5.9118099700000002</v>
      </c>
      <c r="Z125" s="114">
        <v>7.6648015999999997</v>
      </c>
    </row>
    <row r="126" spans="2:26" x14ac:dyDescent="0.35">
      <c r="B126" s="55" t="s">
        <v>106</v>
      </c>
      <c r="C126" s="65" t="s">
        <v>85</v>
      </c>
      <c r="D126" s="65" t="s">
        <v>62</v>
      </c>
      <c r="E126" s="65" t="s">
        <v>466</v>
      </c>
      <c r="F126" s="74">
        <v>2.4581964162436527E-2</v>
      </c>
      <c r="G126" s="79">
        <v>3.2027295067138299E-2</v>
      </c>
      <c r="H126" s="79">
        <v>3.7382301956757041E-2</v>
      </c>
      <c r="I126" s="79">
        <v>4.0612337148852484E-2</v>
      </c>
      <c r="J126" s="61">
        <v>4.3709976470495994E-2</v>
      </c>
      <c r="K126" s="74" t="s">
        <v>21</v>
      </c>
      <c r="L126" s="79">
        <v>4.4053928671382962E-3</v>
      </c>
      <c r="M126" s="79">
        <v>9.2470059567570442E-3</v>
      </c>
      <c r="N126" s="79">
        <v>1.1697034948852492E-2</v>
      </c>
      <c r="O126" s="61">
        <v>1.3572698470495997E-2</v>
      </c>
      <c r="P126" s="55" t="s">
        <v>467</v>
      </c>
      <c r="Q126" s="65" t="s">
        <v>468</v>
      </c>
      <c r="R126" s="99" t="s">
        <v>32</v>
      </c>
      <c r="S126" s="79">
        <v>3.8604930000000003E-2</v>
      </c>
      <c r="T126" s="61">
        <v>-1.2226280432429612E-3</v>
      </c>
      <c r="V126" s="117">
        <v>1.13038785</v>
      </c>
      <c r="W126" s="60">
        <v>2.9313760700000002</v>
      </c>
      <c r="X126" s="60">
        <v>4.5563787399999995</v>
      </c>
      <c r="Y126" s="60">
        <v>5.9824389999999994</v>
      </c>
      <c r="Z126" s="118">
        <v>7.8069529400000004</v>
      </c>
    </row>
    <row r="127" spans="2:26" x14ac:dyDescent="0.35">
      <c r="B127" s="56" t="s">
        <v>106</v>
      </c>
      <c r="C127" s="66" t="s">
        <v>35</v>
      </c>
      <c r="D127" s="66" t="s">
        <v>62</v>
      </c>
      <c r="E127" s="66" t="s">
        <v>469</v>
      </c>
      <c r="F127" s="73">
        <v>2.5727941518033544E-2</v>
      </c>
      <c r="G127" s="75">
        <v>3.5235577398782289E-2</v>
      </c>
      <c r="H127" s="75">
        <v>4.2569839872975322E-2</v>
      </c>
      <c r="I127" s="75">
        <v>4.6619028546812033E-2</v>
      </c>
      <c r="J127" s="63">
        <v>5.0484457492241612E-2</v>
      </c>
      <c r="K127" s="75" t="s">
        <v>21</v>
      </c>
      <c r="L127" s="75">
        <v>7.53862939878229E-3</v>
      </c>
      <c r="M127" s="75">
        <v>1.4300368372975323E-2</v>
      </c>
      <c r="N127" s="75">
        <v>1.7536654646812044E-2</v>
      </c>
      <c r="O127" s="75">
        <v>2.0165846992241609E-2</v>
      </c>
      <c r="P127" s="66" t="s">
        <v>21</v>
      </c>
      <c r="Q127" s="66" t="s">
        <v>21</v>
      </c>
      <c r="R127" s="95" t="s">
        <v>21</v>
      </c>
      <c r="S127" s="75" t="s">
        <v>21</v>
      </c>
      <c r="T127" s="75" t="s">
        <v>21</v>
      </c>
      <c r="V127" s="115">
        <v>1.12962933</v>
      </c>
      <c r="W127" s="107">
        <v>2.9205964199999999</v>
      </c>
      <c r="X127" s="107">
        <v>4.5173665999999999</v>
      </c>
      <c r="Y127" s="107">
        <v>5.8997050299999998</v>
      </c>
      <c r="Z127" s="116">
        <v>7.6374333700000001</v>
      </c>
    </row>
    <row r="128" spans="2:26" x14ac:dyDescent="0.35">
      <c r="B128" s="54" t="s">
        <v>107</v>
      </c>
      <c r="C128" s="52" t="s">
        <v>85</v>
      </c>
      <c r="D128" s="52" t="s">
        <v>62</v>
      </c>
      <c r="E128" s="52" t="s">
        <v>264</v>
      </c>
      <c r="F128" s="72">
        <v>2.478345418786268E-2</v>
      </c>
      <c r="G128" s="70">
        <v>3.2025086553225869E-2</v>
      </c>
      <c r="H128" s="70">
        <v>3.7381555175833199E-2</v>
      </c>
      <c r="I128" s="70">
        <v>4.0757700436780113E-2</v>
      </c>
      <c r="J128" s="62">
        <v>4.3809880732533453E-2</v>
      </c>
      <c r="K128" s="72" t="s">
        <v>21</v>
      </c>
      <c r="L128" s="70">
        <v>4.4031997532258688E-3</v>
      </c>
      <c r="M128" s="70">
        <v>9.2461784758332017E-3</v>
      </c>
      <c r="N128" s="70">
        <v>1.1836537636780116E-2</v>
      </c>
      <c r="O128" s="62">
        <v>1.3669607332533454E-2</v>
      </c>
      <c r="P128" s="54" t="s">
        <v>21</v>
      </c>
      <c r="Q128" s="52" t="s">
        <v>21</v>
      </c>
      <c r="R128" s="93" t="s">
        <v>21</v>
      </c>
      <c r="S128" s="70" t="s">
        <v>21</v>
      </c>
      <c r="T128" s="62" t="s">
        <v>21</v>
      </c>
      <c r="V128" s="113">
        <v>1.12999816</v>
      </c>
      <c r="W128" s="71">
        <v>2.9306922499999999</v>
      </c>
      <c r="X128" s="71">
        <v>4.5557494099999998</v>
      </c>
      <c r="Y128" s="71">
        <v>5.97977165</v>
      </c>
      <c r="Z128" s="114">
        <v>7.8008130900000001</v>
      </c>
    </row>
    <row r="129" spans="2:26" x14ac:dyDescent="0.35">
      <c r="B129" s="54" t="s">
        <v>107</v>
      </c>
      <c r="C129" s="52" t="s">
        <v>35</v>
      </c>
      <c r="D129" s="52" t="s">
        <v>62</v>
      </c>
      <c r="E129" s="52" t="s">
        <v>289</v>
      </c>
      <c r="F129" s="72">
        <v>2.5659110633743813E-2</v>
      </c>
      <c r="G129" s="70">
        <v>3.4621810639928849E-2</v>
      </c>
      <c r="H129" s="70">
        <v>4.1592887640743807E-2</v>
      </c>
      <c r="I129" s="70">
        <v>4.5366584367486459E-2</v>
      </c>
      <c r="J129" s="62">
        <v>4.9235117404092477E-2</v>
      </c>
      <c r="K129" s="72" t="s">
        <v>21</v>
      </c>
      <c r="L129" s="70">
        <v>6.9442308399288426E-3</v>
      </c>
      <c r="M129" s="70">
        <v>1.3359306140743807E-2</v>
      </c>
      <c r="N129" s="70">
        <v>1.6332709667486449E-2</v>
      </c>
      <c r="O129" s="62">
        <v>1.896161570409248E-2</v>
      </c>
      <c r="P129" s="54" t="s">
        <v>21</v>
      </c>
      <c r="Q129" s="52" t="s">
        <v>21</v>
      </c>
      <c r="R129" s="93" t="s">
        <v>21</v>
      </c>
      <c r="S129" s="70" t="s">
        <v>21</v>
      </c>
      <c r="T129" s="62" t="s">
        <v>21</v>
      </c>
      <c r="V129" s="113">
        <v>1.1297300800000001</v>
      </c>
      <c r="W129" s="71">
        <v>2.92375746</v>
      </c>
      <c r="X129" s="71">
        <v>4.5294813199999995</v>
      </c>
      <c r="Y129" s="71">
        <v>5.92699394</v>
      </c>
      <c r="Z129" s="114">
        <v>7.6922817199999995</v>
      </c>
    </row>
    <row r="130" spans="2:26" x14ac:dyDescent="0.35">
      <c r="B130" s="96" t="s">
        <v>83</v>
      </c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76"/>
      <c r="P130" s="96"/>
      <c r="Q130" s="97"/>
      <c r="R130" s="100"/>
      <c r="S130" s="97"/>
      <c r="T130" s="98"/>
      <c r="V130" s="119"/>
      <c r="W130" s="108"/>
      <c r="X130" s="108"/>
      <c r="Y130" s="108"/>
      <c r="Z130" s="120"/>
    </row>
    <row r="131" spans="2:26" x14ac:dyDescent="0.35">
      <c r="B131" s="55" t="s">
        <v>108</v>
      </c>
      <c r="C131" s="65" t="s">
        <v>85</v>
      </c>
      <c r="D131" s="65" t="s">
        <v>20</v>
      </c>
      <c r="E131" s="64" t="s">
        <v>58</v>
      </c>
      <c r="F131" s="79">
        <v>2.4361347358557814E-2</v>
      </c>
      <c r="G131" s="79">
        <v>3.1591722259350197E-2</v>
      </c>
      <c r="H131" s="79">
        <v>3.6641771532362977E-2</v>
      </c>
      <c r="I131" s="79">
        <v>4.0787701586882545E-2</v>
      </c>
      <c r="J131" s="61">
        <v>4.4189705390759879E-2</v>
      </c>
      <c r="K131" s="79" t="s">
        <v>21</v>
      </c>
      <c r="L131" s="79">
        <v>3.9679324593502058E-3</v>
      </c>
      <c r="M131" s="79">
        <v>8.5152365323629738E-3</v>
      </c>
      <c r="N131" s="79">
        <v>1.1845939486882539E-2</v>
      </c>
      <c r="O131" s="61">
        <v>1.4020959590759876E-2</v>
      </c>
      <c r="P131" s="55" t="s">
        <v>470</v>
      </c>
      <c r="Q131" s="65" t="s">
        <v>471</v>
      </c>
      <c r="R131" s="99">
        <v>47580</v>
      </c>
      <c r="S131" s="79">
        <v>3.4393099999999996E-2</v>
      </c>
      <c r="T131" s="61">
        <v>2.2486715323629808E-3</v>
      </c>
      <c r="V131" s="117">
        <v>1.1298240399999999</v>
      </c>
      <c r="W131" s="60">
        <v>2.9302582300000002</v>
      </c>
      <c r="X131" s="60">
        <v>4.5587060800000003</v>
      </c>
      <c r="Y131" s="60">
        <v>5.9743751400000003</v>
      </c>
      <c r="Z131" s="118">
        <v>7.7689760699999999</v>
      </c>
    </row>
    <row r="132" spans="2:26" x14ac:dyDescent="0.35">
      <c r="B132" s="54" t="s">
        <v>109</v>
      </c>
      <c r="C132" s="52" t="s">
        <v>85</v>
      </c>
      <c r="D132" s="52" t="s">
        <v>20</v>
      </c>
      <c r="E132" s="58" t="s">
        <v>54</v>
      </c>
      <c r="F132" s="70">
        <v>2.7154072630632888E-2</v>
      </c>
      <c r="G132" s="70">
        <v>3.7620213325381562E-2</v>
      </c>
      <c r="H132" s="70">
        <v>4.6705554210388682E-2</v>
      </c>
      <c r="I132" s="70">
        <v>5.2953936715198054E-2</v>
      </c>
      <c r="J132" s="62">
        <v>5.4900696837175779E-2</v>
      </c>
      <c r="K132" s="70" t="s">
        <v>21</v>
      </c>
      <c r="L132" s="70">
        <v>9.7651941253815641E-3</v>
      </c>
      <c r="M132" s="70">
        <v>1.8128341810388682E-2</v>
      </c>
      <c r="N132" s="70">
        <v>2.3408817715198049E-2</v>
      </c>
      <c r="O132" s="62">
        <v>2.4254978137175771E-2</v>
      </c>
      <c r="P132" s="54" t="s">
        <v>472</v>
      </c>
      <c r="Q132" s="52" t="s">
        <v>473</v>
      </c>
      <c r="R132" s="93" t="s">
        <v>32</v>
      </c>
      <c r="S132" s="70">
        <v>3.8513730000000003E-2</v>
      </c>
      <c r="T132" s="62">
        <v>8.191824210388679E-3</v>
      </c>
      <c r="V132" s="113">
        <v>1.12393659</v>
      </c>
      <c r="W132" s="71">
        <v>2.8827100200000002</v>
      </c>
      <c r="X132" s="71">
        <v>4.3931680399999999</v>
      </c>
      <c r="Y132" s="71">
        <v>5.6227407100000004</v>
      </c>
      <c r="Z132" s="114">
        <v>7.1404282200000004</v>
      </c>
    </row>
    <row r="133" spans="2:26" x14ac:dyDescent="0.35">
      <c r="B133" s="56" t="s">
        <v>111</v>
      </c>
      <c r="C133" s="66" t="s">
        <v>85</v>
      </c>
      <c r="D133" s="66" t="s">
        <v>20</v>
      </c>
      <c r="E133" s="53" t="s">
        <v>112</v>
      </c>
      <c r="F133" s="75">
        <v>2.53310204255007E-2</v>
      </c>
      <c r="G133" s="75">
        <v>3.3638180524980993E-2</v>
      </c>
      <c r="H133" s="75">
        <v>3.9446825464073354E-2</v>
      </c>
      <c r="I133" s="75">
        <v>4.3020052840778047E-2</v>
      </c>
      <c r="J133" s="63">
        <v>4.6414170729114822E-2</v>
      </c>
      <c r="K133" s="75" t="s">
        <v>21</v>
      </c>
      <c r="L133" s="75">
        <v>5.9384270249809874E-3</v>
      </c>
      <c r="M133" s="75">
        <v>1.1210895364073355E-2</v>
      </c>
      <c r="N133" s="75">
        <v>1.3984170840778049E-2</v>
      </c>
      <c r="O133" s="63">
        <v>1.6159762729114829E-2</v>
      </c>
      <c r="P133" s="56" t="s">
        <v>21</v>
      </c>
      <c r="Q133" s="66" t="s">
        <v>21</v>
      </c>
      <c r="R133" s="95" t="s">
        <v>21</v>
      </c>
      <c r="S133" s="75" t="s">
        <v>21</v>
      </c>
      <c r="T133" s="63" t="s">
        <v>21</v>
      </c>
      <c r="V133" s="115">
        <v>1.1280184500000001</v>
      </c>
      <c r="W133" s="107">
        <v>2.91400156</v>
      </c>
      <c r="X133" s="107">
        <v>4.5092714800000007</v>
      </c>
      <c r="Y133" s="107">
        <v>5.8883130699999997</v>
      </c>
      <c r="Z133" s="116">
        <v>7.6178230099999995</v>
      </c>
    </row>
    <row r="134" spans="2:26" x14ac:dyDescent="0.35">
      <c r="P134" s="127"/>
      <c r="Q134" s="127"/>
      <c r="R134" s="44"/>
      <c r="S134" s="127"/>
      <c r="T134" s="127"/>
      <c r="V134" s="71"/>
      <c r="W134" s="71"/>
      <c r="X134" s="71"/>
      <c r="Y134" s="71"/>
      <c r="Z134" s="71"/>
    </row>
    <row r="135" spans="2:26" ht="15.5" x14ac:dyDescent="0.35">
      <c r="B135" s="121" t="s">
        <v>113</v>
      </c>
      <c r="R135" s="93"/>
      <c r="S135" s="70"/>
      <c r="T135" s="70"/>
      <c r="V135" s="71"/>
      <c r="W135" s="71"/>
      <c r="X135" s="71"/>
      <c r="Y135" s="71"/>
      <c r="Z135" s="71"/>
    </row>
    <row r="136" spans="2:26" x14ac:dyDescent="0.35">
      <c r="B136" s="84" t="s">
        <v>5</v>
      </c>
      <c r="C136" s="83" t="s">
        <v>6</v>
      </c>
      <c r="D136" s="83" t="s">
        <v>7</v>
      </c>
      <c r="E136" s="83" t="s">
        <v>8</v>
      </c>
      <c r="F136" s="82" t="s">
        <v>9</v>
      </c>
      <c r="G136" s="81" t="s">
        <v>10</v>
      </c>
      <c r="H136" s="81" t="s">
        <v>11</v>
      </c>
      <c r="I136" s="81" t="s">
        <v>12</v>
      </c>
      <c r="J136" s="80" t="s">
        <v>13</v>
      </c>
      <c r="K136" s="82" t="s">
        <v>9</v>
      </c>
      <c r="L136" s="81" t="s">
        <v>10</v>
      </c>
      <c r="M136" s="81" t="s">
        <v>11</v>
      </c>
      <c r="N136" s="81" t="s">
        <v>12</v>
      </c>
      <c r="O136" s="80" t="s">
        <v>13</v>
      </c>
      <c r="P136" s="69" t="s">
        <v>14</v>
      </c>
      <c r="Q136" s="57" t="s">
        <v>15</v>
      </c>
      <c r="R136" s="57" t="s">
        <v>16</v>
      </c>
      <c r="S136" s="57" t="s">
        <v>17</v>
      </c>
      <c r="T136" s="57" t="s">
        <v>18</v>
      </c>
      <c r="V136" s="109" t="s">
        <v>9</v>
      </c>
      <c r="W136" s="105" t="s">
        <v>10</v>
      </c>
      <c r="X136" s="105" t="s">
        <v>11</v>
      </c>
      <c r="Y136" s="105" t="s">
        <v>12</v>
      </c>
      <c r="Z136" s="110" t="s">
        <v>13</v>
      </c>
    </row>
    <row r="137" spans="2:26" x14ac:dyDescent="0.35">
      <c r="B137" s="78" t="s">
        <v>114</v>
      </c>
      <c r="C137" s="9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6"/>
      <c r="P137" s="78"/>
      <c r="Q137" s="77"/>
      <c r="R137" s="94"/>
      <c r="S137" s="77"/>
      <c r="T137" s="76"/>
      <c r="V137" s="111"/>
      <c r="W137" s="106"/>
      <c r="X137" s="106"/>
      <c r="Y137" s="106"/>
      <c r="Z137" s="112"/>
    </row>
    <row r="138" spans="2:26" x14ac:dyDescent="0.35">
      <c r="B138" s="55" t="s">
        <v>317</v>
      </c>
      <c r="C138" s="65" t="s">
        <v>232</v>
      </c>
      <c r="D138" s="65" t="s">
        <v>20</v>
      </c>
      <c r="E138" s="65" t="s">
        <v>21</v>
      </c>
      <c r="F138" s="74">
        <v>2.667684413974199E-2</v>
      </c>
      <c r="G138" s="79">
        <v>3.9232528038636985E-2</v>
      </c>
      <c r="H138" s="79">
        <v>5.2998471883574545E-2</v>
      </c>
      <c r="I138" s="79">
        <v>5.9484865544295301E-2</v>
      </c>
      <c r="J138" s="61">
        <v>6.4381827874193415E-2</v>
      </c>
      <c r="K138" s="79" t="s">
        <v>21</v>
      </c>
      <c r="L138" s="79">
        <v>1.1293867038636982E-2</v>
      </c>
      <c r="M138" s="79">
        <v>2.4053024283574545E-2</v>
      </c>
      <c r="N138" s="79">
        <v>2.9527121444295305E-2</v>
      </c>
      <c r="O138" s="61">
        <v>3.3168872374193435E-2</v>
      </c>
      <c r="P138" s="55" t="s">
        <v>21</v>
      </c>
      <c r="Q138" s="65" t="s">
        <v>21</v>
      </c>
      <c r="R138" s="99" t="s">
        <v>21</v>
      </c>
      <c r="S138" s="79" t="s">
        <v>21</v>
      </c>
      <c r="T138" s="61" t="s">
        <v>21</v>
      </c>
      <c r="V138" s="113">
        <v>1.1253549999999999</v>
      </c>
      <c r="W138" s="71">
        <v>2.8745471399999998</v>
      </c>
      <c r="X138" s="71">
        <v>4.3198218800000001</v>
      </c>
      <c r="Y138" s="71">
        <v>5.45203506</v>
      </c>
      <c r="Z138" s="114">
        <v>6.7398504600000004</v>
      </c>
    </row>
    <row r="139" spans="2:26" x14ac:dyDescent="0.35">
      <c r="B139" s="54" t="s">
        <v>175</v>
      </c>
      <c r="C139" s="52" t="s">
        <v>232</v>
      </c>
      <c r="D139" s="52" t="s">
        <v>43</v>
      </c>
      <c r="E139" s="52" t="s">
        <v>21</v>
      </c>
      <c r="F139" s="72">
        <v>2.6853016165246803E-2</v>
      </c>
      <c r="G139" s="70">
        <v>4.0164529931884109E-2</v>
      </c>
      <c r="H139" s="70">
        <v>5.2052806019091173E-2</v>
      </c>
      <c r="I139" s="70">
        <v>6.050356792747133E-2</v>
      </c>
      <c r="J139" s="62">
        <v>6.4608007718221047E-2</v>
      </c>
      <c r="K139" s="70" t="s">
        <v>21</v>
      </c>
      <c r="L139" s="70">
        <v>1.2207344531884113E-2</v>
      </c>
      <c r="M139" s="70">
        <v>2.3196750719091178E-2</v>
      </c>
      <c r="N139" s="70">
        <v>3.0507612527471327E-2</v>
      </c>
      <c r="O139" s="62">
        <v>3.3416643618221047E-2</v>
      </c>
      <c r="P139" s="54" t="s">
        <v>21</v>
      </c>
      <c r="Q139" s="52" t="s">
        <v>21</v>
      </c>
      <c r="R139" s="93" t="s">
        <v>21</v>
      </c>
      <c r="S139" s="70" t="s">
        <v>21</v>
      </c>
      <c r="T139" s="62" t="s">
        <v>21</v>
      </c>
      <c r="V139" s="113">
        <v>1.1260284</v>
      </c>
      <c r="W139" s="71">
        <v>2.8705945699999997</v>
      </c>
      <c r="X139" s="71">
        <v>4.3285633800000003</v>
      </c>
      <c r="Y139" s="71">
        <v>5.4614408299999999</v>
      </c>
      <c r="Z139" s="114">
        <v>6.7524673599999998</v>
      </c>
    </row>
    <row r="140" spans="2:26" x14ac:dyDescent="0.35">
      <c r="B140" s="54" t="s">
        <v>122</v>
      </c>
      <c r="C140" s="52" t="s">
        <v>232</v>
      </c>
      <c r="D140" s="52" t="s">
        <v>97</v>
      </c>
      <c r="E140" s="52" t="s">
        <v>267</v>
      </c>
      <c r="F140" s="72">
        <v>2.6109584781576316E-2</v>
      </c>
      <c r="G140" s="70">
        <v>3.9194084327520397E-2</v>
      </c>
      <c r="H140" s="70">
        <v>4.9978957969489729E-2</v>
      </c>
      <c r="I140" s="70">
        <v>5.8268452187639853E-2</v>
      </c>
      <c r="J140" s="62">
        <v>6.4679959579320073E-2</v>
      </c>
      <c r="K140" s="70" t="s">
        <v>21</v>
      </c>
      <c r="L140" s="70">
        <v>1.1286830727520403E-2</v>
      </c>
      <c r="M140" s="70">
        <v>2.1248070469489719E-2</v>
      </c>
      <c r="N140" s="70">
        <v>2.8426065887639858E-2</v>
      </c>
      <c r="O140" s="62">
        <v>3.3482592879320081E-2</v>
      </c>
      <c r="P140" s="54" t="s">
        <v>21</v>
      </c>
      <c r="Q140" s="52" t="s">
        <v>21</v>
      </c>
      <c r="R140" s="93" t="s">
        <v>21</v>
      </c>
      <c r="S140" s="70" t="s">
        <v>21</v>
      </c>
      <c r="T140" s="62" t="s">
        <v>21</v>
      </c>
      <c r="V140" s="113">
        <v>1.12741486</v>
      </c>
      <c r="W140" s="71">
        <v>2.88047846</v>
      </c>
      <c r="X140" s="71">
        <v>4.3608742200000004</v>
      </c>
      <c r="Y140" s="71">
        <v>5.5249435800000004</v>
      </c>
      <c r="Z140" s="114">
        <v>6.8179511000000002</v>
      </c>
    </row>
    <row r="141" spans="2:26" x14ac:dyDescent="0.35">
      <c r="B141" s="54" t="s">
        <v>168</v>
      </c>
      <c r="C141" s="52" t="s">
        <v>232</v>
      </c>
      <c r="D141" s="52" t="s">
        <v>20</v>
      </c>
      <c r="E141" s="52" t="s">
        <v>21</v>
      </c>
      <c r="F141" s="72">
        <v>2.8913639607778489E-2</v>
      </c>
      <c r="G141" s="70">
        <v>4.0088505500370776E-2</v>
      </c>
      <c r="H141" s="70">
        <v>4.9910760150470725E-2</v>
      </c>
      <c r="I141" s="70">
        <v>5.4991392342562957E-2</v>
      </c>
      <c r="J141" s="62">
        <v>5.9822989393284509E-2</v>
      </c>
      <c r="K141" s="70">
        <v>1.6652562077784806E-3</v>
      </c>
      <c r="L141" s="70">
        <v>1.211297360037078E-2</v>
      </c>
      <c r="M141" s="70">
        <v>2.1152390750470724E-2</v>
      </c>
      <c r="N141" s="70">
        <v>2.5325231342562954E-2</v>
      </c>
      <c r="O141" s="62">
        <v>2.8889380193284509E-2</v>
      </c>
      <c r="P141" s="54" t="s">
        <v>474</v>
      </c>
      <c r="Q141" s="52" t="s">
        <v>475</v>
      </c>
      <c r="R141" s="93">
        <v>47505</v>
      </c>
      <c r="S141" s="70">
        <v>4.5329649999999999E-2</v>
      </c>
      <c r="T141" s="62">
        <v>4.5811101504707255E-3</v>
      </c>
      <c r="V141" s="113">
        <v>1.11953923</v>
      </c>
      <c r="W141" s="71">
        <v>2.8574448700000001</v>
      </c>
      <c r="X141" s="71">
        <v>4.3362656499999996</v>
      </c>
      <c r="Y141" s="71">
        <v>5.5267409500000007</v>
      </c>
      <c r="Z141" s="114">
        <v>6.9267912099999993</v>
      </c>
    </row>
    <row r="142" spans="2:26" x14ac:dyDescent="0.35">
      <c r="B142" s="54" t="s">
        <v>152</v>
      </c>
      <c r="C142" s="52" t="s">
        <v>232</v>
      </c>
      <c r="D142" s="52" t="s">
        <v>20</v>
      </c>
      <c r="E142" s="52" t="s">
        <v>123</v>
      </c>
      <c r="F142" s="72">
        <v>2.8063358451298988E-2</v>
      </c>
      <c r="G142" s="70">
        <v>4.1330052779693975E-2</v>
      </c>
      <c r="H142" s="70">
        <v>4.8603242369079924E-2</v>
      </c>
      <c r="I142" s="70">
        <v>5.3682082477450474E-2</v>
      </c>
      <c r="J142" s="62">
        <v>5.7117096869335394E-2</v>
      </c>
      <c r="K142" s="70">
        <v>8.519525512989852E-4</v>
      </c>
      <c r="L142" s="70">
        <v>1.3289102979693972E-2</v>
      </c>
      <c r="M142" s="70">
        <v>1.9915617069079929E-2</v>
      </c>
      <c r="N142" s="70">
        <v>2.4085951577450471E-2</v>
      </c>
      <c r="O142" s="62">
        <v>2.633371256933539E-2</v>
      </c>
      <c r="P142" s="54" t="s">
        <v>476</v>
      </c>
      <c r="Q142" s="52" t="s">
        <v>477</v>
      </c>
      <c r="R142" s="93">
        <v>47484</v>
      </c>
      <c r="S142" s="70">
        <v>4.1304619999999993E-2</v>
      </c>
      <c r="T142" s="62">
        <v>7.2986223690799309E-3</v>
      </c>
      <c r="V142" s="113">
        <v>1.12170189</v>
      </c>
      <c r="W142" s="71">
        <v>2.85362136</v>
      </c>
      <c r="X142" s="71">
        <v>4.3399966900000004</v>
      </c>
      <c r="Y142" s="71">
        <v>5.5578208099999999</v>
      </c>
      <c r="Z142" s="114">
        <v>7.0219000300000003</v>
      </c>
    </row>
    <row r="143" spans="2:26" x14ac:dyDescent="0.35">
      <c r="B143" s="54" t="s">
        <v>174</v>
      </c>
      <c r="C143" s="52" t="s">
        <v>232</v>
      </c>
      <c r="D143" s="52" t="s">
        <v>47</v>
      </c>
      <c r="E143" s="52" t="s">
        <v>21</v>
      </c>
      <c r="F143" s="72">
        <v>2.9494287891825705E-2</v>
      </c>
      <c r="G143" s="70">
        <v>3.935218390438678E-2</v>
      </c>
      <c r="H143" s="70">
        <v>4.7724868394768756E-2</v>
      </c>
      <c r="I143" s="70">
        <v>5.1176453536115857E-2</v>
      </c>
      <c r="J143" s="62">
        <v>5.4503336205184306E-2</v>
      </c>
      <c r="K143" s="70">
        <v>2.2312953918256998E-3</v>
      </c>
      <c r="L143" s="70">
        <v>1.1430735904386787E-2</v>
      </c>
      <c r="M143" s="70">
        <v>1.9111113394768744E-2</v>
      </c>
      <c r="N143" s="70">
        <v>2.175417653611586E-2</v>
      </c>
      <c r="O143" s="62">
        <v>2.3886886905184306E-2</v>
      </c>
      <c r="P143" s="54" t="s">
        <v>21</v>
      </c>
      <c r="Q143" s="52" t="s">
        <v>21</v>
      </c>
      <c r="R143" s="93" t="s">
        <v>21</v>
      </c>
      <c r="S143" s="70" t="s">
        <v>21</v>
      </c>
      <c r="T143" s="62" t="s">
        <v>21</v>
      </c>
      <c r="V143" s="113">
        <v>1.1194463800000001</v>
      </c>
      <c r="W143" s="71">
        <v>2.8670977</v>
      </c>
      <c r="X143" s="71">
        <v>4.3704426300000003</v>
      </c>
      <c r="Y143" s="71">
        <v>5.6325744200000001</v>
      </c>
      <c r="Z143" s="114">
        <v>7.1739266199999996</v>
      </c>
    </row>
    <row r="144" spans="2:26" x14ac:dyDescent="0.35">
      <c r="B144" s="54" t="s">
        <v>323</v>
      </c>
      <c r="C144" s="52" t="s">
        <v>232</v>
      </c>
      <c r="D144" s="52" t="s">
        <v>69</v>
      </c>
      <c r="E144" s="52" t="s">
        <v>116</v>
      </c>
      <c r="F144" s="72">
        <v>2.6899526451966783E-2</v>
      </c>
      <c r="G144" s="70">
        <v>3.7103377971048006E-2</v>
      </c>
      <c r="H144" s="70">
        <v>4.7161854583862663E-2</v>
      </c>
      <c r="I144" s="70">
        <v>5.2914812463818864E-2</v>
      </c>
      <c r="J144" s="62">
        <v>5.7630558972204288E-2</v>
      </c>
      <c r="K144" s="70" t="s">
        <v>21</v>
      </c>
      <c r="L144" s="70">
        <v>9.2862266710480069E-3</v>
      </c>
      <c r="M144" s="70">
        <v>1.8582676183862661E-2</v>
      </c>
      <c r="N144" s="70">
        <v>2.3398602163818859E-2</v>
      </c>
      <c r="O144" s="62">
        <v>2.6857720572204292E-2</v>
      </c>
      <c r="P144" s="54" t="s">
        <v>377</v>
      </c>
      <c r="Q144" s="52" t="s">
        <v>378</v>
      </c>
      <c r="R144" s="93" t="s">
        <v>32</v>
      </c>
      <c r="S144" s="70">
        <v>3.9136169999999998E-2</v>
      </c>
      <c r="T144" s="62">
        <v>8.0256845838626648E-3</v>
      </c>
      <c r="V144" s="113">
        <v>1.1259174699999999</v>
      </c>
      <c r="W144" s="71">
        <v>2.8910048700000002</v>
      </c>
      <c r="X144" s="71">
        <v>4.4037447799999994</v>
      </c>
      <c r="Y144" s="71">
        <v>5.6404149700000001</v>
      </c>
      <c r="Z144" s="114">
        <v>7.0966573500000001</v>
      </c>
    </row>
    <row r="145" spans="2:26" x14ac:dyDescent="0.35">
      <c r="B145" s="54" t="s">
        <v>130</v>
      </c>
      <c r="C145" s="52" t="s">
        <v>232</v>
      </c>
      <c r="D145" s="52" t="s">
        <v>131</v>
      </c>
      <c r="E145" s="52" t="s">
        <v>288</v>
      </c>
      <c r="F145" s="72">
        <v>2.6442215129295704E-2</v>
      </c>
      <c r="G145" s="70">
        <v>3.6629699207036903E-2</v>
      </c>
      <c r="H145" s="70">
        <v>4.5751735993547003E-2</v>
      </c>
      <c r="I145" s="70">
        <v>5.1965207204610293E-2</v>
      </c>
      <c r="J145" s="62">
        <v>5.6411551091174642E-2</v>
      </c>
      <c r="K145" s="70" t="s">
        <v>21</v>
      </c>
      <c r="L145" s="70">
        <v>8.8320596070368997E-3</v>
      </c>
      <c r="M145" s="70">
        <v>1.7246417893547014E-2</v>
      </c>
      <c r="N145" s="70">
        <v>2.2503099904610292E-2</v>
      </c>
      <c r="O145" s="62">
        <v>2.5709051291174654E-2</v>
      </c>
      <c r="P145" s="54" t="s">
        <v>478</v>
      </c>
      <c r="Q145" s="52" t="s">
        <v>479</v>
      </c>
      <c r="R145" s="93">
        <v>47532</v>
      </c>
      <c r="S145" s="70">
        <v>3.8594959999999998E-2</v>
      </c>
      <c r="T145" s="62">
        <v>7.1567759935470057E-3</v>
      </c>
      <c r="V145" s="113">
        <v>1.12680555</v>
      </c>
      <c r="W145" s="71">
        <v>2.8955767899999998</v>
      </c>
      <c r="X145" s="71">
        <v>4.4237631299999993</v>
      </c>
      <c r="Y145" s="71">
        <v>5.6757277799999999</v>
      </c>
      <c r="Z145" s="114">
        <v>7.1592318899999992</v>
      </c>
    </row>
    <row r="146" spans="2:26" x14ac:dyDescent="0.35">
      <c r="B146" s="54" t="s">
        <v>171</v>
      </c>
      <c r="C146" s="52" t="s">
        <v>232</v>
      </c>
      <c r="D146" s="52" t="s">
        <v>20</v>
      </c>
      <c r="E146" s="52" t="s">
        <v>21</v>
      </c>
      <c r="F146" s="72">
        <v>2.7172521517298424E-2</v>
      </c>
      <c r="G146" s="70">
        <v>3.6616985026696136E-2</v>
      </c>
      <c r="H146" s="70">
        <v>4.4477617341468864E-2</v>
      </c>
      <c r="I146" s="70">
        <v>4.9123686455584945E-2</v>
      </c>
      <c r="J146" s="62">
        <v>5.3607036738646814E-2</v>
      </c>
      <c r="K146" s="70" t="s">
        <v>21</v>
      </c>
      <c r="L146" s="70">
        <v>8.7982907266961462E-3</v>
      </c>
      <c r="M146" s="70">
        <v>1.6012582641468858E-2</v>
      </c>
      <c r="N146" s="70">
        <v>1.979400925558494E-2</v>
      </c>
      <c r="O146" s="62">
        <v>2.3024112138646816E-2</v>
      </c>
      <c r="P146" s="54" t="s">
        <v>480</v>
      </c>
      <c r="Q146" s="52" t="s">
        <v>481</v>
      </c>
      <c r="R146" s="93">
        <v>47644</v>
      </c>
      <c r="S146" s="70">
        <v>3.8409770000000003E-2</v>
      </c>
      <c r="T146" s="62">
        <v>6.0678473414688613E-3</v>
      </c>
      <c r="V146" s="113">
        <v>1.1239660599999999</v>
      </c>
      <c r="W146" s="71">
        <v>2.8897085100000002</v>
      </c>
      <c r="X146" s="71">
        <v>4.4256841099999997</v>
      </c>
      <c r="Y146" s="71">
        <v>5.7087983600000003</v>
      </c>
      <c r="Z146" s="114">
        <v>7.2553541900000003</v>
      </c>
    </row>
    <row r="147" spans="2:26" x14ac:dyDescent="0.35">
      <c r="B147" s="54" t="s">
        <v>332</v>
      </c>
      <c r="C147" s="52" t="s">
        <v>232</v>
      </c>
      <c r="D147" s="52" t="s">
        <v>20</v>
      </c>
      <c r="E147" s="52" t="s">
        <v>21</v>
      </c>
      <c r="F147" s="72">
        <v>2.5440718250999583E-2</v>
      </c>
      <c r="G147" s="70">
        <v>3.4450769588869751E-2</v>
      </c>
      <c r="H147" s="70">
        <v>4.3044604706723007E-2</v>
      </c>
      <c r="I147" s="70">
        <v>4.7392674268630058E-2</v>
      </c>
      <c r="J147" s="62">
        <v>5.1674355035582903E-2</v>
      </c>
      <c r="K147" s="70" t="s">
        <v>21</v>
      </c>
      <c r="L147" s="70">
        <v>6.7188877888697592E-3</v>
      </c>
      <c r="M147" s="70">
        <v>1.4647925106723001E-2</v>
      </c>
      <c r="N147" s="70">
        <v>1.8152841068630056E-2</v>
      </c>
      <c r="O147" s="62">
        <v>2.1188410235582898E-2</v>
      </c>
      <c r="P147" s="54" t="s">
        <v>21</v>
      </c>
      <c r="Q147" s="52" t="s">
        <v>21</v>
      </c>
      <c r="R147" s="93" t="s">
        <v>21</v>
      </c>
      <c r="S147" s="70" t="s">
        <v>21</v>
      </c>
      <c r="T147" s="62" t="s">
        <v>21</v>
      </c>
      <c r="V147" s="113">
        <v>1.12786319</v>
      </c>
      <c r="W147" s="71">
        <v>2.90693168</v>
      </c>
      <c r="X147" s="71">
        <v>4.4623117499999996</v>
      </c>
      <c r="Y147" s="71">
        <v>5.7679754499999998</v>
      </c>
      <c r="Z147" s="114">
        <v>7.3616752699999992</v>
      </c>
    </row>
    <row r="148" spans="2:26" x14ac:dyDescent="0.35">
      <c r="B148" s="54" t="s">
        <v>118</v>
      </c>
      <c r="C148" s="52" t="s">
        <v>232</v>
      </c>
      <c r="D148" s="52" t="s">
        <v>20</v>
      </c>
      <c r="E148" s="52" t="s">
        <v>123</v>
      </c>
      <c r="F148" s="72">
        <v>2.5802544997406123E-2</v>
      </c>
      <c r="G148" s="70">
        <v>3.5124232796571238E-2</v>
      </c>
      <c r="H148" s="70">
        <v>4.2954610019318204E-2</v>
      </c>
      <c r="I148" s="70">
        <v>4.8364146232742045E-2</v>
      </c>
      <c r="J148" s="62">
        <v>5.214150515389316E-2</v>
      </c>
      <c r="K148" s="70" t="s">
        <v>21</v>
      </c>
      <c r="L148" s="70">
        <v>7.3675522965712436E-3</v>
      </c>
      <c r="M148" s="70">
        <v>1.4565065419318204E-2</v>
      </c>
      <c r="N148" s="70">
        <v>1.907444293274204E-2</v>
      </c>
      <c r="O148" s="62">
        <v>2.1637997753893148E-2</v>
      </c>
      <c r="P148" s="54" t="s">
        <v>482</v>
      </c>
      <c r="Q148" s="52" t="s">
        <v>483</v>
      </c>
      <c r="R148" s="93">
        <v>47557</v>
      </c>
      <c r="S148" s="70">
        <v>3.7273670000000002E-2</v>
      </c>
      <c r="T148" s="62">
        <v>5.6809400193182022E-3</v>
      </c>
      <c r="V148" s="113">
        <v>1.12707654</v>
      </c>
      <c r="W148" s="71">
        <v>2.9025078500000001</v>
      </c>
      <c r="X148" s="71">
        <v>4.4565687700000005</v>
      </c>
      <c r="Y148" s="71">
        <v>5.7587887499999999</v>
      </c>
      <c r="Z148" s="114">
        <v>7.3391782899999995</v>
      </c>
    </row>
    <row r="149" spans="2:26" x14ac:dyDescent="0.35">
      <c r="B149" s="54" t="s">
        <v>318</v>
      </c>
      <c r="C149" s="52" t="s">
        <v>232</v>
      </c>
      <c r="D149" s="52" t="s">
        <v>20</v>
      </c>
      <c r="E149" s="52" t="s">
        <v>316</v>
      </c>
      <c r="F149" s="72">
        <v>2.5933289361124195E-2</v>
      </c>
      <c r="G149" s="70">
        <v>3.5669117902019383E-2</v>
      </c>
      <c r="H149" s="70">
        <v>4.2762353204412469E-2</v>
      </c>
      <c r="I149" s="70">
        <v>4.6976659112869648E-2</v>
      </c>
      <c r="J149" s="62">
        <v>5.054774086373872E-2</v>
      </c>
      <c r="K149" s="70" t="s">
        <v>21</v>
      </c>
      <c r="L149" s="70">
        <v>7.8906656020193821E-3</v>
      </c>
      <c r="M149" s="70">
        <v>1.4380230104412462E-2</v>
      </c>
      <c r="N149" s="70">
        <v>1.7755668512869652E-2</v>
      </c>
      <c r="O149" s="62">
        <v>2.0113502363738725E-2</v>
      </c>
      <c r="P149" s="54" t="s">
        <v>21</v>
      </c>
      <c r="Q149" s="52" t="s">
        <v>21</v>
      </c>
      <c r="R149" s="93" t="s">
        <v>21</v>
      </c>
      <c r="S149" s="70" t="s">
        <v>21</v>
      </c>
      <c r="T149" s="62" t="s">
        <v>21</v>
      </c>
      <c r="V149" s="113">
        <v>1.12681688</v>
      </c>
      <c r="W149" s="71">
        <v>2.8973316599999999</v>
      </c>
      <c r="X149" s="71">
        <v>4.4528762299999993</v>
      </c>
      <c r="Y149" s="71">
        <v>5.7698215999999993</v>
      </c>
      <c r="Z149" s="114">
        <v>7.3920921700000006</v>
      </c>
    </row>
    <row r="150" spans="2:26" x14ac:dyDescent="0.35">
      <c r="B150" s="54" t="s">
        <v>119</v>
      </c>
      <c r="C150" s="52" t="s">
        <v>232</v>
      </c>
      <c r="D150" s="52" t="s">
        <v>120</v>
      </c>
      <c r="E150" s="52" t="s">
        <v>21</v>
      </c>
      <c r="F150" s="72">
        <v>2.508666618334545E-2</v>
      </c>
      <c r="G150" s="70">
        <v>3.4870664914022645E-2</v>
      </c>
      <c r="H150" s="70">
        <v>4.2578699025374693E-2</v>
      </c>
      <c r="I150" s="70">
        <v>4.8334715245889434E-2</v>
      </c>
      <c r="J150" s="62">
        <v>5.433976711476507E-2</v>
      </c>
      <c r="K150" s="70" t="s">
        <v>21</v>
      </c>
      <c r="L150" s="70">
        <v>7.1447812140226427E-3</v>
      </c>
      <c r="M150" s="70">
        <v>1.4231428325374695E-2</v>
      </c>
      <c r="N150" s="70">
        <v>1.9074691345889433E-2</v>
      </c>
      <c r="O150" s="62">
        <v>2.3749939814765069E-2</v>
      </c>
      <c r="P150" s="54" t="s">
        <v>21</v>
      </c>
      <c r="Q150" s="52" t="s">
        <v>21</v>
      </c>
      <c r="R150" s="93" t="s">
        <v>21</v>
      </c>
      <c r="S150" s="70" t="s">
        <v>21</v>
      </c>
      <c r="T150" s="62" t="s">
        <v>21</v>
      </c>
      <c r="V150" s="113">
        <v>1.1294132700000001</v>
      </c>
      <c r="W150" s="71">
        <v>2.9126868999999997</v>
      </c>
      <c r="X150" s="71">
        <v>4.4777151699999997</v>
      </c>
      <c r="Y150" s="71">
        <v>5.7854897200000002</v>
      </c>
      <c r="Z150" s="114">
        <v>7.3282641699999997</v>
      </c>
    </row>
    <row r="151" spans="2:26" x14ac:dyDescent="0.35">
      <c r="B151" s="54" t="s">
        <v>115</v>
      </c>
      <c r="C151" s="52" t="s">
        <v>232</v>
      </c>
      <c r="D151" s="52" t="s">
        <v>31</v>
      </c>
      <c r="E151" s="52" t="s">
        <v>21</v>
      </c>
      <c r="F151" s="72">
        <v>2.56040699397308E-2</v>
      </c>
      <c r="G151" s="70">
        <v>3.4148021756918827E-2</v>
      </c>
      <c r="H151" s="70">
        <v>4.2240916536907057E-2</v>
      </c>
      <c r="I151" s="70">
        <v>4.7548619989248628E-2</v>
      </c>
      <c r="J151" s="62">
        <v>5.2735528668969363E-2</v>
      </c>
      <c r="K151" s="70" t="s">
        <v>21</v>
      </c>
      <c r="L151" s="70">
        <v>6.4504929569188345E-3</v>
      </c>
      <c r="M151" s="70">
        <v>1.3908031236907046E-2</v>
      </c>
      <c r="N151" s="70">
        <v>1.8326059789248637E-2</v>
      </c>
      <c r="O151" s="62">
        <v>2.2223793468969355E-2</v>
      </c>
      <c r="P151" s="54" t="s">
        <v>484</v>
      </c>
      <c r="Q151" s="52" t="s">
        <v>485</v>
      </c>
      <c r="R151" s="93">
        <v>47492</v>
      </c>
      <c r="S151" s="70">
        <v>3.543433E-2</v>
      </c>
      <c r="T151" s="62">
        <v>6.8065865369070569E-3</v>
      </c>
      <c r="V151" s="113">
        <v>1.1283929099999999</v>
      </c>
      <c r="W151" s="71">
        <v>2.9143451099999997</v>
      </c>
      <c r="X151" s="71">
        <v>4.4841528899999998</v>
      </c>
      <c r="Y151" s="71">
        <v>5.8019222399999997</v>
      </c>
      <c r="Z151" s="114">
        <v>7.3812137299999998</v>
      </c>
    </row>
    <row r="152" spans="2:26" x14ac:dyDescent="0.35">
      <c r="B152" s="54" t="s">
        <v>319</v>
      </c>
      <c r="C152" s="52" t="s">
        <v>232</v>
      </c>
      <c r="D152" s="52" t="s">
        <v>97</v>
      </c>
      <c r="E152" s="52" t="s">
        <v>36</v>
      </c>
      <c r="F152" s="72">
        <v>2.5518089396676054E-2</v>
      </c>
      <c r="G152" s="70">
        <v>3.4509698218486262E-2</v>
      </c>
      <c r="H152" s="70">
        <v>4.2143301777893688E-2</v>
      </c>
      <c r="I152" s="70">
        <v>4.7473175925227672E-2</v>
      </c>
      <c r="J152" s="62">
        <v>5.3397067475042144E-2</v>
      </c>
      <c r="K152" s="70" t="s">
        <v>21</v>
      </c>
      <c r="L152" s="70">
        <v>6.7980350184862655E-3</v>
      </c>
      <c r="M152" s="70">
        <v>1.3815940677893684E-2</v>
      </c>
      <c r="N152" s="70">
        <v>1.8256468825227672E-2</v>
      </c>
      <c r="O152" s="62">
        <v>2.2853428575042131E-2</v>
      </c>
      <c r="P152" s="54" t="s">
        <v>21</v>
      </c>
      <c r="Q152" s="52" t="s">
        <v>21</v>
      </c>
      <c r="R152" s="93" t="s">
        <v>21</v>
      </c>
      <c r="S152" s="70" t="s">
        <v>21</v>
      </c>
      <c r="T152" s="62" t="s">
        <v>21</v>
      </c>
      <c r="V152" s="113">
        <v>1.1285704400000001</v>
      </c>
      <c r="W152" s="71">
        <v>2.9122789999999998</v>
      </c>
      <c r="X152" s="71">
        <v>4.4828450399999999</v>
      </c>
      <c r="Y152" s="71">
        <v>5.8033846599999999</v>
      </c>
      <c r="Z152" s="114">
        <v>7.3714161900000006</v>
      </c>
    </row>
    <row r="153" spans="2:26" x14ac:dyDescent="0.35">
      <c r="B153" s="54" t="s">
        <v>134</v>
      </c>
      <c r="C153" s="52" t="s">
        <v>232</v>
      </c>
      <c r="D153" s="52" t="s">
        <v>43</v>
      </c>
      <c r="E153" s="52" t="s">
        <v>486</v>
      </c>
      <c r="F153" s="72">
        <v>2.5456093185848756E-2</v>
      </c>
      <c r="G153" s="70">
        <v>3.4132784984159184E-2</v>
      </c>
      <c r="H153" s="70">
        <v>4.1698051595917517E-2</v>
      </c>
      <c r="I153" s="70">
        <v>4.6822373575409734E-2</v>
      </c>
      <c r="J153" s="62">
        <v>5.2360255472113863E-2</v>
      </c>
      <c r="K153" s="70" t="s">
        <v>21</v>
      </c>
      <c r="L153" s="70">
        <v>6.4382752841591834E-3</v>
      </c>
      <c r="M153" s="70">
        <v>1.3391616595917524E-2</v>
      </c>
      <c r="N153" s="70">
        <v>1.7637177075409741E-2</v>
      </c>
      <c r="O153" s="62">
        <v>2.1866195772113857E-2</v>
      </c>
      <c r="P153" s="54" t="s">
        <v>487</v>
      </c>
      <c r="Q153" s="52" t="s">
        <v>488</v>
      </c>
      <c r="R153" s="93" t="s">
        <v>32</v>
      </c>
      <c r="S153" s="70">
        <v>3.7437190000000002E-2</v>
      </c>
      <c r="T153" s="62">
        <v>4.2608615959175145E-3</v>
      </c>
      <c r="V153" s="113">
        <v>1.1286335999999999</v>
      </c>
      <c r="W153" s="71">
        <v>2.91537873</v>
      </c>
      <c r="X153" s="71">
        <v>4.4908340500000001</v>
      </c>
      <c r="Y153" s="71">
        <v>5.8199115699999995</v>
      </c>
      <c r="Z153" s="114">
        <v>7.4108404899999991</v>
      </c>
    </row>
    <row r="154" spans="2:26" x14ac:dyDescent="0.35">
      <c r="B154" s="54" t="s">
        <v>326</v>
      </c>
      <c r="C154" s="52" t="s">
        <v>232</v>
      </c>
      <c r="D154" s="52" t="s">
        <v>255</v>
      </c>
      <c r="E154" s="52" t="s">
        <v>21</v>
      </c>
      <c r="F154" s="72">
        <v>2.6423810084821711E-2</v>
      </c>
      <c r="G154" s="70">
        <v>3.4699467122496372E-2</v>
      </c>
      <c r="H154" s="70">
        <v>4.1668644647266183E-2</v>
      </c>
      <c r="I154" s="70">
        <v>4.5475104776840455E-2</v>
      </c>
      <c r="J154" s="62">
        <v>4.9379541470107938E-2</v>
      </c>
      <c r="K154" s="70" t="s">
        <v>21</v>
      </c>
      <c r="L154" s="70">
        <v>6.9795774224963719E-3</v>
      </c>
      <c r="M154" s="70">
        <v>1.3360250147266181E-2</v>
      </c>
      <c r="N154" s="70">
        <v>1.6351311676840456E-2</v>
      </c>
      <c r="O154" s="62">
        <v>1.9018881370107946E-2</v>
      </c>
      <c r="P154" s="54" t="s">
        <v>21</v>
      </c>
      <c r="Q154" s="52" t="s">
        <v>21</v>
      </c>
      <c r="R154" s="93" t="s">
        <v>21</v>
      </c>
      <c r="S154" s="70" t="s">
        <v>21</v>
      </c>
      <c r="T154" s="62" t="s">
        <v>21</v>
      </c>
      <c r="V154" s="113">
        <v>1.1268329800000001</v>
      </c>
      <c r="W154" s="71">
        <v>2.90789367</v>
      </c>
      <c r="X154" s="71">
        <v>4.48285205</v>
      </c>
      <c r="Y154" s="71">
        <v>5.8317275000000004</v>
      </c>
      <c r="Z154" s="114">
        <v>7.5015127000000001</v>
      </c>
    </row>
    <row r="155" spans="2:26" x14ac:dyDescent="0.35">
      <c r="B155" s="54" t="s">
        <v>333</v>
      </c>
      <c r="C155" s="52" t="s">
        <v>232</v>
      </c>
      <c r="D155" s="52" t="s">
        <v>20</v>
      </c>
      <c r="E155" s="52" t="s">
        <v>21</v>
      </c>
      <c r="F155" s="72">
        <v>2.5396983244148269E-2</v>
      </c>
      <c r="G155" s="70">
        <v>3.4241702686497739E-2</v>
      </c>
      <c r="H155" s="70">
        <v>4.1663333042285193E-2</v>
      </c>
      <c r="I155" s="70">
        <v>4.5338102376188946E-2</v>
      </c>
      <c r="J155" s="62">
        <v>4.8930094400505296E-2</v>
      </c>
      <c r="K155" s="70" t="s">
        <v>21</v>
      </c>
      <c r="L155" s="70">
        <v>6.5225866864977349E-3</v>
      </c>
      <c r="M155" s="70">
        <v>1.3334773942285197E-2</v>
      </c>
      <c r="N155" s="70">
        <v>1.620083397618894E-2</v>
      </c>
      <c r="O155" s="62">
        <v>1.8572599700505302E-2</v>
      </c>
      <c r="P155" s="54" t="s">
        <v>21</v>
      </c>
      <c r="Q155" s="52" t="s">
        <v>21</v>
      </c>
      <c r="R155" s="93" t="s">
        <v>21</v>
      </c>
      <c r="S155" s="70" t="s">
        <v>21</v>
      </c>
      <c r="T155" s="62" t="s">
        <v>21</v>
      </c>
      <c r="V155" s="113">
        <v>1.1278198499999998</v>
      </c>
      <c r="W155" s="71">
        <v>2.9105519400000004</v>
      </c>
      <c r="X155" s="71">
        <v>4.4809327699999999</v>
      </c>
      <c r="Y155" s="71">
        <v>5.82121362</v>
      </c>
      <c r="Z155" s="114">
        <v>7.4858439799999994</v>
      </c>
    </row>
    <row r="156" spans="2:26" x14ac:dyDescent="0.35">
      <c r="B156" s="54" t="s">
        <v>126</v>
      </c>
      <c r="C156" s="52" t="s">
        <v>232</v>
      </c>
      <c r="D156" s="52" t="s">
        <v>69</v>
      </c>
      <c r="E156" s="52" t="s">
        <v>133</v>
      </c>
      <c r="F156" s="72">
        <v>2.4673345875382169E-2</v>
      </c>
      <c r="G156" s="70">
        <v>3.4038113911766324E-2</v>
      </c>
      <c r="H156" s="70">
        <v>4.1271350506260643E-2</v>
      </c>
      <c r="I156" s="70">
        <v>4.639237751872146E-2</v>
      </c>
      <c r="J156" s="62">
        <v>5.2101115768079374E-2</v>
      </c>
      <c r="K156" s="70" t="s">
        <v>21</v>
      </c>
      <c r="L156" s="70">
        <v>6.3451339117663293E-3</v>
      </c>
      <c r="M156" s="70">
        <v>1.2983642806260649E-2</v>
      </c>
      <c r="N156" s="70">
        <v>1.7230110018721469E-2</v>
      </c>
      <c r="O156" s="62">
        <v>2.1623088868079367E-2</v>
      </c>
      <c r="P156" s="54" t="s">
        <v>489</v>
      </c>
      <c r="Q156" s="52" t="s">
        <v>490</v>
      </c>
      <c r="R156" s="93">
        <v>47484</v>
      </c>
      <c r="S156" s="70">
        <v>3.5942500000000002E-2</v>
      </c>
      <c r="T156" s="62">
        <v>5.3288505062606406E-3</v>
      </c>
      <c r="V156" s="113">
        <v>1.1301933499999999</v>
      </c>
      <c r="W156" s="71">
        <v>2.9207378999999998</v>
      </c>
      <c r="X156" s="71">
        <v>4.5009484799999999</v>
      </c>
      <c r="Y156" s="71">
        <v>5.8376401699999994</v>
      </c>
      <c r="Z156" s="114">
        <v>7.4383129000000006</v>
      </c>
    </row>
    <row r="157" spans="2:26" x14ac:dyDescent="0.35">
      <c r="B157" s="54" t="s">
        <v>132</v>
      </c>
      <c r="C157" s="52" t="s">
        <v>232</v>
      </c>
      <c r="D157" s="52" t="s">
        <v>20</v>
      </c>
      <c r="E157" s="52" t="s">
        <v>135</v>
      </c>
      <c r="F157" s="72">
        <v>2.495601477302678E-2</v>
      </c>
      <c r="G157" s="70">
        <v>3.4236409327436185E-2</v>
      </c>
      <c r="H157" s="70">
        <v>4.1165372837211119E-2</v>
      </c>
      <c r="I157" s="70">
        <v>4.4493915026533486E-2</v>
      </c>
      <c r="J157" s="62">
        <v>4.8479167986819865E-2</v>
      </c>
      <c r="K157" s="70" t="s">
        <v>21</v>
      </c>
      <c r="L157" s="70">
        <v>6.5139405274361913E-3</v>
      </c>
      <c r="M157" s="70">
        <v>1.2856868637211125E-2</v>
      </c>
      <c r="N157" s="70">
        <v>1.5395000026533483E-2</v>
      </c>
      <c r="O157" s="62">
        <v>1.8136846986819867E-2</v>
      </c>
      <c r="P157" s="54" t="s">
        <v>491</v>
      </c>
      <c r="Q157" s="52" t="s">
        <v>492</v>
      </c>
      <c r="R157" s="93">
        <v>47567</v>
      </c>
      <c r="S157" s="70">
        <v>3.6871189999999998E-2</v>
      </c>
      <c r="T157" s="62">
        <v>4.2941828372111204E-3</v>
      </c>
      <c r="V157" s="113">
        <v>1.12876197</v>
      </c>
      <c r="W157" s="71">
        <v>2.9116895899999999</v>
      </c>
      <c r="X157" s="71">
        <v>4.4861896900000007</v>
      </c>
      <c r="Y157" s="71">
        <v>5.8356374600000001</v>
      </c>
      <c r="Z157" s="114">
        <v>7.5156134400000001</v>
      </c>
    </row>
    <row r="158" spans="2:26" x14ac:dyDescent="0.35">
      <c r="B158" s="54" t="s">
        <v>127</v>
      </c>
      <c r="C158" s="52" t="s">
        <v>232</v>
      </c>
      <c r="D158" s="52" t="s">
        <v>62</v>
      </c>
      <c r="E158" s="52" t="s">
        <v>493</v>
      </c>
      <c r="F158" s="72">
        <v>2.5389335672638246E-2</v>
      </c>
      <c r="G158" s="70">
        <v>3.3874240282005592E-2</v>
      </c>
      <c r="H158" s="70">
        <v>4.102730001244434E-2</v>
      </c>
      <c r="I158" s="70">
        <v>4.583670030796605E-2</v>
      </c>
      <c r="J158" s="62">
        <v>5.0898256496657385E-2</v>
      </c>
      <c r="K158" s="70" t="s">
        <v>21</v>
      </c>
      <c r="L158" s="70">
        <v>6.1884405820055912E-3</v>
      </c>
      <c r="M158" s="70">
        <v>1.2750440812444343E-2</v>
      </c>
      <c r="N158" s="70">
        <v>1.6700923607966059E-2</v>
      </c>
      <c r="O158" s="62">
        <v>2.047670549665739E-2</v>
      </c>
      <c r="P158" s="54" t="s">
        <v>494</v>
      </c>
      <c r="Q158" s="52" t="s">
        <v>495</v>
      </c>
      <c r="R158" s="93">
        <v>47635</v>
      </c>
      <c r="S158" s="70">
        <v>3.6519219999999998E-2</v>
      </c>
      <c r="T158" s="62">
        <v>4.5080800124443418E-3</v>
      </c>
      <c r="V158" s="113">
        <v>1.1287840099999999</v>
      </c>
      <c r="W158" s="71">
        <v>2.9184372399999998</v>
      </c>
      <c r="X158" s="71">
        <v>4.5017134500000004</v>
      </c>
      <c r="Y158" s="71">
        <v>5.8467880399999999</v>
      </c>
      <c r="Z158" s="114">
        <v>7.4779874999999993</v>
      </c>
    </row>
    <row r="159" spans="2:26" x14ac:dyDescent="0.35">
      <c r="B159" s="54" t="s">
        <v>330</v>
      </c>
      <c r="C159" s="52" t="s">
        <v>232</v>
      </c>
      <c r="D159" s="52" t="s">
        <v>97</v>
      </c>
      <c r="E159" s="52" t="s">
        <v>21</v>
      </c>
      <c r="F159" s="72">
        <v>2.6128291438292116E-2</v>
      </c>
      <c r="G159" s="70">
        <v>3.4006915664746548E-2</v>
      </c>
      <c r="H159" s="70">
        <v>4.096345192865003E-2</v>
      </c>
      <c r="I159" s="70">
        <v>4.4865920288693024E-2</v>
      </c>
      <c r="J159" s="62">
        <v>4.8118918869191452E-2</v>
      </c>
      <c r="K159" s="70" t="s">
        <v>21</v>
      </c>
      <c r="L159" s="70">
        <v>6.313510764746553E-3</v>
      </c>
      <c r="M159" s="70">
        <v>1.2686448928650028E-2</v>
      </c>
      <c r="N159" s="70">
        <v>1.5771021188693026E-2</v>
      </c>
      <c r="O159" s="62">
        <v>1.7816084469191449E-2</v>
      </c>
      <c r="P159" s="54" t="s">
        <v>381</v>
      </c>
      <c r="Q159" s="52" t="s">
        <v>382</v>
      </c>
      <c r="R159" s="93">
        <v>47497</v>
      </c>
      <c r="S159" s="70">
        <v>3.663288E-2</v>
      </c>
      <c r="T159" s="62">
        <v>4.3305719286500302E-3</v>
      </c>
      <c r="V159" s="113">
        <v>1.1274009600000001</v>
      </c>
      <c r="W159" s="71">
        <v>2.91440213</v>
      </c>
      <c r="X159" s="71">
        <v>4.4980782599999998</v>
      </c>
      <c r="Y159" s="71">
        <v>5.8564074499999998</v>
      </c>
      <c r="Z159" s="114">
        <v>7.5565844699999998</v>
      </c>
    </row>
    <row r="160" spans="2:26" x14ac:dyDescent="0.35">
      <c r="B160" s="54" t="s">
        <v>121</v>
      </c>
      <c r="C160" s="52" t="s">
        <v>232</v>
      </c>
      <c r="D160" s="52" t="s">
        <v>69</v>
      </c>
      <c r="E160" s="52" t="s">
        <v>21</v>
      </c>
      <c r="F160" s="72">
        <v>2.4940085818411208E-2</v>
      </c>
      <c r="G160" s="70">
        <v>3.3409602847148556E-2</v>
      </c>
      <c r="H160" s="70">
        <v>4.0785823576235287E-2</v>
      </c>
      <c r="I160" s="70">
        <v>4.6707423382551162E-2</v>
      </c>
      <c r="J160" s="62">
        <v>5.125820649201953E-2</v>
      </c>
      <c r="K160" s="70" t="s">
        <v>21</v>
      </c>
      <c r="L160" s="70">
        <v>5.7380430471485559E-3</v>
      </c>
      <c r="M160" s="70">
        <v>1.2517069276235283E-2</v>
      </c>
      <c r="N160" s="70">
        <v>1.7528313682551172E-2</v>
      </c>
      <c r="O160" s="62">
        <v>2.0824375392019537E-2</v>
      </c>
      <c r="P160" s="54" t="s">
        <v>21</v>
      </c>
      <c r="Q160" s="52" t="s">
        <v>21</v>
      </c>
      <c r="R160" s="93" t="s">
        <v>21</v>
      </c>
      <c r="S160" s="70" t="s">
        <v>21</v>
      </c>
      <c r="T160" s="62" t="s">
        <v>21</v>
      </c>
      <c r="V160" s="113">
        <v>1.1297093500000002</v>
      </c>
      <c r="W160" s="71">
        <v>2.9213530299999997</v>
      </c>
      <c r="X160" s="71">
        <v>4.50824655</v>
      </c>
      <c r="Y160" s="71">
        <v>5.84157525</v>
      </c>
      <c r="Z160" s="114">
        <v>7.4576201300000005</v>
      </c>
    </row>
    <row r="161" spans="2:26" x14ac:dyDescent="0.35">
      <c r="B161" s="54" t="s">
        <v>328</v>
      </c>
      <c r="C161" s="52" t="s">
        <v>232</v>
      </c>
      <c r="D161" s="52" t="s">
        <v>31</v>
      </c>
      <c r="E161" s="52" t="s">
        <v>133</v>
      </c>
      <c r="F161" s="72">
        <v>2.534391279078986E-2</v>
      </c>
      <c r="G161" s="70">
        <v>3.4115398922163663E-2</v>
      </c>
      <c r="H161" s="70">
        <v>4.0666904999187285E-2</v>
      </c>
      <c r="I161" s="70">
        <v>4.4956424048716373E-2</v>
      </c>
      <c r="J161" s="62">
        <v>4.9312445299478792E-2</v>
      </c>
      <c r="K161" s="70" t="s">
        <v>21</v>
      </c>
      <c r="L161" s="70">
        <v>6.4175166221636668E-3</v>
      </c>
      <c r="M161" s="70">
        <v>1.2402219299187287E-2</v>
      </c>
      <c r="N161" s="70">
        <v>1.5856754448716367E-2</v>
      </c>
      <c r="O161" s="62">
        <v>1.8956073899478797E-2</v>
      </c>
      <c r="P161" s="54" t="s">
        <v>21</v>
      </c>
      <c r="Q161" s="52" t="s">
        <v>21</v>
      </c>
      <c r="R161" s="93" t="s">
        <v>21</v>
      </c>
      <c r="S161" s="70" t="s">
        <v>21</v>
      </c>
      <c r="T161" s="62" t="s">
        <v>21</v>
      </c>
      <c r="V161" s="113">
        <v>1.12892624</v>
      </c>
      <c r="W161" s="71">
        <v>2.9153548800000002</v>
      </c>
      <c r="X161" s="71">
        <v>4.5018035100000002</v>
      </c>
      <c r="Y161" s="71">
        <v>5.8596732200000003</v>
      </c>
      <c r="Z161" s="114">
        <v>7.5308144400000003</v>
      </c>
    </row>
    <row r="162" spans="2:26" x14ac:dyDescent="0.35">
      <c r="B162" s="54" t="s">
        <v>331</v>
      </c>
      <c r="C162" s="52" t="s">
        <v>232</v>
      </c>
      <c r="D162" s="52" t="s">
        <v>20</v>
      </c>
      <c r="E162" s="52" t="s">
        <v>236</v>
      </c>
      <c r="F162" s="72">
        <v>2.4726815157328736E-2</v>
      </c>
      <c r="G162" s="70">
        <v>3.3421261451107187E-2</v>
      </c>
      <c r="H162" s="70">
        <v>4.0504446916038432E-2</v>
      </c>
      <c r="I162" s="70">
        <v>4.4755037959740965E-2</v>
      </c>
      <c r="J162" s="62">
        <v>4.8306915018485594E-2</v>
      </c>
      <c r="K162" s="70" t="s">
        <v>21</v>
      </c>
      <c r="L162" s="70">
        <v>5.7302765511071871E-3</v>
      </c>
      <c r="M162" s="70">
        <v>1.2225485716038428E-2</v>
      </c>
      <c r="N162" s="70">
        <v>1.5643126759740965E-2</v>
      </c>
      <c r="O162" s="62">
        <v>1.7977706818485588E-2</v>
      </c>
      <c r="P162" s="54" t="s">
        <v>21</v>
      </c>
      <c r="Q162" s="52" t="s">
        <v>21</v>
      </c>
      <c r="R162" s="93" t="s">
        <v>21</v>
      </c>
      <c r="S162" s="70" t="s">
        <v>21</v>
      </c>
      <c r="T162" s="62" t="s">
        <v>21</v>
      </c>
      <c r="V162" s="113">
        <v>1.1291620499999999</v>
      </c>
      <c r="W162" s="71">
        <v>2.9176440000000001</v>
      </c>
      <c r="X162" s="71">
        <v>4.5009605800000001</v>
      </c>
      <c r="Y162" s="71">
        <v>5.8516232699999993</v>
      </c>
      <c r="Z162" s="114">
        <v>7.5306058300000007</v>
      </c>
    </row>
    <row r="163" spans="2:26" x14ac:dyDescent="0.35">
      <c r="B163" s="54" t="s">
        <v>331</v>
      </c>
      <c r="C163" s="52" t="s">
        <v>232</v>
      </c>
      <c r="D163" s="52" t="s">
        <v>20</v>
      </c>
      <c r="E163" s="52" t="s">
        <v>21</v>
      </c>
      <c r="F163" s="72">
        <v>2.4726815157328736E-2</v>
      </c>
      <c r="G163" s="70">
        <v>3.3421261451107187E-2</v>
      </c>
      <c r="H163" s="70">
        <v>4.0504446916038432E-2</v>
      </c>
      <c r="I163" s="70">
        <v>4.4755037959740965E-2</v>
      </c>
      <c r="J163" s="62">
        <v>4.8306915018485594E-2</v>
      </c>
      <c r="K163" s="70" t="s">
        <v>21</v>
      </c>
      <c r="L163" s="70">
        <v>5.7302765511071871E-3</v>
      </c>
      <c r="M163" s="70">
        <v>1.2225485716038428E-2</v>
      </c>
      <c r="N163" s="70">
        <v>1.5643126759740965E-2</v>
      </c>
      <c r="O163" s="62">
        <v>1.7977706818485588E-2</v>
      </c>
      <c r="P163" s="54" t="s">
        <v>21</v>
      </c>
      <c r="Q163" s="52" t="s">
        <v>21</v>
      </c>
      <c r="R163" s="93" t="s">
        <v>21</v>
      </c>
      <c r="S163" s="70" t="s">
        <v>21</v>
      </c>
      <c r="T163" s="62" t="s">
        <v>21</v>
      </c>
      <c r="V163" s="113">
        <v>1.1291620499999999</v>
      </c>
      <c r="W163" s="71">
        <v>2.9176440000000001</v>
      </c>
      <c r="X163" s="71">
        <v>4.5009605800000001</v>
      </c>
      <c r="Y163" s="71">
        <v>5.8516232699999993</v>
      </c>
      <c r="Z163" s="114">
        <v>7.5306058300000007</v>
      </c>
    </row>
    <row r="164" spans="2:26" x14ac:dyDescent="0.35">
      <c r="B164" s="54" t="s">
        <v>327</v>
      </c>
      <c r="C164" s="52" t="s">
        <v>232</v>
      </c>
      <c r="D164" s="52" t="s">
        <v>43</v>
      </c>
      <c r="E164" s="52" t="s">
        <v>21</v>
      </c>
      <c r="F164" s="72">
        <v>2.5198209209926069E-2</v>
      </c>
      <c r="G164" s="70">
        <v>3.3648869616027421E-2</v>
      </c>
      <c r="H164" s="70">
        <v>4.0090867055949581E-2</v>
      </c>
      <c r="I164" s="70">
        <v>4.4730837978570061E-2</v>
      </c>
      <c r="J164" s="62">
        <v>4.924664078586849E-2</v>
      </c>
      <c r="K164" s="70" t="s">
        <v>21</v>
      </c>
      <c r="L164" s="70">
        <v>5.968519316027418E-3</v>
      </c>
      <c r="M164" s="70">
        <v>1.1850637655949584E-2</v>
      </c>
      <c r="N164" s="70">
        <v>1.5643586478570056E-2</v>
      </c>
      <c r="O164" s="62">
        <v>1.8896903185868476E-2</v>
      </c>
      <c r="P164" s="54" t="s">
        <v>21</v>
      </c>
      <c r="Q164" s="52" t="s">
        <v>21</v>
      </c>
      <c r="R164" s="93" t="s">
        <v>21</v>
      </c>
      <c r="S164" s="70" t="s">
        <v>21</v>
      </c>
      <c r="T164" s="62" t="s">
        <v>21</v>
      </c>
      <c r="V164" s="113">
        <v>1.12920899</v>
      </c>
      <c r="W164" s="71">
        <v>2.9189253500000003</v>
      </c>
      <c r="X164" s="71">
        <v>4.5125183</v>
      </c>
      <c r="Y164" s="71">
        <v>5.8753455199999998</v>
      </c>
      <c r="Z164" s="114">
        <v>7.5496000800000003</v>
      </c>
    </row>
    <row r="165" spans="2:26" x14ac:dyDescent="0.35">
      <c r="B165" s="54" t="s">
        <v>235</v>
      </c>
      <c r="C165" s="52" t="s">
        <v>232</v>
      </c>
      <c r="D165" s="52" t="s">
        <v>31</v>
      </c>
      <c r="E165" s="52" t="s">
        <v>142</v>
      </c>
      <c r="F165" s="72">
        <v>2.4902525505250704E-2</v>
      </c>
      <c r="G165" s="70">
        <v>3.3606832962421715E-2</v>
      </c>
      <c r="H165" s="70">
        <v>3.9952715705393667E-2</v>
      </c>
      <c r="I165" s="70">
        <v>4.4831077097712724E-2</v>
      </c>
      <c r="J165" s="62">
        <v>4.9911136239291436E-2</v>
      </c>
      <c r="K165" s="70" t="s">
        <v>21</v>
      </c>
      <c r="L165" s="70">
        <v>5.9259889624217145E-3</v>
      </c>
      <c r="M165" s="70">
        <v>1.1716325505393661E-2</v>
      </c>
      <c r="N165" s="70">
        <v>1.5735977397712722E-2</v>
      </c>
      <c r="O165" s="62">
        <v>1.9528012639291437E-2</v>
      </c>
      <c r="P165" s="54" t="s">
        <v>21</v>
      </c>
      <c r="Q165" s="52" t="s">
        <v>21</v>
      </c>
      <c r="R165" s="93" t="s">
        <v>21</v>
      </c>
      <c r="S165" s="70" t="s">
        <v>21</v>
      </c>
      <c r="T165" s="62" t="s">
        <v>21</v>
      </c>
      <c r="V165" s="113">
        <v>1.12981796</v>
      </c>
      <c r="W165" s="71">
        <v>2.92062198</v>
      </c>
      <c r="X165" s="71">
        <v>4.51544291</v>
      </c>
      <c r="Y165" s="71">
        <v>5.8762787900000006</v>
      </c>
      <c r="Z165" s="114">
        <v>7.5316490799999993</v>
      </c>
    </row>
    <row r="166" spans="2:26" x14ac:dyDescent="0.35">
      <c r="B166" s="54" t="s">
        <v>240</v>
      </c>
      <c r="C166" s="52" t="s">
        <v>232</v>
      </c>
      <c r="D166" s="52" t="s">
        <v>20</v>
      </c>
      <c r="E166" s="52" t="s">
        <v>21</v>
      </c>
      <c r="F166" s="72">
        <v>2.411612653210779E-2</v>
      </c>
      <c r="G166" s="70">
        <v>3.2460290573193974E-2</v>
      </c>
      <c r="H166" s="70">
        <v>3.9780816872604992E-2</v>
      </c>
      <c r="I166" s="70">
        <v>4.3518124115188128E-2</v>
      </c>
      <c r="J166" s="62">
        <v>4.7469049699960478E-2</v>
      </c>
      <c r="K166" s="70" t="s">
        <v>21</v>
      </c>
      <c r="L166" s="70">
        <v>4.8054477731939681E-3</v>
      </c>
      <c r="M166" s="70">
        <v>1.1532990972604995E-2</v>
      </c>
      <c r="N166" s="70">
        <v>1.4464267015188118E-2</v>
      </c>
      <c r="O166" s="62">
        <v>1.7175520399960474E-2</v>
      </c>
      <c r="P166" s="54" t="s">
        <v>21</v>
      </c>
      <c r="Q166" s="52" t="s">
        <v>21</v>
      </c>
      <c r="R166" s="93" t="s">
        <v>21</v>
      </c>
      <c r="S166" s="70" t="s">
        <v>21</v>
      </c>
      <c r="T166" s="62" t="s">
        <v>21</v>
      </c>
      <c r="V166" s="113">
        <v>1.1303244000000001</v>
      </c>
      <c r="W166" s="71">
        <v>2.9258320699999998</v>
      </c>
      <c r="X166" s="71">
        <v>4.5196684000000005</v>
      </c>
      <c r="Y166" s="71">
        <v>5.8886570999999996</v>
      </c>
      <c r="Z166" s="114">
        <v>7.5915625999999996</v>
      </c>
    </row>
    <row r="167" spans="2:26" x14ac:dyDescent="0.35">
      <c r="B167" s="54" t="s">
        <v>237</v>
      </c>
      <c r="C167" s="52" t="s">
        <v>232</v>
      </c>
      <c r="D167" s="52" t="s">
        <v>43</v>
      </c>
      <c r="E167" s="52" t="s">
        <v>110</v>
      </c>
      <c r="F167" s="72">
        <v>2.4793799619408245E-2</v>
      </c>
      <c r="G167" s="70">
        <v>3.3273806465370231E-2</v>
      </c>
      <c r="H167" s="70">
        <v>3.9742043733934168E-2</v>
      </c>
      <c r="I167" s="70">
        <v>4.4247540716450873E-2</v>
      </c>
      <c r="J167" s="62">
        <v>4.8413960867058695E-2</v>
      </c>
      <c r="K167" s="70" t="s">
        <v>21</v>
      </c>
      <c r="L167" s="70">
        <v>5.60681796537023E-3</v>
      </c>
      <c r="M167" s="70">
        <v>1.1515419833934172E-2</v>
      </c>
      <c r="N167" s="70">
        <v>1.5180338316450877E-2</v>
      </c>
      <c r="O167" s="62">
        <v>1.809877666705869E-2</v>
      </c>
      <c r="P167" s="54" t="s">
        <v>21</v>
      </c>
      <c r="Q167" s="52" t="s">
        <v>21</v>
      </c>
      <c r="R167" s="93" t="s">
        <v>21</v>
      </c>
      <c r="S167" s="70" t="s">
        <v>21</v>
      </c>
      <c r="T167" s="62" t="s">
        <v>21</v>
      </c>
      <c r="V167" s="113">
        <v>1.12999735</v>
      </c>
      <c r="W167" s="71">
        <v>2.92266417</v>
      </c>
      <c r="X167" s="71">
        <v>4.5203745500000005</v>
      </c>
      <c r="Y167" s="71">
        <v>5.889621</v>
      </c>
      <c r="Z167" s="114">
        <v>7.5829374300000003</v>
      </c>
    </row>
    <row r="168" spans="2:26" x14ac:dyDescent="0.35">
      <c r="B168" s="54" t="s">
        <v>329</v>
      </c>
      <c r="C168" s="52" t="s">
        <v>232</v>
      </c>
      <c r="D168" s="52" t="s">
        <v>62</v>
      </c>
      <c r="E168" s="52" t="s">
        <v>21</v>
      </c>
      <c r="F168" s="72">
        <v>2.5098095877691025E-2</v>
      </c>
      <c r="G168" s="70">
        <v>3.318925418053157E-2</v>
      </c>
      <c r="H168" s="70">
        <v>3.9588095995692289E-2</v>
      </c>
      <c r="I168" s="70">
        <v>4.3718193703690844E-2</v>
      </c>
      <c r="J168" s="62">
        <v>4.8386884699290852E-2</v>
      </c>
      <c r="K168" s="70" t="s">
        <v>21</v>
      </c>
      <c r="L168" s="70">
        <v>5.5251297805315718E-3</v>
      </c>
      <c r="M168" s="70">
        <v>1.1367416295692299E-2</v>
      </c>
      <c r="N168" s="70">
        <v>1.467431030369085E-2</v>
      </c>
      <c r="O168" s="62">
        <v>1.8080974499290851E-2</v>
      </c>
      <c r="P168" s="54" t="s">
        <v>21</v>
      </c>
      <c r="Q168" s="52" t="s">
        <v>21</v>
      </c>
      <c r="R168" s="93" t="s">
        <v>21</v>
      </c>
      <c r="S168" s="70" t="s">
        <v>21</v>
      </c>
      <c r="T168" s="62" t="s">
        <v>21</v>
      </c>
      <c r="V168" s="113">
        <v>1.12941117</v>
      </c>
      <c r="W168" s="71">
        <v>2.9221618</v>
      </c>
      <c r="X168" s="71">
        <v>4.5217242600000001</v>
      </c>
      <c r="Y168" s="71">
        <v>5.8988332100000003</v>
      </c>
      <c r="Z168" s="114">
        <v>7.5721046200000002</v>
      </c>
    </row>
    <row r="169" spans="2:26" x14ac:dyDescent="0.35">
      <c r="B169" s="54" t="s">
        <v>374</v>
      </c>
      <c r="C169" s="52" t="s">
        <v>232</v>
      </c>
      <c r="D169" s="52" t="s">
        <v>20</v>
      </c>
      <c r="E169" s="52" t="s">
        <v>21</v>
      </c>
      <c r="F169" s="72">
        <v>2.3114625776630371E-2</v>
      </c>
      <c r="G169" s="70">
        <v>2.9131374386372078E-2</v>
      </c>
      <c r="H169" s="70">
        <v>3.2671586891348151E-2</v>
      </c>
      <c r="I169" s="70">
        <v>3.5107277118601829E-2</v>
      </c>
      <c r="J169" s="62">
        <v>3.7651925929544527E-2</v>
      </c>
      <c r="K169" s="70" t="s">
        <v>21</v>
      </c>
      <c r="L169" s="70">
        <v>1.5863312863720856E-3</v>
      </c>
      <c r="M169" s="70">
        <v>4.6728555913481511E-3</v>
      </c>
      <c r="N169" s="70">
        <v>6.3578330186018208E-3</v>
      </c>
      <c r="O169" s="62">
        <v>7.6688668295445302E-3</v>
      </c>
      <c r="P169" s="54" t="s">
        <v>21</v>
      </c>
      <c r="Q169" s="52" t="s">
        <v>21</v>
      </c>
      <c r="R169" s="93" t="s">
        <v>21</v>
      </c>
      <c r="S169" s="70" t="s">
        <v>21</v>
      </c>
      <c r="T169" s="62" t="s">
        <v>21</v>
      </c>
      <c r="V169" s="113">
        <v>1.13227704</v>
      </c>
      <c r="W169" s="71">
        <v>2.9502352100000002</v>
      </c>
      <c r="X169" s="71">
        <v>4.6251820399999994</v>
      </c>
      <c r="Y169" s="71">
        <v>6.1344165200000003</v>
      </c>
      <c r="Z169" s="114">
        <v>8.12282145</v>
      </c>
    </row>
    <row r="170" spans="2:26" x14ac:dyDescent="0.35">
      <c r="B170" s="54" t="s">
        <v>337</v>
      </c>
      <c r="C170" s="52" t="s">
        <v>232</v>
      </c>
      <c r="D170" s="52" t="s">
        <v>31</v>
      </c>
      <c r="E170" s="52" t="s">
        <v>81</v>
      </c>
      <c r="F170" s="72">
        <v>2.4866244956796707E-2</v>
      </c>
      <c r="G170" s="70">
        <v>3.2675888357899814E-2</v>
      </c>
      <c r="H170" s="70">
        <v>3.8510590445690662E-2</v>
      </c>
      <c r="I170" s="70">
        <v>4.2865402409971526E-2</v>
      </c>
      <c r="J170" s="62">
        <v>4.7389037921746584E-2</v>
      </c>
      <c r="K170" s="70" t="s">
        <v>21</v>
      </c>
      <c r="L170" s="70">
        <v>5.0318025578998098E-3</v>
      </c>
      <c r="M170" s="70">
        <v>1.0333409945690656E-2</v>
      </c>
      <c r="N170" s="70">
        <v>1.385886640997153E-2</v>
      </c>
      <c r="O170" s="62">
        <v>1.7114837721746587E-2</v>
      </c>
      <c r="P170" s="54" t="s">
        <v>385</v>
      </c>
      <c r="Q170" s="52" t="s">
        <v>386</v>
      </c>
      <c r="R170" s="93">
        <v>47519</v>
      </c>
      <c r="S170" s="70">
        <v>3.369465E-2</v>
      </c>
      <c r="T170" s="62">
        <v>4.8159404456906627E-3</v>
      </c>
      <c r="V170" s="113">
        <v>1.12982841</v>
      </c>
      <c r="W170" s="71">
        <v>2.9261917500000001</v>
      </c>
      <c r="X170" s="71">
        <v>4.53800648</v>
      </c>
      <c r="Y170" s="71">
        <v>5.9294829499999997</v>
      </c>
      <c r="Z170" s="114">
        <v>7.6529272199999996</v>
      </c>
    </row>
    <row r="171" spans="2:26" x14ac:dyDescent="0.35">
      <c r="B171" s="54" t="s">
        <v>327</v>
      </c>
      <c r="C171" s="52" t="s">
        <v>232</v>
      </c>
      <c r="D171" s="52" t="s">
        <v>43</v>
      </c>
      <c r="E171" s="52" t="s">
        <v>21</v>
      </c>
      <c r="F171" s="72">
        <v>2.5198209209926069E-2</v>
      </c>
      <c r="G171" s="70">
        <v>3.3648869616027421E-2</v>
      </c>
      <c r="H171" s="70">
        <v>4.0090867055949581E-2</v>
      </c>
      <c r="I171" s="70">
        <v>4.4730837978570061E-2</v>
      </c>
      <c r="J171" s="62">
        <v>4.924664078586849E-2</v>
      </c>
      <c r="K171" s="70" t="s">
        <v>21</v>
      </c>
      <c r="L171" s="70">
        <v>5.968519316027418E-3</v>
      </c>
      <c r="M171" s="70">
        <v>1.1850637655949584E-2</v>
      </c>
      <c r="N171" s="70">
        <v>1.5643586478570056E-2</v>
      </c>
      <c r="O171" s="62">
        <v>1.8896903185868476E-2</v>
      </c>
      <c r="P171" s="54" t="s">
        <v>21</v>
      </c>
      <c r="Q171" s="52" t="s">
        <v>21</v>
      </c>
      <c r="R171" s="93" t="s">
        <v>21</v>
      </c>
      <c r="S171" s="70" t="s">
        <v>21</v>
      </c>
      <c r="T171" s="62" t="s">
        <v>21</v>
      </c>
      <c r="V171" s="113">
        <v>1.12920899</v>
      </c>
      <c r="W171" s="71">
        <v>2.9189253500000003</v>
      </c>
      <c r="X171" s="71">
        <v>4.5125183</v>
      </c>
      <c r="Y171" s="71">
        <v>5.8753455199999998</v>
      </c>
      <c r="Z171" s="114">
        <v>7.5496000800000003</v>
      </c>
    </row>
    <row r="172" spans="2:26" x14ac:dyDescent="0.35">
      <c r="B172" s="54" t="s">
        <v>341</v>
      </c>
      <c r="C172" s="52" t="s">
        <v>232</v>
      </c>
      <c r="D172" s="52" t="s">
        <v>69</v>
      </c>
      <c r="E172" s="52" t="s">
        <v>21</v>
      </c>
      <c r="F172" s="72">
        <v>2.4584339254752528E-2</v>
      </c>
      <c r="G172" s="70">
        <v>3.2492174754932442E-2</v>
      </c>
      <c r="H172" s="70">
        <v>3.8158915660034577E-2</v>
      </c>
      <c r="I172" s="70">
        <v>4.1656761712446193E-2</v>
      </c>
      <c r="J172" s="62">
        <v>4.5987325516174613E-2</v>
      </c>
      <c r="K172" s="70" t="s">
        <v>21</v>
      </c>
      <c r="L172" s="70">
        <v>4.8514108549324378E-3</v>
      </c>
      <c r="M172" s="70">
        <v>9.9929330600345787E-3</v>
      </c>
      <c r="N172" s="70">
        <v>1.2698921112446191E-2</v>
      </c>
      <c r="O172" s="62">
        <v>1.5764423516174617E-2</v>
      </c>
      <c r="P172" s="54" t="s">
        <v>496</v>
      </c>
      <c r="Q172" s="52" t="s">
        <v>497</v>
      </c>
      <c r="R172" s="93" t="s">
        <v>32</v>
      </c>
      <c r="S172" s="70">
        <v>3.6248300000000004E-2</v>
      </c>
      <c r="T172" s="62">
        <v>1.9106156600345731E-3</v>
      </c>
      <c r="V172" s="113">
        <v>1.1304369200000002</v>
      </c>
      <c r="W172" s="71">
        <v>2.92849409</v>
      </c>
      <c r="X172" s="71">
        <v>4.5443899000000005</v>
      </c>
      <c r="Y172" s="71">
        <v>5.9538346899999999</v>
      </c>
      <c r="Z172" s="114">
        <v>7.7183077200000003</v>
      </c>
    </row>
    <row r="173" spans="2:26" x14ac:dyDescent="0.35">
      <c r="B173" s="54" t="s">
        <v>141</v>
      </c>
      <c r="C173" s="52" t="s">
        <v>232</v>
      </c>
      <c r="D173" s="52" t="s">
        <v>53</v>
      </c>
      <c r="E173" s="52" t="s">
        <v>123</v>
      </c>
      <c r="F173" s="72">
        <v>2.4584602761123116E-2</v>
      </c>
      <c r="G173" s="70">
        <v>3.2534651202105698E-2</v>
      </c>
      <c r="H173" s="70">
        <v>3.8154048595792203E-2</v>
      </c>
      <c r="I173" s="70">
        <v>4.2231678737664931E-2</v>
      </c>
      <c r="J173" s="62">
        <v>4.702862027867355E-2</v>
      </c>
      <c r="K173" s="70" t="s">
        <v>21</v>
      </c>
      <c r="L173" s="70">
        <v>4.8955264021057054E-3</v>
      </c>
      <c r="M173" s="70">
        <v>9.9904336957922033E-3</v>
      </c>
      <c r="N173" s="70">
        <v>1.3251701637664938E-2</v>
      </c>
      <c r="O173" s="62">
        <v>1.6767056578673552E-2</v>
      </c>
      <c r="P173" s="54" t="s">
        <v>498</v>
      </c>
      <c r="Q173" s="52" t="s">
        <v>499</v>
      </c>
      <c r="R173" s="93" t="s">
        <v>32</v>
      </c>
      <c r="S173" s="70">
        <v>3.8424480000000004E-2</v>
      </c>
      <c r="T173" s="62">
        <v>-2.7043140420780071E-4</v>
      </c>
      <c r="V173" s="113">
        <v>1.13037532</v>
      </c>
      <c r="W173" s="71">
        <v>2.9275782699999997</v>
      </c>
      <c r="X173" s="71">
        <v>4.5434181999999996</v>
      </c>
      <c r="Y173" s="71">
        <v>5.9447241800000006</v>
      </c>
      <c r="Z173" s="114">
        <v>7.6802286600000009</v>
      </c>
    </row>
    <row r="174" spans="2:26" x14ac:dyDescent="0.35">
      <c r="B174" s="54" t="s">
        <v>137</v>
      </c>
      <c r="C174" s="52" t="s">
        <v>232</v>
      </c>
      <c r="D174" s="52" t="s">
        <v>20</v>
      </c>
      <c r="E174" s="52" t="s">
        <v>21</v>
      </c>
      <c r="F174" s="72">
        <v>2.5436522474619964E-2</v>
      </c>
      <c r="G174" s="70">
        <v>3.2975783233010272E-2</v>
      </c>
      <c r="H174" s="70">
        <v>3.8017253318395748E-2</v>
      </c>
      <c r="I174" s="70">
        <v>4.1005920933280052E-2</v>
      </c>
      <c r="J174" s="62">
        <v>4.4264515447514183E-2</v>
      </c>
      <c r="K174" s="70" t="s">
        <v>21</v>
      </c>
      <c r="L174" s="70">
        <v>5.3016535330102721E-3</v>
      </c>
      <c r="M174" s="70">
        <v>9.8384233183957531E-3</v>
      </c>
      <c r="N174" s="70">
        <v>1.2055087033280057E-2</v>
      </c>
      <c r="O174" s="62">
        <v>1.4094557647514182E-2</v>
      </c>
      <c r="P174" s="54" t="s">
        <v>500</v>
      </c>
      <c r="Q174" s="52" t="s">
        <v>501</v>
      </c>
      <c r="R174" s="93">
        <v>47423</v>
      </c>
      <c r="S174" s="70">
        <v>3.4618589999999998E-2</v>
      </c>
      <c r="T174" s="62">
        <v>3.3986633183957504E-3</v>
      </c>
      <c r="V174" s="113">
        <v>1.1277968899999999</v>
      </c>
      <c r="W174" s="71">
        <v>2.9175542299999999</v>
      </c>
      <c r="X174" s="71">
        <v>4.5294199200000005</v>
      </c>
      <c r="Y174" s="71">
        <v>5.9377767800000001</v>
      </c>
      <c r="Z174" s="114">
        <v>7.7177071099999992</v>
      </c>
    </row>
    <row r="175" spans="2:26" x14ac:dyDescent="0.35">
      <c r="B175" s="54" t="s">
        <v>158</v>
      </c>
      <c r="C175" s="52" t="s">
        <v>232</v>
      </c>
      <c r="D175" s="52" t="s">
        <v>20</v>
      </c>
      <c r="E175" s="52" t="s">
        <v>338</v>
      </c>
      <c r="F175" s="72">
        <v>2.476643229047347E-2</v>
      </c>
      <c r="G175" s="70">
        <v>3.2510842313557844E-2</v>
      </c>
      <c r="H175" s="70">
        <v>3.7914380116143682E-2</v>
      </c>
      <c r="I175" s="70">
        <v>4.0927202234564149E-2</v>
      </c>
      <c r="J175" s="62">
        <v>4.4246308069380624E-2</v>
      </c>
      <c r="K175" s="70" t="s">
        <v>21</v>
      </c>
      <c r="L175" s="70">
        <v>4.8532886135578459E-3</v>
      </c>
      <c r="M175" s="70">
        <v>9.7396094161436852E-3</v>
      </c>
      <c r="N175" s="70">
        <v>1.1980935734564147E-2</v>
      </c>
      <c r="O175" s="62">
        <v>1.4071659269380633E-2</v>
      </c>
      <c r="P175" s="54" t="s">
        <v>502</v>
      </c>
      <c r="Q175" s="52" t="s">
        <v>503</v>
      </c>
      <c r="R175" s="93">
        <v>47543</v>
      </c>
      <c r="S175" s="70">
        <v>3.5589179999999998E-2</v>
      </c>
      <c r="T175" s="62">
        <v>2.3252001161436844E-3</v>
      </c>
      <c r="V175" s="113">
        <v>1.1290925000000001</v>
      </c>
      <c r="W175" s="71">
        <v>2.9233888100000001</v>
      </c>
      <c r="X175" s="71">
        <v>4.5366704599999998</v>
      </c>
      <c r="Y175" s="71">
        <v>5.9439924199999998</v>
      </c>
      <c r="Z175" s="114">
        <v>7.7395092500000002</v>
      </c>
    </row>
    <row r="176" spans="2:26" x14ac:dyDescent="0.35">
      <c r="B176" s="54" t="s">
        <v>149</v>
      </c>
      <c r="C176" s="52" t="s">
        <v>232</v>
      </c>
      <c r="D176" s="52" t="s">
        <v>53</v>
      </c>
      <c r="E176" s="52" t="s">
        <v>21</v>
      </c>
      <c r="F176" s="72">
        <v>2.4947387873242407E-2</v>
      </c>
      <c r="G176" s="70">
        <v>3.2429399272847451E-2</v>
      </c>
      <c r="H176" s="70">
        <v>3.7897214341002926E-2</v>
      </c>
      <c r="I176" s="70">
        <v>4.1694402041503362E-2</v>
      </c>
      <c r="J176" s="62">
        <v>4.6026177962396185E-2</v>
      </c>
      <c r="K176" s="70" t="s">
        <v>21</v>
      </c>
      <c r="L176" s="70">
        <v>4.7931437728474437E-3</v>
      </c>
      <c r="M176" s="70">
        <v>9.7425610410029322E-3</v>
      </c>
      <c r="N176" s="70">
        <v>1.2735737141503348E-2</v>
      </c>
      <c r="O176" s="62">
        <v>1.5803211462396181E-2</v>
      </c>
      <c r="P176" s="54" t="s">
        <v>504</v>
      </c>
      <c r="Q176" s="52" t="s">
        <v>505</v>
      </c>
      <c r="R176" s="93">
        <v>47498</v>
      </c>
      <c r="S176" s="70">
        <v>3.2713739999999998E-2</v>
      </c>
      <c r="T176" s="62">
        <v>5.1834743410029277E-3</v>
      </c>
      <c r="V176" s="113">
        <v>1.1296874400000001</v>
      </c>
      <c r="W176" s="71">
        <v>2.9275339300000001</v>
      </c>
      <c r="X176" s="71">
        <v>4.5463325399999999</v>
      </c>
      <c r="Y176" s="71">
        <v>5.9559485699999994</v>
      </c>
      <c r="Z176" s="114">
        <v>7.7185805800000011</v>
      </c>
    </row>
    <row r="177" spans="2:26" x14ac:dyDescent="0.35">
      <c r="B177" s="54" t="s">
        <v>150</v>
      </c>
      <c r="C177" s="52" t="s">
        <v>232</v>
      </c>
      <c r="D177" s="52" t="s">
        <v>43</v>
      </c>
      <c r="E177" s="52" t="s">
        <v>21</v>
      </c>
      <c r="F177" s="72">
        <v>2.5012335371493132E-2</v>
      </c>
      <c r="G177" s="70">
        <v>3.2279023887737769E-2</v>
      </c>
      <c r="H177" s="70">
        <v>3.7848127549787523E-2</v>
      </c>
      <c r="I177" s="70">
        <v>4.1838439837309116E-2</v>
      </c>
      <c r="J177" s="62">
        <v>4.68184989758446E-2</v>
      </c>
      <c r="K177" s="70" t="s">
        <v>21</v>
      </c>
      <c r="L177" s="70">
        <v>4.6459338877377684E-3</v>
      </c>
      <c r="M177" s="70">
        <v>9.6938050497875246E-3</v>
      </c>
      <c r="N177" s="70">
        <v>1.2872700537309106E-2</v>
      </c>
      <c r="O177" s="62">
        <v>1.6562836675844603E-2</v>
      </c>
      <c r="P177" s="54" t="s">
        <v>21</v>
      </c>
      <c r="Q177" s="52" t="s">
        <v>21</v>
      </c>
      <c r="R177" s="93" t="s">
        <v>21</v>
      </c>
      <c r="S177" s="70" t="s">
        <v>21</v>
      </c>
      <c r="T177" s="62" t="s">
        <v>21</v>
      </c>
      <c r="V177" s="113">
        <v>1.1296024199999999</v>
      </c>
      <c r="W177" s="71">
        <v>2.9283702300000001</v>
      </c>
      <c r="X177" s="71">
        <v>4.5480715700000003</v>
      </c>
      <c r="Y177" s="71">
        <v>5.9556734799999997</v>
      </c>
      <c r="Z177" s="114">
        <v>7.69809184</v>
      </c>
    </row>
    <row r="178" spans="2:26" x14ac:dyDescent="0.35">
      <c r="B178" s="54" t="s">
        <v>339</v>
      </c>
      <c r="C178" s="52" t="s">
        <v>232</v>
      </c>
      <c r="D178" s="52" t="s">
        <v>69</v>
      </c>
      <c r="E178" s="52" t="s">
        <v>288</v>
      </c>
      <c r="F178" s="72">
        <v>2.4725167580990959E-2</v>
      </c>
      <c r="G178" s="70">
        <v>3.2016163818219243E-2</v>
      </c>
      <c r="H178" s="70">
        <v>3.7638042772078419E-2</v>
      </c>
      <c r="I178" s="70">
        <v>4.1344780730666407E-2</v>
      </c>
      <c r="J178" s="62">
        <v>4.5673995767744981E-2</v>
      </c>
      <c r="K178" s="70" t="s">
        <v>21</v>
      </c>
      <c r="L178" s="70">
        <v>4.3939764182192448E-3</v>
      </c>
      <c r="M178" s="70">
        <v>9.4928837720784261E-3</v>
      </c>
      <c r="N178" s="70">
        <v>1.2400413830666404E-2</v>
      </c>
      <c r="O178" s="62">
        <v>1.5464789467744986E-2</v>
      </c>
      <c r="P178" s="54" t="s">
        <v>21</v>
      </c>
      <c r="Q178" s="52" t="s">
        <v>21</v>
      </c>
      <c r="R178" s="93" t="s">
        <v>21</v>
      </c>
      <c r="S178" s="70" t="s">
        <v>21</v>
      </c>
      <c r="T178" s="62" t="s">
        <v>21</v>
      </c>
      <c r="V178" s="113">
        <v>1.13012325</v>
      </c>
      <c r="W178" s="71">
        <v>2.9309800300000002</v>
      </c>
      <c r="X178" s="71">
        <v>4.5533699199999997</v>
      </c>
      <c r="Y178" s="71">
        <v>5.9682572199999999</v>
      </c>
      <c r="Z178" s="114">
        <v>7.7406538799999991</v>
      </c>
    </row>
    <row r="179" spans="2:26" x14ac:dyDescent="0.35">
      <c r="B179" s="54" t="s">
        <v>367</v>
      </c>
      <c r="C179" s="52" t="s">
        <v>232</v>
      </c>
      <c r="D179" s="52" t="s">
        <v>20</v>
      </c>
      <c r="E179" s="52" t="s">
        <v>21</v>
      </c>
      <c r="F179" s="72">
        <v>2.3927964601343683E-2</v>
      </c>
      <c r="G179" s="70">
        <v>3.0322393544205923E-2</v>
      </c>
      <c r="H179" s="70">
        <v>3.4271307601471797E-2</v>
      </c>
      <c r="I179" s="70">
        <v>3.6859072673781856E-2</v>
      </c>
      <c r="J179" s="62">
        <v>3.9444353639302293E-2</v>
      </c>
      <c r="K179" s="70" t="s">
        <v>21</v>
      </c>
      <c r="L179" s="70">
        <v>2.7399376442059286E-3</v>
      </c>
      <c r="M179" s="70">
        <v>6.224284801471797E-3</v>
      </c>
      <c r="N179" s="70">
        <v>8.0572262737818572E-3</v>
      </c>
      <c r="O179" s="62">
        <v>9.4182715393022892E-3</v>
      </c>
      <c r="P179" s="54" t="s">
        <v>399</v>
      </c>
      <c r="Q179" s="52" t="s">
        <v>400</v>
      </c>
      <c r="R179" s="93">
        <v>47270</v>
      </c>
      <c r="S179" s="70">
        <v>3.0585859999999999E-2</v>
      </c>
      <c r="T179" s="62">
        <v>3.6854476014717974E-3</v>
      </c>
      <c r="V179" s="113">
        <v>1.1306968100000001</v>
      </c>
      <c r="W179" s="71">
        <v>2.9400864599999998</v>
      </c>
      <c r="X179" s="71">
        <v>4.5956719799999997</v>
      </c>
      <c r="Y179" s="71">
        <v>6.0744788400000003</v>
      </c>
      <c r="Z179" s="114">
        <v>8.0083489499999985</v>
      </c>
    </row>
    <row r="180" spans="2:26" x14ac:dyDescent="0.35">
      <c r="B180" s="54" t="s">
        <v>359</v>
      </c>
      <c r="C180" s="52" t="s">
        <v>232</v>
      </c>
      <c r="D180" s="52" t="s">
        <v>20</v>
      </c>
      <c r="E180" s="52" t="s">
        <v>128</v>
      </c>
      <c r="F180" s="72">
        <v>2.4379067248319161E-2</v>
      </c>
      <c r="G180" s="70">
        <v>3.1859951106949704E-2</v>
      </c>
      <c r="H180" s="70">
        <v>3.745400375249143E-2</v>
      </c>
      <c r="I180" s="70">
        <v>4.0352012291991542E-2</v>
      </c>
      <c r="J180" s="62">
        <v>4.365297156895042E-2</v>
      </c>
      <c r="K180" s="70" t="s">
        <v>21</v>
      </c>
      <c r="L180" s="70">
        <v>4.2257213069497052E-3</v>
      </c>
      <c r="M180" s="70">
        <v>9.2969127524914277E-3</v>
      </c>
      <c r="N180" s="70">
        <v>1.1428049391991543E-2</v>
      </c>
      <c r="O180" s="62">
        <v>1.3500566068950417E-2</v>
      </c>
      <c r="P180" s="54" t="s">
        <v>21</v>
      </c>
      <c r="Q180" s="52" t="s">
        <v>21</v>
      </c>
      <c r="R180" s="93" t="s">
        <v>21</v>
      </c>
      <c r="S180" s="70" t="s">
        <v>21</v>
      </c>
      <c r="T180" s="62" t="s">
        <v>21</v>
      </c>
      <c r="V180" s="113">
        <v>1.12982882</v>
      </c>
      <c r="W180" s="71">
        <v>2.9294363400000001</v>
      </c>
      <c r="X180" s="71">
        <v>4.5495646799999996</v>
      </c>
      <c r="Y180" s="71">
        <v>5.9697358899999999</v>
      </c>
      <c r="Z180" s="114">
        <v>7.78084445</v>
      </c>
    </row>
    <row r="181" spans="2:26" x14ac:dyDescent="0.35">
      <c r="B181" s="54" t="s">
        <v>136</v>
      </c>
      <c r="C181" s="52" t="s">
        <v>232</v>
      </c>
      <c r="D181" s="52" t="s">
        <v>47</v>
      </c>
      <c r="E181" s="52" t="s">
        <v>21</v>
      </c>
      <c r="F181" s="72">
        <v>2.4776962636318147E-2</v>
      </c>
      <c r="G181" s="70">
        <v>3.1822657152038671E-2</v>
      </c>
      <c r="H181" s="70">
        <v>3.7272981944434506E-2</v>
      </c>
      <c r="I181" s="70">
        <v>4.079779884015583E-2</v>
      </c>
      <c r="J181" s="62">
        <v>4.4749754716269692E-2</v>
      </c>
      <c r="K181" s="70" t="s">
        <v>21</v>
      </c>
      <c r="L181" s="70">
        <v>4.2091978520386692E-3</v>
      </c>
      <c r="M181" s="70">
        <v>9.1426688444345115E-3</v>
      </c>
      <c r="N181" s="70">
        <v>1.1876118240155831E-2</v>
      </c>
      <c r="O181" s="62">
        <v>1.4575803216269688E-2</v>
      </c>
      <c r="P181" s="54" t="s">
        <v>506</v>
      </c>
      <c r="Q181" s="52" t="s">
        <v>507</v>
      </c>
      <c r="R181" s="93">
        <v>47559</v>
      </c>
      <c r="S181" s="70">
        <v>3.4665250000000002E-2</v>
      </c>
      <c r="T181" s="62">
        <v>2.6077319444345048E-3</v>
      </c>
      <c r="V181" s="113">
        <v>1.1299801999999999</v>
      </c>
      <c r="W181" s="71">
        <v>2.9324877799999998</v>
      </c>
      <c r="X181" s="71">
        <v>4.5590516299999999</v>
      </c>
      <c r="Y181" s="71">
        <v>5.9825323700000004</v>
      </c>
      <c r="Z181" s="114">
        <v>7.7800098699999998</v>
      </c>
    </row>
    <row r="182" spans="2:26" x14ac:dyDescent="0.35">
      <c r="B182" s="54" t="s">
        <v>238</v>
      </c>
      <c r="C182" s="52" t="s">
        <v>232</v>
      </c>
      <c r="D182" s="52" t="s">
        <v>20</v>
      </c>
      <c r="E182" s="52" t="s">
        <v>21</v>
      </c>
      <c r="F182" s="72">
        <v>2.4217028989235861E-2</v>
      </c>
      <c r="G182" s="70">
        <v>3.1997745120943777E-2</v>
      </c>
      <c r="H182" s="70">
        <v>3.7191751597262748E-2</v>
      </c>
      <c r="I182" s="70">
        <v>4.1174534905117015E-2</v>
      </c>
      <c r="J182" s="62">
        <v>4.4927260002782882E-2</v>
      </c>
      <c r="K182" s="70" t="s">
        <v>21</v>
      </c>
      <c r="L182" s="70">
        <v>4.3564385209437775E-3</v>
      </c>
      <c r="M182" s="70">
        <v>9.0431641972627576E-3</v>
      </c>
      <c r="N182" s="70">
        <v>1.2216819905117016E-2</v>
      </c>
      <c r="O182" s="62">
        <v>1.4731380002782898E-2</v>
      </c>
      <c r="P182" s="54" t="s">
        <v>508</v>
      </c>
      <c r="Q182" s="52" t="s">
        <v>509</v>
      </c>
      <c r="R182" s="93">
        <v>47515</v>
      </c>
      <c r="S182" s="70">
        <v>3.5846280000000001E-2</v>
      </c>
      <c r="T182" s="62">
        <v>1.3454715972627471E-3</v>
      </c>
      <c r="V182" s="113">
        <v>1.1301760199999999</v>
      </c>
      <c r="W182" s="71">
        <v>2.9276709400000001</v>
      </c>
      <c r="X182" s="71">
        <v>4.5486892799999996</v>
      </c>
      <c r="Y182" s="71">
        <v>5.9579303000000001</v>
      </c>
      <c r="Z182" s="114">
        <v>7.7313151999999992</v>
      </c>
    </row>
    <row r="183" spans="2:26" x14ac:dyDescent="0.35">
      <c r="B183" s="54" t="s">
        <v>324</v>
      </c>
      <c r="C183" s="52" t="s">
        <v>232</v>
      </c>
      <c r="D183" s="52" t="s">
        <v>20</v>
      </c>
      <c r="E183" s="52" t="s">
        <v>429</v>
      </c>
      <c r="F183" s="72">
        <v>2.3707403916057669E-2</v>
      </c>
      <c r="G183" s="70">
        <v>3.1375619342762694E-2</v>
      </c>
      <c r="H183" s="70">
        <v>3.7149410782789841E-2</v>
      </c>
      <c r="I183" s="70">
        <v>4.093218742467352E-2</v>
      </c>
      <c r="J183" s="62">
        <v>4.4465710051225037E-2</v>
      </c>
      <c r="K183" s="70" t="s">
        <v>21</v>
      </c>
      <c r="L183" s="70">
        <v>3.7585971427626943E-3</v>
      </c>
      <c r="M183" s="70">
        <v>9.0043739827898438E-3</v>
      </c>
      <c r="N183" s="70">
        <v>1.1985915624673526E-2</v>
      </c>
      <c r="O183" s="62">
        <v>1.4288185951225045E-2</v>
      </c>
      <c r="P183" s="54" t="s">
        <v>21</v>
      </c>
      <c r="Q183" s="52" t="s">
        <v>21</v>
      </c>
      <c r="R183" s="93" t="s">
        <v>21</v>
      </c>
      <c r="S183" s="70" t="s">
        <v>21</v>
      </c>
      <c r="T183" s="62" t="s">
        <v>21</v>
      </c>
      <c r="V183" s="113">
        <v>1.1311495</v>
      </c>
      <c r="W183" s="71">
        <v>2.9343481599999999</v>
      </c>
      <c r="X183" s="71">
        <v>4.5567938799999999</v>
      </c>
      <c r="Y183" s="71">
        <v>5.9685521900000005</v>
      </c>
      <c r="Z183" s="114">
        <v>7.7543034200000003</v>
      </c>
    </row>
    <row r="184" spans="2:26" x14ac:dyDescent="0.35">
      <c r="B184" s="54" t="s">
        <v>155</v>
      </c>
      <c r="C184" s="52" t="s">
        <v>232</v>
      </c>
      <c r="D184" s="52" t="s">
        <v>131</v>
      </c>
      <c r="E184" s="52" t="s">
        <v>75</v>
      </c>
      <c r="F184" s="72">
        <v>2.4614871007393884E-2</v>
      </c>
      <c r="G184" s="70">
        <v>3.1691602696091822E-2</v>
      </c>
      <c r="H184" s="70">
        <v>3.7124189992028753E-2</v>
      </c>
      <c r="I184" s="70">
        <v>4.0942303398177615E-2</v>
      </c>
      <c r="J184" s="62">
        <v>4.5081377334606154E-2</v>
      </c>
      <c r="K184" s="70" t="s">
        <v>21</v>
      </c>
      <c r="L184" s="70">
        <v>4.0803887960918217E-3</v>
      </c>
      <c r="M184" s="70">
        <v>8.9976789920287563E-3</v>
      </c>
      <c r="N184" s="70">
        <v>1.201355789817762E-2</v>
      </c>
      <c r="O184" s="62">
        <v>1.4894961434606148E-2</v>
      </c>
      <c r="P184" s="54" t="s">
        <v>510</v>
      </c>
      <c r="Q184" s="52" t="s">
        <v>511</v>
      </c>
      <c r="R184" s="93">
        <v>47534</v>
      </c>
      <c r="S184" s="70">
        <v>3.4558249999999999E-2</v>
      </c>
      <c r="T184" s="62">
        <v>2.565939992028754E-3</v>
      </c>
      <c r="V184" s="113">
        <v>1.13033874</v>
      </c>
      <c r="W184" s="71">
        <v>2.9334616800000002</v>
      </c>
      <c r="X184" s="71">
        <v>4.5619470500000006</v>
      </c>
      <c r="Y184" s="71">
        <v>5.9837062899999998</v>
      </c>
      <c r="Z184" s="114">
        <v>7.7716507300000002</v>
      </c>
    </row>
    <row r="185" spans="2:26" x14ac:dyDescent="0.35">
      <c r="B185" s="54" t="s">
        <v>265</v>
      </c>
      <c r="C185" s="52" t="s">
        <v>232</v>
      </c>
      <c r="D185" s="52" t="s">
        <v>31</v>
      </c>
      <c r="E185" s="52" t="s">
        <v>21</v>
      </c>
      <c r="F185" s="72">
        <v>2.446239255151083E-2</v>
      </c>
      <c r="G185" s="70">
        <v>3.1959808113655806E-2</v>
      </c>
      <c r="H185" s="70">
        <v>3.7078365882756287E-2</v>
      </c>
      <c r="I185" s="70">
        <v>4.0316010703770243E-2</v>
      </c>
      <c r="J185" s="62">
        <v>4.2930996958355658E-2</v>
      </c>
      <c r="K185" s="70" t="s">
        <v>21</v>
      </c>
      <c r="L185" s="70">
        <v>4.3388360136558113E-3</v>
      </c>
      <c r="M185" s="70">
        <v>8.9530928827562858E-3</v>
      </c>
      <c r="N185" s="70">
        <v>1.1411011503770236E-2</v>
      </c>
      <c r="O185" s="62">
        <v>1.2820040658355658E-2</v>
      </c>
      <c r="P185" s="54" t="s">
        <v>512</v>
      </c>
      <c r="Q185" s="52" t="s">
        <v>513</v>
      </c>
      <c r="R185" s="93">
        <v>47679</v>
      </c>
      <c r="S185" s="70">
        <v>3.7000430000000001E-2</v>
      </c>
      <c r="T185" s="62">
        <v>7.7935882756285935E-5</v>
      </c>
      <c r="V185" s="113">
        <v>1.1306474199999998</v>
      </c>
      <c r="W185" s="71">
        <v>2.9322904899999997</v>
      </c>
      <c r="X185" s="71">
        <v>4.5606374399999998</v>
      </c>
      <c r="Y185" s="71">
        <v>5.9917473700000006</v>
      </c>
      <c r="Z185" s="114">
        <v>7.8365938399999999</v>
      </c>
    </row>
    <row r="186" spans="2:26" x14ac:dyDescent="0.35">
      <c r="B186" s="54" t="s">
        <v>320</v>
      </c>
      <c r="C186" s="52" t="s">
        <v>232</v>
      </c>
      <c r="D186" s="52" t="s">
        <v>69</v>
      </c>
      <c r="E186" s="52" t="s">
        <v>21</v>
      </c>
      <c r="F186" s="72">
        <v>2.4456068234595497E-2</v>
      </c>
      <c r="G186" s="70">
        <v>3.1824456721180679E-2</v>
      </c>
      <c r="H186" s="70">
        <v>3.7075559900827865E-2</v>
      </c>
      <c r="I186" s="70">
        <v>4.1185105255983095E-2</v>
      </c>
      <c r="J186" s="62">
        <v>4.4856166981108364E-2</v>
      </c>
      <c r="K186" s="70" t="s">
        <v>21</v>
      </c>
      <c r="L186" s="70">
        <v>4.208677521180682E-3</v>
      </c>
      <c r="M186" s="70">
        <v>8.9507959008278681E-3</v>
      </c>
      <c r="N186" s="70">
        <v>1.224652045598309E-2</v>
      </c>
      <c r="O186" s="62">
        <v>1.4679960281108365E-2</v>
      </c>
      <c r="P186" s="54" t="s">
        <v>21</v>
      </c>
      <c r="Q186" s="52" t="s">
        <v>21</v>
      </c>
      <c r="R186" s="93" t="s">
        <v>21</v>
      </c>
      <c r="S186" s="70" t="s">
        <v>21</v>
      </c>
      <c r="T186" s="62" t="s">
        <v>21</v>
      </c>
      <c r="V186" s="113">
        <v>1.1306482099999999</v>
      </c>
      <c r="W186" s="71">
        <v>2.9331598400000001</v>
      </c>
      <c r="X186" s="71">
        <v>4.5618271899999998</v>
      </c>
      <c r="Y186" s="71">
        <v>5.9803325799999998</v>
      </c>
      <c r="Z186" s="114">
        <v>7.7718537300000001</v>
      </c>
    </row>
    <row r="187" spans="2:26" x14ac:dyDescent="0.35">
      <c r="B187" s="54" t="s">
        <v>124</v>
      </c>
      <c r="C187" s="52" t="s">
        <v>232</v>
      </c>
      <c r="D187" s="52" t="s">
        <v>69</v>
      </c>
      <c r="E187" s="52" t="s">
        <v>112</v>
      </c>
      <c r="F187" s="72">
        <v>2.4345597614676837E-2</v>
      </c>
      <c r="G187" s="70">
        <v>3.1624202683193013E-2</v>
      </c>
      <c r="H187" s="70">
        <v>3.7073047434672483E-2</v>
      </c>
      <c r="I187" s="70">
        <v>4.0988531856657955E-2</v>
      </c>
      <c r="J187" s="62">
        <v>4.5220904149706892E-2</v>
      </c>
      <c r="K187" s="70" t="s">
        <v>21</v>
      </c>
      <c r="L187" s="70">
        <v>4.0154653831930114E-3</v>
      </c>
      <c r="M187" s="70">
        <v>8.9486015346724856E-3</v>
      </c>
      <c r="N187" s="70">
        <v>1.205826005665795E-2</v>
      </c>
      <c r="O187" s="62">
        <v>1.5029951049706898E-2</v>
      </c>
      <c r="P187" s="54" t="s">
        <v>21</v>
      </c>
      <c r="Q187" s="52" t="s">
        <v>21</v>
      </c>
      <c r="R187" s="93" t="s">
        <v>21</v>
      </c>
      <c r="S187" s="70" t="s">
        <v>21</v>
      </c>
      <c r="T187" s="62" t="s">
        <v>21</v>
      </c>
      <c r="V187" s="113">
        <v>1.1308573</v>
      </c>
      <c r="W187" s="71">
        <v>2.9348256900000003</v>
      </c>
      <c r="X187" s="71">
        <v>4.5639420799999995</v>
      </c>
      <c r="Y187" s="71">
        <v>5.9850543399999996</v>
      </c>
      <c r="Z187" s="114">
        <v>7.7689852399999992</v>
      </c>
    </row>
    <row r="188" spans="2:26" x14ac:dyDescent="0.35">
      <c r="B188" s="54" t="s">
        <v>241</v>
      </c>
      <c r="C188" s="52" t="s">
        <v>232</v>
      </c>
      <c r="D188" s="52" t="s">
        <v>43</v>
      </c>
      <c r="E188" s="52" t="s">
        <v>243</v>
      </c>
      <c r="F188" s="72">
        <v>2.4591176222896128E-2</v>
      </c>
      <c r="G188" s="70">
        <v>3.1748816704395021E-2</v>
      </c>
      <c r="H188" s="70">
        <v>3.7021754787310457E-2</v>
      </c>
      <c r="I188" s="70">
        <v>4.0940093273307512E-2</v>
      </c>
      <c r="J188" s="62">
        <v>4.5079088433069806E-2</v>
      </c>
      <c r="K188" s="70" t="s">
        <v>21</v>
      </c>
      <c r="L188" s="70">
        <v>4.1360269043950269E-3</v>
      </c>
      <c r="M188" s="70">
        <v>8.899190387310461E-3</v>
      </c>
      <c r="N188" s="70">
        <v>1.2011453773307515E-2</v>
      </c>
      <c r="O188" s="62">
        <v>1.4893028933069812E-2</v>
      </c>
      <c r="P188" s="54" t="s">
        <v>514</v>
      </c>
      <c r="Q188" s="52" t="s">
        <v>515</v>
      </c>
      <c r="R188" s="93" t="s">
        <v>32</v>
      </c>
      <c r="S188" s="70">
        <v>3.615459E-2</v>
      </c>
      <c r="T188" s="62">
        <v>8.6716478731045654E-4</v>
      </c>
      <c r="V188" s="113">
        <v>1.1303774</v>
      </c>
      <c r="W188" s="71">
        <v>2.9333857800000001</v>
      </c>
      <c r="X188" s="71">
        <v>4.5627841</v>
      </c>
      <c r="Y188" s="71">
        <v>5.9848834599999998</v>
      </c>
      <c r="Z188" s="114">
        <v>7.7726881100000007</v>
      </c>
    </row>
    <row r="189" spans="2:26" x14ac:dyDescent="0.35">
      <c r="B189" s="54" t="s">
        <v>154</v>
      </c>
      <c r="C189" s="52" t="s">
        <v>232</v>
      </c>
      <c r="D189" s="52" t="s">
        <v>43</v>
      </c>
      <c r="E189" s="52" t="s">
        <v>81</v>
      </c>
      <c r="F189" s="72">
        <v>2.4588535293731187E-2</v>
      </c>
      <c r="G189" s="70">
        <v>3.1512839473045659E-2</v>
      </c>
      <c r="H189" s="70">
        <v>3.7018003186299053E-2</v>
      </c>
      <c r="I189" s="70">
        <v>4.0742473073972614E-2</v>
      </c>
      <c r="J189" s="62">
        <v>4.4504439220976647E-2</v>
      </c>
      <c r="K189" s="70" t="s">
        <v>21</v>
      </c>
      <c r="L189" s="70">
        <v>3.9085908730456557E-3</v>
      </c>
      <c r="M189" s="70">
        <v>8.8959793862990605E-3</v>
      </c>
      <c r="N189" s="70">
        <v>1.1822214273972613E-2</v>
      </c>
      <c r="O189" s="62">
        <v>1.4340226120976639E-2</v>
      </c>
      <c r="P189" s="54" t="s">
        <v>516</v>
      </c>
      <c r="Q189" s="52" t="s">
        <v>517</v>
      </c>
      <c r="R189" s="93">
        <v>47536</v>
      </c>
      <c r="S189" s="70">
        <v>3.1460450000000001E-2</v>
      </c>
      <c r="T189" s="62">
        <v>5.5575531862990524E-3</v>
      </c>
      <c r="V189" s="113">
        <v>1.1303706099999999</v>
      </c>
      <c r="W189" s="71">
        <v>2.93466396</v>
      </c>
      <c r="X189" s="71">
        <v>4.5646415600000001</v>
      </c>
      <c r="Y189" s="71">
        <v>5.98937615</v>
      </c>
      <c r="Z189" s="114">
        <v>7.7922019599999999</v>
      </c>
    </row>
    <row r="190" spans="2:26" x14ac:dyDescent="0.35">
      <c r="B190" s="54" t="s">
        <v>334</v>
      </c>
      <c r="C190" s="52" t="s">
        <v>232</v>
      </c>
      <c r="D190" s="52" t="s">
        <v>20</v>
      </c>
      <c r="E190" s="52" t="s">
        <v>253</v>
      </c>
      <c r="F190" s="72">
        <v>2.5489895016531278E-2</v>
      </c>
      <c r="G190" s="70">
        <v>3.2123881965496558E-2</v>
      </c>
      <c r="H190" s="70">
        <v>3.6995730667834736E-2</v>
      </c>
      <c r="I190" s="70">
        <v>4.030030358505169E-2</v>
      </c>
      <c r="J190" s="62">
        <v>4.3837008525000443E-2</v>
      </c>
      <c r="K190" s="70" t="s">
        <v>21</v>
      </c>
      <c r="L190" s="70">
        <v>4.4776539654965567E-3</v>
      </c>
      <c r="M190" s="70">
        <v>8.8534050678347465E-3</v>
      </c>
      <c r="N190" s="70">
        <v>1.1374625085051696E-2</v>
      </c>
      <c r="O190" s="62">
        <v>1.3672476825000437E-2</v>
      </c>
      <c r="P190" s="54" t="s">
        <v>21</v>
      </c>
      <c r="Q190" s="52" t="s">
        <v>21</v>
      </c>
      <c r="R190" s="93" t="s">
        <v>21</v>
      </c>
      <c r="S190" s="70" t="s">
        <v>21</v>
      </c>
      <c r="T190" s="62" t="s">
        <v>21</v>
      </c>
      <c r="V190" s="113">
        <v>1.12775961</v>
      </c>
      <c r="W190" s="71">
        <v>2.9232511799999998</v>
      </c>
      <c r="X190" s="71">
        <v>4.5462751099999998</v>
      </c>
      <c r="Y190" s="71">
        <v>5.9693518000000001</v>
      </c>
      <c r="Z190" s="114">
        <v>7.7803732299999995</v>
      </c>
    </row>
    <row r="191" spans="2:26" x14ac:dyDescent="0.35">
      <c r="B191" s="54" t="s">
        <v>335</v>
      </c>
      <c r="C191" s="52" t="s">
        <v>232</v>
      </c>
      <c r="D191" s="52" t="s">
        <v>20</v>
      </c>
      <c r="E191" s="52" t="s">
        <v>123</v>
      </c>
      <c r="F191" s="72">
        <v>2.4043302370774278E-2</v>
      </c>
      <c r="G191" s="70">
        <v>3.1653560752019402E-2</v>
      </c>
      <c r="H191" s="70">
        <v>3.697856990604162E-2</v>
      </c>
      <c r="I191" s="70">
        <v>4.0763799846871666E-2</v>
      </c>
      <c r="J191" s="62">
        <v>4.4143017278087449E-2</v>
      </c>
      <c r="K191" s="70" t="s">
        <v>21</v>
      </c>
      <c r="L191" s="70">
        <v>4.0269295520193966E-3</v>
      </c>
      <c r="M191" s="70">
        <v>8.8395166060416287E-3</v>
      </c>
      <c r="N191" s="70">
        <v>1.182320514687166E-2</v>
      </c>
      <c r="O191" s="62">
        <v>1.3977207178087456E-2</v>
      </c>
      <c r="P191" s="54" t="s">
        <v>383</v>
      </c>
      <c r="Q191" s="52" t="s">
        <v>384</v>
      </c>
      <c r="R191" s="93">
        <v>47624</v>
      </c>
      <c r="S191" s="70">
        <v>3.5447929999999996E-2</v>
      </c>
      <c r="T191" s="62">
        <v>1.530639906041624E-3</v>
      </c>
      <c r="V191" s="113">
        <v>1.1304588799999999</v>
      </c>
      <c r="W191" s="71">
        <v>2.9313603700000002</v>
      </c>
      <c r="X191" s="71">
        <v>4.5558135699999998</v>
      </c>
      <c r="Y191" s="71">
        <v>5.9713812900000001</v>
      </c>
      <c r="Z191" s="114">
        <v>7.7638285099999997</v>
      </c>
    </row>
    <row r="192" spans="2:26" x14ac:dyDescent="0.35">
      <c r="B192" s="54" t="s">
        <v>144</v>
      </c>
      <c r="C192" s="52" t="s">
        <v>232</v>
      </c>
      <c r="D192" s="52" t="s">
        <v>20</v>
      </c>
      <c r="E192" s="52" t="s">
        <v>249</v>
      </c>
      <c r="F192" s="72">
        <v>2.5509071399506721E-2</v>
      </c>
      <c r="G192" s="70">
        <v>3.2314922363206246E-2</v>
      </c>
      <c r="H192" s="70">
        <v>3.6926775433676361E-2</v>
      </c>
      <c r="I192" s="70">
        <v>4.0246953612348604E-2</v>
      </c>
      <c r="J192" s="62">
        <v>4.3637416704066068E-2</v>
      </c>
      <c r="K192" s="70" t="s">
        <v>21</v>
      </c>
      <c r="L192" s="70">
        <v>4.6639443632062565E-3</v>
      </c>
      <c r="M192" s="70">
        <v>8.7882783336763609E-3</v>
      </c>
      <c r="N192" s="70">
        <v>1.1323876712348606E-2</v>
      </c>
      <c r="O192" s="62">
        <v>1.3482532204066072E-2</v>
      </c>
      <c r="P192" s="54" t="s">
        <v>518</v>
      </c>
      <c r="Q192" s="52" t="s">
        <v>519</v>
      </c>
      <c r="R192" s="93" t="s">
        <v>32</v>
      </c>
      <c r="S192" s="70">
        <v>3.2721140000000003E-2</v>
      </c>
      <c r="T192" s="62">
        <v>4.2056354336763579E-3</v>
      </c>
      <c r="V192" s="113">
        <v>1.12767488</v>
      </c>
      <c r="W192" s="71">
        <v>2.9212950000000002</v>
      </c>
      <c r="X192" s="71">
        <v>4.5450095500000005</v>
      </c>
      <c r="Y192" s="71">
        <v>5.9697875199999997</v>
      </c>
      <c r="Z192" s="114">
        <v>7.7813020100000001</v>
      </c>
    </row>
    <row r="193" spans="2:26" x14ac:dyDescent="0.35">
      <c r="B193" s="54" t="s">
        <v>242</v>
      </c>
      <c r="C193" s="52" t="s">
        <v>232</v>
      </c>
      <c r="D193" s="52" t="s">
        <v>43</v>
      </c>
      <c r="E193" s="52" t="s">
        <v>347</v>
      </c>
      <c r="F193" s="72">
        <v>2.4517599623283912E-2</v>
      </c>
      <c r="G193" s="70">
        <v>3.1689900588453092E-2</v>
      </c>
      <c r="H193" s="70">
        <v>3.6918859797590096E-2</v>
      </c>
      <c r="I193" s="70">
        <v>4.1035083807746266E-2</v>
      </c>
      <c r="J193" s="62">
        <v>4.5080895378119344E-2</v>
      </c>
      <c r="K193" s="70" t="s">
        <v>21</v>
      </c>
      <c r="L193" s="70">
        <v>4.079542588453092E-3</v>
      </c>
      <c r="M193" s="70">
        <v>8.8003772975901E-3</v>
      </c>
      <c r="N193" s="70">
        <v>1.2103116007746275E-2</v>
      </c>
      <c r="O193" s="62">
        <v>1.4895882878119347E-2</v>
      </c>
      <c r="P193" s="54" t="s">
        <v>520</v>
      </c>
      <c r="Q193" s="52" t="s">
        <v>521</v>
      </c>
      <c r="R193" s="93">
        <v>47492</v>
      </c>
      <c r="S193" s="70">
        <v>3.6171790000000002E-2</v>
      </c>
      <c r="T193" s="62">
        <v>7.4706979759009418E-4</v>
      </c>
      <c r="V193" s="113">
        <v>1.1305113099999999</v>
      </c>
      <c r="W193" s="71">
        <v>2.9340906499999999</v>
      </c>
      <c r="X193" s="71">
        <v>4.5640714399999993</v>
      </c>
      <c r="Y193" s="71">
        <v>5.98425443</v>
      </c>
      <c r="Z193" s="114">
        <v>7.7711639799999999</v>
      </c>
    </row>
    <row r="194" spans="2:26" x14ac:dyDescent="0.35">
      <c r="B194" s="54" t="s">
        <v>244</v>
      </c>
      <c r="C194" s="52" t="s">
        <v>232</v>
      </c>
      <c r="D194" s="52" t="s">
        <v>31</v>
      </c>
      <c r="E194" s="52" t="s">
        <v>21</v>
      </c>
      <c r="F194" s="72">
        <v>2.4555938710922043E-2</v>
      </c>
      <c r="G194" s="70">
        <v>3.1892139235645309E-2</v>
      </c>
      <c r="H194" s="70">
        <v>3.6871699262390395E-2</v>
      </c>
      <c r="I194" s="70">
        <v>4.0164313398862977E-2</v>
      </c>
      <c r="J194" s="62">
        <v>4.3826910887306815E-2</v>
      </c>
      <c r="K194" s="70" t="s">
        <v>21</v>
      </c>
      <c r="L194" s="70">
        <v>4.2739436356453043E-3</v>
      </c>
      <c r="M194" s="70">
        <v>8.7540844623903956E-3</v>
      </c>
      <c r="N194" s="70">
        <v>1.1265037398862979E-2</v>
      </c>
      <c r="O194" s="62">
        <v>1.3683186087306806E-2</v>
      </c>
      <c r="P194" s="54" t="s">
        <v>522</v>
      </c>
      <c r="Q194" s="52" t="s">
        <v>523</v>
      </c>
      <c r="R194" s="93">
        <v>47491</v>
      </c>
      <c r="S194" s="70">
        <v>3.4710570000000003E-2</v>
      </c>
      <c r="T194" s="62">
        <v>2.1611292623903919E-3</v>
      </c>
      <c r="V194" s="113">
        <v>1.1304565900000001</v>
      </c>
      <c r="W194" s="71">
        <v>2.9323803700000002</v>
      </c>
      <c r="X194" s="71">
        <v>4.5630583800000002</v>
      </c>
      <c r="Y194" s="71">
        <v>5.9968860899999994</v>
      </c>
      <c r="Z194" s="114">
        <v>7.8207092500000002</v>
      </c>
    </row>
    <row r="195" spans="2:26" x14ac:dyDescent="0.35">
      <c r="B195" s="54" t="s">
        <v>151</v>
      </c>
      <c r="C195" s="52" t="s">
        <v>232</v>
      </c>
      <c r="D195" s="52" t="s">
        <v>47</v>
      </c>
      <c r="E195" s="52" t="s">
        <v>140</v>
      </c>
      <c r="F195" s="72">
        <v>2.4797544106724162E-2</v>
      </c>
      <c r="G195" s="70">
        <v>3.1906877588739467E-2</v>
      </c>
      <c r="H195" s="70">
        <v>3.6818617660953804E-2</v>
      </c>
      <c r="I195" s="70">
        <v>4.0356853939158534E-2</v>
      </c>
      <c r="J195" s="62">
        <v>4.4587573176308688E-2</v>
      </c>
      <c r="K195" s="70" t="s">
        <v>21</v>
      </c>
      <c r="L195" s="70">
        <v>4.2886668887394674E-3</v>
      </c>
      <c r="M195" s="70">
        <v>8.7031462609538021E-3</v>
      </c>
      <c r="N195" s="70">
        <v>1.1450196439158533E-2</v>
      </c>
      <c r="O195" s="62">
        <v>1.4416445876308677E-2</v>
      </c>
      <c r="P195" s="54" t="s">
        <v>524</v>
      </c>
      <c r="Q195" s="52" t="s">
        <v>525</v>
      </c>
      <c r="R195" s="93" t="s">
        <v>32</v>
      </c>
      <c r="S195" s="70">
        <v>3.2575369999999999E-2</v>
      </c>
      <c r="T195" s="62">
        <v>4.2432476609538042E-3</v>
      </c>
      <c r="V195" s="113">
        <v>1.12997817</v>
      </c>
      <c r="W195" s="71">
        <v>2.9314223899999998</v>
      </c>
      <c r="X195" s="71">
        <v>4.5626620899999999</v>
      </c>
      <c r="Y195" s="71">
        <v>5.9939304</v>
      </c>
      <c r="Z195" s="114">
        <v>7.7978602300000004</v>
      </c>
    </row>
    <row r="196" spans="2:26" x14ac:dyDescent="0.35">
      <c r="B196" s="54" t="s">
        <v>145</v>
      </c>
      <c r="C196" s="52" t="s">
        <v>232</v>
      </c>
      <c r="D196" s="52" t="s">
        <v>69</v>
      </c>
      <c r="E196" s="52" t="s">
        <v>342</v>
      </c>
      <c r="F196" s="72">
        <v>2.4638441465683818E-2</v>
      </c>
      <c r="G196" s="70">
        <v>3.1717490034299189E-2</v>
      </c>
      <c r="H196" s="70">
        <v>3.6818066885468133E-2</v>
      </c>
      <c r="I196" s="70">
        <v>4.0355234857573113E-2</v>
      </c>
      <c r="J196" s="62">
        <v>4.4960687695214351E-2</v>
      </c>
      <c r="K196" s="70" t="s">
        <v>21</v>
      </c>
      <c r="L196" s="70">
        <v>4.1054561342991928E-3</v>
      </c>
      <c r="M196" s="70">
        <v>8.7024575854681395E-3</v>
      </c>
      <c r="N196" s="70">
        <v>1.144878295757311E-2</v>
      </c>
      <c r="O196" s="62">
        <v>1.4775601895214357E-2</v>
      </c>
      <c r="P196" s="54" t="s">
        <v>526</v>
      </c>
      <c r="Q196" s="52" t="s">
        <v>527</v>
      </c>
      <c r="R196" s="93" t="s">
        <v>32</v>
      </c>
      <c r="S196" s="70">
        <v>3.698887E-2</v>
      </c>
      <c r="T196" s="62">
        <v>-1.7080311453186725E-4</v>
      </c>
      <c r="V196" s="113">
        <v>1.1302920700000001</v>
      </c>
      <c r="W196" s="71">
        <v>2.9329224699999998</v>
      </c>
      <c r="X196" s="71">
        <v>4.5645968400000001</v>
      </c>
      <c r="Y196" s="71">
        <v>5.9957108000000003</v>
      </c>
      <c r="Z196" s="114">
        <v>7.7903832800000004</v>
      </c>
    </row>
    <row r="197" spans="2:26" x14ac:dyDescent="0.35">
      <c r="B197" s="54" t="s">
        <v>239</v>
      </c>
      <c r="C197" s="52" t="s">
        <v>232</v>
      </c>
      <c r="D197" s="52" t="s">
        <v>69</v>
      </c>
      <c r="E197" s="52" t="s">
        <v>123</v>
      </c>
      <c r="F197" s="72">
        <v>2.4308849175278192E-2</v>
      </c>
      <c r="G197" s="70">
        <v>3.1445694990816238E-2</v>
      </c>
      <c r="H197" s="70">
        <v>3.6813200968758675E-2</v>
      </c>
      <c r="I197" s="70">
        <v>4.0591688046413103E-2</v>
      </c>
      <c r="J197" s="62">
        <v>4.4304726589926173E-2</v>
      </c>
      <c r="K197" s="70" t="s">
        <v>21</v>
      </c>
      <c r="L197" s="70">
        <v>3.84412569081624E-3</v>
      </c>
      <c r="M197" s="70">
        <v>8.6988418687586784E-3</v>
      </c>
      <c r="N197" s="70">
        <v>1.1677486746413095E-2</v>
      </c>
      <c r="O197" s="62">
        <v>1.4148156889926169E-2</v>
      </c>
      <c r="P197" s="54" t="s">
        <v>528</v>
      </c>
      <c r="Q197" s="52" t="s">
        <v>529</v>
      </c>
      <c r="R197" s="93" t="s">
        <v>32</v>
      </c>
      <c r="S197" s="70">
        <v>3.8673140000000002E-2</v>
      </c>
      <c r="T197" s="62">
        <v>-1.8599390312413269E-3</v>
      </c>
      <c r="V197" s="113">
        <v>1.1309046899999999</v>
      </c>
      <c r="W197" s="71">
        <v>2.9360525799999997</v>
      </c>
      <c r="X197" s="71">
        <v>4.5682708099999996</v>
      </c>
      <c r="Y197" s="71">
        <v>5.9956189899999996</v>
      </c>
      <c r="Z197" s="114">
        <v>7.8037444799999998</v>
      </c>
    </row>
    <row r="198" spans="2:26" x14ac:dyDescent="0.35">
      <c r="B198" s="54" t="s">
        <v>340</v>
      </c>
      <c r="C198" s="52" t="s">
        <v>232</v>
      </c>
      <c r="D198" s="52" t="s">
        <v>20</v>
      </c>
      <c r="E198" s="52" t="s">
        <v>243</v>
      </c>
      <c r="F198" s="72">
        <v>2.4471240871967694E-2</v>
      </c>
      <c r="G198" s="70">
        <v>3.171380855043885E-2</v>
      </c>
      <c r="H198" s="70">
        <v>3.6786677824923848E-2</v>
      </c>
      <c r="I198" s="70">
        <v>3.9866076249876176E-2</v>
      </c>
      <c r="J198" s="62">
        <v>4.3194079018185214E-2</v>
      </c>
      <c r="K198" s="70" t="s">
        <v>21</v>
      </c>
      <c r="L198" s="70">
        <v>4.0812229504388481E-3</v>
      </c>
      <c r="M198" s="70">
        <v>8.6517975249238467E-3</v>
      </c>
      <c r="N198" s="70">
        <v>1.0958345149876179E-2</v>
      </c>
      <c r="O198" s="62">
        <v>1.3054956618185211E-2</v>
      </c>
      <c r="P198" s="54" t="s">
        <v>21</v>
      </c>
      <c r="Q198" s="52" t="s">
        <v>21</v>
      </c>
      <c r="R198" s="93" t="s">
        <v>21</v>
      </c>
      <c r="S198" s="70" t="s">
        <v>21</v>
      </c>
      <c r="T198" s="62" t="s">
        <v>21</v>
      </c>
      <c r="V198" s="113">
        <v>1.1297349000000001</v>
      </c>
      <c r="W198" s="71">
        <v>2.9299447700000001</v>
      </c>
      <c r="X198" s="71">
        <v>4.5560621699999997</v>
      </c>
      <c r="Y198" s="71">
        <v>5.9836864500000004</v>
      </c>
      <c r="Z198" s="114">
        <v>7.808432429999999</v>
      </c>
    </row>
    <row r="199" spans="2:26" x14ac:dyDescent="0.35">
      <c r="B199" s="54" t="s">
        <v>176</v>
      </c>
      <c r="C199" s="52" t="s">
        <v>232</v>
      </c>
      <c r="D199" s="52" t="s">
        <v>47</v>
      </c>
      <c r="E199" s="52" t="s">
        <v>21</v>
      </c>
      <c r="F199" s="72">
        <v>2.4412513038525107E-2</v>
      </c>
      <c r="G199" s="70">
        <v>3.1298914940371798E-2</v>
      </c>
      <c r="H199" s="70">
        <v>3.6765787801529899E-2</v>
      </c>
      <c r="I199" s="70">
        <v>4.064107358388501E-2</v>
      </c>
      <c r="J199" s="62">
        <v>4.5090607617283361E-2</v>
      </c>
      <c r="K199" s="70" t="s">
        <v>21</v>
      </c>
      <c r="L199" s="70">
        <v>3.7011427403717996E-3</v>
      </c>
      <c r="M199" s="70">
        <v>8.6525954015298952E-3</v>
      </c>
      <c r="N199" s="70">
        <v>1.172559848388501E-2</v>
      </c>
      <c r="O199" s="62">
        <v>1.4905699617283361E-2</v>
      </c>
      <c r="P199" s="54" t="s">
        <v>21</v>
      </c>
      <c r="Q199" s="52" t="s">
        <v>21</v>
      </c>
      <c r="R199" s="93" t="s">
        <v>21</v>
      </c>
      <c r="S199" s="70" t="s">
        <v>21</v>
      </c>
      <c r="T199" s="62" t="s">
        <v>21</v>
      </c>
      <c r="V199" s="113">
        <v>1.1307265900000001</v>
      </c>
      <c r="W199" s="71">
        <v>2.9369147</v>
      </c>
      <c r="X199" s="71">
        <v>4.5701323299999999</v>
      </c>
      <c r="Y199" s="71">
        <v>5.9973687</v>
      </c>
      <c r="Z199" s="114">
        <v>7.7876560900000005</v>
      </c>
    </row>
    <row r="200" spans="2:26" x14ac:dyDescent="0.35">
      <c r="B200" s="54" t="s">
        <v>146</v>
      </c>
      <c r="C200" s="52" t="s">
        <v>232</v>
      </c>
      <c r="D200" s="52" t="s">
        <v>69</v>
      </c>
      <c r="E200" s="52" t="s">
        <v>128</v>
      </c>
      <c r="F200" s="72">
        <v>2.4278288599766162E-2</v>
      </c>
      <c r="G200" s="70">
        <v>3.1479946241122894E-2</v>
      </c>
      <c r="H200" s="70">
        <v>3.671354123487517E-2</v>
      </c>
      <c r="I200" s="70">
        <v>4.0300761372461413E-2</v>
      </c>
      <c r="J200" s="62">
        <v>4.4294344198578771E-2</v>
      </c>
      <c r="K200" s="70" t="s">
        <v>21</v>
      </c>
      <c r="L200" s="70">
        <v>3.8762637411228931E-3</v>
      </c>
      <c r="M200" s="70">
        <v>8.6020132348751735E-3</v>
      </c>
      <c r="N200" s="70">
        <v>1.1397034972461405E-2</v>
      </c>
      <c r="O200" s="62">
        <v>1.4135946198578771E-2</v>
      </c>
      <c r="P200" s="54" t="s">
        <v>530</v>
      </c>
      <c r="Q200" s="52" t="s">
        <v>531</v>
      </c>
      <c r="R200" s="93" t="s">
        <v>32</v>
      </c>
      <c r="S200" s="70">
        <v>3.4758980000000002E-2</v>
      </c>
      <c r="T200" s="62">
        <v>1.9545612348751684E-3</v>
      </c>
      <c r="V200" s="113">
        <v>1.1309836799999999</v>
      </c>
      <c r="W200" s="71">
        <v>2.9359827299999997</v>
      </c>
      <c r="X200" s="71">
        <v>4.5691866000000001</v>
      </c>
      <c r="Y200" s="71">
        <v>6.0010463600000001</v>
      </c>
      <c r="Z200" s="114">
        <v>7.811488129999999</v>
      </c>
    </row>
    <row r="201" spans="2:26" x14ac:dyDescent="0.35">
      <c r="B201" s="54" t="s">
        <v>325</v>
      </c>
      <c r="C201" s="52" t="s">
        <v>232</v>
      </c>
      <c r="D201" s="52" t="s">
        <v>167</v>
      </c>
      <c r="E201" s="52" t="s">
        <v>81</v>
      </c>
      <c r="F201" s="72">
        <v>2.3897399000713269E-2</v>
      </c>
      <c r="G201" s="70">
        <v>3.1132222925177616E-2</v>
      </c>
      <c r="H201" s="70">
        <v>3.6639803379719518E-2</v>
      </c>
      <c r="I201" s="70">
        <v>4.1257929360735225E-2</v>
      </c>
      <c r="J201" s="62">
        <v>4.4884756384359133E-2</v>
      </c>
      <c r="K201" s="70" t="s">
        <v>21</v>
      </c>
      <c r="L201" s="70">
        <v>3.5238481251776174E-3</v>
      </c>
      <c r="M201" s="70">
        <v>8.5137680797195223E-3</v>
      </c>
      <c r="N201" s="70">
        <v>1.2299590760735226E-2</v>
      </c>
      <c r="O201" s="62">
        <v>1.4695716084359132E-2</v>
      </c>
      <c r="P201" s="54" t="s">
        <v>379</v>
      </c>
      <c r="Q201" s="52" t="s">
        <v>380</v>
      </c>
      <c r="R201" s="93">
        <v>47588</v>
      </c>
      <c r="S201" s="70">
        <v>3.5294940000000004E-2</v>
      </c>
      <c r="T201" s="62">
        <v>1.3448633797195145E-3</v>
      </c>
      <c r="V201" s="113">
        <v>1.1307654300000001</v>
      </c>
      <c r="W201" s="71">
        <v>2.9349568499999998</v>
      </c>
      <c r="X201" s="71">
        <v>4.5633320400000006</v>
      </c>
      <c r="Y201" s="71">
        <v>5.9717071500000003</v>
      </c>
      <c r="Z201" s="114">
        <v>7.7447485699999996</v>
      </c>
    </row>
    <row r="202" spans="2:26" x14ac:dyDescent="0.35">
      <c r="B202" s="54" t="s">
        <v>354</v>
      </c>
      <c r="C202" s="52" t="s">
        <v>232</v>
      </c>
      <c r="D202" s="52" t="s">
        <v>20</v>
      </c>
      <c r="E202" s="52" t="s">
        <v>21</v>
      </c>
      <c r="F202" s="72">
        <v>2.4612259895979649E-2</v>
      </c>
      <c r="G202" s="70">
        <v>3.173468483988983E-2</v>
      </c>
      <c r="H202" s="70">
        <v>3.6280755034438866E-2</v>
      </c>
      <c r="I202" s="70">
        <v>3.9346461634619141E-2</v>
      </c>
      <c r="J202" s="62">
        <v>4.257591318351104E-2</v>
      </c>
      <c r="K202" s="70" t="s">
        <v>21</v>
      </c>
      <c r="L202" s="70">
        <v>4.1003632398898381E-3</v>
      </c>
      <c r="M202" s="70">
        <v>8.1632548344388687E-3</v>
      </c>
      <c r="N202" s="70">
        <v>1.045663063461914E-2</v>
      </c>
      <c r="O202" s="62">
        <v>1.2454638383511038E-2</v>
      </c>
      <c r="P202" s="54" t="s">
        <v>393</v>
      </c>
      <c r="Q202" s="52" t="s">
        <v>394</v>
      </c>
      <c r="R202" s="93" t="s">
        <v>32</v>
      </c>
      <c r="S202" s="70">
        <v>3.3580140000000001E-2</v>
      </c>
      <c r="T202" s="62">
        <v>2.7006150344388649E-3</v>
      </c>
      <c r="V202" s="113">
        <v>1.1294393200000001</v>
      </c>
      <c r="W202" s="71">
        <v>2.9293539900000001</v>
      </c>
      <c r="X202" s="71">
        <v>4.5606326199999998</v>
      </c>
      <c r="Y202" s="71">
        <v>5.9981712600000003</v>
      </c>
      <c r="Z202" s="114">
        <v>7.8434822200000003</v>
      </c>
    </row>
    <row r="203" spans="2:26" x14ac:dyDescent="0.35">
      <c r="B203" s="54" t="s">
        <v>336</v>
      </c>
      <c r="C203" s="52" t="s">
        <v>232</v>
      </c>
      <c r="D203" s="52" t="s">
        <v>69</v>
      </c>
      <c r="E203" s="52" t="s">
        <v>128</v>
      </c>
      <c r="F203" s="72">
        <v>2.4349550872748916E-2</v>
      </c>
      <c r="G203" s="70">
        <v>3.1543766482660975E-2</v>
      </c>
      <c r="H203" s="70">
        <v>3.6152315247676849E-2</v>
      </c>
      <c r="I203" s="70">
        <v>3.951351312298039E-2</v>
      </c>
      <c r="J203" s="62">
        <v>4.3549932951189883E-2</v>
      </c>
      <c r="K203" s="70" t="s">
        <v>21</v>
      </c>
      <c r="L203" s="70">
        <v>3.9372337826609777E-3</v>
      </c>
      <c r="M203" s="70">
        <v>8.0597112476768432E-3</v>
      </c>
      <c r="N203" s="70">
        <v>1.0637871322980389E-2</v>
      </c>
      <c r="O203" s="62">
        <v>1.341440155118988E-2</v>
      </c>
      <c r="P203" s="54" t="s">
        <v>21</v>
      </c>
      <c r="Q203" s="52" t="s">
        <v>21</v>
      </c>
      <c r="R203" s="93" t="s">
        <v>21</v>
      </c>
      <c r="S203" s="70" t="s">
        <v>21</v>
      </c>
      <c r="T203" s="62" t="s">
        <v>21</v>
      </c>
      <c r="V203" s="113">
        <v>1.1308596400000002</v>
      </c>
      <c r="W203" s="71">
        <v>2.9353546100000001</v>
      </c>
      <c r="X203" s="71">
        <v>4.5743516</v>
      </c>
      <c r="Y203" s="71">
        <v>6.0192603800000004</v>
      </c>
      <c r="Z203" s="114">
        <v>7.8526787499999999</v>
      </c>
    </row>
    <row r="204" spans="2:26" x14ac:dyDescent="0.35">
      <c r="B204" s="54" t="s">
        <v>348</v>
      </c>
      <c r="C204" s="52" t="s">
        <v>232</v>
      </c>
      <c r="D204" s="52" t="s">
        <v>20</v>
      </c>
      <c r="E204" s="52" t="s">
        <v>532</v>
      </c>
      <c r="F204" s="72">
        <v>2.4016708562726394E-2</v>
      </c>
      <c r="G204" s="70">
        <v>3.0854893466104885E-2</v>
      </c>
      <c r="H204" s="70">
        <v>3.5846673625905726E-2</v>
      </c>
      <c r="I204" s="70">
        <v>3.9398843527742672E-2</v>
      </c>
      <c r="J204" s="62">
        <v>4.2565043684761078E-2</v>
      </c>
      <c r="K204" s="70" t="s">
        <v>21</v>
      </c>
      <c r="L204" s="70">
        <v>3.2548540661048895E-3</v>
      </c>
      <c r="M204" s="70">
        <v>7.7474748259057317E-3</v>
      </c>
      <c r="N204" s="70">
        <v>1.050942542774267E-2</v>
      </c>
      <c r="O204" s="62">
        <v>1.2451115084761079E-2</v>
      </c>
      <c r="P204" s="54" t="s">
        <v>387</v>
      </c>
      <c r="Q204" s="52" t="s">
        <v>388</v>
      </c>
      <c r="R204" s="93">
        <v>47529</v>
      </c>
      <c r="S204" s="70">
        <v>3.4313570000000002E-2</v>
      </c>
      <c r="T204" s="62">
        <v>1.533103625905724E-3</v>
      </c>
      <c r="V204" s="113">
        <v>1.1305343299999999</v>
      </c>
      <c r="W204" s="71">
        <v>2.9364350400000001</v>
      </c>
      <c r="X204" s="71">
        <v>4.5744038200000006</v>
      </c>
      <c r="Y204" s="71">
        <v>6.0140509900000003</v>
      </c>
      <c r="Z204" s="114">
        <v>7.8538199099999995</v>
      </c>
    </row>
    <row r="205" spans="2:26" x14ac:dyDescent="0.35">
      <c r="B205" s="54" t="s">
        <v>251</v>
      </c>
      <c r="C205" s="52" t="s">
        <v>232</v>
      </c>
      <c r="D205" s="52" t="s">
        <v>53</v>
      </c>
      <c r="E205" s="52" t="s">
        <v>125</v>
      </c>
      <c r="F205" s="72">
        <v>2.4095576537280412E-2</v>
      </c>
      <c r="G205" s="70">
        <v>3.1013371490098134E-2</v>
      </c>
      <c r="H205" s="70">
        <v>3.5685517044791643E-2</v>
      </c>
      <c r="I205" s="70">
        <v>3.8960885554277951E-2</v>
      </c>
      <c r="J205" s="62">
        <v>4.2612591887111986E-2</v>
      </c>
      <c r="K205" s="70" t="s">
        <v>21</v>
      </c>
      <c r="L205" s="70">
        <v>3.4248470900981346E-3</v>
      </c>
      <c r="M205" s="70">
        <v>7.6090690447916396E-3</v>
      </c>
      <c r="N205" s="70">
        <v>1.0105649054277958E-2</v>
      </c>
      <c r="O205" s="62">
        <v>1.250948198711198E-2</v>
      </c>
      <c r="P205" s="54" t="s">
        <v>533</v>
      </c>
      <c r="Q205" s="52" t="s">
        <v>534</v>
      </c>
      <c r="R205" s="93" t="s">
        <v>32</v>
      </c>
      <c r="S205" s="70">
        <v>3.6684750000000002E-2</v>
      </c>
      <c r="T205" s="62">
        <v>-9.9923295520835953E-4</v>
      </c>
      <c r="V205" s="113">
        <v>1.13134337</v>
      </c>
      <c r="W205" s="71">
        <v>2.9400106299999997</v>
      </c>
      <c r="X205" s="71">
        <v>4.5850532800000003</v>
      </c>
      <c r="Y205" s="71">
        <v>6.0387358600000001</v>
      </c>
      <c r="Z205" s="114">
        <v>7.89745776</v>
      </c>
    </row>
    <row r="206" spans="2:26" x14ac:dyDescent="0.35">
      <c r="B206" s="54" t="s">
        <v>143</v>
      </c>
      <c r="C206" s="52" t="s">
        <v>232</v>
      </c>
      <c r="D206" s="52" t="s">
        <v>20</v>
      </c>
      <c r="E206" s="52" t="s">
        <v>57</v>
      </c>
      <c r="F206" s="72">
        <v>2.4148408954140561E-2</v>
      </c>
      <c r="G206" s="70">
        <v>3.0835492005606736E-2</v>
      </c>
      <c r="H206" s="70">
        <v>3.5667121307316405E-2</v>
      </c>
      <c r="I206" s="70">
        <v>3.8908410940575698E-2</v>
      </c>
      <c r="J206" s="62">
        <v>4.2566504865283183E-2</v>
      </c>
      <c r="K206" s="70" t="s">
        <v>21</v>
      </c>
      <c r="L206" s="70">
        <v>3.2378913056067345E-3</v>
      </c>
      <c r="M206" s="70">
        <v>7.5755082073164087E-3</v>
      </c>
      <c r="N206" s="70">
        <v>1.0039464140575695E-2</v>
      </c>
      <c r="O206" s="62">
        <v>1.2451808665283184E-2</v>
      </c>
      <c r="P206" s="54" t="s">
        <v>535</v>
      </c>
      <c r="Q206" s="52" t="s">
        <v>536</v>
      </c>
      <c r="R206" s="93">
        <v>47498</v>
      </c>
      <c r="S206" s="70">
        <v>3.4564930000000001E-2</v>
      </c>
      <c r="T206" s="62">
        <v>1.1021913073164039E-3</v>
      </c>
      <c r="V206" s="113">
        <v>1.1302341199999999</v>
      </c>
      <c r="W206" s="71">
        <v>2.9358993900000003</v>
      </c>
      <c r="X206" s="71">
        <v>4.57568705</v>
      </c>
      <c r="Y206" s="71">
        <v>6.0202189500000003</v>
      </c>
      <c r="Z206" s="114">
        <v>7.8640245499999999</v>
      </c>
    </row>
    <row r="207" spans="2:26" x14ac:dyDescent="0.35">
      <c r="B207" s="54" t="s">
        <v>257</v>
      </c>
      <c r="C207" s="52" t="s">
        <v>232</v>
      </c>
      <c r="D207" s="52" t="s">
        <v>69</v>
      </c>
      <c r="E207" s="52" t="s">
        <v>21</v>
      </c>
      <c r="F207" s="72">
        <v>2.447227393087691E-2</v>
      </c>
      <c r="G207" s="70">
        <v>3.1051474750166196E-2</v>
      </c>
      <c r="H207" s="70">
        <v>3.5624799930740032E-2</v>
      </c>
      <c r="I207" s="70">
        <v>3.867181983694775E-2</v>
      </c>
      <c r="J207" s="62">
        <v>4.1995714977458402E-2</v>
      </c>
      <c r="K207" s="70" t="s">
        <v>21</v>
      </c>
      <c r="L207" s="70">
        <v>3.4602470501661989E-3</v>
      </c>
      <c r="M207" s="70">
        <v>7.5492696307400383E-3</v>
      </c>
      <c r="N207" s="70">
        <v>9.825596536947756E-3</v>
      </c>
      <c r="O207" s="62">
        <v>1.1910454477458395E-2</v>
      </c>
      <c r="P207" s="54" t="s">
        <v>537</v>
      </c>
      <c r="Q207" s="52" t="s">
        <v>538</v>
      </c>
      <c r="R207" s="93" t="s">
        <v>32</v>
      </c>
      <c r="S207" s="70">
        <v>2.8465280000000003E-2</v>
      </c>
      <c r="T207" s="62">
        <v>7.1595199307400298E-3</v>
      </c>
      <c r="V207" s="113">
        <v>1.1306432199999998</v>
      </c>
      <c r="W207" s="71">
        <v>2.9386812899999999</v>
      </c>
      <c r="X207" s="71">
        <v>4.5842577499999999</v>
      </c>
      <c r="Y207" s="71">
        <v>6.0426322800000003</v>
      </c>
      <c r="Z207" s="114">
        <v>7.9192739999999997</v>
      </c>
    </row>
    <row r="208" spans="2:26" x14ac:dyDescent="0.35">
      <c r="B208" s="54" t="s">
        <v>252</v>
      </c>
      <c r="C208" s="52" t="s">
        <v>232</v>
      </c>
      <c r="D208" s="52" t="s">
        <v>20</v>
      </c>
      <c r="E208" s="52" t="s">
        <v>21</v>
      </c>
      <c r="F208" s="72">
        <v>2.4383119063330478E-2</v>
      </c>
      <c r="G208" s="70">
        <v>3.1701079263474902E-2</v>
      </c>
      <c r="H208" s="70">
        <v>3.5561992138283656E-2</v>
      </c>
      <c r="I208" s="70">
        <v>3.8058316096385367E-2</v>
      </c>
      <c r="J208" s="62">
        <v>4.1777567865402071E-2</v>
      </c>
      <c r="K208" s="70" t="s">
        <v>21</v>
      </c>
      <c r="L208" s="70">
        <v>4.0681772634749017E-3</v>
      </c>
      <c r="M208" s="70">
        <v>7.4696107382836597E-3</v>
      </c>
      <c r="N208" s="70">
        <v>9.2135609963853692E-3</v>
      </c>
      <c r="O208" s="62">
        <v>1.1674485265402075E-2</v>
      </c>
      <c r="P208" s="54" t="s">
        <v>539</v>
      </c>
      <c r="Q208" s="52" t="s">
        <v>540</v>
      </c>
      <c r="R208" s="93">
        <v>47545</v>
      </c>
      <c r="S208" s="70">
        <v>3.1726919999999999E-2</v>
      </c>
      <c r="T208" s="62">
        <v>3.8350721382836572E-3</v>
      </c>
      <c r="V208" s="113">
        <v>1.12990287</v>
      </c>
      <c r="W208" s="71">
        <v>2.9294392999999999</v>
      </c>
      <c r="X208" s="71">
        <v>4.5683912600000003</v>
      </c>
      <c r="Y208" s="71">
        <v>6.0285856899999999</v>
      </c>
      <c r="Z208" s="114">
        <v>7.9071909700000003</v>
      </c>
    </row>
    <row r="209" spans="2:26" x14ac:dyDescent="0.35">
      <c r="B209" s="54" t="s">
        <v>153</v>
      </c>
      <c r="C209" s="52" t="s">
        <v>232</v>
      </c>
      <c r="D209" s="52" t="s">
        <v>20</v>
      </c>
      <c r="E209" s="52" t="s">
        <v>133</v>
      </c>
      <c r="F209" s="72">
        <v>2.3575679901806521E-2</v>
      </c>
      <c r="G209" s="70">
        <v>3.0415414406503836E-2</v>
      </c>
      <c r="H209" s="70">
        <v>3.5535878963594274E-2</v>
      </c>
      <c r="I209" s="70">
        <v>3.9075824878679943E-2</v>
      </c>
      <c r="J209" s="62">
        <v>4.2321767322871622E-2</v>
      </c>
      <c r="K209" s="70" t="s">
        <v>21</v>
      </c>
      <c r="L209" s="70">
        <v>2.8313998065038377E-3</v>
      </c>
      <c r="M209" s="70">
        <v>7.4487295635942748E-3</v>
      </c>
      <c r="N209" s="70">
        <v>1.0200417378679952E-2</v>
      </c>
      <c r="O209" s="62">
        <v>1.2217168022871625E-2</v>
      </c>
      <c r="P209" s="54" t="s">
        <v>541</v>
      </c>
      <c r="Q209" s="52" t="s">
        <v>542</v>
      </c>
      <c r="R209" s="93">
        <v>47529</v>
      </c>
      <c r="S209" s="70">
        <v>3.4616799999999996E-2</v>
      </c>
      <c r="T209" s="62">
        <v>9.1907896359427754E-4</v>
      </c>
      <c r="V209" s="113">
        <v>1.13136528</v>
      </c>
      <c r="W209" s="71">
        <v>2.9411006799999999</v>
      </c>
      <c r="X209" s="71">
        <v>4.5821591600000007</v>
      </c>
      <c r="Y209" s="71">
        <v>6.0244318200000002</v>
      </c>
      <c r="Z209" s="114">
        <v>7.8715944899999997</v>
      </c>
    </row>
    <row r="210" spans="2:26" x14ac:dyDescent="0.35">
      <c r="B210" s="54" t="s">
        <v>343</v>
      </c>
      <c r="C210" s="52" t="s">
        <v>232</v>
      </c>
      <c r="D210" s="52" t="s">
        <v>31</v>
      </c>
      <c r="E210" s="52" t="s">
        <v>21</v>
      </c>
      <c r="F210" s="72">
        <v>2.4493861485142775E-2</v>
      </c>
      <c r="G210" s="70">
        <v>3.0846816646689233E-2</v>
      </c>
      <c r="H210" s="70">
        <v>3.547342461247642E-2</v>
      </c>
      <c r="I210" s="70">
        <v>3.8658901240956445E-2</v>
      </c>
      <c r="J210" s="62">
        <v>4.2118400478312348E-2</v>
      </c>
      <c r="K210" s="70" t="s">
        <v>21</v>
      </c>
      <c r="L210" s="70">
        <v>3.2653950466892379E-3</v>
      </c>
      <c r="M210" s="70">
        <v>7.4050008124764291E-3</v>
      </c>
      <c r="N210" s="70">
        <v>9.8148081409564422E-3</v>
      </c>
      <c r="O210" s="62">
        <v>1.2031152878312348E-2</v>
      </c>
      <c r="P210" s="54" t="s">
        <v>21</v>
      </c>
      <c r="Q210" s="52" t="s">
        <v>21</v>
      </c>
      <c r="R210" s="93" t="s">
        <v>21</v>
      </c>
      <c r="S210" s="70" t="s">
        <v>21</v>
      </c>
      <c r="T210" s="62" t="s">
        <v>21</v>
      </c>
      <c r="V210" s="113">
        <v>1.13053548</v>
      </c>
      <c r="W210" s="71">
        <v>2.93925868</v>
      </c>
      <c r="X210" s="71">
        <v>4.58699675</v>
      </c>
      <c r="Y210" s="71">
        <v>6.04561496</v>
      </c>
      <c r="Z210" s="114">
        <v>7.91828866</v>
      </c>
    </row>
    <row r="211" spans="2:26" x14ac:dyDescent="0.35">
      <c r="B211" s="54" t="s">
        <v>357</v>
      </c>
      <c r="C211" s="52" t="s">
        <v>232</v>
      </c>
      <c r="D211" s="52" t="s">
        <v>20</v>
      </c>
      <c r="E211" s="52" t="s">
        <v>21</v>
      </c>
      <c r="F211" s="72">
        <v>2.4016650182521457E-2</v>
      </c>
      <c r="G211" s="70">
        <v>3.0782002790392653E-2</v>
      </c>
      <c r="H211" s="70">
        <v>3.5378235228990654E-2</v>
      </c>
      <c r="I211" s="70">
        <v>3.8446674531866155E-2</v>
      </c>
      <c r="J211" s="62">
        <v>4.1717398125674182E-2</v>
      </c>
      <c r="K211" s="70" t="s">
        <v>21</v>
      </c>
      <c r="L211" s="70">
        <v>3.1837189903926541E-3</v>
      </c>
      <c r="M211" s="70">
        <v>7.2944352289906547E-3</v>
      </c>
      <c r="N211" s="70">
        <v>9.5914561318661655E-3</v>
      </c>
      <c r="O211" s="62">
        <v>1.1627073225674182E-2</v>
      </c>
      <c r="P211" s="54" t="s">
        <v>21</v>
      </c>
      <c r="Q211" s="52" t="s">
        <v>21</v>
      </c>
      <c r="R211" s="93" t="s">
        <v>21</v>
      </c>
      <c r="S211" s="70" t="s">
        <v>21</v>
      </c>
      <c r="T211" s="62" t="s">
        <v>21</v>
      </c>
      <c r="V211" s="113">
        <v>1.1305410599999999</v>
      </c>
      <c r="W211" s="71">
        <v>2.9358751000000001</v>
      </c>
      <c r="X211" s="71">
        <v>4.5790241900000002</v>
      </c>
      <c r="Y211" s="71">
        <v>6.0316747199999998</v>
      </c>
      <c r="Z211" s="114">
        <v>7.8987622200000001</v>
      </c>
    </row>
    <row r="212" spans="2:26" x14ac:dyDescent="0.35">
      <c r="B212" s="54" t="s">
        <v>360</v>
      </c>
      <c r="C212" s="52" t="s">
        <v>232</v>
      </c>
      <c r="D212" s="52" t="s">
        <v>20</v>
      </c>
      <c r="E212" s="52" t="s">
        <v>543</v>
      </c>
      <c r="F212" s="72">
        <v>2.4110536447690109E-2</v>
      </c>
      <c r="G212" s="70">
        <v>3.076854250178521E-2</v>
      </c>
      <c r="H212" s="70">
        <v>3.5377425194128669E-2</v>
      </c>
      <c r="I212" s="70">
        <v>3.8427578630261652E-2</v>
      </c>
      <c r="J212" s="62">
        <v>4.1819001630260449E-2</v>
      </c>
      <c r="K212" s="70" t="s">
        <v>21</v>
      </c>
      <c r="L212" s="70">
        <v>3.1708852017852036E-3</v>
      </c>
      <c r="M212" s="70">
        <v>7.2937790941286721E-3</v>
      </c>
      <c r="N212" s="70">
        <v>9.5733096302616522E-3</v>
      </c>
      <c r="O212" s="62">
        <v>1.172544483026045E-2</v>
      </c>
      <c r="P212" s="54" t="s">
        <v>21</v>
      </c>
      <c r="Q212" s="52" t="s">
        <v>21</v>
      </c>
      <c r="R212" s="93" t="s">
        <v>21</v>
      </c>
      <c r="S212" s="70" t="s">
        <v>21</v>
      </c>
      <c r="T212" s="62" t="s">
        <v>21</v>
      </c>
      <c r="V212" s="113">
        <v>1.13035895</v>
      </c>
      <c r="W212" s="71">
        <v>2.9361866600000002</v>
      </c>
      <c r="X212" s="71">
        <v>4.5794890600000002</v>
      </c>
      <c r="Y212" s="71">
        <v>6.0320347500000002</v>
      </c>
      <c r="Z212" s="114">
        <v>7.8965541000000004</v>
      </c>
    </row>
    <row r="213" spans="2:26" x14ac:dyDescent="0.35">
      <c r="B213" s="54" t="s">
        <v>258</v>
      </c>
      <c r="C213" s="52" t="s">
        <v>232</v>
      </c>
      <c r="D213" s="52" t="s">
        <v>31</v>
      </c>
      <c r="E213" s="52" t="s">
        <v>21</v>
      </c>
      <c r="F213" s="72">
        <v>2.4171768982450378E-2</v>
      </c>
      <c r="G213" s="70">
        <v>3.0776777763719152E-2</v>
      </c>
      <c r="H213" s="70">
        <v>3.5374199986146763E-2</v>
      </c>
      <c r="I213" s="70">
        <v>3.8266640254410011E-2</v>
      </c>
      <c r="J213" s="62">
        <v>4.1095251313961072E-2</v>
      </c>
      <c r="K213" s="70" t="s">
        <v>21</v>
      </c>
      <c r="L213" s="70">
        <v>3.196530263719158E-3</v>
      </c>
      <c r="M213" s="70">
        <v>7.3083744861467629E-3</v>
      </c>
      <c r="N213" s="70">
        <v>9.435723554410011E-3</v>
      </c>
      <c r="O213" s="62">
        <v>1.1038989813961076E-2</v>
      </c>
      <c r="P213" s="54" t="s">
        <v>544</v>
      </c>
      <c r="Q213" s="52" t="s">
        <v>545</v>
      </c>
      <c r="R213" s="93">
        <v>47517</v>
      </c>
      <c r="S213" s="70">
        <v>3.3535379999999997E-2</v>
      </c>
      <c r="T213" s="62">
        <v>1.8388199861467669E-3</v>
      </c>
      <c r="V213" s="113">
        <v>1.13118312</v>
      </c>
      <c r="W213" s="71">
        <v>2.9408886700000001</v>
      </c>
      <c r="X213" s="71">
        <v>4.5898018399999998</v>
      </c>
      <c r="Y213" s="71">
        <v>6.0543039399999996</v>
      </c>
      <c r="Z213" s="114">
        <v>7.9549047499999999</v>
      </c>
    </row>
    <row r="214" spans="2:26" x14ac:dyDescent="0.35">
      <c r="B214" s="54" t="s">
        <v>344</v>
      </c>
      <c r="C214" s="52" t="s">
        <v>232</v>
      </c>
      <c r="D214" s="52" t="s">
        <v>97</v>
      </c>
      <c r="E214" s="52" t="s">
        <v>225</v>
      </c>
      <c r="F214" s="72">
        <v>2.3929711672369548E-2</v>
      </c>
      <c r="G214" s="70">
        <v>3.0958528529531647E-2</v>
      </c>
      <c r="H214" s="70">
        <v>3.5326870838108697E-2</v>
      </c>
      <c r="I214" s="70">
        <v>3.8612609516660588E-2</v>
      </c>
      <c r="J214" s="62">
        <v>4.1973867393419684E-2</v>
      </c>
      <c r="K214" s="70" t="s">
        <v>21</v>
      </c>
      <c r="L214" s="70">
        <v>3.3718933295316398E-3</v>
      </c>
      <c r="M214" s="70">
        <v>7.2623294381087E-3</v>
      </c>
      <c r="N214" s="70">
        <v>9.7692318166605965E-3</v>
      </c>
      <c r="O214" s="62">
        <v>1.1890977093419686E-2</v>
      </c>
      <c r="P214" s="54" t="s">
        <v>21</v>
      </c>
      <c r="Q214" s="52" t="s">
        <v>21</v>
      </c>
      <c r="R214" s="93" t="s">
        <v>21</v>
      </c>
      <c r="S214" s="70" t="s">
        <v>21</v>
      </c>
      <c r="T214" s="62" t="s">
        <v>21</v>
      </c>
      <c r="V214" s="113">
        <v>1.1316638400000001</v>
      </c>
      <c r="W214" s="71">
        <v>2.9405809000000001</v>
      </c>
      <c r="X214" s="71">
        <v>4.5895425699999999</v>
      </c>
      <c r="Y214" s="71">
        <v>6.0492803100000003</v>
      </c>
      <c r="Z214" s="114">
        <v>7.9255502699999996</v>
      </c>
    </row>
    <row r="215" spans="2:26" x14ac:dyDescent="0.35">
      <c r="B215" s="54" t="s">
        <v>353</v>
      </c>
      <c r="C215" s="52" t="s">
        <v>232</v>
      </c>
      <c r="D215" s="52" t="s">
        <v>31</v>
      </c>
      <c r="E215" s="52" t="s">
        <v>546</v>
      </c>
      <c r="F215" s="72">
        <v>2.3875390637688568E-2</v>
      </c>
      <c r="G215" s="70">
        <v>3.0737111991379629E-2</v>
      </c>
      <c r="H215" s="70">
        <v>3.532460218066312E-2</v>
      </c>
      <c r="I215" s="70">
        <v>3.8462685740138412E-2</v>
      </c>
      <c r="J215" s="62">
        <v>4.1966810708959162E-2</v>
      </c>
      <c r="K215" s="70" t="s">
        <v>21</v>
      </c>
      <c r="L215" s="70">
        <v>3.1579270913796339E-3</v>
      </c>
      <c r="M215" s="70">
        <v>7.2603400806631226E-3</v>
      </c>
      <c r="N215" s="70">
        <v>9.6250178401384133E-3</v>
      </c>
      <c r="O215" s="62">
        <v>1.1883963008959161E-2</v>
      </c>
      <c r="P215" s="54" t="s">
        <v>21</v>
      </c>
      <c r="Q215" s="52" t="s">
        <v>21</v>
      </c>
      <c r="R215" s="93" t="s">
        <v>21</v>
      </c>
      <c r="S215" s="70" t="s">
        <v>21</v>
      </c>
      <c r="T215" s="62" t="s">
        <v>21</v>
      </c>
      <c r="V215" s="113">
        <v>1.1317634700000001</v>
      </c>
      <c r="W215" s="71">
        <v>2.9421922700000001</v>
      </c>
      <c r="X215" s="71">
        <v>4.5916720499999997</v>
      </c>
      <c r="Y215" s="71">
        <v>6.0533797799999993</v>
      </c>
      <c r="Z215" s="114">
        <v>7.9307106300000001</v>
      </c>
    </row>
    <row r="216" spans="2:26" x14ac:dyDescent="0.35">
      <c r="B216" s="54" t="s">
        <v>361</v>
      </c>
      <c r="C216" s="52" t="s">
        <v>232</v>
      </c>
      <c r="D216" s="52" t="s">
        <v>304</v>
      </c>
      <c r="E216" s="52" t="s">
        <v>21</v>
      </c>
      <c r="F216" s="72">
        <v>2.4037706585251405E-2</v>
      </c>
      <c r="G216" s="70">
        <v>3.0771244740625866E-2</v>
      </c>
      <c r="H216" s="70">
        <v>3.5273893522021385E-2</v>
      </c>
      <c r="I216" s="70">
        <v>3.8266622281399119E-2</v>
      </c>
      <c r="J216" s="62">
        <v>4.1336250903912519E-2</v>
      </c>
      <c r="K216" s="70" t="s">
        <v>21</v>
      </c>
      <c r="L216" s="70">
        <v>3.1903866406258617E-3</v>
      </c>
      <c r="M216" s="70">
        <v>7.2108348220213808E-3</v>
      </c>
      <c r="N216" s="70">
        <v>9.4351772813991187E-3</v>
      </c>
      <c r="O216" s="62">
        <v>1.1272278603912516E-2</v>
      </c>
      <c r="P216" s="54" t="s">
        <v>21</v>
      </c>
      <c r="Q216" s="52" t="s">
        <v>21</v>
      </c>
      <c r="R216" s="93" t="s">
        <v>21</v>
      </c>
      <c r="S216" s="70" t="s">
        <v>21</v>
      </c>
      <c r="T216" s="62" t="s">
        <v>21</v>
      </c>
      <c r="V216" s="113">
        <v>1.13145984</v>
      </c>
      <c r="W216" s="71">
        <v>2.9414305299999999</v>
      </c>
      <c r="X216" s="71">
        <v>4.5914107500000005</v>
      </c>
      <c r="Y216" s="71">
        <v>6.0561934400000004</v>
      </c>
      <c r="Z216" s="114">
        <v>7.9506112500000006</v>
      </c>
    </row>
    <row r="217" spans="2:26" x14ac:dyDescent="0.35">
      <c r="B217" s="54" t="s">
        <v>346</v>
      </c>
      <c r="C217" s="52" t="s">
        <v>232</v>
      </c>
      <c r="D217" s="52" t="s">
        <v>97</v>
      </c>
      <c r="E217" s="52" t="s">
        <v>21</v>
      </c>
      <c r="F217" s="72">
        <v>2.4043674136558207E-2</v>
      </c>
      <c r="G217" s="70">
        <v>3.0781002356631195E-2</v>
      </c>
      <c r="H217" s="70">
        <v>3.5273386867218086E-2</v>
      </c>
      <c r="I217" s="70">
        <v>3.8118950226940986E-2</v>
      </c>
      <c r="J217" s="62">
        <v>4.1717663311241451E-2</v>
      </c>
      <c r="K217" s="70" t="s">
        <v>21</v>
      </c>
      <c r="L217" s="70">
        <v>3.2000908566311996E-3</v>
      </c>
      <c r="M217" s="70">
        <v>7.2105240672180951E-3</v>
      </c>
      <c r="N217" s="70">
        <v>9.2926999269409873E-3</v>
      </c>
      <c r="O217" s="62">
        <v>1.1640466911241446E-2</v>
      </c>
      <c r="P217" s="54" t="s">
        <v>21</v>
      </c>
      <c r="Q217" s="52" t="s">
        <v>21</v>
      </c>
      <c r="R217" s="93" t="s">
        <v>21</v>
      </c>
      <c r="S217" s="70" t="s">
        <v>21</v>
      </c>
      <c r="T217" s="62" t="s">
        <v>21</v>
      </c>
      <c r="V217" s="113">
        <v>1.1314428600000002</v>
      </c>
      <c r="W217" s="71">
        <v>2.94133405</v>
      </c>
      <c r="X217" s="71">
        <v>4.5912925200000005</v>
      </c>
      <c r="Y217" s="71">
        <v>6.05822971</v>
      </c>
      <c r="Z217" s="114">
        <v>7.9444576099999997</v>
      </c>
    </row>
    <row r="218" spans="2:26" x14ac:dyDescent="0.35">
      <c r="B218" s="54" t="s">
        <v>250</v>
      </c>
      <c r="C218" s="52" t="s">
        <v>232</v>
      </c>
      <c r="D218" s="52" t="s">
        <v>43</v>
      </c>
      <c r="E218" s="52" t="s">
        <v>123</v>
      </c>
      <c r="F218" s="72">
        <v>2.4143824273598912E-2</v>
      </c>
      <c r="G218" s="70">
        <v>3.0729022078965995E-2</v>
      </c>
      <c r="H218" s="70">
        <v>3.5218986784516564E-2</v>
      </c>
      <c r="I218" s="70">
        <v>3.8410353967655103E-2</v>
      </c>
      <c r="J218" s="62">
        <v>4.1962683912842587E-2</v>
      </c>
      <c r="K218" s="70" t="s">
        <v>21</v>
      </c>
      <c r="L218" s="70">
        <v>3.1507352789659944E-3</v>
      </c>
      <c r="M218" s="70">
        <v>7.1585135845165741E-3</v>
      </c>
      <c r="N218" s="70">
        <v>9.5744916676551006E-3</v>
      </c>
      <c r="O218" s="62">
        <v>1.1879805712842591E-2</v>
      </c>
      <c r="P218" s="54" t="s">
        <v>21</v>
      </c>
      <c r="Q218" s="52" t="s">
        <v>21</v>
      </c>
      <c r="R218" s="93" t="s">
        <v>21</v>
      </c>
      <c r="S218" s="70" t="s">
        <v>21</v>
      </c>
      <c r="T218" s="62" t="s">
        <v>21</v>
      </c>
      <c r="V218" s="113">
        <v>1.13122864</v>
      </c>
      <c r="W218" s="71">
        <v>2.9412757200000001</v>
      </c>
      <c r="X218" s="71">
        <v>4.5919276099999999</v>
      </c>
      <c r="Y218" s="71">
        <v>6.05474288</v>
      </c>
      <c r="Z218" s="114">
        <v>7.9324180599999998</v>
      </c>
    </row>
    <row r="219" spans="2:26" x14ac:dyDescent="0.35">
      <c r="B219" s="54" t="s">
        <v>259</v>
      </c>
      <c r="C219" s="52" t="s">
        <v>232</v>
      </c>
      <c r="D219" s="52" t="s">
        <v>31</v>
      </c>
      <c r="E219" s="52" t="s">
        <v>36</v>
      </c>
      <c r="F219" s="72">
        <v>2.415069595921028E-2</v>
      </c>
      <c r="G219" s="70">
        <v>3.0724829489278349E-2</v>
      </c>
      <c r="H219" s="70">
        <v>3.5171177133817462E-2</v>
      </c>
      <c r="I219" s="70">
        <v>3.8117736914763875E-2</v>
      </c>
      <c r="J219" s="62">
        <v>4.1571734905154818E-2</v>
      </c>
      <c r="K219" s="70" t="s">
        <v>21</v>
      </c>
      <c r="L219" s="70">
        <v>3.144982789278352E-3</v>
      </c>
      <c r="M219" s="70">
        <v>7.1110777338174707E-3</v>
      </c>
      <c r="N219" s="70">
        <v>9.290918514763883E-3</v>
      </c>
      <c r="O219" s="62">
        <v>1.149913280515482E-2</v>
      </c>
      <c r="P219" s="54" t="s">
        <v>547</v>
      </c>
      <c r="Q219" s="52" t="s">
        <v>548</v>
      </c>
      <c r="R219" s="93">
        <v>47660</v>
      </c>
      <c r="S219" s="70">
        <v>3.3705189999999996E-2</v>
      </c>
      <c r="T219" s="62">
        <v>1.465987133817466E-3</v>
      </c>
      <c r="V219" s="113">
        <v>1.1312502900000001</v>
      </c>
      <c r="W219" s="71">
        <v>2.9413592499999996</v>
      </c>
      <c r="X219" s="71">
        <v>4.5925653899999999</v>
      </c>
      <c r="Y219" s="71">
        <v>6.0598092299999999</v>
      </c>
      <c r="Z219" s="114">
        <v>7.9493934200000007</v>
      </c>
    </row>
    <row r="220" spans="2:26" x14ac:dyDescent="0.35">
      <c r="B220" s="54" t="s">
        <v>248</v>
      </c>
      <c r="C220" s="52" t="s">
        <v>232</v>
      </c>
      <c r="D220" s="52" t="s">
        <v>97</v>
      </c>
      <c r="E220" s="52" t="s">
        <v>159</v>
      </c>
      <c r="F220" s="72">
        <v>2.4199242462301495E-2</v>
      </c>
      <c r="G220" s="70">
        <v>3.0743184981449709E-2</v>
      </c>
      <c r="H220" s="70">
        <v>3.5170139406503015E-2</v>
      </c>
      <c r="I220" s="70">
        <v>3.806799240223737E-2</v>
      </c>
      <c r="J220" s="62">
        <v>4.1522043850024871E-2</v>
      </c>
      <c r="K220" s="70" t="s">
        <v>21</v>
      </c>
      <c r="L220" s="70">
        <v>3.1631778814497128E-3</v>
      </c>
      <c r="M220" s="70">
        <v>7.1103564065030204E-3</v>
      </c>
      <c r="N220" s="70">
        <v>9.2430519022373668E-3</v>
      </c>
      <c r="O220" s="62">
        <v>1.1450826450024869E-2</v>
      </c>
      <c r="P220" s="54" t="s">
        <v>549</v>
      </c>
      <c r="Q220" s="52" t="s">
        <v>550</v>
      </c>
      <c r="R220" s="93">
        <v>47551</v>
      </c>
      <c r="S220" s="70">
        <v>3.184331E-2</v>
      </c>
      <c r="T220" s="62">
        <v>3.3268294065030152E-3</v>
      </c>
      <c r="V220" s="113">
        <v>1.1311471199999998</v>
      </c>
      <c r="W220" s="71">
        <v>2.9410502000000003</v>
      </c>
      <c r="X220" s="71">
        <v>4.5922243800000002</v>
      </c>
      <c r="Y220" s="71">
        <v>6.0602130999999995</v>
      </c>
      <c r="Z220" s="114">
        <v>7.9514499399999998</v>
      </c>
    </row>
    <row r="221" spans="2:26" x14ac:dyDescent="0.35">
      <c r="B221" s="54" t="s">
        <v>245</v>
      </c>
      <c r="C221" s="52" t="s">
        <v>232</v>
      </c>
      <c r="D221" s="52" t="s">
        <v>20</v>
      </c>
      <c r="E221" s="52" t="s">
        <v>21</v>
      </c>
      <c r="F221" s="72">
        <v>2.4044315829827016E-2</v>
      </c>
      <c r="G221" s="70">
        <v>3.0742933833521748E-2</v>
      </c>
      <c r="H221" s="70">
        <v>3.5046868342428886E-2</v>
      </c>
      <c r="I221" s="70">
        <v>3.8041724164744765E-2</v>
      </c>
      <c r="J221" s="62">
        <v>4.1309335068297592E-2</v>
      </c>
      <c r="K221" s="70" t="s">
        <v>21</v>
      </c>
      <c r="L221" s="70">
        <v>3.1464364335217479E-3</v>
      </c>
      <c r="M221" s="70">
        <v>6.9747361424288912E-3</v>
      </c>
      <c r="N221" s="70">
        <v>9.2012899647447646E-3</v>
      </c>
      <c r="O221" s="62">
        <v>1.1231799268297588E-2</v>
      </c>
      <c r="P221" s="54" t="s">
        <v>246</v>
      </c>
      <c r="Q221" s="52" t="s">
        <v>247</v>
      </c>
      <c r="R221" s="93">
        <v>47543</v>
      </c>
      <c r="S221" s="70">
        <v>3.267929E-2</v>
      </c>
      <c r="T221" s="62">
        <v>2.367578342428886E-3</v>
      </c>
      <c r="V221" s="113">
        <v>1.13049069</v>
      </c>
      <c r="W221" s="71">
        <v>2.9370288200000001</v>
      </c>
      <c r="X221" s="71">
        <v>4.58330211</v>
      </c>
      <c r="Y221" s="71">
        <v>6.0430584899999999</v>
      </c>
      <c r="Z221" s="114">
        <v>7.9232755899999994</v>
      </c>
    </row>
    <row r="222" spans="2:26" x14ac:dyDescent="0.35">
      <c r="B222" s="54" t="s">
        <v>350</v>
      </c>
      <c r="C222" s="52" t="s">
        <v>232</v>
      </c>
      <c r="D222" s="52" t="s">
        <v>20</v>
      </c>
      <c r="E222" s="52" t="s">
        <v>21</v>
      </c>
      <c r="F222" s="72">
        <v>2.3681957395092559E-2</v>
      </c>
      <c r="G222" s="70">
        <v>3.033444508565292E-2</v>
      </c>
      <c r="H222" s="70">
        <v>3.4957938459026901E-2</v>
      </c>
      <c r="I222" s="70">
        <v>3.7958623979798892E-2</v>
      </c>
      <c r="J222" s="62">
        <v>4.0860562134494245E-2</v>
      </c>
      <c r="K222" s="70" t="s">
        <v>21</v>
      </c>
      <c r="L222" s="70">
        <v>2.7534568856529139E-3</v>
      </c>
      <c r="M222" s="70">
        <v>6.8901848590269058E-3</v>
      </c>
      <c r="N222" s="70">
        <v>9.1222032797988895E-3</v>
      </c>
      <c r="O222" s="62">
        <v>1.0798417834494246E-2</v>
      </c>
      <c r="P222" s="54" t="s">
        <v>391</v>
      </c>
      <c r="Q222" s="52" t="s">
        <v>392</v>
      </c>
      <c r="R222" s="93">
        <v>47802</v>
      </c>
      <c r="S222" s="70">
        <v>3.382785E-2</v>
      </c>
      <c r="T222" s="62">
        <v>1.1300884590269011E-3</v>
      </c>
      <c r="V222" s="113">
        <v>1.1311580400000001</v>
      </c>
      <c r="W222" s="71">
        <v>2.94050097</v>
      </c>
      <c r="X222" s="71">
        <v>4.5883320799999998</v>
      </c>
      <c r="Y222" s="71">
        <v>6.0488548599999996</v>
      </c>
      <c r="Z222" s="114">
        <v>7.9398231499999996</v>
      </c>
    </row>
    <row r="223" spans="2:26" x14ac:dyDescent="0.35">
      <c r="B223" s="54" t="s">
        <v>254</v>
      </c>
      <c r="C223" s="52" t="s">
        <v>232</v>
      </c>
      <c r="D223" s="52" t="s">
        <v>255</v>
      </c>
      <c r="E223" s="52" t="s">
        <v>103</v>
      </c>
      <c r="F223" s="72">
        <v>2.4122255976432215E-2</v>
      </c>
      <c r="G223" s="70">
        <v>3.0384422119220898E-2</v>
      </c>
      <c r="H223" s="70">
        <v>3.4755242078390626E-2</v>
      </c>
      <c r="I223" s="70">
        <v>3.7860856394871557E-2</v>
      </c>
      <c r="J223" s="62">
        <v>4.1312409282057434E-2</v>
      </c>
      <c r="K223" s="70" t="s">
        <v>21</v>
      </c>
      <c r="L223" s="70">
        <v>2.8164245192209047E-3</v>
      </c>
      <c r="M223" s="70">
        <v>6.7091088783906277E-3</v>
      </c>
      <c r="N223" s="70">
        <v>9.0429527948715539E-3</v>
      </c>
      <c r="O223" s="62">
        <v>1.1248470882057424E-2</v>
      </c>
      <c r="P223" s="54" t="s">
        <v>551</v>
      </c>
      <c r="Q223" s="52" t="s">
        <v>552</v>
      </c>
      <c r="R223" s="93" t="s">
        <v>32</v>
      </c>
      <c r="S223" s="70">
        <v>3.2300280000000001E-2</v>
      </c>
      <c r="T223" s="62">
        <v>2.4549620783906254E-3</v>
      </c>
      <c r="V223" s="113">
        <v>1.1312847100000001</v>
      </c>
      <c r="W223" s="71">
        <v>2.9436184500000002</v>
      </c>
      <c r="X223" s="71">
        <v>4.5999954799999996</v>
      </c>
      <c r="Y223" s="71">
        <v>6.0718945400000006</v>
      </c>
      <c r="Z223" s="114">
        <v>7.9685711599999998</v>
      </c>
    </row>
    <row r="224" spans="2:26" x14ac:dyDescent="0.35">
      <c r="B224" s="54" t="s">
        <v>156</v>
      </c>
      <c r="C224" s="52" t="s">
        <v>232</v>
      </c>
      <c r="D224" s="52" t="s">
        <v>31</v>
      </c>
      <c r="E224" s="52" t="s">
        <v>553</v>
      </c>
      <c r="F224" s="72">
        <v>2.3794180530561305E-2</v>
      </c>
      <c r="G224" s="70">
        <v>3.0266190979804739E-2</v>
      </c>
      <c r="H224" s="70">
        <v>3.4707275684048071E-2</v>
      </c>
      <c r="I224" s="70">
        <v>3.7714021269405373E-2</v>
      </c>
      <c r="J224" s="62">
        <v>4.1163468402299258E-2</v>
      </c>
      <c r="K224" s="70" t="s">
        <v>21</v>
      </c>
      <c r="L224" s="70">
        <v>2.7007959798047354E-3</v>
      </c>
      <c r="M224" s="70">
        <v>6.6619781840480769E-3</v>
      </c>
      <c r="N224" s="70">
        <v>8.900689169405375E-3</v>
      </c>
      <c r="O224" s="62">
        <v>1.1103550502299253E-2</v>
      </c>
      <c r="P224" s="54" t="s">
        <v>21</v>
      </c>
      <c r="Q224" s="52" t="s">
        <v>21</v>
      </c>
      <c r="R224" s="93" t="s">
        <v>21</v>
      </c>
      <c r="S224" s="70" t="s">
        <v>21</v>
      </c>
      <c r="T224" s="62" t="s">
        <v>21</v>
      </c>
      <c r="V224" s="113">
        <v>1.1319456800000001</v>
      </c>
      <c r="W224" s="71">
        <v>2.9455884299999999</v>
      </c>
      <c r="X224" s="71">
        <v>4.6027159700000002</v>
      </c>
      <c r="Y224" s="71">
        <v>6.0767547200000003</v>
      </c>
      <c r="Z224" s="114">
        <v>7.9779788399999996</v>
      </c>
    </row>
    <row r="225" spans="2:26" x14ac:dyDescent="0.35">
      <c r="B225" s="54" t="s">
        <v>148</v>
      </c>
      <c r="C225" s="52" t="s">
        <v>232</v>
      </c>
      <c r="D225" s="52" t="s">
        <v>97</v>
      </c>
      <c r="E225" s="52" t="s">
        <v>345</v>
      </c>
      <c r="F225" s="72">
        <v>2.368764257140292E-2</v>
      </c>
      <c r="G225" s="70">
        <v>3.0423446557813399E-2</v>
      </c>
      <c r="H225" s="70">
        <v>3.4656209533279032E-2</v>
      </c>
      <c r="I225" s="70">
        <v>3.776337433750334E-2</v>
      </c>
      <c r="J225" s="62">
        <v>4.1309475096553319E-2</v>
      </c>
      <c r="K225" s="70" t="s">
        <v>21</v>
      </c>
      <c r="L225" s="70">
        <v>2.8537734578134026E-3</v>
      </c>
      <c r="M225" s="70">
        <v>6.6130264332790387E-3</v>
      </c>
      <c r="N225" s="70">
        <v>8.9485556375033387E-3</v>
      </c>
      <c r="O225" s="62">
        <v>1.1245320696553322E-2</v>
      </c>
      <c r="P225" s="54" t="s">
        <v>554</v>
      </c>
      <c r="Q225" s="52" t="s">
        <v>555</v>
      </c>
      <c r="R225" s="93" t="s">
        <v>32</v>
      </c>
      <c r="S225" s="70">
        <v>3.5675400000000003E-2</v>
      </c>
      <c r="T225" s="62">
        <v>-1.0191904667209706E-3</v>
      </c>
      <c r="V225" s="113">
        <v>1.13213874</v>
      </c>
      <c r="W225" s="71">
        <v>2.9449080700000003</v>
      </c>
      <c r="X225" s="71">
        <v>4.6021779299999999</v>
      </c>
      <c r="Y225" s="71">
        <v>6.0757536700000001</v>
      </c>
      <c r="Z225" s="114">
        <v>7.9730054699999995</v>
      </c>
    </row>
    <row r="226" spans="2:26" x14ac:dyDescent="0.35">
      <c r="B226" s="54" t="s">
        <v>352</v>
      </c>
      <c r="C226" s="52" t="s">
        <v>232</v>
      </c>
      <c r="D226" s="52" t="s">
        <v>20</v>
      </c>
      <c r="E226" s="52" t="s">
        <v>21</v>
      </c>
      <c r="F226" s="72">
        <v>2.3539465933134569E-2</v>
      </c>
      <c r="G226" s="70">
        <v>3.0227681531900648E-2</v>
      </c>
      <c r="H226" s="70">
        <v>3.4653636257522102E-2</v>
      </c>
      <c r="I226" s="70">
        <v>3.7957330791870247E-2</v>
      </c>
      <c r="J226" s="62">
        <v>4.1201036599806187E-2</v>
      </c>
      <c r="K226" s="70" t="s">
        <v>21</v>
      </c>
      <c r="L226" s="70">
        <v>2.6460317319006404E-3</v>
      </c>
      <c r="M226" s="70">
        <v>6.5929765575221018E-3</v>
      </c>
      <c r="N226" s="70">
        <v>9.1185686918702387E-3</v>
      </c>
      <c r="O226" s="62">
        <v>1.112752679980618E-2</v>
      </c>
      <c r="P226" s="54" t="s">
        <v>21</v>
      </c>
      <c r="Q226" s="52" t="s">
        <v>21</v>
      </c>
      <c r="R226" s="93" t="s">
        <v>21</v>
      </c>
      <c r="S226" s="70" t="s">
        <v>21</v>
      </c>
      <c r="T226" s="62" t="s">
        <v>21</v>
      </c>
      <c r="V226" s="113">
        <v>1.1315043499999999</v>
      </c>
      <c r="W226" s="71">
        <v>2.9424981999999997</v>
      </c>
      <c r="X226" s="71">
        <v>4.5943764600000003</v>
      </c>
      <c r="Y226" s="71">
        <v>6.0553925</v>
      </c>
      <c r="Z226" s="114">
        <v>7.9365190200000004</v>
      </c>
    </row>
    <row r="227" spans="2:26" x14ac:dyDescent="0.35">
      <c r="B227" s="54" t="s">
        <v>373</v>
      </c>
      <c r="C227" s="52" t="s">
        <v>232</v>
      </c>
      <c r="D227" s="52" t="s">
        <v>69</v>
      </c>
      <c r="E227" s="52" t="s">
        <v>21</v>
      </c>
      <c r="F227" s="72">
        <v>2.3824967326453665E-2</v>
      </c>
      <c r="G227" s="70">
        <v>3.0336308766379497E-2</v>
      </c>
      <c r="H227" s="70">
        <v>3.4602165108702787E-2</v>
      </c>
      <c r="I227" s="70">
        <v>3.7267935116235044E-2</v>
      </c>
      <c r="J227" s="62">
        <v>4.0084758460938612E-2</v>
      </c>
      <c r="K227" s="70" t="s">
        <v>21</v>
      </c>
      <c r="L227" s="70">
        <v>2.7699089663794974E-3</v>
      </c>
      <c r="M227" s="70">
        <v>6.5609841087027922E-3</v>
      </c>
      <c r="N227" s="70">
        <v>8.4696215162350548E-3</v>
      </c>
      <c r="O227" s="62">
        <v>1.0055335760938606E-2</v>
      </c>
      <c r="P227" s="54" t="s">
        <v>21</v>
      </c>
      <c r="Q227" s="52" t="s">
        <v>21</v>
      </c>
      <c r="R227" s="93" t="s">
        <v>21</v>
      </c>
      <c r="S227" s="70" t="s">
        <v>21</v>
      </c>
      <c r="T227" s="62" t="s">
        <v>21</v>
      </c>
      <c r="V227" s="113">
        <v>1.1318607200000002</v>
      </c>
      <c r="W227" s="71">
        <v>2.9449675599999998</v>
      </c>
      <c r="X227" s="71">
        <v>4.6030269800000001</v>
      </c>
      <c r="Y227" s="71">
        <v>6.0839439100000003</v>
      </c>
      <c r="Z227" s="114">
        <v>8.0154180099999994</v>
      </c>
    </row>
    <row r="228" spans="2:26" x14ac:dyDescent="0.35">
      <c r="B228" s="54" t="s">
        <v>374</v>
      </c>
      <c r="C228" s="52" t="s">
        <v>232</v>
      </c>
      <c r="D228" s="52" t="s">
        <v>20</v>
      </c>
      <c r="E228" s="52" t="s">
        <v>556</v>
      </c>
      <c r="F228" s="72">
        <v>2.3114625776630371E-2</v>
      </c>
      <c r="G228" s="70">
        <v>2.9131374386372078E-2</v>
      </c>
      <c r="H228" s="70">
        <v>3.2671586891348151E-2</v>
      </c>
      <c r="I228" s="70">
        <v>3.5107277118601829E-2</v>
      </c>
      <c r="J228" s="62">
        <v>3.7651925929544527E-2</v>
      </c>
      <c r="K228" s="70" t="s">
        <v>21</v>
      </c>
      <c r="L228" s="70">
        <v>1.5863312863720856E-3</v>
      </c>
      <c r="M228" s="70">
        <v>4.6728555913481511E-3</v>
      </c>
      <c r="N228" s="70">
        <v>6.3578330186018208E-3</v>
      </c>
      <c r="O228" s="62">
        <v>7.6688668295445302E-3</v>
      </c>
      <c r="P228" s="54" t="s">
        <v>21</v>
      </c>
      <c r="Q228" s="52" t="s">
        <v>21</v>
      </c>
      <c r="R228" s="93" t="s">
        <v>21</v>
      </c>
      <c r="S228" s="70" t="s">
        <v>21</v>
      </c>
      <c r="T228" s="62" t="s">
        <v>21</v>
      </c>
      <c r="V228" s="113">
        <v>1.13227704</v>
      </c>
      <c r="W228" s="71">
        <v>2.9502352100000002</v>
      </c>
      <c r="X228" s="71">
        <v>4.6251820399999994</v>
      </c>
      <c r="Y228" s="71">
        <v>6.1344165200000003</v>
      </c>
      <c r="Z228" s="114">
        <v>8.12282145</v>
      </c>
    </row>
    <row r="229" spans="2:26" x14ac:dyDescent="0.35">
      <c r="B229" s="54" t="s">
        <v>157</v>
      </c>
      <c r="C229" s="52" t="s">
        <v>232</v>
      </c>
      <c r="D229" s="52" t="s">
        <v>31</v>
      </c>
      <c r="E229" s="52" t="s">
        <v>21</v>
      </c>
      <c r="F229" s="72">
        <v>2.4280995810150939E-2</v>
      </c>
      <c r="G229" s="70">
        <v>3.0432583915520027E-2</v>
      </c>
      <c r="H229" s="70">
        <v>3.4552025489095944E-2</v>
      </c>
      <c r="I229" s="70">
        <v>3.7417416054851591E-2</v>
      </c>
      <c r="J229" s="62">
        <v>4.0575789677515468E-2</v>
      </c>
      <c r="K229" s="70" t="s">
        <v>21</v>
      </c>
      <c r="L229" s="70">
        <v>2.8616022155200298E-3</v>
      </c>
      <c r="M229" s="70">
        <v>6.5112160890959461E-3</v>
      </c>
      <c r="N229" s="70">
        <v>8.6128663548515859E-3</v>
      </c>
      <c r="O229" s="62">
        <v>1.0531297877515474E-2</v>
      </c>
      <c r="P229" s="54" t="s">
        <v>21</v>
      </c>
      <c r="Q229" s="52" t="s">
        <v>21</v>
      </c>
      <c r="R229" s="93" t="s">
        <v>21</v>
      </c>
      <c r="S229" s="70" t="s">
        <v>21</v>
      </c>
      <c r="T229" s="62" t="s">
        <v>21</v>
      </c>
      <c r="V229" s="113">
        <v>1.13100691</v>
      </c>
      <c r="W229" s="71">
        <v>2.94282076</v>
      </c>
      <c r="X229" s="71">
        <v>4.6013033600000002</v>
      </c>
      <c r="Y229" s="71">
        <v>6.0803882400000004</v>
      </c>
      <c r="Z229" s="114">
        <v>7.9986244299999996</v>
      </c>
    </row>
    <row r="230" spans="2:26" x14ac:dyDescent="0.35">
      <c r="B230" s="54" t="s">
        <v>260</v>
      </c>
      <c r="C230" s="52" t="s">
        <v>232</v>
      </c>
      <c r="D230" s="52" t="s">
        <v>43</v>
      </c>
      <c r="E230" s="52" t="s">
        <v>21</v>
      </c>
      <c r="F230" s="72">
        <v>2.4101493720887834E-2</v>
      </c>
      <c r="G230" s="70">
        <v>3.062851917485121E-2</v>
      </c>
      <c r="H230" s="70">
        <v>3.4500130999903116E-2</v>
      </c>
      <c r="I230" s="70">
        <v>3.7120892294182306E-2</v>
      </c>
      <c r="J230" s="62">
        <v>4.0277885514764952E-2</v>
      </c>
      <c r="K230" s="70" t="s">
        <v>21</v>
      </c>
      <c r="L230" s="70">
        <v>3.0526481748512162E-3</v>
      </c>
      <c r="M230" s="70">
        <v>6.4619293999031175E-3</v>
      </c>
      <c r="N230" s="70">
        <v>8.3264796941823066E-3</v>
      </c>
      <c r="O230" s="62">
        <v>1.0240790914764953E-2</v>
      </c>
      <c r="P230" s="54" t="s">
        <v>21</v>
      </c>
      <c r="Q230" s="52" t="s">
        <v>21</v>
      </c>
      <c r="R230" s="93" t="s">
        <v>21</v>
      </c>
      <c r="S230" s="70" t="s">
        <v>21</v>
      </c>
      <c r="T230" s="62" t="s">
        <v>21</v>
      </c>
      <c r="V230" s="113">
        <v>1.1313275200000001</v>
      </c>
      <c r="W230" s="71">
        <v>2.9421134900000001</v>
      </c>
      <c r="X230" s="71">
        <v>4.6006288300000007</v>
      </c>
      <c r="Y230" s="71">
        <v>6.0843150100000001</v>
      </c>
      <c r="Z230" s="114">
        <v>8.0124409100000005</v>
      </c>
    </row>
    <row r="231" spans="2:26" x14ac:dyDescent="0.35">
      <c r="B231" s="54" t="s">
        <v>322</v>
      </c>
      <c r="C231" s="52" t="s">
        <v>232</v>
      </c>
      <c r="D231" s="52" t="s">
        <v>31</v>
      </c>
      <c r="E231" s="52" t="s">
        <v>256</v>
      </c>
      <c r="F231" s="72">
        <v>2.3623422201283828E-2</v>
      </c>
      <c r="G231" s="70">
        <v>3.0109582041154666E-2</v>
      </c>
      <c r="H231" s="70">
        <v>3.4398855555050761E-2</v>
      </c>
      <c r="I231" s="70">
        <v>3.8297115976365925E-2</v>
      </c>
      <c r="J231" s="62">
        <v>4.174824654809612E-2</v>
      </c>
      <c r="K231" s="70" t="s">
        <v>21</v>
      </c>
      <c r="L231" s="70">
        <v>2.5489445411546689E-3</v>
      </c>
      <c r="M231" s="70">
        <v>6.3631201550507577E-3</v>
      </c>
      <c r="N231" s="70">
        <v>9.4636903763659318E-3</v>
      </c>
      <c r="O231" s="62">
        <v>1.1674241548096122E-2</v>
      </c>
      <c r="P231" s="54" t="s">
        <v>21</v>
      </c>
      <c r="Q231" s="52" t="s">
        <v>21</v>
      </c>
      <c r="R231" s="93" t="s">
        <v>21</v>
      </c>
      <c r="S231" s="70" t="s">
        <v>21</v>
      </c>
      <c r="T231" s="62" t="s">
        <v>21</v>
      </c>
      <c r="V231" s="113">
        <v>1.1322806400000001</v>
      </c>
      <c r="W231" s="71">
        <v>2.9472110799999998</v>
      </c>
      <c r="X231" s="71">
        <v>4.6079544399999994</v>
      </c>
      <c r="Y231" s="71">
        <v>6.0742256499999998</v>
      </c>
      <c r="Z231" s="114">
        <v>7.9553435000000006</v>
      </c>
    </row>
    <row r="232" spans="2:26" x14ac:dyDescent="0.35">
      <c r="B232" s="54" t="s">
        <v>365</v>
      </c>
      <c r="C232" s="52" t="s">
        <v>232</v>
      </c>
      <c r="D232" s="52" t="s">
        <v>69</v>
      </c>
      <c r="E232" s="52" t="s">
        <v>21</v>
      </c>
      <c r="F232" s="72">
        <v>2.4200528368943257E-2</v>
      </c>
      <c r="G232" s="70">
        <v>3.0259903314282487E-2</v>
      </c>
      <c r="H232" s="70">
        <v>3.4342302139835752E-2</v>
      </c>
      <c r="I232" s="70">
        <v>3.7115003701563107E-2</v>
      </c>
      <c r="J232" s="62">
        <v>4.0076733509694165E-2</v>
      </c>
      <c r="K232" s="70" t="s">
        <v>21</v>
      </c>
      <c r="L232" s="70">
        <v>2.695758414282485E-3</v>
      </c>
      <c r="M232" s="70">
        <v>6.308953839835753E-3</v>
      </c>
      <c r="N232" s="70">
        <v>8.3208812015631052E-3</v>
      </c>
      <c r="O232" s="62">
        <v>1.0046637909694175E-2</v>
      </c>
      <c r="P232" s="54" t="s">
        <v>21</v>
      </c>
      <c r="Q232" s="52" t="s">
        <v>21</v>
      </c>
      <c r="R232" s="93" t="s">
        <v>21</v>
      </c>
      <c r="S232" s="70" t="s">
        <v>21</v>
      </c>
      <c r="T232" s="62" t="s">
        <v>21</v>
      </c>
      <c r="V232" s="113">
        <v>1.1311340300000001</v>
      </c>
      <c r="W232" s="71">
        <v>2.94415571</v>
      </c>
      <c r="X232" s="71">
        <v>4.6052236099999995</v>
      </c>
      <c r="Y232" s="71">
        <v>6.0891712899999995</v>
      </c>
      <c r="Z232" s="114">
        <v>8.0215737199999992</v>
      </c>
    </row>
    <row r="233" spans="2:26" x14ac:dyDescent="0.35">
      <c r="B233" s="54" t="s">
        <v>374</v>
      </c>
      <c r="C233" s="52" t="s">
        <v>232</v>
      </c>
      <c r="D233" s="52" t="s">
        <v>20</v>
      </c>
      <c r="E233" s="52" t="s">
        <v>249</v>
      </c>
      <c r="F233" s="72">
        <v>2.3114625776630371E-2</v>
      </c>
      <c r="G233" s="70">
        <v>2.9131374386372078E-2</v>
      </c>
      <c r="H233" s="70">
        <v>3.2671586891348151E-2</v>
      </c>
      <c r="I233" s="70">
        <v>3.5107277118601829E-2</v>
      </c>
      <c r="J233" s="62">
        <v>3.7651925929544527E-2</v>
      </c>
      <c r="K233" s="70" t="s">
        <v>21</v>
      </c>
      <c r="L233" s="70">
        <v>1.5863312863720856E-3</v>
      </c>
      <c r="M233" s="70">
        <v>4.6728555913481511E-3</v>
      </c>
      <c r="N233" s="70">
        <v>6.3578330186018208E-3</v>
      </c>
      <c r="O233" s="62">
        <v>7.6688668295445302E-3</v>
      </c>
      <c r="P233" s="54" t="s">
        <v>21</v>
      </c>
      <c r="Q233" s="52" t="s">
        <v>21</v>
      </c>
      <c r="R233" s="93" t="s">
        <v>21</v>
      </c>
      <c r="S233" s="70" t="s">
        <v>21</v>
      </c>
      <c r="T233" s="62" t="s">
        <v>21</v>
      </c>
      <c r="V233" s="113">
        <v>1.13227704</v>
      </c>
      <c r="W233" s="71">
        <v>2.9502352100000002</v>
      </c>
      <c r="X233" s="71">
        <v>4.6251820399999994</v>
      </c>
      <c r="Y233" s="71">
        <v>6.1344165200000003</v>
      </c>
      <c r="Z233" s="114">
        <v>8.12282145</v>
      </c>
    </row>
    <row r="234" spans="2:26" x14ac:dyDescent="0.35">
      <c r="B234" s="54" t="s">
        <v>357</v>
      </c>
      <c r="C234" s="52" t="s">
        <v>232</v>
      </c>
      <c r="D234" s="52" t="s">
        <v>20</v>
      </c>
      <c r="E234" s="52" t="s">
        <v>58</v>
      </c>
      <c r="F234" s="72">
        <v>2.4016650182521457E-2</v>
      </c>
      <c r="G234" s="70">
        <v>3.0782002790392653E-2</v>
      </c>
      <c r="H234" s="70">
        <v>3.5378235228990654E-2</v>
      </c>
      <c r="I234" s="70">
        <v>3.8446674531866155E-2</v>
      </c>
      <c r="J234" s="62">
        <v>4.1717398125674182E-2</v>
      </c>
      <c r="K234" s="70" t="s">
        <v>21</v>
      </c>
      <c r="L234" s="70">
        <v>3.1837189903926541E-3</v>
      </c>
      <c r="M234" s="70">
        <v>7.2944352289906547E-3</v>
      </c>
      <c r="N234" s="70">
        <v>9.5914561318661655E-3</v>
      </c>
      <c r="O234" s="62">
        <v>1.1627073225674182E-2</v>
      </c>
      <c r="P234" s="54" t="s">
        <v>21</v>
      </c>
      <c r="Q234" s="52" t="s">
        <v>21</v>
      </c>
      <c r="R234" s="93" t="s">
        <v>21</v>
      </c>
      <c r="S234" s="70" t="s">
        <v>21</v>
      </c>
      <c r="T234" s="62" t="s">
        <v>21</v>
      </c>
      <c r="V234" s="113">
        <v>1.1305410599999999</v>
      </c>
      <c r="W234" s="71">
        <v>2.9358751000000001</v>
      </c>
      <c r="X234" s="71">
        <v>4.5790241900000002</v>
      </c>
      <c r="Y234" s="71">
        <v>6.0316747199999998</v>
      </c>
      <c r="Z234" s="114">
        <v>7.8987622200000001</v>
      </c>
    </row>
    <row r="235" spans="2:26" x14ac:dyDescent="0.35">
      <c r="B235" s="54" t="s">
        <v>261</v>
      </c>
      <c r="C235" s="52" t="s">
        <v>232</v>
      </c>
      <c r="D235" s="52" t="s">
        <v>62</v>
      </c>
      <c r="E235" s="52" t="s">
        <v>128</v>
      </c>
      <c r="F235" s="72">
        <v>2.4211454798502719E-2</v>
      </c>
      <c r="G235" s="70">
        <v>3.0356525829852862E-2</v>
      </c>
      <c r="H235" s="70">
        <v>3.4239267814803798E-2</v>
      </c>
      <c r="I235" s="70">
        <v>3.6965995180974404E-2</v>
      </c>
      <c r="J235" s="62">
        <v>3.9877906005721338E-2</v>
      </c>
      <c r="K235" s="70" t="s">
        <v>21</v>
      </c>
      <c r="L235" s="70">
        <v>2.7896156298528574E-3</v>
      </c>
      <c r="M235" s="70">
        <v>6.2092691148037983E-3</v>
      </c>
      <c r="N235" s="70">
        <v>8.176457980974404E-3</v>
      </c>
      <c r="O235" s="62">
        <v>9.8526360057213346E-3</v>
      </c>
      <c r="P235" s="54" t="s">
        <v>557</v>
      </c>
      <c r="Q235" s="52" t="s">
        <v>558</v>
      </c>
      <c r="R235" s="93">
        <v>47649</v>
      </c>
      <c r="S235" s="70">
        <v>3.0699800000000003E-2</v>
      </c>
      <c r="T235" s="62">
        <v>3.5394678148037949E-3</v>
      </c>
      <c r="V235" s="113">
        <v>1.1311071400000001</v>
      </c>
      <c r="W235" s="71">
        <v>2.9434774199999998</v>
      </c>
      <c r="X235" s="71">
        <v>4.60541029</v>
      </c>
      <c r="Y235" s="71">
        <v>6.0919323300000006</v>
      </c>
      <c r="Z235" s="114">
        <v>8.0304182099999988</v>
      </c>
    </row>
    <row r="236" spans="2:26" x14ac:dyDescent="0.35">
      <c r="B236" s="54" t="s">
        <v>370</v>
      </c>
      <c r="C236" s="52" t="s">
        <v>232</v>
      </c>
      <c r="D236" s="52" t="s">
        <v>69</v>
      </c>
      <c r="E236" s="52" t="s">
        <v>21</v>
      </c>
      <c r="F236" s="72">
        <v>2.3678224497017175E-2</v>
      </c>
      <c r="G236" s="70">
        <v>3.0294896930340969E-2</v>
      </c>
      <c r="H236" s="70">
        <v>3.4191230357142409E-2</v>
      </c>
      <c r="I236" s="70">
        <v>3.716433515317584E-2</v>
      </c>
      <c r="J236" s="62">
        <v>4.036791256948153E-2</v>
      </c>
      <c r="K236" s="70" t="s">
        <v>21</v>
      </c>
      <c r="L236" s="70">
        <v>2.7296620303409748E-3</v>
      </c>
      <c r="M236" s="70">
        <v>6.1626790571424131E-3</v>
      </c>
      <c r="N236" s="70">
        <v>8.3686564531758427E-3</v>
      </c>
      <c r="O236" s="62">
        <v>1.0330193569481535E-2</v>
      </c>
      <c r="P236" s="54" t="s">
        <v>401</v>
      </c>
      <c r="Q236" s="52" t="s">
        <v>402</v>
      </c>
      <c r="R236" s="93">
        <v>47802</v>
      </c>
      <c r="S236" s="70">
        <v>3.4600939999999997E-2</v>
      </c>
      <c r="T236" s="62">
        <v>-4.0970964285758776E-4</v>
      </c>
      <c r="V236" s="113">
        <v>1.13214894</v>
      </c>
      <c r="W236" s="71">
        <v>2.9457572000000001</v>
      </c>
      <c r="X236" s="71">
        <v>4.6082579399999997</v>
      </c>
      <c r="Y236" s="71">
        <v>6.0918713000000002</v>
      </c>
      <c r="Z236" s="114">
        <v>8.0161894499999988</v>
      </c>
    </row>
    <row r="237" spans="2:26" x14ac:dyDescent="0.35">
      <c r="B237" s="54" t="s">
        <v>263</v>
      </c>
      <c r="C237" s="52" t="s">
        <v>232</v>
      </c>
      <c r="D237" s="52" t="s">
        <v>31</v>
      </c>
      <c r="E237" s="52" t="s">
        <v>21</v>
      </c>
      <c r="F237" s="72">
        <v>2.3961755655472244E-2</v>
      </c>
      <c r="G237" s="70">
        <v>3.0019091420437748E-2</v>
      </c>
      <c r="H237" s="70">
        <v>3.4187316537976881E-2</v>
      </c>
      <c r="I237" s="70">
        <v>3.7061858288698957E-2</v>
      </c>
      <c r="J237" s="62">
        <v>3.9729561064316854E-2</v>
      </c>
      <c r="K237" s="70" t="s">
        <v>21</v>
      </c>
      <c r="L237" s="70">
        <v>2.462595120437745E-3</v>
      </c>
      <c r="M237" s="70">
        <v>6.158868837976882E-3</v>
      </c>
      <c r="N237" s="70">
        <v>8.269675088698962E-3</v>
      </c>
      <c r="O237" s="62">
        <v>9.7103515643168509E-3</v>
      </c>
      <c r="P237" s="54" t="s">
        <v>21</v>
      </c>
      <c r="Q237" s="52" t="s">
        <v>21</v>
      </c>
      <c r="R237" s="93" t="s">
        <v>21</v>
      </c>
      <c r="S237" s="70" t="s">
        <v>21</v>
      </c>
      <c r="T237" s="62" t="s">
        <v>21</v>
      </c>
      <c r="V237" s="113">
        <v>1.1315946699999999</v>
      </c>
      <c r="W237" s="71">
        <v>2.94654836</v>
      </c>
      <c r="X237" s="71">
        <v>4.60978288</v>
      </c>
      <c r="Y237" s="71">
        <v>6.0947210800000002</v>
      </c>
      <c r="Z237" s="114">
        <v>8.0355012200000004</v>
      </c>
    </row>
    <row r="238" spans="2:26" x14ac:dyDescent="0.35">
      <c r="B238" s="54" t="s">
        <v>376</v>
      </c>
      <c r="C238" s="52" t="s">
        <v>232</v>
      </c>
      <c r="D238" s="52" t="s">
        <v>20</v>
      </c>
      <c r="E238" s="52" t="s">
        <v>21</v>
      </c>
      <c r="F238" s="72">
        <v>2.3345921299921479E-2</v>
      </c>
      <c r="G238" s="70">
        <v>2.9570319942394931E-2</v>
      </c>
      <c r="H238" s="70">
        <v>3.4123181875020378E-2</v>
      </c>
      <c r="I238" s="70">
        <v>3.6844652818547062E-2</v>
      </c>
      <c r="J238" s="62">
        <v>3.9790269722473605E-2</v>
      </c>
      <c r="K238" s="70" t="s">
        <v>21</v>
      </c>
      <c r="L238" s="70">
        <v>2.0106417423949321E-3</v>
      </c>
      <c r="M238" s="70">
        <v>6.0802431750203818E-3</v>
      </c>
      <c r="N238" s="70">
        <v>8.0441601185470626E-3</v>
      </c>
      <c r="O238" s="62">
        <v>9.7564690224736083E-3</v>
      </c>
      <c r="P238" s="54" t="s">
        <v>405</v>
      </c>
      <c r="Q238" s="52" t="s">
        <v>406</v>
      </c>
      <c r="R238" s="93">
        <v>47825</v>
      </c>
      <c r="S238" s="70">
        <v>3.4718300000000001E-2</v>
      </c>
      <c r="T238" s="62">
        <v>-5.9511812497962252E-4</v>
      </c>
      <c r="V238" s="113">
        <v>1.13184401</v>
      </c>
      <c r="W238" s="71">
        <v>2.9468671</v>
      </c>
      <c r="X238" s="71">
        <v>4.60550003</v>
      </c>
      <c r="Y238" s="71">
        <v>6.0827270799999997</v>
      </c>
      <c r="Z238" s="114">
        <v>8.0064093500000002</v>
      </c>
    </row>
    <row r="239" spans="2:26" x14ac:dyDescent="0.35">
      <c r="B239" s="54" t="s">
        <v>362</v>
      </c>
      <c r="C239" s="52" t="s">
        <v>232</v>
      </c>
      <c r="D239" s="52" t="s">
        <v>20</v>
      </c>
      <c r="E239" s="52" t="s">
        <v>21</v>
      </c>
      <c r="F239" s="72">
        <v>2.3371781230169249E-2</v>
      </c>
      <c r="G239" s="70">
        <v>3.003298963941884E-2</v>
      </c>
      <c r="H239" s="70">
        <v>3.4027977707806266E-2</v>
      </c>
      <c r="I239" s="70">
        <v>3.6514093709781106E-2</v>
      </c>
      <c r="J239" s="62">
        <v>3.9211121747766149E-2</v>
      </c>
      <c r="K239" s="70" t="s">
        <v>21</v>
      </c>
      <c r="L239" s="70">
        <v>2.4584170394188437E-3</v>
      </c>
      <c r="M239" s="70">
        <v>5.9877614078062665E-3</v>
      </c>
      <c r="N239" s="70">
        <v>7.7233494097811014E-3</v>
      </c>
      <c r="O239" s="62">
        <v>9.1936820477661468E-3</v>
      </c>
      <c r="P239" s="54" t="s">
        <v>21</v>
      </c>
      <c r="Q239" s="52" t="s">
        <v>21</v>
      </c>
      <c r="R239" s="93" t="s">
        <v>21</v>
      </c>
      <c r="S239" s="70" t="s">
        <v>21</v>
      </c>
      <c r="T239" s="62" t="s">
        <v>21</v>
      </c>
      <c r="V239" s="113">
        <v>1.1318042400000001</v>
      </c>
      <c r="W239" s="71">
        <v>2.9437957300000002</v>
      </c>
      <c r="X239" s="71">
        <v>4.6026244199999997</v>
      </c>
      <c r="Y239" s="71">
        <v>6.0852182999999993</v>
      </c>
      <c r="Z239" s="114">
        <v>8.0200204600000013</v>
      </c>
    </row>
    <row r="240" spans="2:26" x14ac:dyDescent="0.35">
      <c r="B240" s="54" t="s">
        <v>363</v>
      </c>
      <c r="C240" s="52" t="s">
        <v>232</v>
      </c>
      <c r="D240" s="52" t="s">
        <v>20</v>
      </c>
      <c r="E240" s="52" t="s">
        <v>21</v>
      </c>
      <c r="F240" s="72">
        <v>2.3314812804887043E-2</v>
      </c>
      <c r="G240" s="70">
        <v>2.9857081898690886E-2</v>
      </c>
      <c r="H240" s="70">
        <v>3.3995174347964785E-2</v>
      </c>
      <c r="I240" s="70">
        <v>3.696942132587959E-2</v>
      </c>
      <c r="J240" s="62">
        <v>4.0258393255509915E-2</v>
      </c>
      <c r="K240" s="70" t="s">
        <v>21</v>
      </c>
      <c r="L240" s="70">
        <v>2.2891568986908857E-3</v>
      </c>
      <c r="M240" s="70">
        <v>5.9566790479647835E-3</v>
      </c>
      <c r="N240" s="70">
        <v>8.1637488258795906E-3</v>
      </c>
      <c r="O240" s="62">
        <v>1.0210892955509913E-2</v>
      </c>
      <c r="P240" s="54" t="s">
        <v>21</v>
      </c>
      <c r="Q240" s="52" t="s">
        <v>21</v>
      </c>
      <c r="R240" s="93" t="s">
        <v>21</v>
      </c>
      <c r="S240" s="70" t="s">
        <v>21</v>
      </c>
      <c r="T240" s="62" t="s">
        <v>21</v>
      </c>
      <c r="V240" s="113">
        <v>1.13189271</v>
      </c>
      <c r="W240" s="71">
        <v>2.9450689900000002</v>
      </c>
      <c r="X240" s="71">
        <v>4.6049013799999994</v>
      </c>
      <c r="Y240" s="71">
        <v>6.0840559799999996</v>
      </c>
      <c r="Z240" s="114">
        <v>7.9949857900000003</v>
      </c>
    </row>
    <row r="241" spans="2:26" x14ac:dyDescent="0.35">
      <c r="B241" s="54" t="s">
        <v>366</v>
      </c>
      <c r="C241" s="52" t="s">
        <v>232</v>
      </c>
      <c r="D241" s="52" t="s">
        <v>20</v>
      </c>
      <c r="E241" s="52" t="s">
        <v>264</v>
      </c>
      <c r="F241" s="72">
        <v>2.3418233474801375E-2</v>
      </c>
      <c r="G241" s="70">
        <v>2.9903568137422957E-2</v>
      </c>
      <c r="H241" s="70">
        <v>3.3978838706183762E-2</v>
      </c>
      <c r="I241" s="70">
        <v>3.6960159621593547E-2</v>
      </c>
      <c r="J241" s="62">
        <v>4.041677853404009E-2</v>
      </c>
      <c r="K241" s="70" t="s">
        <v>21</v>
      </c>
      <c r="L241" s="70">
        <v>2.3334777374229647E-3</v>
      </c>
      <c r="M241" s="70">
        <v>5.9404132061837579E-3</v>
      </c>
      <c r="N241" s="70">
        <v>8.1548756215935516E-3</v>
      </c>
      <c r="O241" s="62">
        <v>1.0364478434040088E-2</v>
      </c>
      <c r="P241" s="54" t="s">
        <v>397</v>
      </c>
      <c r="Q241" s="52" t="s">
        <v>398</v>
      </c>
      <c r="R241" s="93">
        <v>47710</v>
      </c>
      <c r="S241" s="70">
        <v>3.5118070000000001E-2</v>
      </c>
      <c r="T241" s="62">
        <v>-1.1392312938162397E-3</v>
      </c>
      <c r="V241" s="113">
        <v>1.13172143</v>
      </c>
      <c r="W241" s="71">
        <v>2.9448399199999997</v>
      </c>
      <c r="X241" s="71">
        <v>4.6044782199999998</v>
      </c>
      <c r="Y241" s="71">
        <v>6.0819981900000002</v>
      </c>
      <c r="Z241" s="114">
        <v>7.9881820899999996</v>
      </c>
    </row>
    <row r="242" spans="2:26" x14ac:dyDescent="0.35">
      <c r="B242" s="54" t="s">
        <v>364</v>
      </c>
      <c r="C242" s="52" t="s">
        <v>232</v>
      </c>
      <c r="D242" s="52" t="s">
        <v>20</v>
      </c>
      <c r="E242" s="52" t="s">
        <v>112</v>
      </c>
      <c r="F242" s="72">
        <v>2.3461530111994242E-2</v>
      </c>
      <c r="G242" s="70">
        <v>2.9585550328758235E-2</v>
      </c>
      <c r="H242" s="70">
        <v>3.3974016084603979E-2</v>
      </c>
      <c r="I242" s="70">
        <v>3.6819708242332702E-2</v>
      </c>
      <c r="J242" s="62">
        <v>3.9872333804631621E-2</v>
      </c>
      <c r="K242" s="70" t="s">
        <v>21</v>
      </c>
      <c r="L242" s="70">
        <v>2.025664628758239E-3</v>
      </c>
      <c r="M242" s="70">
        <v>5.9357111846039846E-3</v>
      </c>
      <c r="N242" s="70">
        <v>8.0193809423327045E-3</v>
      </c>
      <c r="O242" s="62">
        <v>9.8364007046316208E-3</v>
      </c>
      <c r="P242" s="54" t="s">
        <v>395</v>
      </c>
      <c r="Q242" s="52" t="s">
        <v>396</v>
      </c>
      <c r="R242" s="93">
        <v>47708</v>
      </c>
      <c r="S242" s="70">
        <v>3.2166149999999998E-2</v>
      </c>
      <c r="T242" s="62">
        <v>1.8078660846039818E-3</v>
      </c>
      <c r="V242" s="113">
        <v>1.13163861</v>
      </c>
      <c r="W242" s="71">
        <v>2.94596583</v>
      </c>
      <c r="X242" s="71">
        <v>4.6071196600000004</v>
      </c>
      <c r="Y242" s="71">
        <v>6.0863691099999997</v>
      </c>
      <c r="Z242" s="114">
        <v>8.0067578599999987</v>
      </c>
    </row>
    <row r="243" spans="2:26" x14ac:dyDescent="0.35">
      <c r="B243" s="54" t="s">
        <v>355</v>
      </c>
      <c r="C243" s="52" t="s">
        <v>232</v>
      </c>
      <c r="D243" s="52" t="s">
        <v>20</v>
      </c>
      <c r="E243" s="52" t="s">
        <v>21</v>
      </c>
      <c r="F243" s="72">
        <v>2.3179786342249473E-2</v>
      </c>
      <c r="G243" s="70">
        <v>2.9550970198475166E-2</v>
      </c>
      <c r="H243" s="70">
        <v>3.3949681055595898E-2</v>
      </c>
      <c r="I243" s="70">
        <v>3.7320859030587961E-2</v>
      </c>
      <c r="J243" s="62">
        <v>4.0827066383455707E-2</v>
      </c>
      <c r="K243" s="70" t="s">
        <v>21</v>
      </c>
      <c r="L243" s="70">
        <v>1.9936729984751664E-3</v>
      </c>
      <c r="M243" s="70">
        <v>5.913331255595896E-3</v>
      </c>
      <c r="N243" s="70">
        <v>8.5052209305879565E-3</v>
      </c>
      <c r="O243" s="62">
        <v>1.0765726483455706E-2</v>
      </c>
      <c r="P243" s="54" t="s">
        <v>21</v>
      </c>
      <c r="Q243" s="52" t="s">
        <v>21</v>
      </c>
      <c r="R243" s="93" t="s">
        <v>21</v>
      </c>
      <c r="S243" s="70" t="s">
        <v>21</v>
      </c>
      <c r="T243" s="62" t="s">
        <v>21</v>
      </c>
      <c r="V243" s="113">
        <v>1.1321456999999999</v>
      </c>
      <c r="W243" s="71">
        <v>2.9475233699999999</v>
      </c>
      <c r="X243" s="71">
        <v>4.6086701000000003</v>
      </c>
      <c r="Y243" s="71">
        <v>6.0802370699999999</v>
      </c>
      <c r="Z243" s="114">
        <v>7.9737199900000002</v>
      </c>
    </row>
    <row r="244" spans="2:26" x14ac:dyDescent="0.35">
      <c r="B244" s="54" t="s">
        <v>358</v>
      </c>
      <c r="C244" s="52" t="s">
        <v>232</v>
      </c>
      <c r="D244" s="52" t="s">
        <v>20</v>
      </c>
      <c r="E244" s="52" t="s">
        <v>21</v>
      </c>
      <c r="F244" s="72">
        <v>2.3373582527389868E-2</v>
      </c>
      <c r="G244" s="70">
        <v>2.9742867110811227E-2</v>
      </c>
      <c r="H244" s="70">
        <v>3.390570348668763E-2</v>
      </c>
      <c r="I244" s="70">
        <v>3.7368346860857465E-2</v>
      </c>
      <c r="J244" s="62">
        <v>4.0936380129157103E-2</v>
      </c>
      <c r="K244" s="70" t="s">
        <v>21</v>
      </c>
      <c r="L244" s="70">
        <v>2.1778136108112313E-3</v>
      </c>
      <c r="M244" s="70">
        <v>5.8695503866876275E-3</v>
      </c>
      <c r="N244" s="70">
        <v>8.5491869608574685E-3</v>
      </c>
      <c r="O244" s="62">
        <v>1.0870421429157095E-2</v>
      </c>
      <c r="P244" s="54" t="s">
        <v>21</v>
      </c>
      <c r="Q244" s="52" t="s">
        <v>21</v>
      </c>
      <c r="R244" s="93" t="s">
        <v>21</v>
      </c>
      <c r="S244" s="70" t="s">
        <v>21</v>
      </c>
      <c r="T244" s="62" t="s">
        <v>21</v>
      </c>
      <c r="V244" s="113">
        <v>1.1317944099999999</v>
      </c>
      <c r="W244" s="71">
        <v>2.9459775700000002</v>
      </c>
      <c r="X244" s="71">
        <v>4.6065759900000005</v>
      </c>
      <c r="Y244" s="71">
        <v>6.0796066800000004</v>
      </c>
      <c r="Z244" s="114">
        <v>7.9698424299999999</v>
      </c>
    </row>
    <row r="245" spans="2:26" x14ac:dyDescent="0.35">
      <c r="B245" s="54" t="s">
        <v>262</v>
      </c>
      <c r="C245" s="52" t="s">
        <v>232</v>
      </c>
      <c r="D245" s="52" t="s">
        <v>97</v>
      </c>
      <c r="E245" s="52" t="s">
        <v>21</v>
      </c>
      <c r="F245" s="72">
        <v>2.3809949400556842E-2</v>
      </c>
      <c r="G245" s="70">
        <v>3.0097358421945573E-2</v>
      </c>
      <c r="H245" s="70">
        <v>3.3829895469468525E-2</v>
      </c>
      <c r="I245" s="70">
        <v>3.6466876759438736E-2</v>
      </c>
      <c r="J245" s="62">
        <v>3.9029707978536637E-2</v>
      </c>
      <c r="K245" s="70" t="s">
        <v>21</v>
      </c>
      <c r="L245" s="70">
        <v>2.5375668219455782E-3</v>
      </c>
      <c r="M245" s="70">
        <v>5.8116747694685229E-3</v>
      </c>
      <c r="N245" s="70">
        <v>7.6921927594387346E-3</v>
      </c>
      <c r="O245" s="62">
        <v>9.0261826785366372E-3</v>
      </c>
      <c r="P245" s="54" t="s">
        <v>559</v>
      </c>
      <c r="Q245" s="52" t="s">
        <v>560</v>
      </c>
      <c r="R245" s="93">
        <v>47648</v>
      </c>
      <c r="S245" s="70">
        <v>3.1153590000000002E-2</v>
      </c>
      <c r="T245" s="62">
        <v>2.6763054694685234E-3</v>
      </c>
      <c r="V245" s="113">
        <v>1.13190806</v>
      </c>
      <c r="W245" s="71">
        <v>2.9466139600000001</v>
      </c>
      <c r="X245" s="71">
        <v>4.6134632399999997</v>
      </c>
      <c r="Y245" s="71">
        <v>6.1082765600000002</v>
      </c>
      <c r="Z245" s="114">
        <v>8.0708493500000014</v>
      </c>
    </row>
    <row r="246" spans="2:26" x14ac:dyDescent="0.35">
      <c r="B246" s="54" t="s">
        <v>371</v>
      </c>
      <c r="C246" s="52" t="s">
        <v>232</v>
      </c>
      <c r="D246" s="52" t="s">
        <v>31</v>
      </c>
      <c r="E246" s="52" t="s">
        <v>289</v>
      </c>
      <c r="F246" s="72">
        <v>2.3889416845105246E-2</v>
      </c>
      <c r="G246" s="70">
        <v>2.9880915785321732E-2</v>
      </c>
      <c r="H246" s="70">
        <v>3.3723302306205488E-2</v>
      </c>
      <c r="I246" s="70">
        <v>3.6363274100162983E-2</v>
      </c>
      <c r="J246" s="62">
        <v>3.9219467613612537E-2</v>
      </c>
      <c r="K246" s="70" t="s">
        <v>21</v>
      </c>
      <c r="L246" s="70">
        <v>2.3285592853217363E-3</v>
      </c>
      <c r="M246" s="70">
        <v>5.7087045062054857E-3</v>
      </c>
      <c r="N246" s="70">
        <v>7.5921609001629812E-3</v>
      </c>
      <c r="O246" s="62">
        <v>9.2110160136125406E-3</v>
      </c>
      <c r="P246" s="54" t="s">
        <v>21</v>
      </c>
      <c r="Q246" s="52" t="s">
        <v>21</v>
      </c>
      <c r="R246" s="93" t="s">
        <v>21</v>
      </c>
      <c r="S246" s="70" t="s">
        <v>21</v>
      </c>
      <c r="T246" s="62" t="s">
        <v>21</v>
      </c>
      <c r="V246" s="113">
        <v>1.1317377099999999</v>
      </c>
      <c r="W246" s="71">
        <v>2.9477056699999999</v>
      </c>
      <c r="X246" s="71">
        <v>4.6161971099999999</v>
      </c>
      <c r="Y246" s="71">
        <v>6.1126750899999998</v>
      </c>
      <c r="Z246" s="114">
        <v>8.0708848900000003</v>
      </c>
    </row>
    <row r="247" spans="2:26" x14ac:dyDescent="0.35">
      <c r="B247" s="54" t="s">
        <v>147</v>
      </c>
      <c r="C247" s="52" t="s">
        <v>232</v>
      </c>
      <c r="D247" s="52" t="s">
        <v>20</v>
      </c>
      <c r="E247" s="52" t="s">
        <v>21</v>
      </c>
      <c r="F247" s="72">
        <v>2.3002770000257231E-2</v>
      </c>
      <c r="G247" s="70">
        <v>2.8980606666232374E-2</v>
      </c>
      <c r="H247" s="70">
        <v>3.3200814260680549E-2</v>
      </c>
      <c r="I247" s="70">
        <v>3.6444463956182872E-2</v>
      </c>
      <c r="J247" s="62">
        <v>3.9770161887515275E-2</v>
      </c>
      <c r="K247" s="70" t="s">
        <v>21</v>
      </c>
      <c r="L247" s="70">
        <v>1.4397244662323725E-3</v>
      </c>
      <c r="M247" s="70">
        <v>5.1865093606805546E-3</v>
      </c>
      <c r="N247" s="70">
        <v>7.6561563561828635E-3</v>
      </c>
      <c r="O247" s="62">
        <v>9.7382617875152733E-3</v>
      </c>
      <c r="P247" s="54" t="s">
        <v>561</v>
      </c>
      <c r="Q247" s="52" t="s">
        <v>562</v>
      </c>
      <c r="R247" s="93">
        <v>47515</v>
      </c>
      <c r="S247" s="70">
        <v>3.4164469999999995E-2</v>
      </c>
      <c r="T247" s="62">
        <v>-9.636557393194467E-4</v>
      </c>
      <c r="V247" s="113">
        <v>1.1325028699999999</v>
      </c>
      <c r="W247" s="71">
        <v>2.9519337999999999</v>
      </c>
      <c r="X247" s="71">
        <v>4.6218154999999994</v>
      </c>
      <c r="Y247" s="71">
        <v>6.1081955399999996</v>
      </c>
      <c r="Z247" s="114">
        <v>8.0319769099999991</v>
      </c>
    </row>
    <row r="248" spans="2:26" x14ac:dyDescent="0.35">
      <c r="B248" s="54" t="s">
        <v>372</v>
      </c>
      <c r="C248" s="52" t="s">
        <v>232</v>
      </c>
      <c r="D248" s="52" t="s">
        <v>20</v>
      </c>
      <c r="E248" s="52" t="s">
        <v>21</v>
      </c>
      <c r="F248" s="72">
        <v>2.3328609831273914E-2</v>
      </c>
      <c r="G248" s="70">
        <v>2.9434631660028111E-2</v>
      </c>
      <c r="H248" s="70">
        <v>3.3194056271456496E-2</v>
      </c>
      <c r="I248" s="70">
        <v>3.5667481988984763E-2</v>
      </c>
      <c r="J248" s="62">
        <v>3.8569739271678186E-2</v>
      </c>
      <c r="K248" s="70" t="s">
        <v>21</v>
      </c>
      <c r="L248" s="70">
        <v>1.8798914600281157E-3</v>
      </c>
      <c r="M248" s="70">
        <v>5.1798264714564939E-3</v>
      </c>
      <c r="N248" s="70">
        <v>6.90209968898476E-3</v>
      </c>
      <c r="O248" s="62">
        <v>8.5649186716781796E-3</v>
      </c>
      <c r="P248" s="54" t="s">
        <v>21</v>
      </c>
      <c r="Q248" s="52" t="s">
        <v>21</v>
      </c>
      <c r="R248" s="93" t="s">
        <v>21</v>
      </c>
      <c r="S248" s="70" t="s">
        <v>21</v>
      </c>
      <c r="T248" s="62" t="s">
        <v>21</v>
      </c>
      <c r="V248" s="113">
        <v>1.1318765900000001</v>
      </c>
      <c r="W248" s="71">
        <v>2.9476548199999999</v>
      </c>
      <c r="X248" s="71">
        <v>4.6166447399999999</v>
      </c>
      <c r="Y248" s="71">
        <v>6.1155070899999995</v>
      </c>
      <c r="Z248" s="114">
        <v>8.0770651299999994</v>
      </c>
    </row>
    <row r="249" spans="2:26" x14ac:dyDescent="0.35">
      <c r="B249" s="54" t="s">
        <v>369</v>
      </c>
      <c r="C249" s="52" t="s">
        <v>232</v>
      </c>
      <c r="D249" s="52" t="s">
        <v>20</v>
      </c>
      <c r="E249" s="52" t="s">
        <v>256</v>
      </c>
      <c r="F249" s="72">
        <v>2.2999106242082675E-2</v>
      </c>
      <c r="G249" s="70">
        <v>2.9240251500938671E-2</v>
      </c>
      <c r="H249" s="70">
        <v>3.3182735832619242E-2</v>
      </c>
      <c r="I249" s="70">
        <v>3.5960293347123917E-2</v>
      </c>
      <c r="J249" s="62">
        <v>3.8750182317498466E-2</v>
      </c>
      <c r="K249" s="70" t="s">
        <v>21</v>
      </c>
      <c r="L249" s="70">
        <v>1.6910840009386713E-3</v>
      </c>
      <c r="M249" s="70">
        <v>5.168675532619238E-3</v>
      </c>
      <c r="N249" s="70">
        <v>7.1862706471239194E-3</v>
      </c>
      <c r="O249" s="62">
        <v>8.7426352174984692E-3</v>
      </c>
      <c r="P249" s="54" t="s">
        <v>21</v>
      </c>
      <c r="Q249" s="52" t="s">
        <v>21</v>
      </c>
      <c r="R249" s="93" t="s">
        <v>21</v>
      </c>
      <c r="S249" s="70" t="s">
        <v>21</v>
      </c>
      <c r="T249" s="62" t="s">
        <v>21</v>
      </c>
      <c r="V249" s="113">
        <v>1.13252</v>
      </c>
      <c r="W249" s="71">
        <v>2.95021084</v>
      </c>
      <c r="X249" s="71">
        <v>4.6197323099999998</v>
      </c>
      <c r="Y249" s="71">
        <v>6.1141379099999993</v>
      </c>
      <c r="Z249" s="114">
        <v>8.0694747099999997</v>
      </c>
    </row>
    <row r="250" spans="2:26" x14ac:dyDescent="0.35">
      <c r="B250" s="54" t="s">
        <v>368</v>
      </c>
      <c r="C250" s="52" t="s">
        <v>232</v>
      </c>
      <c r="D250" s="52" t="s">
        <v>20</v>
      </c>
      <c r="E250" s="52" t="s">
        <v>292</v>
      </c>
      <c r="F250" s="72">
        <v>2.3035666923030738E-2</v>
      </c>
      <c r="G250" s="70">
        <v>2.9189465482044433E-2</v>
      </c>
      <c r="H250" s="70">
        <v>3.3066343535105666E-2</v>
      </c>
      <c r="I250" s="70">
        <v>3.6103139891968714E-2</v>
      </c>
      <c r="J250" s="62">
        <v>3.9206972481542438E-2</v>
      </c>
      <c r="K250" s="70" t="s">
        <v>21</v>
      </c>
      <c r="L250" s="70">
        <v>1.6415877820444361E-3</v>
      </c>
      <c r="M250" s="70">
        <v>5.0554549351056683E-3</v>
      </c>
      <c r="N250" s="70">
        <v>7.3247195919687079E-3</v>
      </c>
      <c r="O250" s="62">
        <v>9.1921940815424368E-3</v>
      </c>
      <c r="P250" s="54" t="s">
        <v>21</v>
      </c>
      <c r="Q250" s="52" t="s">
        <v>21</v>
      </c>
      <c r="R250" s="93" t="s">
        <v>21</v>
      </c>
      <c r="S250" s="70" t="s">
        <v>21</v>
      </c>
      <c r="T250" s="62" t="s">
        <v>21</v>
      </c>
      <c r="V250" s="113">
        <v>1.1324512900000001</v>
      </c>
      <c r="W250" s="71">
        <v>2.95048033</v>
      </c>
      <c r="X250" s="71">
        <v>4.6218150299999996</v>
      </c>
      <c r="Y250" s="71">
        <v>6.1134293399999997</v>
      </c>
      <c r="Z250" s="114">
        <v>8.0462443399999994</v>
      </c>
    </row>
    <row r="251" spans="2:26" x14ac:dyDescent="0.35">
      <c r="B251" s="54" t="s">
        <v>266</v>
      </c>
      <c r="C251" s="52" t="s">
        <v>232</v>
      </c>
      <c r="D251" s="52" t="s">
        <v>20</v>
      </c>
      <c r="E251" s="52" t="s">
        <v>21</v>
      </c>
      <c r="F251" s="72">
        <v>2.3453041672794789E-2</v>
      </c>
      <c r="G251" s="70">
        <v>2.9322735351864502E-2</v>
      </c>
      <c r="H251" s="70">
        <v>3.2771792103896517E-2</v>
      </c>
      <c r="I251" s="70">
        <v>3.5184137857522925E-2</v>
      </c>
      <c r="J251" s="62">
        <v>3.7728537628317523E-2</v>
      </c>
      <c r="K251" s="70" t="s">
        <v>21</v>
      </c>
      <c r="L251" s="70">
        <v>1.7701876518645011E-3</v>
      </c>
      <c r="M251" s="70">
        <v>4.7689126038965241E-3</v>
      </c>
      <c r="N251" s="70">
        <v>6.431607257522922E-3</v>
      </c>
      <c r="O251" s="62">
        <v>7.7425878283175252E-3</v>
      </c>
      <c r="P251" s="54" t="s">
        <v>563</v>
      </c>
      <c r="Q251" s="52" t="s">
        <v>564</v>
      </c>
      <c r="R251" s="93" t="s">
        <v>32</v>
      </c>
      <c r="S251" s="70">
        <v>3.0727540000000001E-2</v>
      </c>
      <c r="T251" s="62">
        <v>2.0442521038965163E-3</v>
      </c>
      <c r="V251" s="113">
        <v>1.1316510900000001</v>
      </c>
      <c r="W251" s="71">
        <v>2.94804567</v>
      </c>
      <c r="X251" s="71">
        <v>4.6222014399999996</v>
      </c>
      <c r="Y251" s="71">
        <v>6.1294215999999997</v>
      </c>
      <c r="Z251" s="114">
        <v>8.1158110600000004</v>
      </c>
    </row>
    <row r="252" spans="2:26" x14ac:dyDescent="0.35">
      <c r="B252" s="54" t="s">
        <v>349</v>
      </c>
      <c r="C252" s="52" t="s">
        <v>232</v>
      </c>
      <c r="D252" s="52" t="s">
        <v>20</v>
      </c>
      <c r="E252" s="52" t="s">
        <v>316</v>
      </c>
      <c r="F252" s="72">
        <v>2.5147955853075905E-2</v>
      </c>
      <c r="G252" s="70">
        <v>3.339613655685774E-2</v>
      </c>
      <c r="H252" s="70">
        <v>4.0440650901645413E-2</v>
      </c>
      <c r="I252" s="70">
        <v>4.3674387396002254E-2</v>
      </c>
      <c r="J252" s="62">
        <v>4.7142179224027879E-2</v>
      </c>
      <c r="K252" s="70" t="s">
        <v>21</v>
      </c>
      <c r="L252" s="70">
        <v>5.7065428568577438E-3</v>
      </c>
      <c r="M252" s="70">
        <v>1.2164441801645408E-2</v>
      </c>
      <c r="N252" s="70">
        <v>1.4612624596002254E-2</v>
      </c>
      <c r="O252" s="62">
        <v>1.6857822824027875E-2</v>
      </c>
      <c r="P252" s="54" t="s">
        <v>389</v>
      </c>
      <c r="Q252" s="52" t="s">
        <v>390</v>
      </c>
      <c r="R252" s="93">
        <v>47507</v>
      </c>
      <c r="S252" s="70">
        <v>3.9366360000000003E-2</v>
      </c>
      <c r="T252" s="62">
        <v>1.0742909016454097E-3</v>
      </c>
      <c r="V252" s="113">
        <v>1.1283363799999999</v>
      </c>
      <c r="W252" s="71">
        <v>2.91690074</v>
      </c>
      <c r="X252" s="71">
        <v>4.5027590599999998</v>
      </c>
      <c r="Y252" s="71">
        <v>5.8681695899999999</v>
      </c>
      <c r="Z252" s="114">
        <v>7.58410385</v>
      </c>
    </row>
    <row r="253" spans="2:26" x14ac:dyDescent="0.35">
      <c r="B253" s="54" t="s">
        <v>375</v>
      </c>
      <c r="C253" s="52" t="s">
        <v>232</v>
      </c>
      <c r="D253" s="52" t="s">
        <v>20</v>
      </c>
      <c r="E253" s="52" t="s">
        <v>264</v>
      </c>
      <c r="F253" s="72">
        <v>2.3003344487196258E-2</v>
      </c>
      <c r="G253" s="70">
        <v>2.917081530979344E-2</v>
      </c>
      <c r="H253" s="70">
        <v>3.2662753773750004E-2</v>
      </c>
      <c r="I253" s="70">
        <v>3.5043890923292215E-2</v>
      </c>
      <c r="J253" s="62">
        <v>3.7723536615530892E-2</v>
      </c>
      <c r="K253" s="70" t="s">
        <v>21</v>
      </c>
      <c r="L253" s="70">
        <v>1.6236419097934406E-3</v>
      </c>
      <c r="M253" s="70">
        <v>4.663685473750007E-3</v>
      </c>
      <c r="N253" s="70">
        <v>6.2960051232922171E-3</v>
      </c>
      <c r="O253" s="62">
        <v>7.7426184155308993E-3</v>
      </c>
      <c r="P253" s="54" t="s">
        <v>403</v>
      </c>
      <c r="Q253" s="52" t="s">
        <v>404</v>
      </c>
      <c r="R253" s="93">
        <v>47515</v>
      </c>
      <c r="S253" s="70">
        <v>3.3444689999999999E-2</v>
      </c>
      <c r="T253" s="62">
        <v>-7.8193622624999487E-4</v>
      </c>
      <c r="V253" s="113">
        <v>1.13251535</v>
      </c>
      <c r="W253" s="71">
        <v>2.95045139</v>
      </c>
      <c r="X253" s="71">
        <v>4.6254071200000002</v>
      </c>
      <c r="Y253" s="71">
        <v>6.1349206399999998</v>
      </c>
      <c r="Z253" s="114">
        <v>8.1116741399999999</v>
      </c>
    </row>
    <row r="254" spans="2:26" x14ac:dyDescent="0.35">
      <c r="B254" s="78" t="s">
        <v>160</v>
      </c>
      <c r="C254" s="135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6"/>
      <c r="P254" s="78"/>
      <c r="Q254" s="77"/>
      <c r="R254" s="94"/>
      <c r="S254" s="77"/>
      <c r="T254" s="76"/>
      <c r="V254" s="119"/>
      <c r="W254" s="108"/>
      <c r="X254" s="108"/>
      <c r="Y254" s="108"/>
      <c r="Z254" s="120"/>
    </row>
    <row r="255" spans="2:26" x14ac:dyDescent="0.35">
      <c r="B255" s="55" t="s">
        <v>162</v>
      </c>
      <c r="C255" s="52" t="s">
        <v>232</v>
      </c>
      <c r="D255" s="65" t="s">
        <v>20</v>
      </c>
      <c r="E255" s="65" t="s">
        <v>290</v>
      </c>
      <c r="F255" s="74">
        <v>3.1697154848058115E-2</v>
      </c>
      <c r="G255" s="79">
        <v>5.2260602935623929E-2</v>
      </c>
      <c r="H255" s="79">
        <v>7.0255217783542115E-2</v>
      </c>
      <c r="I255" s="79">
        <v>8.1405537729720631E-2</v>
      </c>
      <c r="J255" s="61">
        <v>8.7038363489053985E-2</v>
      </c>
      <c r="K255" s="79">
        <v>4.2831494480581062E-3</v>
      </c>
      <c r="L255" s="79">
        <v>2.3559040135623929E-2</v>
      </c>
      <c r="M255" s="79">
        <v>4.0013632083542111E-2</v>
      </c>
      <c r="N255" s="79">
        <v>4.9600128729720631E-2</v>
      </c>
      <c r="O255" s="61">
        <v>5.3918123889053968E-2</v>
      </c>
      <c r="P255" s="55" t="s">
        <v>21</v>
      </c>
      <c r="Q255" s="65" t="s">
        <v>21</v>
      </c>
      <c r="R255" s="99" t="s">
        <v>21</v>
      </c>
      <c r="S255" s="79" t="s">
        <v>21</v>
      </c>
      <c r="T255" s="61" t="s">
        <v>21</v>
      </c>
      <c r="V255" s="117">
        <v>1.1128375799999999</v>
      </c>
      <c r="W255" s="60">
        <v>2.7714596</v>
      </c>
      <c r="X255" s="60">
        <v>4.03516896</v>
      </c>
      <c r="Y255" s="60">
        <v>4.8983774000000002</v>
      </c>
      <c r="Z255" s="118">
        <v>5.7620798899999999</v>
      </c>
    </row>
    <row r="256" spans="2:26" x14ac:dyDescent="0.35">
      <c r="B256" s="54" t="s">
        <v>166</v>
      </c>
      <c r="C256" s="52" t="s">
        <v>232</v>
      </c>
      <c r="D256" s="52" t="s">
        <v>167</v>
      </c>
      <c r="E256" s="52" t="s">
        <v>234</v>
      </c>
      <c r="F256" s="72">
        <v>3.8783097359107593E-2</v>
      </c>
      <c r="G256" s="70">
        <v>5.3433991043168635E-2</v>
      </c>
      <c r="H256" s="70">
        <v>5.8092629671873133E-2</v>
      </c>
      <c r="I256" s="70">
        <v>6.0344967025554141E-2</v>
      </c>
      <c r="J256" s="62">
        <v>6.286771989676597E-2</v>
      </c>
      <c r="K256" s="70">
        <v>1.0789069559107597E-2</v>
      </c>
      <c r="L256" s="70">
        <v>2.4570777743168626E-2</v>
      </c>
      <c r="M256" s="70">
        <v>2.8732968371873141E-2</v>
      </c>
      <c r="N256" s="70">
        <v>3.024166452555415E-2</v>
      </c>
      <c r="O256" s="62">
        <v>3.1640355196765987E-2</v>
      </c>
      <c r="P256" s="54" t="s">
        <v>21</v>
      </c>
      <c r="Q256" s="52" t="s">
        <v>21</v>
      </c>
      <c r="R256" s="93" t="s">
        <v>21</v>
      </c>
      <c r="S256" s="70" t="s">
        <v>21</v>
      </c>
      <c r="T256" s="62" t="s">
        <v>21</v>
      </c>
      <c r="V256" s="113">
        <v>1.0980984199999999</v>
      </c>
      <c r="W256" s="71">
        <v>2.7324987099999998</v>
      </c>
      <c r="X256" s="71">
        <v>4.1090198199999994</v>
      </c>
      <c r="Y256" s="71">
        <v>5.24944465</v>
      </c>
      <c r="Z256" s="114">
        <v>6.6130966200000003</v>
      </c>
    </row>
    <row r="257" spans="2:26" x14ac:dyDescent="0.35">
      <c r="B257" s="54" t="s">
        <v>165</v>
      </c>
      <c r="C257" s="52" t="s">
        <v>232</v>
      </c>
      <c r="D257" s="52" t="s">
        <v>97</v>
      </c>
      <c r="E257" s="52" t="s">
        <v>565</v>
      </c>
      <c r="F257" s="72">
        <v>2.8098646967548185E-2</v>
      </c>
      <c r="G257" s="70">
        <v>4.3625318458025801E-2</v>
      </c>
      <c r="H257" s="70">
        <v>5.6096101309138904E-2</v>
      </c>
      <c r="I257" s="70">
        <v>6.0733501725393609E-2</v>
      </c>
      <c r="J257" s="62">
        <v>6.5039721119400623E-2</v>
      </c>
      <c r="K257" s="70">
        <v>9.2964386754818169E-4</v>
      </c>
      <c r="L257" s="70">
        <v>1.5503029658025799E-2</v>
      </c>
      <c r="M257" s="70">
        <v>2.6993010609138897E-2</v>
      </c>
      <c r="N257" s="70">
        <v>3.0727472625393625E-2</v>
      </c>
      <c r="O257" s="62">
        <v>3.3806555819400633E-2</v>
      </c>
      <c r="P257" s="54" t="s">
        <v>21</v>
      </c>
      <c r="Q257" s="52" t="s">
        <v>21</v>
      </c>
      <c r="R257" s="93" t="s">
        <v>21</v>
      </c>
      <c r="S257" s="70" t="s">
        <v>21</v>
      </c>
      <c r="T257" s="62" t="s">
        <v>21</v>
      </c>
      <c r="V257" s="113">
        <v>1.1226652800000001</v>
      </c>
      <c r="W257" s="71">
        <v>2.8427862000000004</v>
      </c>
      <c r="X257" s="71">
        <v>4.2549918099999999</v>
      </c>
      <c r="Y257" s="71">
        <v>5.3797513399999994</v>
      </c>
      <c r="Z257" s="114">
        <v>6.6759332300000001</v>
      </c>
    </row>
    <row r="258" spans="2:26" x14ac:dyDescent="0.35">
      <c r="B258" s="54" t="s">
        <v>233</v>
      </c>
      <c r="C258" s="52" t="s">
        <v>232</v>
      </c>
      <c r="D258" s="52" t="s">
        <v>43</v>
      </c>
      <c r="E258" s="52" t="s">
        <v>116</v>
      </c>
      <c r="F258" s="72">
        <v>2.7423499318354277E-2</v>
      </c>
      <c r="G258" s="70">
        <v>3.9454556140324545E-2</v>
      </c>
      <c r="H258" s="70">
        <v>5.1710268861596506E-2</v>
      </c>
      <c r="I258" s="70">
        <v>5.8782059191491452E-2</v>
      </c>
      <c r="J258" s="62">
        <v>6.3601063902178262E-2</v>
      </c>
      <c r="K258" s="70">
        <v>2.6833851835427868E-4</v>
      </c>
      <c r="L258" s="70">
        <v>1.1534257540324546E-2</v>
      </c>
      <c r="M258" s="70">
        <v>2.2874081161596511E-2</v>
      </c>
      <c r="N258" s="70">
        <v>2.8899072191491459E-2</v>
      </c>
      <c r="O258" s="62">
        <v>3.2466955702178273E-2</v>
      </c>
      <c r="P258" s="54" t="s">
        <v>21</v>
      </c>
      <c r="Q258" s="52" t="s">
        <v>21</v>
      </c>
      <c r="R258" s="93" t="s">
        <v>21</v>
      </c>
      <c r="S258" s="70" t="s">
        <v>21</v>
      </c>
      <c r="T258" s="62" t="s">
        <v>21</v>
      </c>
      <c r="V258" s="113">
        <v>1.12455134</v>
      </c>
      <c r="W258" s="71">
        <v>2.87621554</v>
      </c>
      <c r="X258" s="71">
        <v>4.3376261899999999</v>
      </c>
      <c r="Y258" s="71">
        <v>5.4900867700000004</v>
      </c>
      <c r="Z258" s="114">
        <v>6.8044148600000005</v>
      </c>
    </row>
    <row r="259" spans="2:26" x14ac:dyDescent="0.35">
      <c r="B259" s="54" t="s">
        <v>161</v>
      </c>
      <c r="C259" s="52" t="s">
        <v>232</v>
      </c>
      <c r="D259" s="52" t="s">
        <v>97</v>
      </c>
      <c r="E259" s="52" t="s">
        <v>566</v>
      </c>
      <c r="F259" s="72">
        <v>2.6617753640732829E-2</v>
      </c>
      <c r="G259" s="70">
        <v>3.8599061161943046E-2</v>
      </c>
      <c r="H259" s="70">
        <v>4.8060322264462954E-2</v>
      </c>
      <c r="I259" s="70">
        <v>5.3836138229265827E-2</v>
      </c>
      <c r="J259" s="62">
        <v>5.8714436656551391E-2</v>
      </c>
      <c r="K259" s="70" t="s">
        <v>21</v>
      </c>
      <c r="L259" s="70">
        <v>1.0714863361943034E-2</v>
      </c>
      <c r="M259" s="70">
        <v>1.9432565064462958E-2</v>
      </c>
      <c r="N259" s="70">
        <v>2.4266337929265819E-2</v>
      </c>
      <c r="O259" s="62">
        <v>2.7880311756551372E-2</v>
      </c>
      <c r="P259" s="54" t="s">
        <v>567</v>
      </c>
      <c r="Q259" s="52" t="s">
        <v>568</v>
      </c>
      <c r="R259" s="93">
        <v>47542</v>
      </c>
      <c r="S259" s="70">
        <v>3.7913749999999996E-2</v>
      </c>
      <c r="T259" s="62">
        <v>1.0146572264462958E-2</v>
      </c>
      <c r="V259" s="113">
        <v>1.1265057599999999</v>
      </c>
      <c r="W259" s="71">
        <v>2.87882609</v>
      </c>
      <c r="X259" s="71">
        <v>4.3805960200000005</v>
      </c>
      <c r="Y259" s="71">
        <v>5.6065675600000002</v>
      </c>
      <c r="Z259" s="114">
        <v>7.0377938400000009</v>
      </c>
    </row>
    <row r="260" spans="2:26" x14ac:dyDescent="0.35">
      <c r="B260" s="54" t="s">
        <v>173</v>
      </c>
      <c r="C260" s="52" t="s">
        <v>232</v>
      </c>
      <c r="D260" s="52" t="s">
        <v>43</v>
      </c>
      <c r="E260" s="52" t="s">
        <v>569</v>
      </c>
      <c r="F260" s="72">
        <v>3.036422679949706E-2</v>
      </c>
      <c r="G260" s="70">
        <v>3.8737864319671772E-2</v>
      </c>
      <c r="H260" s="70">
        <v>4.5598255293422686E-2</v>
      </c>
      <c r="I260" s="70">
        <v>5.0939363730198264E-2</v>
      </c>
      <c r="J260" s="62">
        <v>5.6628837258838279E-2</v>
      </c>
      <c r="K260" s="70">
        <v>3.0424404994970587E-3</v>
      </c>
      <c r="L260" s="70">
        <v>1.0838527919671777E-2</v>
      </c>
      <c r="M260" s="70">
        <v>1.7092660593422682E-2</v>
      </c>
      <c r="N260" s="70">
        <v>2.1526379230198258E-2</v>
      </c>
      <c r="O260" s="62">
        <v>2.5897928458838277E-2</v>
      </c>
      <c r="P260" s="54" t="s">
        <v>21</v>
      </c>
      <c r="Q260" s="52" t="s">
        <v>21</v>
      </c>
      <c r="R260" s="93" t="s">
        <v>21</v>
      </c>
      <c r="S260" s="70" t="s">
        <v>21</v>
      </c>
      <c r="T260" s="62" t="s">
        <v>21</v>
      </c>
      <c r="V260" s="113">
        <v>1.11745735</v>
      </c>
      <c r="W260" s="71">
        <v>2.8674213200000001</v>
      </c>
      <c r="X260" s="71">
        <v>4.3944683199999997</v>
      </c>
      <c r="Y260" s="71">
        <v>5.6629357599999999</v>
      </c>
      <c r="Z260" s="114">
        <v>7.1502082100000006</v>
      </c>
    </row>
    <row r="261" spans="2:26" x14ac:dyDescent="0.35">
      <c r="B261" s="54" t="s">
        <v>172</v>
      </c>
      <c r="C261" s="52" t="s">
        <v>232</v>
      </c>
      <c r="D261" s="52" t="s">
        <v>43</v>
      </c>
      <c r="E261" s="52" t="s">
        <v>140</v>
      </c>
      <c r="F261" s="72">
        <v>2.7079757693305437E-2</v>
      </c>
      <c r="G261" s="70">
        <v>3.670880295761756E-2</v>
      </c>
      <c r="H261" s="70">
        <v>4.5506376691072076E-2</v>
      </c>
      <c r="I261" s="70">
        <v>5.1175720157790573E-2</v>
      </c>
      <c r="J261" s="62">
        <v>5.5520164112564427E-2</v>
      </c>
      <c r="K261" s="70" t="s">
        <v>21</v>
      </c>
      <c r="L261" s="70">
        <v>8.9096968576175637E-3</v>
      </c>
      <c r="M261" s="70">
        <v>1.7014841091072076E-2</v>
      </c>
      <c r="N261" s="70">
        <v>2.1759111357790573E-2</v>
      </c>
      <c r="O261" s="62">
        <v>2.4864662012564428E-2</v>
      </c>
      <c r="P261" s="54" t="s">
        <v>570</v>
      </c>
      <c r="Q261" s="52" t="s">
        <v>571</v>
      </c>
      <c r="R261" s="93">
        <v>47535</v>
      </c>
      <c r="S261" s="70">
        <v>3.4344239999999998E-2</v>
      </c>
      <c r="T261" s="62">
        <v>1.1162136691072078E-2</v>
      </c>
      <c r="V261" s="113">
        <v>1.12544198</v>
      </c>
      <c r="W261" s="71">
        <v>2.89389363</v>
      </c>
      <c r="X261" s="71">
        <v>4.4244857899999994</v>
      </c>
      <c r="Y261" s="71">
        <v>5.6878155800000005</v>
      </c>
      <c r="Z261" s="114">
        <v>7.1952312599999999</v>
      </c>
    </row>
    <row r="262" spans="2:26" x14ac:dyDescent="0.35">
      <c r="B262" s="54" t="s">
        <v>170</v>
      </c>
      <c r="C262" s="52" t="s">
        <v>232</v>
      </c>
      <c r="D262" s="52" t="s">
        <v>31</v>
      </c>
      <c r="E262" s="52" t="s">
        <v>572</v>
      </c>
      <c r="F262" s="72">
        <v>2.5970845180136034E-2</v>
      </c>
      <c r="G262" s="70">
        <v>3.5751786552021887E-2</v>
      </c>
      <c r="H262" s="70">
        <v>4.5286065711593611E-2</v>
      </c>
      <c r="I262" s="70">
        <v>5.2407511799671146E-2</v>
      </c>
      <c r="J262" s="62">
        <v>5.8405880965811625E-2</v>
      </c>
      <c r="K262" s="70" t="s">
        <v>21</v>
      </c>
      <c r="L262" s="70">
        <v>7.9906284520218848E-3</v>
      </c>
      <c r="M262" s="70">
        <v>1.6805472811593617E-2</v>
      </c>
      <c r="N262" s="70">
        <v>2.2921553199671148E-2</v>
      </c>
      <c r="O262" s="62">
        <v>2.7592680165811609E-2</v>
      </c>
      <c r="P262" s="54" t="s">
        <v>573</v>
      </c>
      <c r="Q262" s="52" t="s">
        <v>574</v>
      </c>
      <c r="R262" s="93">
        <v>47664</v>
      </c>
      <c r="S262" s="70">
        <v>3.6932340000000001E-2</v>
      </c>
      <c r="T262" s="62">
        <v>8.3537257115936098E-3</v>
      </c>
      <c r="V262" s="113">
        <v>1.12770533</v>
      </c>
      <c r="W262" s="71">
        <v>2.9041686499999999</v>
      </c>
      <c r="X262" s="71">
        <v>4.4386365300000001</v>
      </c>
      <c r="Y262" s="71">
        <v>5.6843277900000002</v>
      </c>
      <c r="Z262" s="114">
        <v>7.1183714900000004</v>
      </c>
    </row>
    <row r="263" spans="2:26" x14ac:dyDescent="0.35">
      <c r="B263" s="54" t="s">
        <v>129</v>
      </c>
      <c r="C263" s="52" t="s">
        <v>232</v>
      </c>
      <c r="D263" s="52" t="s">
        <v>62</v>
      </c>
      <c r="E263" s="52" t="s">
        <v>286</v>
      </c>
      <c r="F263" s="72">
        <v>2.7453785546858699E-2</v>
      </c>
      <c r="G263" s="70">
        <v>3.7339014508453817E-2</v>
      </c>
      <c r="H263" s="70">
        <v>4.4558065298499122E-2</v>
      </c>
      <c r="I263" s="70">
        <v>4.9401861034099853E-2</v>
      </c>
      <c r="J263" s="62">
        <v>5.3447732540978829E-2</v>
      </c>
      <c r="K263" s="70">
        <v>2.9633364685869613E-4</v>
      </c>
      <c r="L263" s="70">
        <v>9.5138035084538254E-3</v>
      </c>
      <c r="M263" s="70">
        <v>1.6113988998499116E-2</v>
      </c>
      <c r="N263" s="70">
        <v>2.0080265534099855E-2</v>
      </c>
      <c r="O263" s="62">
        <v>2.2894359340978825E-2</v>
      </c>
      <c r="P263" s="54" t="s">
        <v>21</v>
      </c>
      <c r="Q263" s="52" t="s">
        <v>21</v>
      </c>
      <c r="R263" s="93" t="s">
        <v>21</v>
      </c>
      <c r="S263" s="70" t="s">
        <v>21</v>
      </c>
      <c r="T263" s="62" t="s">
        <v>21</v>
      </c>
      <c r="V263" s="113">
        <v>1.12448489</v>
      </c>
      <c r="W263" s="71">
        <v>2.8869695599999998</v>
      </c>
      <c r="X263" s="71">
        <v>4.4264666899999998</v>
      </c>
      <c r="Y263" s="71">
        <v>5.71713059</v>
      </c>
      <c r="Z263" s="114">
        <v>7.2804124600000009</v>
      </c>
    </row>
    <row r="264" spans="2:26" x14ac:dyDescent="0.35">
      <c r="B264" s="54" t="s">
        <v>407</v>
      </c>
      <c r="C264" s="52" t="s">
        <v>232</v>
      </c>
      <c r="D264" s="52" t="s">
        <v>20</v>
      </c>
      <c r="E264" s="52" t="s">
        <v>48</v>
      </c>
      <c r="F264" s="72">
        <v>2.5306610171618876E-2</v>
      </c>
      <c r="G264" s="70">
        <v>3.5124447884592895E-2</v>
      </c>
      <c r="H264" s="70">
        <v>4.252253747860181E-2</v>
      </c>
      <c r="I264" s="70">
        <v>4.8131737427411871E-2</v>
      </c>
      <c r="J264" s="62">
        <v>5.14477002161952E-2</v>
      </c>
      <c r="K264" s="70" t="s">
        <v>21</v>
      </c>
      <c r="L264" s="70">
        <v>7.361960484592903E-3</v>
      </c>
      <c r="M264" s="70">
        <v>1.4149028378601814E-2</v>
      </c>
      <c r="N264" s="70">
        <v>1.8851351327411874E-2</v>
      </c>
      <c r="O264" s="62">
        <v>2.0976850116195198E-2</v>
      </c>
      <c r="P264" s="54" t="s">
        <v>409</v>
      </c>
      <c r="Q264" s="52" t="s">
        <v>410</v>
      </c>
      <c r="R264" s="93">
        <v>47771</v>
      </c>
      <c r="S264" s="70">
        <v>3.9204940000000001E-2</v>
      </c>
      <c r="T264" s="62">
        <v>3.3175974786018095E-3</v>
      </c>
      <c r="V264" s="113">
        <v>1.1281249799999999</v>
      </c>
      <c r="W264" s="71">
        <v>2.9041060700000001</v>
      </c>
      <c r="X264" s="71">
        <v>4.4640334099999999</v>
      </c>
      <c r="Y264" s="71">
        <v>5.7663140999999998</v>
      </c>
      <c r="Z264" s="114">
        <v>7.3623470999999991</v>
      </c>
    </row>
    <row r="265" spans="2:26" x14ac:dyDescent="0.35">
      <c r="B265" s="54" t="s">
        <v>163</v>
      </c>
      <c r="C265" s="52" t="s">
        <v>232</v>
      </c>
      <c r="D265" s="52" t="s">
        <v>47</v>
      </c>
      <c r="E265" s="52" t="s">
        <v>575</v>
      </c>
      <c r="F265" s="72">
        <v>2.6132383198801838E-2</v>
      </c>
      <c r="G265" s="70">
        <v>3.4679139412732596E-2</v>
      </c>
      <c r="H265" s="70">
        <v>4.1760845778185722E-2</v>
      </c>
      <c r="I265" s="70">
        <v>4.7354885907892004E-2</v>
      </c>
      <c r="J265" s="62">
        <v>5.262965694687527E-2</v>
      </c>
      <c r="K265" s="70" t="s">
        <v>21</v>
      </c>
      <c r="L265" s="70">
        <v>6.9615922127325945E-3</v>
      </c>
      <c r="M265" s="70">
        <v>1.3449668378185724E-2</v>
      </c>
      <c r="N265" s="70">
        <v>1.8140558407892006E-2</v>
      </c>
      <c r="O265" s="62">
        <v>2.2121414946875275E-2</v>
      </c>
      <c r="P265" s="54" t="s">
        <v>21</v>
      </c>
      <c r="Q265" s="52" t="s">
        <v>21</v>
      </c>
      <c r="R265" s="93" t="s">
        <v>21</v>
      </c>
      <c r="S265" s="70" t="s">
        <v>21</v>
      </c>
      <c r="T265" s="62" t="s">
        <v>21</v>
      </c>
      <c r="V265" s="113">
        <v>1.1273670899999999</v>
      </c>
      <c r="W265" s="71">
        <v>2.9100946400000001</v>
      </c>
      <c r="X265" s="71">
        <v>4.4838962900000006</v>
      </c>
      <c r="Y265" s="71">
        <v>5.8061749200000001</v>
      </c>
      <c r="Z265" s="114">
        <v>7.3887064499999999</v>
      </c>
    </row>
    <row r="266" spans="2:26" x14ac:dyDescent="0.35">
      <c r="B266" s="54" t="s">
        <v>164</v>
      </c>
      <c r="C266" s="52" t="s">
        <v>232</v>
      </c>
      <c r="D266" s="52" t="s">
        <v>43</v>
      </c>
      <c r="E266" s="52" t="s">
        <v>291</v>
      </c>
      <c r="F266" s="72">
        <v>2.5575789833683114E-2</v>
      </c>
      <c r="G266" s="70">
        <v>3.4268227800529731E-2</v>
      </c>
      <c r="H266" s="70">
        <v>4.1078117685470344E-2</v>
      </c>
      <c r="I266" s="70">
        <v>4.4501227394798538E-2</v>
      </c>
      <c r="J266" s="62">
        <v>4.7274728651710791E-2</v>
      </c>
      <c r="K266" s="70" t="s">
        <v>21</v>
      </c>
      <c r="L266" s="70">
        <v>6.561019300529736E-3</v>
      </c>
      <c r="M266" s="70">
        <v>1.279342458547035E-2</v>
      </c>
      <c r="N266" s="70">
        <v>1.5421445194798534E-2</v>
      </c>
      <c r="O266" s="62">
        <v>1.7003695751710797E-2</v>
      </c>
      <c r="P266" s="54" t="s">
        <v>21</v>
      </c>
      <c r="Q266" s="52" t="s">
        <v>21</v>
      </c>
      <c r="R266" s="93" t="s">
        <v>21</v>
      </c>
      <c r="S266" s="70" t="s">
        <v>21</v>
      </c>
      <c r="T266" s="62" t="s">
        <v>21</v>
      </c>
      <c r="V266" s="113">
        <v>1.12855642</v>
      </c>
      <c r="W266" s="71">
        <v>2.9147268</v>
      </c>
      <c r="X266" s="71">
        <v>4.4972477299999998</v>
      </c>
      <c r="Y266" s="71">
        <v>5.8592235399999995</v>
      </c>
      <c r="Z266" s="114">
        <v>7.5844948699999994</v>
      </c>
    </row>
    <row r="267" spans="2:26" x14ac:dyDescent="0.35">
      <c r="B267" s="54" t="s">
        <v>168</v>
      </c>
      <c r="C267" s="52" t="s">
        <v>232</v>
      </c>
      <c r="D267" s="52" t="s">
        <v>20</v>
      </c>
      <c r="E267" s="52" t="s">
        <v>408</v>
      </c>
      <c r="F267" s="72">
        <v>2.8913639607778489E-2</v>
      </c>
      <c r="G267" s="70">
        <v>4.0088505500370776E-2</v>
      </c>
      <c r="H267" s="70">
        <v>4.9910760150470725E-2</v>
      </c>
      <c r="I267" s="70">
        <v>5.4991392342562957E-2</v>
      </c>
      <c r="J267" s="62">
        <v>5.9822989393284509E-2</v>
      </c>
      <c r="K267" s="70">
        <v>1.6652562077784806E-3</v>
      </c>
      <c r="L267" s="70">
        <v>1.211297360037078E-2</v>
      </c>
      <c r="M267" s="70">
        <v>2.1152390750470724E-2</v>
      </c>
      <c r="N267" s="70">
        <v>2.5325231342562954E-2</v>
      </c>
      <c r="O267" s="62">
        <v>2.8889380193284509E-2</v>
      </c>
      <c r="P267" s="54" t="s">
        <v>474</v>
      </c>
      <c r="Q267" s="52" t="s">
        <v>475</v>
      </c>
      <c r="R267" s="93">
        <v>47505</v>
      </c>
      <c r="S267" s="70">
        <v>4.5329649999999999E-2</v>
      </c>
      <c r="T267" s="62">
        <v>4.5811101504707255E-3</v>
      </c>
      <c r="V267" s="113">
        <v>1.11953923</v>
      </c>
      <c r="W267" s="71">
        <v>2.8574448700000001</v>
      </c>
      <c r="X267" s="71">
        <v>4.3362656499999996</v>
      </c>
      <c r="Y267" s="71">
        <v>5.5267409500000007</v>
      </c>
      <c r="Z267" s="114">
        <v>6.9267912099999993</v>
      </c>
    </row>
    <row r="268" spans="2:26" x14ac:dyDescent="0.35">
      <c r="B268" s="54" t="s">
        <v>168</v>
      </c>
      <c r="C268" s="52" t="s">
        <v>232</v>
      </c>
      <c r="D268" s="52" t="s">
        <v>20</v>
      </c>
      <c r="E268" s="52" t="s">
        <v>576</v>
      </c>
      <c r="F268" s="72">
        <v>2.8913639607778489E-2</v>
      </c>
      <c r="G268" s="70">
        <v>4.0088505500370776E-2</v>
      </c>
      <c r="H268" s="70">
        <v>4.9910760150470725E-2</v>
      </c>
      <c r="I268" s="70">
        <v>5.4991392342562957E-2</v>
      </c>
      <c r="J268" s="62">
        <v>5.9822989393284509E-2</v>
      </c>
      <c r="K268" s="70">
        <v>1.6652562077784806E-3</v>
      </c>
      <c r="L268" s="70">
        <v>1.211297360037078E-2</v>
      </c>
      <c r="M268" s="70">
        <v>2.1152390750470724E-2</v>
      </c>
      <c r="N268" s="70">
        <v>2.5325231342562954E-2</v>
      </c>
      <c r="O268" s="62">
        <v>2.8889380193284509E-2</v>
      </c>
      <c r="P268" s="54" t="s">
        <v>474</v>
      </c>
      <c r="Q268" s="52" t="s">
        <v>475</v>
      </c>
      <c r="R268" s="93">
        <v>47505</v>
      </c>
      <c r="S268" s="70">
        <v>4.5329649999999999E-2</v>
      </c>
      <c r="T268" s="62">
        <v>4.5811101504707255E-3</v>
      </c>
      <c r="V268" s="113">
        <v>1.11953923</v>
      </c>
      <c r="W268" s="71">
        <v>2.8574448700000001</v>
      </c>
      <c r="X268" s="71">
        <v>4.3362656499999996</v>
      </c>
      <c r="Y268" s="71">
        <v>5.5267409500000007</v>
      </c>
      <c r="Z268" s="114">
        <v>6.9267912099999993</v>
      </c>
    </row>
    <row r="269" spans="2:26" x14ac:dyDescent="0.35">
      <c r="B269" s="54" t="s">
        <v>117</v>
      </c>
      <c r="C269" s="52" t="s">
        <v>232</v>
      </c>
      <c r="D269" s="52" t="s">
        <v>31</v>
      </c>
      <c r="E269" s="52" t="s">
        <v>123</v>
      </c>
      <c r="F269" s="72">
        <v>2.4844407453254821E-2</v>
      </c>
      <c r="G269" s="70">
        <v>3.4231514963682701E-2</v>
      </c>
      <c r="H269" s="70">
        <v>3.8225820125139899E-2</v>
      </c>
      <c r="I269" s="70">
        <v>4.172626604849354E-2</v>
      </c>
      <c r="J269" s="62">
        <v>4.4647390747283688E-2</v>
      </c>
      <c r="K269" s="70" t="s">
        <v>21</v>
      </c>
      <c r="L269" s="70">
        <v>6.5288849636826966E-3</v>
      </c>
      <c r="M269" s="70">
        <v>1.0058087525139901E-2</v>
      </c>
      <c r="N269" s="70">
        <v>1.2764485348493546E-2</v>
      </c>
      <c r="O269" s="62">
        <v>1.4474749547283691E-2</v>
      </c>
      <c r="P269" s="54" t="s">
        <v>21</v>
      </c>
      <c r="Q269" s="52" t="s">
        <v>21</v>
      </c>
      <c r="R269" s="93" t="s">
        <v>21</v>
      </c>
      <c r="S269" s="70" t="s">
        <v>21</v>
      </c>
      <c r="T269" s="62" t="s">
        <v>21</v>
      </c>
      <c r="V269" s="113">
        <v>1.12990137</v>
      </c>
      <c r="W269" s="71">
        <v>2.9169801</v>
      </c>
      <c r="X269" s="71">
        <v>4.5308162400000001</v>
      </c>
      <c r="Y269" s="71">
        <v>5.9404506699999997</v>
      </c>
      <c r="Z269" s="114">
        <v>7.7384683399999998</v>
      </c>
    </row>
    <row r="270" spans="2:26" x14ac:dyDescent="0.35">
      <c r="B270" s="54" t="s">
        <v>138</v>
      </c>
      <c r="C270" s="52" t="s">
        <v>232</v>
      </c>
      <c r="D270" s="52" t="s">
        <v>139</v>
      </c>
      <c r="E270" s="52" t="s">
        <v>159</v>
      </c>
      <c r="F270" s="72">
        <v>2.590641967595031E-2</v>
      </c>
      <c r="G270" s="70">
        <v>3.2481990504707209E-2</v>
      </c>
      <c r="H270" s="70">
        <v>3.725638660534164E-2</v>
      </c>
      <c r="I270" s="70">
        <v>4.120968918093617E-2</v>
      </c>
      <c r="J270" s="62">
        <v>4.5742061448373866E-2</v>
      </c>
      <c r="K270" s="70" t="s">
        <v>21</v>
      </c>
      <c r="L270" s="70">
        <v>4.8459999047072077E-3</v>
      </c>
      <c r="M270" s="70">
        <v>9.1266106053416469E-3</v>
      </c>
      <c r="N270" s="70">
        <v>1.2271202880936168E-2</v>
      </c>
      <c r="O270" s="62">
        <v>1.5530224548373873E-2</v>
      </c>
      <c r="P270" s="54" t="s">
        <v>21</v>
      </c>
      <c r="Q270" s="52" t="s">
        <v>21</v>
      </c>
      <c r="R270" s="93" t="s">
        <v>21</v>
      </c>
      <c r="S270" s="70" t="s">
        <v>21</v>
      </c>
      <c r="T270" s="62" t="s">
        <v>21</v>
      </c>
      <c r="V270" s="113">
        <v>1.1277911700000001</v>
      </c>
      <c r="W270" s="71">
        <v>2.9238148900000001</v>
      </c>
      <c r="X270" s="71">
        <v>4.5494578099999998</v>
      </c>
      <c r="Y270" s="71">
        <v>5.9685299599999997</v>
      </c>
      <c r="Z270" s="114">
        <v>7.7421203300000005</v>
      </c>
    </row>
    <row r="271" spans="2:26" x14ac:dyDescent="0.35">
      <c r="B271" s="56" t="s">
        <v>169</v>
      </c>
      <c r="C271" s="66" t="s">
        <v>232</v>
      </c>
      <c r="D271" s="66" t="s">
        <v>69</v>
      </c>
      <c r="E271" s="66" t="s">
        <v>110</v>
      </c>
      <c r="F271" s="73">
        <v>2.4322760147940589E-2</v>
      </c>
      <c r="G271" s="75">
        <v>3.1151234367264767E-2</v>
      </c>
      <c r="H271" s="75">
        <v>3.5994732031739571E-2</v>
      </c>
      <c r="I271" s="75">
        <v>3.9066321415109802E-2</v>
      </c>
      <c r="J271" s="63">
        <v>4.3148255335608995E-2</v>
      </c>
      <c r="K271" s="75" t="s">
        <v>21</v>
      </c>
      <c r="L271" s="75">
        <v>3.5577144672647703E-3</v>
      </c>
      <c r="M271" s="75">
        <v>7.9074680317395684E-3</v>
      </c>
      <c r="N271" s="75">
        <v>1.0207196915109809E-2</v>
      </c>
      <c r="O271" s="63">
        <v>1.3025625335608998E-2</v>
      </c>
      <c r="P271" s="56" t="s">
        <v>21</v>
      </c>
      <c r="Q271" s="66" t="s">
        <v>21</v>
      </c>
      <c r="R271" s="95" t="s">
        <v>21</v>
      </c>
      <c r="S271" s="75" t="s">
        <v>21</v>
      </c>
      <c r="T271" s="63" t="s">
        <v>21</v>
      </c>
      <c r="V271" s="115">
        <v>1.1309121099999999</v>
      </c>
      <c r="W271" s="107">
        <v>2.93798754</v>
      </c>
      <c r="X271" s="107">
        <v>4.5795362800000001</v>
      </c>
      <c r="Y271" s="107">
        <v>6.0310038400000003</v>
      </c>
      <c r="Z271" s="116">
        <v>7.8768201400000004</v>
      </c>
    </row>
    <row r="272" spans="2:26" x14ac:dyDescent="0.35">
      <c r="P272" s="127"/>
      <c r="Q272" s="127"/>
      <c r="R272" s="44"/>
      <c r="S272" s="127"/>
      <c r="T272" s="127"/>
      <c r="V272" s="71"/>
      <c r="W272" s="71"/>
      <c r="X272" s="71"/>
      <c r="Y272" s="71"/>
      <c r="Z272" s="71"/>
    </row>
    <row r="273" spans="2:26" ht="15.5" x14ac:dyDescent="0.35">
      <c r="B273" s="121" t="s">
        <v>177</v>
      </c>
      <c r="R273" s="93"/>
      <c r="S273" s="70"/>
      <c r="T273" s="70"/>
      <c r="V273" s="71"/>
      <c r="W273" s="71"/>
      <c r="X273" s="71"/>
      <c r="Y273" s="71"/>
      <c r="Z273" s="71"/>
    </row>
    <row r="274" spans="2:26" x14ac:dyDescent="0.35">
      <c r="B274" s="84" t="s">
        <v>5</v>
      </c>
      <c r="C274" s="83" t="s">
        <v>6</v>
      </c>
      <c r="D274" s="83" t="s">
        <v>7</v>
      </c>
      <c r="E274" s="83" t="s">
        <v>8</v>
      </c>
      <c r="F274" s="82" t="s">
        <v>9</v>
      </c>
      <c r="G274" s="81" t="s">
        <v>10</v>
      </c>
      <c r="H274" s="81" t="s">
        <v>11</v>
      </c>
      <c r="I274" s="81" t="s">
        <v>12</v>
      </c>
      <c r="J274" s="80" t="s">
        <v>13</v>
      </c>
      <c r="K274" s="82" t="s">
        <v>9</v>
      </c>
      <c r="L274" s="81" t="s">
        <v>10</v>
      </c>
      <c r="M274" s="81" t="s">
        <v>11</v>
      </c>
      <c r="N274" s="81" t="s">
        <v>12</v>
      </c>
      <c r="O274" s="80" t="s">
        <v>13</v>
      </c>
      <c r="P274" s="69" t="s">
        <v>14</v>
      </c>
      <c r="Q274" s="57" t="s">
        <v>15</v>
      </c>
      <c r="R274" s="57" t="s">
        <v>16</v>
      </c>
      <c r="S274" s="57" t="s">
        <v>17</v>
      </c>
      <c r="T274" s="57" t="s">
        <v>18</v>
      </c>
      <c r="V274" s="109" t="s">
        <v>9</v>
      </c>
      <c r="W274" s="105" t="s">
        <v>10</v>
      </c>
      <c r="X274" s="105" t="s">
        <v>11</v>
      </c>
      <c r="Y274" s="105" t="s">
        <v>12</v>
      </c>
      <c r="Z274" s="110" t="s">
        <v>13</v>
      </c>
    </row>
    <row r="275" spans="2:26" x14ac:dyDescent="0.35">
      <c r="B275" s="55" t="s">
        <v>178</v>
      </c>
      <c r="C275" s="52" t="s">
        <v>232</v>
      </c>
      <c r="D275" s="65" t="s">
        <v>47</v>
      </c>
      <c r="E275" s="65" t="s">
        <v>577</v>
      </c>
      <c r="F275" s="74" t="s">
        <v>21</v>
      </c>
      <c r="G275" s="79">
        <v>3.1058007983931015E-2</v>
      </c>
      <c r="H275" s="79">
        <v>3.4983661571987915E-2</v>
      </c>
      <c r="I275" s="79">
        <v>3.8686314926113075E-2</v>
      </c>
      <c r="J275" s="61">
        <v>4.2432805356821063E-2</v>
      </c>
      <c r="K275" s="79" t="s">
        <v>21</v>
      </c>
      <c r="L275" s="79">
        <v>3.4867244839310177E-3</v>
      </c>
      <c r="M275" s="79">
        <v>6.9350415719879157E-3</v>
      </c>
      <c r="N275" s="79">
        <v>9.8668514261130713E-3</v>
      </c>
      <c r="O275" s="61">
        <v>1.236737935682107E-2</v>
      </c>
      <c r="P275" s="55" t="s">
        <v>578</v>
      </c>
      <c r="Q275" s="65" t="s">
        <v>579</v>
      </c>
      <c r="R275" s="99" t="s">
        <v>32</v>
      </c>
      <c r="S275" s="79">
        <v>3.1108050000000002E-2</v>
      </c>
      <c r="T275" s="62">
        <v>3.8756115719879129E-3</v>
      </c>
      <c r="V275" s="113">
        <v>1.13161661</v>
      </c>
      <c r="W275" s="71">
        <v>2.9439356600000002</v>
      </c>
      <c r="X275" s="71">
        <v>4.5997931000000003</v>
      </c>
      <c r="Y275" s="71">
        <v>6.0713367900000001</v>
      </c>
      <c r="Z275" s="114">
        <v>7.9674727900000004</v>
      </c>
    </row>
    <row r="276" spans="2:26" x14ac:dyDescent="0.35">
      <c r="B276" s="54" t="s">
        <v>269</v>
      </c>
      <c r="C276" s="52" t="s">
        <v>232</v>
      </c>
      <c r="D276" s="52" t="s">
        <v>20</v>
      </c>
      <c r="E276" s="52" t="s">
        <v>580</v>
      </c>
      <c r="F276" s="72" t="s">
        <v>21</v>
      </c>
      <c r="G276" s="70">
        <v>3.2675589652588391E-2</v>
      </c>
      <c r="H276" s="70">
        <v>3.5593721962704376E-2</v>
      </c>
      <c r="I276" s="70">
        <v>3.8429714339203468E-2</v>
      </c>
      <c r="J276" s="62">
        <v>4.0706698052350665E-2</v>
      </c>
      <c r="K276" s="70" t="s">
        <v>21</v>
      </c>
      <c r="L276" s="70">
        <v>5.0714239525883947E-3</v>
      </c>
      <c r="M276" s="70">
        <v>7.5432654627043778E-3</v>
      </c>
      <c r="N276" s="70">
        <v>9.6331164392034659E-3</v>
      </c>
      <c r="O276" s="62">
        <v>1.0695429152350673E-2</v>
      </c>
      <c r="P276" s="54" t="s">
        <v>581</v>
      </c>
      <c r="Q276" s="52" t="s">
        <v>582</v>
      </c>
      <c r="R276" s="93" t="s">
        <v>32</v>
      </c>
      <c r="S276" s="70">
        <v>2.8781880000000003E-2</v>
      </c>
      <c r="T276" s="62">
        <v>6.8118419627043736E-3</v>
      </c>
      <c r="V276" s="113">
        <v>1.1302818100000001</v>
      </c>
      <c r="W276" s="71">
        <v>2.9336393100000002</v>
      </c>
      <c r="X276" s="71">
        <v>4.5861264100000003</v>
      </c>
      <c r="Y276" s="71">
        <v>6.0688434600000001</v>
      </c>
      <c r="Z276" s="114">
        <v>8.0237767599999987</v>
      </c>
    </row>
    <row r="277" spans="2:26" x14ac:dyDescent="0.35">
      <c r="B277" s="54" t="s">
        <v>180</v>
      </c>
      <c r="C277" s="52" t="s">
        <v>232</v>
      </c>
      <c r="D277" s="52" t="s">
        <v>69</v>
      </c>
      <c r="E277" s="52" t="s">
        <v>270</v>
      </c>
      <c r="F277" s="72" t="s">
        <v>21</v>
      </c>
      <c r="G277" s="70">
        <v>2.992709163290869E-2</v>
      </c>
      <c r="H277" s="70">
        <v>3.3135124858736029E-2</v>
      </c>
      <c r="I277" s="70">
        <v>3.6113125253774948E-2</v>
      </c>
      <c r="J277" s="62">
        <v>3.900767943083612E-2</v>
      </c>
      <c r="K277" s="70" t="s">
        <v>21</v>
      </c>
      <c r="L277" s="70">
        <v>2.3912829329086902E-3</v>
      </c>
      <c r="M277" s="70">
        <v>5.1409065587360346E-3</v>
      </c>
      <c r="N277" s="70">
        <v>7.3671476537749527E-3</v>
      </c>
      <c r="O277" s="62">
        <v>9.0236845308361222E-3</v>
      </c>
      <c r="P277" s="54" t="s">
        <v>583</v>
      </c>
      <c r="Q277" s="52" t="s">
        <v>584</v>
      </c>
      <c r="R277" s="93" t="s">
        <v>32</v>
      </c>
      <c r="S277" s="70">
        <v>2.80942E-2</v>
      </c>
      <c r="T277" s="62">
        <v>5.0409248587360289E-3</v>
      </c>
      <c r="V277" s="113">
        <v>1.1325095199999999</v>
      </c>
      <c r="W277" s="71">
        <v>2.9526101599999999</v>
      </c>
      <c r="X277" s="71">
        <v>4.6297723899999994</v>
      </c>
      <c r="Y277" s="71">
        <v>6.1405969599999999</v>
      </c>
      <c r="Z277" s="114">
        <v>8.1300313000000006</v>
      </c>
    </row>
    <row r="278" spans="2:26" x14ac:dyDescent="0.35">
      <c r="B278" s="54" t="s">
        <v>181</v>
      </c>
      <c r="C278" s="52" t="s">
        <v>232</v>
      </c>
      <c r="D278" s="52" t="s">
        <v>182</v>
      </c>
      <c r="E278" s="52" t="s">
        <v>321</v>
      </c>
      <c r="F278" s="72" t="s">
        <v>21</v>
      </c>
      <c r="G278" s="70">
        <v>3.0896010522505377E-2</v>
      </c>
      <c r="H278" s="70">
        <v>3.4713528304913033E-2</v>
      </c>
      <c r="I278" s="70">
        <v>3.8900512465700733E-2</v>
      </c>
      <c r="J278" s="62">
        <v>4.3238890215819711E-2</v>
      </c>
      <c r="K278" s="70" t="s">
        <v>21</v>
      </c>
      <c r="L278" s="70">
        <v>3.3307156225053786E-3</v>
      </c>
      <c r="M278" s="70">
        <v>6.6739073049130312E-3</v>
      </c>
      <c r="N278" s="70">
        <v>1.0074848665700735E-2</v>
      </c>
      <c r="O278" s="62">
        <v>1.3152081415819722E-2</v>
      </c>
      <c r="P278" s="54" t="s">
        <v>585</v>
      </c>
      <c r="Q278" s="52" t="s">
        <v>586</v>
      </c>
      <c r="R278" s="93" t="s">
        <v>32</v>
      </c>
      <c r="S278" s="70">
        <v>3.444788E-2</v>
      </c>
      <c r="T278" s="62">
        <v>2.656483049130326E-4</v>
      </c>
      <c r="V278" s="113">
        <v>1.13250462</v>
      </c>
      <c r="W278" s="71">
        <v>2.94652804</v>
      </c>
      <c r="X278" s="71">
        <v>4.6053759299999992</v>
      </c>
      <c r="Y278" s="71">
        <v>6.07448546</v>
      </c>
      <c r="Z278" s="114">
        <v>7.9495991999999998</v>
      </c>
    </row>
    <row r="279" spans="2:26" x14ac:dyDescent="0.35">
      <c r="B279" s="54" t="s">
        <v>183</v>
      </c>
      <c r="C279" s="52" t="s">
        <v>232</v>
      </c>
      <c r="D279" s="52" t="s">
        <v>53</v>
      </c>
      <c r="E279" s="52" t="s">
        <v>179</v>
      </c>
      <c r="F279" s="72" t="s">
        <v>21</v>
      </c>
      <c r="G279" s="70">
        <v>2.9881420246413899E-2</v>
      </c>
      <c r="H279" s="70">
        <v>3.3029949780934424E-2</v>
      </c>
      <c r="I279" s="70">
        <v>3.6224892355977437E-2</v>
      </c>
      <c r="J279" s="62">
        <v>3.9229093593704349E-2</v>
      </c>
      <c r="K279" s="70" t="s">
        <v>21</v>
      </c>
      <c r="L279" s="70">
        <v>2.3462157464138947E-3</v>
      </c>
      <c r="M279" s="70">
        <v>5.0381487809344197E-3</v>
      </c>
      <c r="N279" s="70">
        <v>7.4755175559774378E-3</v>
      </c>
      <c r="O279" s="62">
        <v>9.2407593937043515E-3</v>
      </c>
      <c r="P279" s="54" t="s">
        <v>587</v>
      </c>
      <c r="Q279" s="52" t="s">
        <v>588</v>
      </c>
      <c r="R279" s="93" t="s">
        <v>32</v>
      </c>
      <c r="S279" s="70">
        <v>2.8864209999999998E-2</v>
      </c>
      <c r="T279" s="62">
        <v>4.1657397809344264E-3</v>
      </c>
      <c r="V279" s="113">
        <v>1.1329334599999998</v>
      </c>
      <c r="W279" s="71">
        <v>2.9536650899999999</v>
      </c>
      <c r="X279" s="71">
        <v>4.6319858800000002</v>
      </c>
      <c r="Y279" s="71">
        <v>6.1415051399999996</v>
      </c>
      <c r="Z279" s="114">
        <v>8.1245409199999994</v>
      </c>
    </row>
    <row r="280" spans="2:26" x14ac:dyDescent="0.35">
      <c r="B280" s="54" t="s">
        <v>184</v>
      </c>
      <c r="C280" s="52" t="s">
        <v>232</v>
      </c>
      <c r="D280" s="52" t="s">
        <v>31</v>
      </c>
      <c r="E280" s="52" t="s">
        <v>589</v>
      </c>
      <c r="F280" s="72" t="s">
        <v>21</v>
      </c>
      <c r="G280" s="70">
        <v>3.0591040683601644E-2</v>
      </c>
      <c r="H280" s="70">
        <v>3.4231483805941106E-2</v>
      </c>
      <c r="I280" s="70">
        <v>3.7728708270249406E-2</v>
      </c>
      <c r="J280" s="62">
        <v>4.1193593875302165E-2</v>
      </c>
      <c r="K280" s="70" t="s">
        <v>21</v>
      </c>
      <c r="L280" s="70">
        <v>3.03503238360164E-3</v>
      </c>
      <c r="M280" s="70">
        <v>6.2060468059411062E-3</v>
      </c>
      <c r="N280" s="70">
        <v>8.9382670702494033E-3</v>
      </c>
      <c r="O280" s="62">
        <v>1.1160610975302174E-2</v>
      </c>
      <c r="P280" s="54" t="s">
        <v>590</v>
      </c>
      <c r="Q280" s="52" t="s">
        <v>591</v>
      </c>
      <c r="R280" s="93" t="s">
        <v>32</v>
      </c>
      <c r="S280" s="70">
        <v>3.0360189999999999E-2</v>
      </c>
      <c r="T280" s="62">
        <v>3.8712938059411069E-3</v>
      </c>
      <c r="V280" s="113">
        <v>1.13215548</v>
      </c>
      <c r="W280" s="71">
        <v>2.9478106399999997</v>
      </c>
      <c r="X280" s="71">
        <v>4.61229084</v>
      </c>
      <c r="Y280" s="71">
        <v>6.0984573900000001</v>
      </c>
      <c r="Z280" s="114">
        <v>8.0278158600000005</v>
      </c>
    </row>
    <row r="281" spans="2:26" x14ac:dyDescent="0.35">
      <c r="B281" s="56" t="s">
        <v>185</v>
      </c>
      <c r="C281" s="66" t="s">
        <v>232</v>
      </c>
      <c r="D281" s="66" t="s">
        <v>139</v>
      </c>
      <c r="E281" s="66" t="s">
        <v>592</v>
      </c>
      <c r="F281" s="73" t="s">
        <v>21</v>
      </c>
      <c r="G281" s="75">
        <v>2.9878099576331373E-2</v>
      </c>
      <c r="H281" s="75">
        <v>3.286817391595348E-2</v>
      </c>
      <c r="I281" s="75">
        <v>3.6499231807729557E-2</v>
      </c>
      <c r="J281" s="63">
        <v>3.9559760167325084E-2</v>
      </c>
      <c r="K281" s="75" t="s">
        <v>21</v>
      </c>
      <c r="L281" s="75">
        <v>2.3425443763313717E-3</v>
      </c>
      <c r="M281" s="75">
        <v>4.8804206159534869E-3</v>
      </c>
      <c r="N281" s="75">
        <v>7.7418942077295558E-3</v>
      </c>
      <c r="O281" s="63">
        <v>9.5652844673250817E-3</v>
      </c>
      <c r="P281" s="56" t="s">
        <v>593</v>
      </c>
      <c r="Q281" s="66" t="s">
        <v>594</v>
      </c>
      <c r="R281" s="95" t="s">
        <v>32</v>
      </c>
      <c r="S281" s="75">
        <v>2.7533690000000003E-2</v>
      </c>
      <c r="T281" s="63">
        <v>5.3344839159534772E-3</v>
      </c>
      <c r="V281" s="115">
        <v>1.13306938</v>
      </c>
      <c r="W281" s="107">
        <v>2.9539344000000001</v>
      </c>
      <c r="X281" s="107">
        <v>4.6339262400000001</v>
      </c>
      <c r="Y281" s="107">
        <v>6.1401268600000005</v>
      </c>
      <c r="Z281" s="116">
        <v>8.1129186799999999</v>
      </c>
    </row>
    <row r="282" spans="2:26" x14ac:dyDescent="0.35">
      <c r="V282" s="71"/>
      <c r="W282" s="71"/>
      <c r="X282" s="71"/>
      <c r="Y282" s="71"/>
      <c r="Z282" s="71"/>
    </row>
    <row r="283" spans="2:26" ht="15.5" x14ac:dyDescent="0.35">
      <c r="B283" s="121" t="s">
        <v>186</v>
      </c>
      <c r="R283" s="93"/>
      <c r="S283" s="70"/>
      <c r="T283" s="70"/>
      <c r="V283" s="71"/>
      <c r="W283" s="71"/>
      <c r="X283" s="71"/>
      <c r="Y283" s="71"/>
      <c r="Z283" s="71"/>
    </row>
    <row r="284" spans="2:26" x14ac:dyDescent="0.35">
      <c r="B284" s="84" t="s">
        <v>5</v>
      </c>
      <c r="C284" s="83" t="s">
        <v>6</v>
      </c>
      <c r="D284" s="83" t="s">
        <v>7</v>
      </c>
      <c r="E284" s="83" t="s">
        <v>8</v>
      </c>
      <c r="F284" s="82" t="s">
        <v>9</v>
      </c>
      <c r="G284" s="81" t="s">
        <v>10</v>
      </c>
      <c r="H284" s="81" t="s">
        <v>11</v>
      </c>
      <c r="I284" s="81" t="s">
        <v>12</v>
      </c>
      <c r="J284" s="80" t="s">
        <v>13</v>
      </c>
      <c r="K284" s="82" t="s">
        <v>9</v>
      </c>
      <c r="L284" s="81" t="s">
        <v>10</v>
      </c>
      <c r="M284" s="81" t="s">
        <v>11</v>
      </c>
      <c r="N284" s="81" t="s">
        <v>12</v>
      </c>
      <c r="O284" s="80" t="s">
        <v>13</v>
      </c>
      <c r="P284" s="69" t="s">
        <v>14</v>
      </c>
      <c r="Q284" s="57" t="s">
        <v>15</v>
      </c>
      <c r="R284" s="57" t="s">
        <v>16</v>
      </c>
      <c r="S284" s="57" t="s">
        <v>17</v>
      </c>
      <c r="T284" s="57" t="s">
        <v>18</v>
      </c>
      <c r="V284" s="109" t="s">
        <v>9</v>
      </c>
      <c r="W284" s="105" t="s">
        <v>10</v>
      </c>
      <c r="X284" s="105" t="s">
        <v>11</v>
      </c>
      <c r="Y284" s="105" t="s">
        <v>12</v>
      </c>
      <c r="Z284" s="110" t="s">
        <v>13</v>
      </c>
    </row>
    <row r="285" spans="2:26" x14ac:dyDescent="0.35">
      <c r="B285" s="56" t="s">
        <v>296</v>
      </c>
      <c r="C285" s="66"/>
      <c r="D285" s="68"/>
      <c r="E285" s="68"/>
      <c r="F285" s="101" t="s">
        <v>21</v>
      </c>
      <c r="G285" s="102"/>
      <c r="H285" s="102">
        <v>4.2297932873603922E-2</v>
      </c>
      <c r="I285" s="102" t="s">
        <v>21</v>
      </c>
      <c r="J285" s="103" t="s">
        <v>21</v>
      </c>
      <c r="K285" s="102" t="s">
        <v>21</v>
      </c>
      <c r="L285" s="102"/>
      <c r="M285" s="102">
        <v>1.4030898973603923E-2</v>
      </c>
      <c r="N285" s="102" t="s">
        <v>21</v>
      </c>
      <c r="O285" s="103" t="s">
        <v>21</v>
      </c>
      <c r="P285" s="55"/>
      <c r="Q285" s="68"/>
      <c r="R285" s="104"/>
      <c r="S285" s="102"/>
      <c r="T285" s="103"/>
      <c r="V285" s="113">
        <v>1.1156254699999999</v>
      </c>
      <c r="W285" s="71">
        <v>2.8708853199999997</v>
      </c>
      <c r="X285" s="71">
        <v>4.4565358999999996</v>
      </c>
      <c r="Y285" s="71">
        <v>5.8656311099999998</v>
      </c>
      <c r="Z285" s="114">
        <v>7.7023826700000004</v>
      </c>
    </row>
    <row r="286" spans="2:26" x14ac:dyDescent="0.35">
      <c r="B286" s="54" t="s">
        <v>187</v>
      </c>
      <c r="C286" s="52" t="s">
        <v>232</v>
      </c>
      <c r="D286" s="65" t="s">
        <v>188</v>
      </c>
      <c r="E286" s="65" t="s">
        <v>271</v>
      </c>
      <c r="F286" s="74" t="s">
        <v>21</v>
      </c>
      <c r="G286" s="79">
        <v>2.9718439897039615E-2</v>
      </c>
      <c r="H286" s="79">
        <v>3.3966965250066074E-2</v>
      </c>
      <c r="I286" s="79" t="s">
        <v>21</v>
      </c>
      <c r="J286" s="61" t="s">
        <v>21</v>
      </c>
      <c r="K286" s="79" t="s">
        <v>21</v>
      </c>
      <c r="L286" s="79">
        <v>2.1857749970396224E-3</v>
      </c>
      <c r="M286" s="79">
        <v>5.9685964500660639E-3</v>
      </c>
      <c r="N286" s="79" t="s">
        <v>21</v>
      </c>
      <c r="O286" s="61" t="s">
        <v>21</v>
      </c>
      <c r="P286" s="55" t="s">
        <v>21</v>
      </c>
      <c r="Q286" s="65" t="s">
        <v>21</v>
      </c>
      <c r="R286" s="99" t="s">
        <v>21</v>
      </c>
      <c r="S286" s="79" t="s">
        <v>21</v>
      </c>
      <c r="T286" s="62" t="s">
        <v>21</v>
      </c>
      <c r="V286" s="113">
        <v>1.1327740899999998</v>
      </c>
      <c r="W286" s="71">
        <v>2.9543175399999999</v>
      </c>
      <c r="X286" s="71">
        <v>4.6317359900000001</v>
      </c>
      <c r="Y286" s="71">
        <v>6.1365709300000004</v>
      </c>
      <c r="Z286" s="114">
        <v>8.1116210399999993</v>
      </c>
    </row>
    <row r="287" spans="2:26" x14ac:dyDescent="0.35">
      <c r="B287" s="54" t="s">
        <v>189</v>
      </c>
      <c r="C287" s="52" t="s">
        <v>232</v>
      </c>
      <c r="D287" s="52" t="s">
        <v>190</v>
      </c>
      <c r="E287" s="52" t="s">
        <v>595</v>
      </c>
      <c r="F287" s="72" t="s">
        <v>21</v>
      </c>
      <c r="G287" s="70">
        <v>3.2651468962826974E-2</v>
      </c>
      <c r="H287" s="70">
        <v>3.7814298864510883E-2</v>
      </c>
      <c r="I287" s="70" t="s">
        <v>21</v>
      </c>
      <c r="J287" s="62" t="s">
        <v>21</v>
      </c>
      <c r="K287" s="70" t="s">
        <v>21</v>
      </c>
      <c r="L287" s="70">
        <v>5.0277111628269687E-3</v>
      </c>
      <c r="M287" s="70">
        <v>9.6977177645108849E-3</v>
      </c>
      <c r="N287" s="70" t="s">
        <v>21</v>
      </c>
      <c r="O287" s="62" t="s">
        <v>21</v>
      </c>
      <c r="P287" s="54" t="s">
        <v>596</v>
      </c>
      <c r="Q287" s="52" t="s">
        <v>597</v>
      </c>
      <c r="R287" s="93" t="s">
        <v>32</v>
      </c>
      <c r="S287" s="70">
        <v>3.630075E-2</v>
      </c>
      <c r="T287" s="70">
        <v>1.513548864510883E-3</v>
      </c>
      <c r="V287" s="113">
        <v>1.1282502300000001</v>
      </c>
      <c r="W287" s="71">
        <v>2.93011394</v>
      </c>
      <c r="X287" s="71">
        <v>4.5669567400000002</v>
      </c>
      <c r="Y287" s="71">
        <v>6.0156577699999998</v>
      </c>
      <c r="Z287" s="114">
        <v>7.87826323</v>
      </c>
    </row>
    <row r="288" spans="2:26" x14ac:dyDescent="0.35">
      <c r="B288" s="54" t="s">
        <v>192</v>
      </c>
      <c r="C288" s="52" t="s">
        <v>232</v>
      </c>
      <c r="D288" s="52" t="s">
        <v>193</v>
      </c>
      <c r="E288" s="52" t="s">
        <v>292</v>
      </c>
      <c r="F288" s="72" t="s">
        <v>21</v>
      </c>
      <c r="G288" s="70">
        <v>2.9767996215350988E-2</v>
      </c>
      <c r="H288" s="70">
        <v>3.400513443961789E-2</v>
      </c>
      <c r="I288" s="70" t="s">
        <v>21</v>
      </c>
      <c r="J288" s="62" t="s">
        <v>21</v>
      </c>
      <c r="K288" s="70" t="s">
        <v>21</v>
      </c>
      <c r="L288" s="70">
        <v>2.2345169153509914E-3</v>
      </c>
      <c r="M288" s="70">
        <v>6.0060698396178971E-3</v>
      </c>
      <c r="N288" s="70" t="s">
        <v>21</v>
      </c>
      <c r="O288" s="62" t="s">
        <v>21</v>
      </c>
      <c r="P288" s="54" t="s">
        <v>598</v>
      </c>
      <c r="Q288" s="52" t="s">
        <v>599</v>
      </c>
      <c r="R288" s="93" t="s">
        <v>32</v>
      </c>
      <c r="S288" s="70">
        <v>3.4215410000000002E-2</v>
      </c>
      <c r="T288" s="70">
        <v>-2.1027556038211159E-4</v>
      </c>
      <c r="V288" s="113">
        <v>1.1324381299999999</v>
      </c>
      <c r="W288" s="71">
        <v>2.9534959299999999</v>
      </c>
      <c r="X288" s="71">
        <v>4.6306282599999999</v>
      </c>
      <c r="Y288" s="71">
        <v>6.13649354</v>
      </c>
      <c r="Z288" s="114">
        <v>8.0975215700000014</v>
      </c>
    </row>
    <row r="289" spans="2:26" x14ac:dyDescent="0.35">
      <c r="B289" s="54" t="s">
        <v>194</v>
      </c>
      <c r="C289" s="52" t="s">
        <v>232</v>
      </c>
      <c r="D289" s="52" t="s">
        <v>195</v>
      </c>
      <c r="E289" s="52" t="s">
        <v>600</v>
      </c>
      <c r="F289" s="72" t="s">
        <v>21</v>
      </c>
      <c r="G289" s="70">
        <v>3.5897937895943692E-2</v>
      </c>
      <c r="H289" s="70">
        <v>4.4592514116854651E-2</v>
      </c>
      <c r="I289" s="70" t="s">
        <v>21</v>
      </c>
      <c r="J289" s="62" t="s">
        <v>21</v>
      </c>
      <c r="K289" s="70" t="s">
        <v>21</v>
      </c>
      <c r="L289" s="70">
        <v>8.1514251959436852E-3</v>
      </c>
      <c r="M289" s="70">
        <v>1.6203445916854645E-2</v>
      </c>
      <c r="N289" s="70" t="s">
        <v>21</v>
      </c>
      <c r="O289" s="62" t="s">
        <v>21</v>
      </c>
      <c r="P289" s="54" t="s">
        <v>601</v>
      </c>
      <c r="Q289" s="52" t="s">
        <v>602</v>
      </c>
      <c r="R289" s="93" t="s">
        <v>32</v>
      </c>
      <c r="S289" s="70">
        <v>4.3563479999999995E-2</v>
      </c>
      <c r="T289" s="70">
        <v>1.029034116854656E-3</v>
      </c>
      <c r="V289" s="113">
        <v>1.1283058100000001</v>
      </c>
      <c r="W289" s="71">
        <v>2.91341275</v>
      </c>
      <c r="X289" s="71">
        <v>4.4808659799999999</v>
      </c>
      <c r="Y289" s="71">
        <v>5.7995644899999999</v>
      </c>
      <c r="Z289" s="114">
        <v>7.3643814799999996</v>
      </c>
    </row>
    <row r="290" spans="2:26" x14ac:dyDescent="0.35">
      <c r="B290" s="54" t="s">
        <v>196</v>
      </c>
      <c r="C290" s="52" t="s">
        <v>232</v>
      </c>
      <c r="D290" s="52" t="s">
        <v>197</v>
      </c>
      <c r="E290" s="52" t="s">
        <v>55</v>
      </c>
      <c r="F290" s="72" t="s">
        <v>21</v>
      </c>
      <c r="G290" s="70">
        <v>3.4757522931380881E-2</v>
      </c>
      <c r="H290" s="70">
        <v>4.1083816131319062E-2</v>
      </c>
      <c r="I290" s="70" t="s">
        <v>21</v>
      </c>
      <c r="J290" s="62" t="s">
        <v>21</v>
      </c>
      <c r="K290" s="70" t="s">
        <v>21</v>
      </c>
      <c r="L290" s="70">
        <v>7.0668110313808746E-3</v>
      </c>
      <c r="M290" s="70">
        <v>1.285257343131907E-2</v>
      </c>
      <c r="N290" s="70" t="s">
        <v>21</v>
      </c>
      <c r="O290" s="62" t="s">
        <v>21</v>
      </c>
      <c r="P290" s="54" t="s">
        <v>603</v>
      </c>
      <c r="Q290" s="52" t="s">
        <v>604</v>
      </c>
      <c r="R290" s="93">
        <v>47586</v>
      </c>
      <c r="S290" s="70">
        <v>3.9626380000000003E-2</v>
      </c>
      <c r="T290" s="70">
        <v>1.4574361313190592E-3</v>
      </c>
      <c r="V290" s="113">
        <v>1.12780871</v>
      </c>
      <c r="W290" s="71">
        <v>2.9177551300000002</v>
      </c>
      <c r="X290" s="71">
        <v>4.5207360400000001</v>
      </c>
      <c r="Y290" s="71">
        <v>5.9022678800000001</v>
      </c>
      <c r="Z290" s="114">
        <v>7.6079400899999996</v>
      </c>
    </row>
    <row r="291" spans="2:26" x14ac:dyDescent="0.35">
      <c r="B291" s="54" t="s">
        <v>198</v>
      </c>
      <c r="C291" s="52" t="s">
        <v>232</v>
      </c>
      <c r="D291" s="52" t="s">
        <v>199</v>
      </c>
      <c r="E291" s="52" t="s">
        <v>293</v>
      </c>
      <c r="F291" s="72" t="s">
        <v>21</v>
      </c>
      <c r="G291" s="70">
        <v>3.6765357584647565E-2</v>
      </c>
      <c r="H291" s="70">
        <v>4.4316008644282652E-2</v>
      </c>
      <c r="I291" s="70" t="s">
        <v>21</v>
      </c>
      <c r="J291" s="62" t="s">
        <v>21</v>
      </c>
      <c r="K291" s="70" t="s">
        <v>21</v>
      </c>
      <c r="L291" s="70">
        <v>9.0024111846475716E-3</v>
      </c>
      <c r="M291" s="70">
        <v>1.595348784428265E-2</v>
      </c>
      <c r="N291" s="70" t="s">
        <v>21</v>
      </c>
      <c r="O291" s="62" t="s">
        <v>21</v>
      </c>
      <c r="P291" s="54" t="s">
        <v>605</v>
      </c>
      <c r="Q291" s="52" t="s">
        <v>606</v>
      </c>
      <c r="R291" s="93" t="s">
        <v>32</v>
      </c>
      <c r="S291" s="70">
        <v>3.9536439999999999E-2</v>
      </c>
      <c r="T291" s="70">
        <v>4.7795686442826529E-3</v>
      </c>
      <c r="V291" s="113">
        <v>1.1263691100000002</v>
      </c>
      <c r="W291" s="71">
        <v>2.90437784</v>
      </c>
      <c r="X291" s="71">
        <v>4.47478</v>
      </c>
      <c r="Y291" s="71">
        <v>5.8015322500000002</v>
      </c>
      <c r="Z291" s="114">
        <v>7.3930426300000001</v>
      </c>
    </row>
    <row r="292" spans="2:26" x14ac:dyDescent="0.35">
      <c r="B292" s="54" t="s">
        <v>200</v>
      </c>
      <c r="C292" s="52" t="s">
        <v>232</v>
      </c>
      <c r="D292" s="52" t="s">
        <v>201</v>
      </c>
      <c r="E292" s="52" t="s">
        <v>179</v>
      </c>
      <c r="F292" s="72" t="s">
        <v>21</v>
      </c>
      <c r="G292" s="70">
        <v>3.3526295324164415E-2</v>
      </c>
      <c r="H292" s="70">
        <v>3.9094920463732162E-2</v>
      </c>
      <c r="I292" s="70" t="s">
        <v>21</v>
      </c>
      <c r="J292" s="62" t="s">
        <v>21</v>
      </c>
      <c r="K292" s="70" t="s">
        <v>21</v>
      </c>
      <c r="L292" s="70">
        <v>5.8714043241644099E-3</v>
      </c>
      <c r="M292" s="70">
        <v>1.0930533763732162E-2</v>
      </c>
      <c r="N292" s="70" t="s">
        <v>21</v>
      </c>
      <c r="O292" s="62" t="s">
        <v>21</v>
      </c>
      <c r="P292" s="54" t="s">
        <v>607</v>
      </c>
      <c r="Q292" s="52" t="s">
        <v>608</v>
      </c>
      <c r="R292" s="93" t="s">
        <v>32</v>
      </c>
      <c r="S292" s="70">
        <v>-9.4503599999999997E-3</v>
      </c>
      <c r="T292" s="70">
        <v>4.854528046373216E-2</v>
      </c>
      <c r="V292" s="113">
        <v>1.12829859</v>
      </c>
      <c r="W292" s="71">
        <v>2.92447123</v>
      </c>
      <c r="X292" s="71">
        <v>4.5457062800000001</v>
      </c>
      <c r="Y292" s="71">
        <v>5.9623950299999997</v>
      </c>
      <c r="Z292" s="114">
        <v>7.7582077499999995</v>
      </c>
    </row>
    <row r="293" spans="2:26" x14ac:dyDescent="0.35">
      <c r="B293" s="54" t="s">
        <v>202</v>
      </c>
      <c r="C293" s="52" t="s">
        <v>232</v>
      </c>
      <c r="D293" s="52" t="s">
        <v>203</v>
      </c>
      <c r="E293" s="52" t="s">
        <v>609</v>
      </c>
      <c r="F293" s="72" t="s">
        <v>21</v>
      </c>
      <c r="G293" s="70">
        <v>4.3114286630090579E-2</v>
      </c>
      <c r="H293" s="70">
        <v>5.2705781139385226E-2</v>
      </c>
      <c r="I293" s="70" t="s">
        <v>21</v>
      </c>
      <c r="J293" s="62" t="s">
        <v>21</v>
      </c>
      <c r="K293" s="70" t="s">
        <v>21</v>
      </c>
      <c r="L293" s="70">
        <v>1.5069474130090577E-2</v>
      </c>
      <c r="M293" s="70">
        <v>2.3918712039385226E-2</v>
      </c>
      <c r="N293" s="70" t="s">
        <v>21</v>
      </c>
      <c r="O293" s="62" t="s">
        <v>21</v>
      </c>
      <c r="P293" s="54" t="s">
        <v>21</v>
      </c>
      <c r="Q293" s="52" t="s">
        <v>21</v>
      </c>
      <c r="R293" s="93" t="s">
        <v>21</v>
      </c>
      <c r="S293" s="70" t="s">
        <v>21</v>
      </c>
      <c r="T293" s="70" t="s">
        <v>21</v>
      </c>
      <c r="V293" s="113">
        <v>1.11970919</v>
      </c>
      <c r="W293" s="71">
        <v>2.8554366799999999</v>
      </c>
      <c r="X293" s="71">
        <v>4.3422072200000006</v>
      </c>
      <c r="Y293" s="71">
        <v>5.5474938399999996</v>
      </c>
      <c r="Z293" s="114">
        <v>6.93203748</v>
      </c>
    </row>
    <row r="294" spans="2:26" x14ac:dyDescent="0.35">
      <c r="B294" s="54" t="s">
        <v>204</v>
      </c>
      <c r="C294" s="52" t="s">
        <v>232</v>
      </c>
      <c r="D294" s="52" t="s">
        <v>205</v>
      </c>
      <c r="E294" s="52" t="s">
        <v>191</v>
      </c>
      <c r="F294" s="72" t="s">
        <v>21</v>
      </c>
      <c r="G294" s="70">
        <v>3.2273378691420121E-2</v>
      </c>
      <c r="H294" s="70">
        <v>3.6983485920037314E-2</v>
      </c>
      <c r="I294" s="70" t="s">
        <v>21</v>
      </c>
      <c r="J294" s="62" t="s">
        <v>21</v>
      </c>
      <c r="K294" s="70" t="s">
        <v>21</v>
      </c>
      <c r="L294" s="70">
        <v>4.6639641914201172E-3</v>
      </c>
      <c r="M294" s="70">
        <v>8.8957595200373236E-3</v>
      </c>
      <c r="N294" s="70" t="s">
        <v>21</v>
      </c>
      <c r="O294" s="62" t="s">
        <v>21</v>
      </c>
      <c r="P294" s="54" t="s">
        <v>610</v>
      </c>
      <c r="Q294" s="52" t="s">
        <v>611</v>
      </c>
      <c r="R294" s="93" t="s">
        <v>32</v>
      </c>
      <c r="S294" s="70">
        <v>3.2849900000000001E-2</v>
      </c>
      <c r="T294" s="70">
        <v>4.1335859200373123E-3</v>
      </c>
      <c r="V294" s="113">
        <v>1.12957599</v>
      </c>
      <c r="W294" s="71">
        <v>2.93433688</v>
      </c>
      <c r="X294" s="71">
        <v>4.5793212799999994</v>
      </c>
      <c r="Y294" s="71">
        <v>6.0356753699999999</v>
      </c>
      <c r="Z294" s="114">
        <v>7.9141594999999993</v>
      </c>
    </row>
    <row r="295" spans="2:26" x14ac:dyDescent="0.35">
      <c r="B295" s="54" t="s">
        <v>206</v>
      </c>
      <c r="C295" s="52" t="s">
        <v>232</v>
      </c>
      <c r="D295" s="52" t="s">
        <v>207</v>
      </c>
      <c r="E295" s="52" t="s">
        <v>179</v>
      </c>
      <c r="F295" s="72" t="s">
        <v>21</v>
      </c>
      <c r="G295" s="70">
        <v>3.6098593527202821E-2</v>
      </c>
      <c r="H295" s="70">
        <v>4.3086272138308901E-2</v>
      </c>
      <c r="I295" s="70" t="s">
        <v>21</v>
      </c>
      <c r="J295" s="62" t="s">
        <v>21</v>
      </c>
      <c r="K295" s="70" t="s">
        <v>21</v>
      </c>
      <c r="L295" s="70">
        <v>8.3565493272028217E-3</v>
      </c>
      <c r="M295" s="70">
        <v>1.4771349138308899E-2</v>
      </c>
      <c r="N295" s="70" t="s">
        <v>21</v>
      </c>
      <c r="O295" s="62" t="s">
        <v>21</v>
      </c>
      <c r="P295" s="54" t="s">
        <v>21</v>
      </c>
      <c r="Q295" s="52" t="s">
        <v>21</v>
      </c>
      <c r="R295" s="93" t="s">
        <v>21</v>
      </c>
      <c r="S295" s="70" t="s">
        <v>21</v>
      </c>
      <c r="T295" s="70" t="s">
        <v>21</v>
      </c>
      <c r="V295" s="113">
        <v>1.1262133599999999</v>
      </c>
      <c r="W295" s="71">
        <v>2.90687775</v>
      </c>
      <c r="X295" s="71">
        <v>4.48896769</v>
      </c>
      <c r="Y295" s="71">
        <v>5.8384690199999998</v>
      </c>
      <c r="Z295" s="114">
        <v>7.4801030700000011</v>
      </c>
    </row>
    <row r="296" spans="2:26" x14ac:dyDescent="0.35">
      <c r="B296" s="54" t="s">
        <v>411</v>
      </c>
      <c r="C296" s="52" t="s">
        <v>232</v>
      </c>
      <c r="D296" s="52" t="s">
        <v>411</v>
      </c>
      <c r="E296" s="52" t="s">
        <v>612</v>
      </c>
      <c r="F296" s="72" t="s">
        <v>21</v>
      </c>
      <c r="G296" s="70">
        <v>5.9317944554121933E-2</v>
      </c>
      <c r="H296" s="70">
        <v>6.8218299555613149E-2</v>
      </c>
      <c r="I296" s="70" t="s">
        <v>21</v>
      </c>
      <c r="J296" s="62" t="s">
        <v>21</v>
      </c>
      <c r="K296" s="70" t="s">
        <v>21</v>
      </c>
      <c r="L296" s="70">
        <v>3.0293426454121929E-2</v>
      </c>
      <c r="M296" s="70">
        <v>3.8358100955613157E-2</v>
      </c>
      <c r="N296" s="70" t="s">
        <v>21</v>
      </c>
      <c r="O296" s="62" t="s">
        <v>21</v>
      </c>
      <c r="P296" s="54" t="s">
        <v>613</v>
      </c>
      <c r="Q296" s="52" t="s">
        <v>614</v>
      </c>
      <c r="R296" s="93" t="s">
        <v>32</v>
      </c>
      <c r="S296" s="70">
        <v>6.301211000000001E-2</v>
      </c>
      <c r="T296" s="70">
        <v>5.2061895556131388E-3</v>
      </c>
      <c r="V296" s="113">
        <v>1.08776567</v>
      </c>
      <c r="W296" s="71">
        <v>2.7134672900000001</v>
      </c>
      <c r="X296" s="71">
        <v>4.0447690700000001</v>
      </c>
      <c r="Y296" s="71">
        <v>5.0985607499999999</v>
      </c>
      <c r="Z296" s="114">
        <v>6.2836537600000009</v>
      </c>
    </row>
    <row r="297" spans="2:26" x14ac:dyDescent="0.35">
      <c r="B297" s="54" t="s">
        <v>208</v>
      </c>
      <c r="C297" s="52" t="s">
        <v>232</v>
      </c>
      <c r="D297" s="52" t="s">
        <v>208</v>
      </c>
      <c r="E297" s="52" t="s">
        <v>615</v>
      </c>
      <c r="F297" s="72" t="s">
        <v>21</v>
      </c>
      <c r="G297" s="70">
        <v>3.3831436123936375E-2</v>
      </c>
      <c r="H297" s="70">
        <v>3.8792685445224934E-2</v>
      </c>
      <c r="I297" s="70" t="s">
        <v>21</v>
      </c>
      <c r="J297" s="62" t="s">
        <v>21</v>
      </c>
      <c r="K297" s="70" t="s">
        <v>21</v>
      </c>
      <c r="L297" s="70">
        <v>6.1735572239363691E-3</v>
      </c>
      <c r="M297" s="70">
        <v>1.0646225945224932E-2</v>
      </c>
      <c r="N297" s="70" t="s">
        <v>21</v>
      </c>
      <c r="O297" s="62" t="s">
        <v>21</v>
      </c>
      <c r="P297" s="54" t="s">
        <v>616</v>
      </c>
      <c r="Q297" s="52" t="s">
        <v>617</v>
      </c>
      <c r="R297" s="93" t="s">
        <v>32</v>
      </c>
      <c r="S297" s="70">
        <v>3.7388360000000002E-2</v>
      </c>
      <c r="T297" s="70">
        <v>1.4043254452249312E-3</v>
      </c>
      <c r="V297" s="113">
        <v>1.12834247</v>
      </c>
      <c r="W297" s="71">
        <v>2.9237840500000001</v>
      </c>
      <c r="X297" s="71">
        <v>4.5486157300000007</v>
      </c>
      <c r="Y297" s="71">
        <v>5.9823843199999995</v>
      </c>
      <c r="Z297" s="114">
        <v>7.8257782000000002</v>
      </c>
    </row>
    <row r="298" spans="2:26" x14ac:dyDescent="0.35">
      <c r="B298" s="54" t="s">
        <v>209</v>
      </c>
      <c r="C298" s="52" t="s">
        <v>232</v>
      </c>
      <c r="D298" s="52" t="s">
        <v>209</v>
      </c>
      <c r="E298" s="52" t="s">
        <v>618</v>
      </c>
      <c r="F298" s="72" t="s">
        <v>21</v>
      </c>
      <c r="G298" s="70">
        <v>4.0615555948098431E-2</v>
      </c>
      <c r="H298" s="70">
        <v>4.837083076808088E-2</v>
      </c>
      <c r="I298" s="70" t="s">
        <v>21</v>
      </c>
      <c r="J298" s="62" t="s">
        <v>21</v>
      </c>
      <c r="K298" s="70" t="s">
        <v>21</v>
      </c>
      <c r="L298" s="70">
        <v>1.2598277948098438E-2</v>
      </c>
      <c r="M298" s="70">
        <v>1.9714481868080877E-2</v>
      </c>
      <c r="N298" s="70" t="s">
        <v>21</v>
      </c>
      <c r="O298" s="62" t="s">
        <v>21</v>
      </c>
      <c r="P298" s="54" t="s">
        <v>619</v>
      </c>
      <c r="Q298" s="52" t="s">
        <v>620</v>
      </c>
      <c r="R298" s="93" t="s">
        <v>32</v>
      </c>
      <c r="S298" s="70">
        <v>6.0068299999999998E-2</v>
      </c>
      <c r="T298" s="70">
        <v>-1.1697469231919118E-2</v>
      </c>
      <c r="V298" s="113">
        <v>1.11890592</v>
      </c>
      <c r="W298" s="71">
        <v>2.8591271599999999</v>
      </c>
      <c r="X298" s="71">
        <v>4.3679463800000002</v>
      </c>
      <c r="Y298" s="71">
        <v>5.6312180000000005</v>
      </c>
      <c r="Z298" s="114">
        <v>7.1640181999999992</v>
      </c>
    </row>
    <row r="299" spans="2:26" x14ac:dyDescent="0.35">
      <c r="B299" s="54" t="s">
        <v>210</v>
      </c>
      <c r="C299" s="52" t="s">
        <v>232</v>
      </c>
      <c r="D299" s="52" t="s">
        <v>210</v>
      </c>
      <c r="E299" s="52" t="s">
        <v>572</v>
      </c>
      <c r="F299" s="72" t="s">
        <v>21</v>
      </c>
      <c r="G299" s="70">
        <v>5.1168474549300264E-2</v>
      </c>
      <c r="H299" s="70">
        <v>6.2041380343526367E-2</v>
      </c>
      <c r="I299" s="70" t="s">
        <v>21</v>
      </c>
      <c r="J299" s="62" t="s">
        <v>21</v>
      </c>
      <c r="K299" s="70" t="s">
        <v>21</v>
      </c>
      <c r="L299" s="70">
        <v>2.2676963749300269E-2</v>
      </c>
      <c r="M299" s="70">
        <v>3.2657523043526371E-2</v>
      </c>
      <c r="N299" s="70" t="s">
        <v>21</v>
      </c>
      <c r="O299" s="62" t="s">
        <v>21</v>
      </c>
      <c r="P299" s="54" t="s">
        <v>621</v>
      </c>
      <c r="Q299" s="52" t="s">
        <v>622</v>
      </c>
      <c r="R299" s="93" t="s">
        <v>32</v>
      </c>
      <c r="S299" s="70">
        <v>5.518605E-2</v>
      </c>
      <c r="T299" s="70">
        <v>6.8553303435263668E-3</v>
      </c>
      <c r="V299" s="113">
        <v>1.10719276</v>
      </c>
      <c r="W299" s="71">
        <v>2.7918694199999998</v>
      </c>
      <c r="X299" s="71">
        <v>4.1875570900000003</v>
      </c>
      <c r="Y299" s="71">
        <v>5.30422291</v>
      </c>
      <c r="Z299" s="114">
        <v>6.5799032899999998</v>
      </c>
    </row>
    <row r="300" spans="2:26" x14ac:dyDescent="0.35">
      <c r="B300" s="54" t="s">
        <v>211</v>
      </c>
      <c r="C300" s="52" t="s">
        <v>232</v>
      </c>
      <c r="D300" s="52" t="s">
        <v>211</v>
      </c>
      <c r="E300" s="52" t="s">
        <v>623</v>
      </c>
      <c r="F300" s="72" t="s">
        <v>21</v>
      </c>
      <c r="G300" s="70">
        <v>4.8651396296428936E-2</v>
      </c>
      <c r="H300" s="70">
        <v>5.8188712323781609E-2</v>
      </c>
      <c r="I300" s="70" t="s">
        <v>21</v>
      </c>
      <c r="J300" s="62" t="s">
        <v>21</v>
      </c>
      <c r="K300" s="70" t="s">
        <v>21</v>
      </c>
      <c r="L300" s="70">
        <v>2.0288755196428941E-2</v>
      </c>
      <c r="M300" s="70">
        <v>2.904352142378161E-2</v>
      </c>
      <c r="N300" s="70" t="s">
        <v>21</v>
      </c>
      <c r="O300" s="62" t="s">
        <v>21</v>
      </c>
      <c r="P300" s="54" t="s">
        <v>624</v>
      </c>
      <c r="Q300" s="52" t="s">
        <v>625</v>
      </c>
      <c r="R300" s="93" t="s">
        <v>32</v>
      </c>
      <c r="S300" s="70">
        <v>5.1584329999999998E-2</v>
      </c>
      <c r="T300" s="70">
        <v>6.6043823237816116E-3</v>
      </c>
      <c r="V300" s="113">
        <v>1.11187551</v>
      </c>
      <c r="W300" s="71">
        <v>2.8100354599999999</v>
      </c>
      <c r="X300" s="71">
        <v>4.2384799100000006</v>
      </c>
      <c r="Y300" s="71">
        <v>5.3903074499999999</v>
      </c>
      <c r="Z300" s="114">
        <v>6.7109877100000004</v>
      </c>
    </row>
    <row r="301" spans="2:26" x14ac:dyDescent="0.35">
      <c r="B301" s="54" t="s">
        <v>272</v>
      </c>
      <c r="C301" s="52" t="s">
        <v>232</v>
      </c>
      <c r="D301" s="52" t="s">
        <v>272</v>
      </c>
      <c r="E301" s="52" t="s">
        <v>286</v>
      </c>
      <c r="F301" s="72" t="s">
        <v>21</v>
      </c>
      <c r="G301" s="70">
        <v>3.2109438279006322E-2</v>
      </c>
      <c r="H301" s="70">
        <v>3.8238662607319104E-2</v>
      </c>
      <c r="I301" s="70" t="s">
        <v>21</v>
      </c>
      <c r="J301" s="62" t="s">
        <v>21</v>
      </c>
      <c r="K301" s="70" t="s">
        <v>21</v>
      </c>
      <c r="L301" s="70">
        <v>4.5087192790063228E-3</v>
      </c>
      <c r="M301" s="70">
        <v>1.011229310731911E-2</v>
      </c>
      <c r="N301" s="70" t="s">
        <v>21</v>
      </c>
      <c r="O301" s="62" t="s">
        <v>21</v>
      </c>
      <c r="P301" s="54" t="s">
        <v>21</v>
      </c>
      <c r="Q301" s="52" t="s">
        <v>21</v>
      </c>
      <c r="R301" s="93" t="s">
        <v>21</v>
      </c>
      <c r="S301" s="70" t="s">
        <v>21</v>
      </c>
      <c r="T301" s="70" t="s">
        <v>21</v>
      </c>
      <c r="V301" s="113">
        <v>1.1304487000000001</v>
      </c>
      <c r="W301" s="71">
        <v>2.9371486400000002</v>
      </c>
      <c r="X301" s="71">
        <v>4.5716246900000002</v>
      </c>
      <c r="Y301" s="71">
        <v>5.9926798000000003</v>
      </c>
      <c r="Z301" s="114">
        <v>7.8076030300000001</v>
      </c>
    </row>
    <row r="302" spans="2:26" x14ac:dyDescent="0.35">
      <c r="B302" s="54" t="s">
        <v>273</v>
      </c>
      <c r="C302" s="52" t="s">
        <v>232</v>
      </c>
      <c r="D302" s="52" t="s">
        <v>273</v>
      </c>
      <c r="E302" s="52" t="s">
        <v>274</v>
      </c>
      <c r="F302" s="72" t="s">
        <v>21</v>
      </c>
      <c r="G302" s="70">
        <v>3.5664375996865054E-2</v>
      </c>
      <c r="H302" s="70">
        <v>4.1928424750548234E-2</v>
      </c>
      <c r="I302" s="70" t="s">
        <v>21</v>
      </c>
      <c r="J302" s="62" t="s">
        <v>21</v>
      </c>
      <c r="K302" s="70" t="s">
        <v>21</v>
      </c>
      <c r="L302" s="70">
        <v>7.9354219968650608E-3</v>
      </c>
      <c r="M302" s="70">
        <v>1.3660232150548235E-2</v>
      </c>
      <c r="N302" s="70" t="s">
        <v>21</v>
      </c>
      <c r="O302" s="62" t="s">
        <v>21</v>
      </c>
      <c r="P302" s="54" t="s">
        <v>626</v>
      </c>
      <c r="Q302" s="52" t="s">
        <v>627</v>
      </c>
      <c r="R302" s="93" t="s">
        <v>32</v>
      </c>
      <c r="S302" s="70">
        <v>4.0311329999999999E-2</v>
      </c>
      <c r="T302" s="70">
        <v>1.6170947505482341E-3</v>
      </c>
      <c r="V302" s="113">
        <v>1.12870914</v>
      </c>
      <c r="W302" s="71">
        <v>2.9149262400000002</v>
      </c>
      <c r="X302" s="71">
        <v>4.5080670199999995</v>
      </c>
      <c r="Y302" s="71">
        <v>5.8843045700000003</v>
      </c>
      <c r="Z302" s="114">
        <v>7.6121105099999999</v>
      </c>
    </row>
    <row r="303" spans="2:26" x14ac:dyDescent="0.35">
      <c r="B303" s="137" t="s">
        <v>277</v>
      </c>
      <c r="C303" s="138" t="s">
        <v>232</v>
      </c>
      <c r="D303" s="138" t="s">
        <v>277</v>
      </c>
      <c r="E303" s="138" t="s">
        <v>278</v>
      </c>
      <c r="F303" s="139" t="s">
        <v>21</v>
      </c>
      <c r="G303" s="140">
        <v>3.2232166863600496E-2</v>
      </c>
      <c r="H303" s="140">
        <v>3.7250603907820347E-2</v>
      </c>
      <c r="I303" s="140" t="s">
        <v>21</v>
      </c>
      <c r="J303" s="141" t="s">
        <v>21</v>
      </c>
      <c r="K303" s="140" t="s">
        <v>21</v>
      </c>
      <c r="L303" s="140">
        <v>4.6252265636004975E-3</v>
      </c>
      <c r="M303" s="140">
        <v>9.1553310078203443E-3</v>
      </c>
      <c r="N303" s="140" t="s">
        <v>21</v>
      </c>
      <c r="O303" s="141" t="s">
        <v>21</v>
      </c>
      <c r="P303" s="137" t="s">
        <v>628</v>
      </c>
      <c r="Q303" s="138" t="s">
        <v>629</v>
      </c>
      <c r="R303" s="142" t="s">
        <v>32</v>
      </c>
      <c r="S303" s="140">
        <v>3.1693899999999997E-2</v>
      </c>
      <c r="T303" s="140">
        <v>5.5567039078203498E-3</v>
      </c>
      <c r="V303" s="143">
        <v>1.1305668200000001</v>
      </c>
      <c r="W303" s="144">
        <v>2.93605654</v>
      </c>
      <c r="X303" s="144">
        <v>4.57801715</v>
      </c>
      <c r="Y303" s="144">
        <v>6.0312270699999999</v>
      </c>
      <c r="Z303" s="145">
        <v>7.9044902700000002</v>
      </c>
    </row>
    <row r="304" spans="2:26" x14ac:dyDescent="0.35">
      <c r="B304" s="137" t="s">
        <v>279</v>
      </c>
      <c r="C304" s="138" t="s">
        <v>232</v>
      </c>
      <c r="D304" s="138" t="s">
        <v>279</v>
      </c>
      <c r="E304" s="138" t="s">
        <v>48</v>
      </c>
      <c r="F304" s="139" t="s">
        <v>21</v>
      </c>
      <c r="G304" s="140">
        <v>3.9160627282163532E-2</v>
      </c>
      <c r="H304" s="140">
        <v>4.6625952447963095E-2</v>
      </c>
      <c r="I304" s="140" t="s">
        <v>21</v>
      </c>
      <c r="J304" s="141" t="s">
        <v>21</v>
      </c>
      <c r="K304" s="140" t="s">
        <v>21</v>
      </c>
      <c r="L304" s="140">
        <v>1.1296559482163527E-2</v>
      </c>
      <c r="M304" s="140">
        <v>1.8152036247963098E-2</v>
      </c>
      <c r="N304" s="140" t="s">
        <v>21</v>
      </c>
      <c r="O304" s="141" t="s">
        <v>21</v>
      </c>
      <c r="P304" s="137" t="s">
        <v>630</v>
      </c>
      <c r="Q304" s="138" t="s">
        <v>631</v>
      </c>
      <c r="R304" s="142" t="s">
        <v>32</v>
      </c>
      <c r="S304" s="140">
        <v>4.43401E-2</v>
      </c>
      <c r="T304" s="140">
        <v>2.2858524479630951E-3</v>
      </c>
      <c r="V304" s="143">
        <v>1.1237284999999999</v>
      </c>
      <c r="W304" s="144">
        <v>2.8842939099999998</v>
      </c>
      <c r="X304" s="144">
        <v>4.4289073600000002</v>
      </c>
      <c r="Y304" s="144">
        <v>5.7340420099999996</v>
      </c>
      <c r="Z304" s="145">
        <v>7.2983229799999991</v>
      </c>
    </row>
    <row r="305" spans="2:26" x14ac:dyDescent="0.35">
      <c r="B305" s="146" t="s">
        <v>275</v>
      </c>
      <c r="C305" s="147" t="s">
        <v>232</v>
      </c>
      <c r="D305" s="147" t="s">
        <v>276</v>
      </c>
      <c r="E305" s="147" t="s">
        <v>123</v>
      </c>
      <c r="F305" s="148" t="s">
        <v>21</v>
      </c>
      <c r="G305" s="149">
        <v>3.5617223593101911E-2</v>
      </c>
      <c r="H305" s="149">
        <v>4.0994520863757995E-2</v>
      </c>
      <c r="I305" s="149" t="s">
        <v>21</v>
      </c>
      <c r="J305" s="150" t="s">
        <v>21</v>
      </c>
      <c r="K305" s="149" t="s">
        <v>21</v>
      </c>
      <c r="L305" s="149">
        <v>7.8704508931019112E-3</v>
      </c>
      <c r="M305" s="149">
        <v>1.2725861663757995E-2</v>
      </c>
      <c r="N305" s="149" t="s">
        <v>21</v>
      </c>
      <c r="O305" s="150" t="s">
        <v>21</v>
      </c>
      <c r="P305" s="146" t="s">
        <v>632</v>
      </c>
      <c r="Q305" s="147" t="s">
        <v>633</v>
      </c>
      <c r="R305" s="151" t="s">
        <v>32</v>
      </c>
      <c r="S305" s="149">
        <v>3.6818900000000002E-2</v>
      </c>
      <c r="T305" s="149">
        <v>4.1756208637579936E-3</v>
      </c>
      <c r="V305" s="152">
        <v>1.1245511800000001</v>
      </c>
      <c r="W305" s="153">
        <v>2.8987563300000003</v>
      </c>
      <c r="X305" s="153">
        <v>4.4809038299999999</v>
      </c>
      <c r="Y305" s="153">
        <v>5.8493851899999996</v>
      </c>
      <c r="Z305" s="154">
        <v>7.5357340400000004</v>
      </c>
    </row>
    <row r="306" spans="2:26" x14ac:dyDescent="0.35">
      <c r="B306" s="54" t="s">
        <v>212</v>
      </c>
      <c r="C306" s="52" t="s">
        <v>232</v>
      </c>
      <c r="D306" s="52" t="s">
        <v>199</v>
      </c>
      <c r="E306" s="52" t="s">
        <v>293</v>
      </c>
      <c r="F306" s="72" t="s">
        <v>21</v>
      </c>
      <c r="G306" s="70">
        <v>3.6172289833054656E-2</v>
      </c>
      <c r="H306" s="70">
        <v>4.4551268894981948E-2</v>
      </c>
      <c r="I306" s="70" t="s">
        <v>21</v>
      </c>
      <c r="J306" s="62" t="s">
        <v>21</v>
      </c>
      <c r="K306" s="70" t="s">
        <v>21</v>
      </c>
      <c r="L306" s="70">
        <v>8.4030107330546611E-3</v>
      </c>
      <c r="M306" s="70">
        <v>1.6147376694981952E-2</v>
      </c>
      <c r="N306" s="70" t="s">
        <v>21</v>
      </c>
      <c r="O306" s="62" t="s">
        <v>21</v>
      </c>
      <c r="P306" s="54" t="s">
        <v>634</v>
      </c>
      <c r="Q306" s="52" t="s">
        <v>635</v>
      </c>
      <c r="R306" s="93" t="s">
        <v>32</v>
      </c>
      <c r="S306" s="70">
        <v>4.103101E-2</v>
      </c>
      <c r="T306" s="70">
        <v>3.520258894981948E-3</v>
      </c>
      <c r="V306" s="113">
        <v>1.1278380799999999</v>
      </c>
      <c r="W306" s="71">
        <v>2.9067269800000002</v>
      </c>
      <c r="X306" s="71">
        <v>4.4691766799999995</v>
      </c>
      <c r="Y306" s="71">
        <v>5.7819014100000006</v>
      </c>
      <c r="Z306" s="114">
        <v>7.3563400000000003</v>
      </c>
    </row>
    <row r="307" spans="2:26" x14ac:dyDescent="0.35">
      <c r="B307" s="54" t="s">
        <v>213</v>
      </c>
      <c r="C307" s="52" t="s">
        <v>232</v>
      </c>
      <c r="D307" s="52" t="s">
        <v>197</v>
      </c>
      <c r="E307" s="52" t="s">
        <v>636</v>
      </c>
      <c r="F307" s="72" t="s">
        <v>21</v>
      </c>
      <c r="G307" s="70">
        <v>5.1427308741266831E-2</v>
      </c>
      <c r="H307" s="70">
        <v>5.9761309736901816E-2</v>
      </c>
      <c r="I307" s="70" t="s">
        <v>21</v>
      </c>
      <c r="J307" s="62" t="s">
        <v>21</v>
      </c>
      <c r="K307" s="70" t="s">
        <v>21</v>
      </c>
      <c r="L307" s="70">
        <v>2.290279344126683E-2</v>
      </c>
      <c r="M307" s="70">
        <v>3.0501440336901817E-2</v>
      </c>
      <c r="N307" s="70" t="s">
        <v>21</v>
      </c>
      <c r="O307" s="62" t="s">
        <v>21</v>
      </c>
      <c r="P307" s="54" t="s">
        <v>21</v>
      </c>
      <c r="Q307" s="52" t="s">
        <v>21</v>
      </c>
      <c r="R307" s="93" t="s">
        <v>21</v>
      </c>
      <c r="S307" s="70" t="s">
        <v>21</v>
      </c>
      <c r="T307" s="70" t="s">
        <v>21</v>
      </c>
      <c r="V307" s="113">
        <v>1.1015822900000001</v>
      </c>
      <c r="W307" s="71">
        <v>2.7756174799999997</v>
      </c>
      <c r="X307" s="71">
        <v>4.1869494200000004</v>
      </c>
      <c r="Y307" s="71">
        <v>5.3157989900000002</v>
      </c>
      <c r="Z307" s="114">
        <v>6.6071949000000005</v>
      </c>
    </row>
    <row r="308" spans="2:26" x14ac:dyDescent="0.35">
      <c r="B308" s="54" t="s">
        <v>280</v>
      </c>
      <c r="C308" s="52" t="s">
        <v>232</v>
      </c>
      <c r="D308" s="52" t="s">
        <v>199</v>
      </c>
      <c r="E308" s="52" t="s">
        <v>133</v>
      </c>
      <c r="F308" s="72" t="s">
        <v>21</v>
      </c>
      <c r="G308" s="70"/>
      <c r="H308" s="70">
        <v>3.4676245894182681E-2</v>
      </c>
      <c r="I308" s="70" t="s">
        <v>21</v>
      </c>
      <c r="J308" s="62" t="s">
        <v>21</v>
      </c>
      <c r="K308" s="70" t="s">
        <v>21</v>
      </c>
      <c r="L308" s="70"/>
      <c r="M308" s="70">
        <v>6.5738648941826849E-3</v>
      </c>
      <c r="N308" s="70" t="s">
        <v>21</v>
      </c>
      <c r="O308" s="62" t="s">
        <v>21</v>
      </c>
      <c r="P308" s="54" t="s">
        <v>294</v>
      </c>
      <c r="Q308" s="52" t="s">
        <v>295</v>
      </c>
      <c r="R308" s="93">
        <v>47581</v>
      </c>
      <c r="S308" s="70">
        <v>3.8250890000000003E-2</v>
      </c>
      <c r="T308" s="70">
        <v>-3.574644105817322E-3</v>
      </c>
      <c r="V308" s="113">
        <v>1.1282660499999999</v>
      </c>
      <c r="W308" s="71">
        <v>2.9306506199999998</v>
      </c>
      <c r="X308" s="71">
        <v>4.5692015900000005</v>
      </c>
      <c r="Y308" s="71">
        <v>6.0167357300000006</v>
      </c>
      <c r="Z308" s="114">
        <v>7.8543214700000004</v>
      </c>
    </row>
    <row r="309" spans="2:26" x14ac:dyDescent="0.35">
      <c r="B309" s="54" t="s">
        <v>281</v>
      </c>
      <c r="C309" s="52" t="s">
        <v>232</v>
      </c>
      <c r="D309" s="52" t="s">
        <v>195</v>
      </c>
      <c r="E309" s="52" t="s">
        <v>637</v>
      </c>
      <c r="F309" s="72" t="s">
        <v>21</v>
      </c>
      <c r="G309" s="70"/>
      <c r="H309" s="70">
        <v>6.1133048664213582E-2</v>
      </c>
      <c r="I309" s="70" t="s">
        <v>21</v>
      </c>
      <c r="J309" s="62" t="s">
        <v>21</v>
      </c>
      <c r="K309" s="70" t="s">
        <v>21</v>
      </c>
      <c r="L309" s="70"/>
      <c r="M309" s="70">
        <v>3.1762601964213565E-2</v>
      </c>
      <c r="N309" s="70" t="s">
        <v>21</v>
      </c>
      <c r="O309" s="62" t="s">
        <v>21</v>
      </c>
      <c r="P309" s="54" t="s">
        <v>21</v>
      </c>
      <c r="Q309" s="52" t="s">
        <v>21</v>
      </c>
      <c r="R309" s="93" t="s">
        <v>21</v>
      </c>
      <c r="S309" s="70" t="s">
        <v>21</v>
      </c>
      <c r="T309" s="70" t="s">
        <v>21</v>
      </c>
      <c r="V309" s="113">
        <v>1.0975196700000001</v>
      </c>
      <c r="W309" s="71">
        <v>2.7444856100000004</v>
      </c>
      <c r="X309" s="71">
        <v>4.1330471700000002</v>
      </c>
      <c r="Y309" s="71">
        <v>5.2857049700000003</v>
      </c>
      <c r="Z309" s="114">
        <v>6.6709742500000004</v>
      </c>
    </row>
    <row r="310" spans="2:26" x14ac:dyDescent="0.35">
      <c r="B310" s="54" t="s">
        <v>282</v>
      </c>
      <c r="C310" s="52" t="s">
        <v>232</v>
      </c>
      <c r="D310" s="52" t="s">
        <v>195</v>
      </c>
      <c r="E310" s="52" t="s">
        <v>638</v>
      </c>
      <c r="F310" s="72" t="s">
        <v>21</v>
      </c>
      <c r="G310" s="70"/>
      <c r="H310" s="70">
        <v>6.3541223258540572E-2</v>
      </c>
      <c r="I310" s="70" t="s">
        <v>21</v>
      </c>
      <c r="J310" s="62" t="s">
        <v>21</v>
      </c>
      <c r="K310" s="70" t="s">
        <v>21</v>
      </c>
      <c r="L310" s="70"/>
      <c r="M310" s="70">
        <v>3.4367693358540556E-2</v>
      </c>
      <c r="N310" s="70" t="s">
        <v>21</v>
      </c>
      <c r="O310" s="62" t="s">
        <v>21</v>
      </c>
      <c r="P310" s="54" t="s">
        <v>21</v>
      </c>
      <c r="Q310" s="52" t="s">
        <v>21</v>
      </c>
      <c r="R310" s="93" t="s">
        <v>21</v>
      </c>
      <c r="S310" s="70" t="s">
        <v>21</v>
      </c>
      <c r="T310" s="70" t="s">
        <v>21</v>
      </c>
      <c r="V310" s="113">
        <v>1.1035318999999999</v>
      </c>
      <c r="W310" s="71">
        <v>2.7871697499999999</v>
      </c>
      <c r="X310" s="71">
        <v>4.20723249</v>
      </c>
      <c r="Y310" s="71">
        <v>5.3544806000000005</v>
      </c>
      <c r="Z310" s="114">
        <v>6.6471420999999999</v>
      </c>
    </row>
    <row r="311" spans="2:26" x14ac:dyDescent="0.35">
      <c r="B311" s="56" t="s">
        <v>283</v>
      </c>
      <c r="C311" s="52" t="s">
        <v>232</v>
      </c>
      <c r="D311" s="66" t="s">
        <v>195</v>
      </c>
      <c r="E311" s="66" t="s">
        <v>268</v>
      </c>
      <c r="F311" s="73" t="s">
        <v>21</v>
      </c>
      <c r="G311" s="75"/>
      <c r="H311" s="75">
        <v>6.8126081591983662E-2</v>
      </c>
      <c r="I311" s="75" t="s">
        <v>21</v>
      </c>
      <c r="J311" s="63" t="s">
        <v>21</v>
      </c>
      <c r="K311" s="75" t="s">
        <v>21</v>
      </c>
      <c r="L311" s="75"/>
      <c r="M311" s="75">
        <v>3.792162319198368E-2</v>
      </c>
      <c r="N311" s="75" t="s">
        <v>21</v>
      </c>
      <c r="O311" s="63" t="s">
        <v>21</v>
      </c>
      <c r="P311" s="56" t="s">
        <v>639</v>
      </c>
      <c r="Q311" s="66" t="s">
        <v>640</v>
      </c>
      <c r="R311" s="95">
        <v>47560</v>
      </c>
      <c r="S311" s="75">
        <v>6.4381159999999993E-2</v>
      </c>
      <c r="T311" s="75">
        <v>3.7449215919836687E-3</v>
      </c>
      <c r="V311" s="115">
        <v>1.0920315700000001</v>
      </c>
      <c r="W311" s="107">
        <v>2.6924584</v>
      </c>
      <c r="X311" s="107">
        <v>3.9861019600000001</v>
      </c>
      <c r="Y311" s="107">
        <v>5.0117063699999997</v>
      </c>
      <c r="Z311" s="116">
        <v>6.11237005</v>
      </c>
    </row>
    <row r="312" spans="2:26" x14ac:dyDescent="0.35"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V312" s="65"/>
      <c r="W312" s="65"/>
      <c r="X312" s="65"/>
      <c r="Y312" s="65"/>
      <c r="Z312" s="65"/>
    </row>
    <row r="313" spans="2:26" ht="15.5" x14ac:dyDescent="0.35">
      <c r="B313" s="121" t="s">
        <v>284</v>
      </c>
    </row>
    <row r="314" spans="2:26" x14ac:dyDescent="0.35">
      <c r="B314" s="84" t="s">
        <v>5</v>
      </c>
      <c r="C314" s="83" t="s">
        <v>6</v>
      </c>
      <c r="D314" s="83" t="s">
        <v>7</v>
      </c>
      <c r="E314" s="83" t="s">
        <v>8</v>
      </c>
      <c r="F314" s="82" t="s">
        <v>9</v>
      </c>
      <c r="G314" s="81" t="s">
        <v>10</v>
      </c>
      <c r="H314" s="81" t="s">
        <v>11</v>
      </c>
      <c r="I314" s="81" t="s">
        <v>12</v>
      </c>
      <c r="J314" s="80" t="s">
        <v>13</v>
      </c>
      <c r="K314" s="82" t="s">
        <v>9</v>
      </c>
      <c r="L314" s="81" t="s">
        <v>10</v>
      </c>
      <c r="M314" s="81" t="s">
        <v>11</v>
      </c>
      <c r="N314" s="81" t="s">
        <v>12</v>
      </c>
      <c r="O314" s="80" t="s">
        <v>13</v>
      </c>
      <c r="P314" s="82" t="s">
        <v>14</v>
      </c>
      <c r="Q314" s="81" t="s">
        <v>15</v>
      </c>
      <c r="R314" s="81" t="s">
        <v>16</v>
      </c>
      <c r="S314" s="81" t="s">
        <v>17</v>
      </c>
      <c r="T314" s="81" t="s">
        <v>18</v>
      </c>
      <c r="V314" s="109" t="s">
        <v>9</v>
      </c>
      <c r="W314" s="105" t="s">
        <v>10</v>
      </c>
      <c r="X314" s="105" t="s">
        <v>11</v>
      </c>
      <c r="Y314" s="105" t="s">
        <v>12</v>
      </c>
      <c r="Z314" s="110" t="s">
        <v>13</v>
      </c>
    </row>
    <row r="315" spans="2:26" x14ac:dyDescent="0.35">
      <c r="B315" s="54" t="s">
        <v>641</v>
      </c>
      <c r="C315" s="52" t="s">
        <v>232</v>
      </c>
      <c r="D315" s="52" t="s">
        <v>642</v>
      </c>
      <c r="E315" s="52" t="s">
        <v>643</v>
      </c>
      <c r="F315" s="72">
        <v>2.5044429895427871E-2</v>
      </c>
      <c r="G315" s="70">
        <v>3.2479663582806885E-2</v>
      </c>
      <c r="H315" s="70">
        <v>3.8255736776451874E-2</v>
      </c>
      <c r="I315" s="70">
        <v>4.0948857910347136E-2</v>
      </c>
      <c r="J315" s="62">
        <v>4.3662159552893834E-2</v>
      </c>
      <c r="K315" s="70" t="s">
        <v>21</v>
      </c>
      <c r="L315" s="70">
        <v>4.8269689828068854E-3</v>
      </c>
      <c r="M315" s="70">
        <v>1.0070530976451874E-2</v>
      </c>
      <c r="N315" s="70">
        <v>1.2002738610347142E-2</v>
      </c>
      <c r="O315" s="62">
        <v>1.3509365952893836E-2</v>
      </c>
      <c r="P315" s="54" t="s">
        <v>644</v>
      </c>
      <c r="Q315" s="52" t="s">
        <v>645</v>
      </c>
      <c r="R315" s="93">
        <v>47545</v>
      </c>
      <c r="S315" s="70">
        <v>3.1448990000000003E-2</v>
      </c>
      <c r="T315" s="70">
        <v>6.8067467764518705E-3</v>
      </c>
      <c r="V315" s="113">
        <v>1.1284723000000001</v>
      </c>
      <c r="W315" s="71">
        <v>2.9219258099999998</v>
      </c>
      <c r="X315" s="71">
        <v>4.5306631600000005</v>
      </c>
      <c r="Y315" s="71">
        <v>5.9414400399999998</v>
      </c>
      <c r="Z315" s="114">
        <v>7.7531199300000004</v>
      </c>
    </row>
    <row r="316" spans="2:26" x14ac:dyDescent="0.35">
      <c r="B316" s="54" t="s">
        <v>646</v>
      </c>
      <c r="C316" s="52" t="e">
        <v>#N/A</v>
      </c>
      <c r="D316" s="52" t="s">
        <v>647</v>
      </c>
      <c r="E316" s="52" t="s">
        <v>264</v>
      </c>
      <c r="F316" s="72">
        <v>2.5879353379605178E-2</v>
      </c>
      <c r="G316" s="70">
        <v>3.3064878834910175E-2</v>
      </c>
      <c r="H316" s="70">
        <v>3.8549574851937371E-2</v>
      </c>
      <c r="I316" s="70">
        <v>4.1087938987620504E-2</v>
      </c>
      <c r="J316" s="62">
        <v>4.3855944962505632E-2</v>
      </c>
      <c r="K316" s="70" t="s">
        <v>21</v>
      </c>
      <c r="L316" s="70">
        <v>5.3929015349101737E-3</v>
      </c>
      <c r="M316" s="70">
        <v>1.0354019551937365E-2</v>
      </c>
      <c r="N316" s="70">
        <v>1.2136189587620508E-2</v>
      </c>
      <c r="O316" s="62">
        <v>1.3694532162505636E-2</v>
      </c>
      <c r="P316" s="54" t="s">
        <v>21</v>
      </c>
      <c r="Q316" s="52" t="s">
        <v>21</v>
      </c>
      <c r="R316" s="93" t="s">
        <v>21</v>
      </c>
      <c r="S316" s="70" t="s">
        <v>21</v>
      </c>
      <c r="T316" s="70" t="s">
        <v>21</v>
      </c>
      <c r="V316" s="113">
        <v>1.1268221</v>
      </c>
      <c r="W316" s="71">
        <v>2.9149462900000001</v>
      </c>
      <c r="X316" s="71">
        <v>4.5192717299999998</v>
      </c>
      <c r="Y316" s="71">
        <v>5.9286483700000003</v>
      </c>
      <c r="Z316" s="114">
        <v>7.7362697499999991</v>
      </c>
    </row>
    <row r="317" spans="2:26" x14ac:dyDescent="0.35">
      <c r="B317" s="54" t="s">
        <v>287</v>
      </c>
      <c r="C317" s="52" t="s">
        <v>232</v>
      </c>
      <c r="D317" s="52" t="s">
        <v>285</v>
      </c>
      <c r="E317" s="52" t="s">
        <v>179</v>
      </c>
      <c r="F317" s="72">
        <v>2.4043742053179176E-2</v>
      </c>
      <c r="G317" s="70">
        <v>3.1145928396202057E-2</v>
      </c>
      <c r="H317" s="70">
        <v>3.6105220022358775E-2</v>
      </c>
      <c r="I317" s="70">
        <v>3.9210821038154875E-2</v>
      </c>
      <c r="J317" s="62">
        <v>4.229031875436174E-2</v>
      </c>
      <c r="K317" s="70" t="s">
        <v>21</v>
      </c>
      <c r="L317" s="70">
        <v>3.5351181962020545E-3</v>
      </c>
      <c r="M317" s="70">
        <v>7.9962262223587741E-3</v>
      </c>
      <c r="N317" s="70">
        <v>1.0329139938154871E-2</v>
      </c>
      <c r="O317" s="62">
        <v>1.2184512954361751E-2</v>
      </c>
      <c r="P317" s="54" t="s">
        <v>648</v>
      </c>
      <c r="Q317" s="52" t="s">
        <v>649</v>
      </c>
      <c r="R317" s="93" t="s">
        <v>32</v>
      </c>
      <c r="S317" s="70">
        <v>3.2308129999999997E-2</v>
      </c>
      <c r="T317" s="70">
        <v>3.7970900223587775E-3</v>
      </c>
      <c r="V317" s="113">
        <v>1.1304837000000001</v>
      </c>
      <c r="W317" s="71">
        <v>2.9349410900000001</v>
      </c>
      <c r="X317" s="71">
        <v>4.57059105</v>
      </c>
      <c r="Y317" s="71">
        <v>6.0087218199999999</v>
      </c>
      <c r="Z317" s="114">
        <v>7.8560423799999999</v>
      </c>
    </row>
    <row r="318" spans="2:26" x14ac:dyDescent="0.35">
      <c r="B318" s="54" t="s">
        <v>650</v>
      </c>
      <c r="C318" s="52" t="s">
        <v>232</v>
      </c>
      <c r="D318" s="52" t="s">
        <v>642</v>
      </c>
      <c r="E318" s="52" t="s">
        <v>651</v>
      </c>
      <c r="F318" s="72">
        <v>2.563718378678435E-2</v>
      </c>
      <c r="G318" s="70">
        <v>3.4284796988024696E-2</v>
      </c>
      <c r="H318" s="70">
        <v>3.9930686111783062E-2</v>
      </c>
      <c r="I318" s="70">
        <v>4.3444182616202462E-2</v>
      </c>
      <c r="J318" s="62">
        <v>4.7461537265006626E-2</v>
      </c>
      <c r="K318" s="70" t="s">
        <v>21</v>
      </c>
      <c r="L318" s="70">
        <v>6.56330598802469E-3</v>
      </c>
      <c r="M318" s="70">
        <v>1.1677029711783062E-2</v>
      </c>
      <c r="N318" s="70">
        <v>1.4390575916202464E-2</v>
      </c>
      <c r="O318" s="62">
        <v>1.7160581565006616E-2</v>
      </c>
      <c r="P318" s="54" t="s">
        <v>652</v>
      </c>
      <c r="Q318" s="52" t="s">
        <v>653</v>
      </c>
      <c r="R318" s="93">
        <v>47651</v>
      </c>
      <c r="S318" s="70">
        <v>3.3222500000000002E-2</v>
      </c>
      <c r="T318" s="70">
        <v>6.7081861117830599E-3</v>
      </c>
      <c r="V318" s="113">
        <v>1.1273558299999999</v>
      </c>
      <c r="W318" s="71">
        <v>2.9090486799999997</v>
      </c>
      <c r="X318" s="71">
        <v>4.49662541</v>
      </c>
      <c r="Y318" s="71">
        <v>5.8701890900000002</v>
      </c>
      <c r="Z318" s="114">
        <v>7.5787907299999997</v>
      </c>
    </row>
    <row r="319" spans="2:26" x14ac:dyDescent="0.35">
      <c r="B319" s="54" t="s">
        <v>654</v>
      </c>
      <c r="C319" s="52" t="s">
        <v>232</v>
      </c>
      <c r="D319" s="52" t="s">
        <v>642</v>
      </c>
      <c r="E319" s="52" t="s">
        <v>643</v>
      </c>
      <c r="F319" s="72">
        <v>2.6260276703256105E-2</v>
      </c>
      <c r="G319" s="70">
        <v>3.4508528829560674E-2</v>
      </c>
      <c r="H319" s="70">
        <v>4.033844130691347E-2</v>
      </c>
      <c r="I319" s="70">
        <v>4.3140018201583356E-2</v>
      </c>
      <c r="J319" s="62">
        <v>4.649609221366776E-2</v>
      </c>
      <c r="K319" s="70" t="s">
        <v>21</v>
      </c>
      <c r="L319" s="70">
        <v>6.781638629560674E-3</v>
      </c>
      <c r="M319" s="70">
        <v>1.2069827206913474E-2</v>
      </c>
      <c r="N319" s="70">
        <v>1.4101672301583358E-2</v>
      </c>
      <c r="O319" s="62">
        <v>1.6233311013667762E-2</v>
      </c>
      <c r="P319" s="54" t="s">
        <v>655</v>
      </c>
      <c r="Q319" s="52" t="s">
        <v>656</v>
      </c>
      <c r="R319" s="93">
        <v>47599</v>
      </c>
      <c r="S319" s="70">
        <v>3.2338559999999995E-2</v>
      </c>
      <c r="T319" s="70">
        <v>7.9998813069134742E-3</v>
      </c>
      <c r="V319" s="113">
        <v>1.12609322</v>
      </c>
      <c r="W319" s="71">
        <v>2.9044951600000002</v>
      </c>
      <c r="X319" s="71">
        <v>4.4874329599999996</v>
      </c>
      <c r="Y319" s="71">
        <v>5.8645682099999998</v>
      </c>
      <c r="Z319" s="114">
        <v>7.6020200999999998</v>
      </c>
    </row>
    <row r="320" spans="2:26" x14ac:dyDescent="0.35">
      <c r="B320" s="56" t="s">
        <v>657</v>
      </c>
      <c r="C320" s="66" t="s">
        <v>232</v>
      </c>
      <c r="D320" s="66" t="s">
        <v>642</v>
      </c>
      <c r="E320" s="66" t="s">
        <v>658</v>
      </c>
      <c r="F320" s="73">
        <v>2.6478274386102021E-2</v>
      </c>
      <c r="G320" s="75">
        <v>3.5263264498184801E-2</v>
      </c>
      <c r="H320" s="75">
        <v>4.0751279168056022E-2</v>
      </c>
      <c r="I320" s="75">
        <v>4.3750648037538468E-2</v>
      </c>
      <c r="J320" s="63">
        <v>4.6965900184132936E-2</v>
      </c>
      <c r="K320" s="75" t="s">
        <v>21</v>
      </c>
      <c r="L320" s="75">
        <v>7.5086447981848013E-3</v>
      </c>
      <c r="M320" s="75">
        <v>1.2466395168056013E-2</v>
      </c>
      <c r="N320" s="75">
        <v>1.4685552537538464E-2</v>
      </c>
      <c r="O320" s="63">
        <v>1.6684868684132947E-2</v>
      </c>
      <c r="P320" s="56" t="s">
        <v>659</v>
      </c>
      <c r="Q320" s="66" t="s">
        <v>660</v>
      </c>
      <c r="R320" s="95">
        <v>47490</v>
      </c>
      <c r="S320" s="75">
        <v>3.2818699999999999E-2</v>
      </c>
      <c r="T320" s="75">
        <v>7.9325791680560226E-3</v>
      </c>
      <c r="V320" s="115">
        <v>1.1255646799999999</v>
      </c>
      <c r="W320" s="107">
        <v>2.8986577900000001</v>
      </c>
      <c r="X320" s="107">
        <v>4.4752986400000001</v>
      </c>
      <c r="Y320" s="107">
        <v>5.8436666900000001</v>
      </c>
      <c r="Z320" s="116">
        <v>7.5671370800000002</v>
      </c>
    </row>
  </sheetData>
  <mergeCells count="6">
    <mergeCell ref="V14:Z14"/>
    <mergeCell ref="F3:J3"/>
    <mergeCell ref="K3:O3"/>
    <mergeCell ref="F4:J4"/>
    <mergeCell ref="K4:O4"/>
    <mergeCell ref="V5:Z5"/>
  </mergeCells>
  <conditionalFormatting sqref="F26">
    <cfRule type="colorScale" priority="64">
      <colorScale>
        <cfvo type="min"/>
        <cfvo type="max"/>
        <color rgb="FFFFEF9C"/>
        <color rgb="FF63BE7B"/>
      </colorScale>
    </cfRule>
  </conditionalFormatting>
  <conditionalFormatting sqref="F7:J12">
    <cfRule type="colorScale" priority="68">
      <colorScale>
        <cfvo type="min"/>
        <cfvo type="max"/>
        <color rgb="FFFFEF9C"/>
        <color rgb="FF63BE7B"/>
      </colorScale>
    </cfRule>
  </conditionalFormatting>
  <conditionalFormatting sqref="F16:J21">
    <cfRule type="colorScale" priority="35">
      <colorScale>
        <cfvo type="min"/>
        <cfvo type="max"/>
        <color rgb="FFFFEF9C"/>
        <color rgb="FF63BE7B"/>
      </colorScale>
    </cfRule>
  </conditionalFormatting>
  <conditionalFormatting sqref="F26:J34 F36:J38 F95:J107">
    <cfRule type="cellIs" dxfId="14" priority="67" operator="lessThan">
      <formula>0</formula>
    </cfRule>
  </conditionalFormatting>
  <conditionalFormatting sqref="F26:J105">
    <cfRule type="colorScale" priority="86">
      <colorScale>
        <cfvo type="min"/>
        <cfvo type="max"/>
        <color rgb="FFFFEF9C"/>
        <color rgb="FF63BE7B"/>
      </colorScale>
    </cfRule>
  </conditionalFormatting>
  <conditionalFormatting sqref="F40:J48">
    <cfRule type="cellIs" dxfId="13" priority="66" operator="lessThan">
      <formula>0</formula>
    </cfRule>
  </conditionalFormatting>
  <conditionalFormatting sqref="F46:J46">
    <cfRule type="colorScale" priority="65">
      <colorScale>
        <cfvo type="min"/>
        <cfvo type="max"/>
        <color rgb="FFFFEF9C"/>
        <color rgb="FF63BE7B"/>
      </colorScale>
    </cfRule>
  </conditionalFormatting>
  <conditionalFormatting sqref="F50:J55 F57:J60 F62:J66 F68:J70 F72:J73 F75:J93 F110:J129 F131:J133 F138:J253 F255:J271 F315:J320">
    <cfRule type="cellIs" dxfId="12" priority="69" operator="lessThan">
      <formula>0</formula>
    </cfRule>
  </conditionalFormatting>
  <conditionalFormatting sqref="F74:J74">
    <cfRule type="colorScale" priority="51">
      <colorScale>
        <cfvo type="min"/>
        <cfvo type="max"/>
        <color rgb="FFFFEF9C"/>
        <color rgb="FF63BE7B"/>
      </colorScale>
    </cfRule>
    <cfRule type="colorScale" priority="52">
      <colorScale>
        <cfvo type="min"/>
        <cfvo type="max"/>
        <color rgb="FFFFEF9C"/>
        <color rgb="FF63BE7B"/>
      </colorScale>
    </cfRule>
    <cfRule type="colorScale" priority="53">
      <colorScale>
        <cfvo type="min"/>
        <cfvo type="max"/>
        <color rgb="FFFFEF9C"/>
        <color rgb="FF63BE7B"/>
      </colorScale>
    </cfRule>
  </conditionalFormatting>
  <conditionalFormatting sqref="F75:J105 F26:J73">
    <cfRule type="colorScale" priority="72">
      <colorScale>
        <cfvo type="min"/>
        <cfvo type="max"/>
        <color rgb="FFFFEF9C"/>
        <color rgb="FF63BE7B"/>
      </colorScale>
    </cfRule>
  </conditionalFormatting>
  <conditionalFormatting sqref="F75:J105 F47:J73 F26:J45">
    <cfRule type="colorScale" priority="71">
      <colorScale>
        <cfvo type="min"/>
        <cfvo type="max"/>
        <color rgb="FFFFEF9C"/>
        <color rgb="FF63BE7B"/>
      </colorScale>
    </cfRule>
  </conditionalFormatting>
  <conditionalFormatting sqref="F75:J129 F26:J73">
    <cfRule type="colorScale" priority="73">
      <colorScale>
        <cfvo type="min"/>
        <cfvo type="max"/>
        <color rgb="FFFFEF9C"/>
        <color rgb="FF63BE7B"/>
      </colorScale>
    </cfRule>
  </conditionalFormatting>
  <conditionalFormatting sqref="F109:J109">
    <cfRule type="colorScale" priority="63">
      <colorScale>
        <cfvo type="min"/>
        <cfvo type="max"/>
        <color rgb="FFFFEF9C"/>
        <color rgb="FF63BE7B"/>
      </colorScale>
    </cfRule>
    <cfRule type="colorScale" priority="62">
      <colorScale>
        <cfvo type="min"/>
        <cfvo type="max"/>
        <color rgb="FFFFEF9C"/>
        <color rgb="FF63BE7B"/>
      </colorScale>
    </cfRule>
  </conditionalFormatting>
  <conditionalFormatting sqref="F110:J129">
    <cfRule type="colorScale" priority="70">
      <colorScale>
        <cfvo type="min"/>
        <cfvo type="max"/>
        <color rgb="FFFFEF9C"/>
        <color rgb="FF63BE7B"/>
      </colorScale>
    </cfRule>
  </conditionalFormatting>
  <conditionalFormatting sqref="F110:J133">
    <cfRule type="colorScale" priority="75">
      <colorScale>
        <cfvo type="min"/>
        <cfvo type="max"/>
        <color rgb="FFFFEF9C"/>
        <color rgb="FF63BE7B"/>
      </colorScale>
    </cfRule>
  </conditionalFormatting>
  <conditionalFormatting sqref="F130:J130">
    <cfRule type="colorScale" priority="60">
      <colorScale>
        <cfvo type="min"/>
        <cfvo type="max"/>
        <color rgb="FFFFEF9C"/>
        <color rgb="FF63BE7B"/>
      </colorScale>
    </cfRule>
    <cfRule type="colorScale" priority="61">
      <colorScale>
        <cfvo type="min"/>
        <cfvo type="max"/>
        <color rgb="FFFFEF9C"/>
        <color rgb="FF63BE7B"/>
      </colorScale>
    </cfRule>
  </conditionalFormatting>
  <conditionalFormatting sqref="F131:J133">
    <cfRule type="colorScale" priority="74">
      <colorScale>
        <cfvo type="min"/>
        <cfvo type="max"/>
        <color rgb="FFFFEF9C"/>
        <color rgb="FF63BE7B"/>
      </colorScale>
    </cfRule>
  </conditionalFormatting>
  <conditionalFormatting sqref="F137:J137">
    <cfRule type="colorScale" priority="59">
      <colorScale>
        <cfvo type="min"/>
        <cfvo type="max"/>
        <color rgb="FFFFEF9C"/>
        <color rgb="FF63BE7B"/>
      </colorScale>
    </cfRule>
    <cfRule type="colorScale" priority="58">
      <colorScale>
        <cfvo type="min"/>
        <cfvo type="max"/>
        <color rgb="FFFFEF9C"/>
        <color rgb="FF63BE7B"/>
      </colorScale>
    </cfRule>
  </conditionalFormatting>
  <conditionalFormatting sqref="F138:J253">
    <cfRule type="colorScale" priority="83">
      <colorScale>
        <cfvo type="min"/>
        <cfvo type="max"/>
        <color rgb="FFFFEF9C"/>
        <color rgb="FF63BE7B"/>
      </colorScale>
    </cfRule>
  </conditionalFormatting>
  <conditionalFormatting sqref="F254:J254">
    <cfRule type="colorScale" priority="57">
      <colorScale>
        <cfvo type="min"/>
        <cfvo type="max"/>
        <color rgb="FFFFEF9C"/>
        <color rgb="FF63BE7B"/>
      </colorScale>
    </cfRule>
    <cfRule type="colorScale" priority="56">
      <colorScale>
        <cfvo type="min"/>
        <cfvo type="max"/>
        <color rgb="FFFFEF9C"/>
        <color rgb="FF63BE7B"/>
      </colorScale>
    </cfRule>
  </conditionalFormatting>
  <conditionalFormatting sqref="F255:J271">
    <cfRule type="colorScale" priority="87">
      <colorScale>
        <cfvo type="min"/>
        <cfvo type="max"/>
        <color rgb="FFFFEF9C"/>
        <color rgb="FF63BE7B"/>
      </colorScale>
    </cfRule>
  </conditionalFormatting>
  <conditionalFormatting sqref="F275:J275 F277:J281">
    <cfRule type="colorScale" priority="55">
      <colorScale>
        <cfvo type="min"/>
        <cfvo type="max"/>
        <color rgb="FFFFEF9C"/>
        <color rgb="FF63BE7B"/>
      </colorScale>
    </cfRule>
  </conditionalFormatting>
  <conditionalFormatting sqref="F275:J281">
    <cfRule type="cellIs" dxfId="11" priority="37" operator="lessThan">
      <formula>0</formula>
    </cfRule>
  </conditionalFormatting>
  <conditionalFormatting sqref="F276:J276">
    <cfRule type="colorScale" priority="38">
      <colorScale>
        <cfvo type="min"/>
        <cfvo type="max"/>
        <color rgb="FFFFEF9C"/>
        <color rgb="FF63BE7B"/>
      </colorScale>
    </cfRule>
  </conditionalFormatting>
  <conditionalFormatting sqref="F285:J294">
    <cfRule type="colorScale" priority="76">
      <colorScale>
        <cfvo type="min"/>
        <cfvo type="max"/>
        <color rgb="FFFFEF9C"/>
        <color rgb="FF63BE7B"/>
      </colorScale>
    </cfRule>
  </conditionalFormatting>
  <conditionalFormatting sqref="F285:J311">
    <cfRule type="cellIs" dxfId="10" priority="31" operator="lessThan">
      <formula>0</formula>
    </cfRule>
  </conditionalFormatting>
  <conditionalFormatting sqref="F295:J298">
    <cfRule type="colorScale" priority="78">
      <colorScale>
        <cfvo type="min"/>
        <cfvo type="max"/>
        <color rgb="FFFFEF9C"/>
        <color rgb="FF63BE7B"/>
      </colorScale>
    </cfRule>
  </conditionalFormatting>
  <conditionalFormatting sqref="F299:J305">
    <cfRule type="colorScale" priority="46">
      <colorScale>
        <cfvo type="min"/>
        <cfvo type="max"/>
        <color rgb="FFFFEF9C"/>
        <color rgb="FF63BE7B"/>
      </colorScale>
    </cfRule>
  </conditionalFormatting>
  <conditionalFormatting sqref="F306:J306">
    <cfRule type="colorScale" priority="32">
      <colorScale>
        <cfvo type="min"/>
        <cfvo type="max"/>
        <color rgb="FFFFEF9C"/>
        <color rgb="FF63BE7B"/>
      </colorScale>
    </cfRule>
  </conditionalFormatting>
  <conditionalFormatting sqref="F307:J310">
    <cfRule type="colorScale" priority="43">
      <colorScale>
        <cfvo type="min"/>
        <cfvo type="max"/>
        <color rgb="FFFFEF9C"/>
        <color rgb="FF63BE7B"/>
      </colorScale>
    </cfRule>
  </conditionalFormatting>
  <conditionalFormatting sqref="F311:J311">
    <cfRule type="colorScale" priority="40">
      <colorScale>
        <cfvo type="min"/>
        <cfvo type="max"/>
        <color rgb="FFFFEF9C"/>
        <color rgb="FF63BE7B"/>
      </colorScale>
    </cfRule>
  </conditionalFormatting>
  <conditionalFormatting sqref="F315:J320">
    <cfRule type="colorScale" priority="80">
      <colorScale>
        <cfvo type="min"/>
        <cfvo type="max"/>
        <color rgb="FFFFEF9C"/>
        <color rgb="FF63BE7B"/>
      </colorScale>
    </cfRule>
  </conditionalFormatting>
  <conditionalFormatting sqref="G285:H311">
    <cfRule type="colorScale" priority="79">
      <colorScale>
        <cfvo type="min"/>
        <cfvo type="max"/>
        <color rgb="FFFFEF9C"/>
        <color rgb="FF63BE7B"/>
      </colorScale>
    </cfRule>
  </conditionalFormatting>
  <conditionalFormatting sqref="G315:H320">
    <cfRule type="colorScale" priority="82">
      <colorScale>
        <cfvo type="min"/>
        <cfvo type="max"/>
        <color rgb="FFFFEF9C"/>
        <color rgb="FF63BE7B"/>
      </colorScale>
    </cfRule>
  </conditionalFormatting>
  <conditionalFormatting sqref="K7:O12">
    <cfRule type="colorScale" priority="50">
      <colorScale>
        <cfvo type="min"/>
        <cfvo type="max"/>
        <color theme="0"/>
        <color theme="8" tint="0.39997558519241921"/>
      </colorScale>
    </cfRule>
  </conditionalFormatting>
  <conditionalFormatting sqref="K16:O21">
    <cfRule type="colorScale" priority="34">
      <colorScale>
        <cfvo type="min"/>
        <cfvo type="max"/>
        <color theme="0"/>
        <color theme="8" tint="0.39997558519241921"/>
      </colorScale>
    </cfRule>
  </conditionalFormatting>
  <conditionalFormatting sqref="K26:O105">
    <cfRule type="colorScale" priority="85">
      <colorScale>
        <cfvo type="min"/>
        <cfvo type="max"/>
        <color theme="0"/>
        <color theme="8" tint="0.39997558519241921"/>
      </colorScale>
    </cfRule>
  </conditionalFormatting>
  <conditionalFormatting sqref="K110:O133">
    <cfRule type="colorScale" priority="49">
      <colorScale>
        <cfvo type="min"/>
        <cfvo type="max"/>
        <color theme="0"/>
        <color theme="8" tint="0.39997558519241921"/>
      </colorScale>
    </cfRule>
  </conditionalFormatting>
  <conditionalFormatting sqref="K138:O253">
    <cfRule type="colorScale" priority="84">
      <colorScale>
        <cfvo type="min"/>
        <cfvo type="max"/>
        <color theme="0"/>
        <color theme="8" tint="0.39997558519241921"/>
      </colorScale>
    </cfRule>
  </conditionalFormatting>
  <conditionalFormatting sqref="K255:O271">
    <cfRule type="colorScale" priority="88">
      <colorScale>
        <cfvo type="min"/>
        <cfvo type="max"/>
        <color theme="0"/>
        <color theme="8" tint="0.39997558519241921"/>
      </colorScale>
    </cfRule>
  </conditionalFormatting>
  <conditionalFormatting sqref="K275:O275 K277:O281">
    <cfRule type="colorScale" priority="48">
      <colorScale>
        <cfvo type="min"/>
        <cfvo type="max"/>
        <color theme="0"/>
        <color theme="8" tint="0.39997558519241921"/>
      </colorScale>
    </cfRule>
  </conditionalFormatting>
  <conditionalFormatting sqref="K276:O276">
    <cfRule type="colorScale" priority="36">
      <colorScale>
        <cfvo type="min"/>
        <cfvo type="max"/>
        <color theme="0"/>
        <color theme="8" tint="0.39997558519241921"/>
      </colorScale>
    </cfRule>
  </conditionalFormatting>
  <conditionalFormatting sqref="K285:O298">
    <cfRule type="colorScale" priority="77">
      <colorScale>
        <cfvo type="min"/>
        <cfvo type="max"/>
        <color theme="0"/>
        <color theme="8" tint="0.39997558519241921"/>
      </colorScale>
    </cfRule>
  </conditionalFormatting>
  <conditionalFormatting sqref="K299:O305">
    <cfRule type="colorScale" priority="47">
      <colorScale>
        <cfvo type="min"/>
        <cfvo type="max"/>
        <color theme="0"/>
        <color theme="8" tint="0.39997558519241921"/>
      </colorScale>
    </cfRule>
  </conditionalFormatting>
  <conditionalFormatting sqref="K306:O306">
    <cfRule type="colorScale" priority="33">
      <colorScale>
        <cfvo type="min"/>
        <cfvo type="max"/>
        <color theme="0"/>
        <color theme="8" tint="0.39997558519241921"/>
      </colorScale>
    </cfRule>
  </conditionalFormatting>
  <conditionalFormatting sqref="K307:O310">
    <cfRule type="colorScale" priority="44">
      <colorScale>
        <cfvo type="min"/>
        <cfvo type="max"/>
        <color theme="0"/>
        <color theme="8" tint="0.39997558519241921"/>
      </colorScale>
    </cfRule>
  </conditionalFormatting>
  <conditionalFormatting sqref="K311:O311">
    <cfRule type="colorScale" priority="41">
      <colorScale>
        <cfvo type="min"/>
        <cfvo type="max"/>
        <color theme="0"/>
        <color theme="8" tint="0.39997558519241921"/>
      </colorScale>
    </cfRule>
  </conditionalFormatting>
  <conditionalFormatting sqref="K315:O320">
    <cfRule type="colorScale" priority="81">
      <colorScale>
        <cfvo type="min"/>
        <cfvo type="max"/>
        <color theme="0"/>
        <color theme="8" tint="0.39997558519241921"/>
      </colorScale>
    </cfRule>
  </conditionalFormatting>
  <conditionalFormatting sqref="T26:T105">
    <cfRule type="colorScale" priority="28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09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10:T133">
    <cfRule type="colorScale" priority="5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11:T129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0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1:T133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4:T135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7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8:T271">
    <cfRule type="colorScale" priority="30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39:T253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54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55:T271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7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73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75:T281">
    <cfRule type="colorScale" priority="4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283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86:T311">
    <cfRule type="colorScale" priority="3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287:T294 T285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87:T311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95:T298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99:T305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0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07:T310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1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5:T320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pageMargins left="0.7" right="0.7" top="0.75" bottom="0.75" header="0.3" footer="0.3"/>
  <pageSetup paperSize="9" orientation="portrait" r:id="rId1"/>
  <headerFooter>
    <oddFooter>&amp;C&amp;1#&amp;"Calibri"&amp;10&amp;K000000 For internal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2765-69C8-44BA-A919-9C5DD2DB1ECE}">
  <sheetPr codeName="Sheet03"/>
  <dimension ref="B3:Z320"/>
  <sheetViews>
    <sheetView zoomScale="85" zoomScaleNormal="85" workbookViewId="0">
      <selection sqref="A1:XFD1048576"/>
    </sheetView>
  </sheetViews>
  <sheetFormatPr defaultColWidth="9.1796875" defaultRowHeight="14.5" x14ac:dyDescent="0.35"/>
  <cols>
    <col min="1" max="1" width="9.1796875" style="52"/>
    <col min="2" max="2" width="88.08984375" style="52" bestFit="1" customWidth="1"/>
    <col min="3" max="3" width="15" style="52" bestFit="1" customWidth="1"/>
    <col min="4" max="4" width="21.36328125" style="52" bestFit="1" customWidth="1"/>
    <col min="5" max="5" width="18.08984375" style="52" bestFit="1" customWidth="1"/>
    <col min="6" max="9" width="6.1796875" style="52" bestFit="1" customWidth="1"/>
    <col min="10" max="10" width="7.26953125" style="52" bestFit="1" customWidth="1"/>
    <col min="11" max="15" width="6.1796875" style="52" bestFit="1" customWidth="1"/>
    <col min="16" max="16" width="15.08984375" style="52" bestFit="1" customWidth="1"/>
    <col min="17" max="17" width="22.7265625" style="52" bestFit="1" customWidth="1"/>
    <col min="18" max="18" width="13.1796875" style="52" bestFit="1" customWidth="1"/>
    <col min="19" max="19" width="9.1796875" style="52" bestFit="1"/>
    <col min="20" max="20" width="19.08984375" style="52" bestFit="1" customWidth="1"/>
    <col min="21" max="21" width="9.1796875" style="52"/>
    <col min="22" max="31" width="4.7265625" style="52" bestFit="1" customWidth="1"/>
    <col min="32" max="16384" width="9.1796875" style="52"/>
  </cols>
  <sheetData>
    <row r="3" spans="2:26" x14ac:dyDescent="0.35">
      <c r="F3" s="158" t="s">
        <v>220</v>
      </c>
      <c r="G3" s="159"/>
      <c r="H3" s="159"/>
      <c r="I3" s="159"/>
      <c r="J3" s="160"/>
      <c r="K3" s="158" t="s">
        <v>661</v>
      </c>
      <c r="L3" s="159"/>
      <c r="M3" s="159"/>
      <c r="N3" s="159"/>
      <c r="O3" s="160"/>
    </row>
    <row r="4" spans="2:26" x14ac:dyDescent="0.35">
      <c r="F4" s="155" t="s">
        <v>1</v>
      </c>
      <c r="G4" s="156"/>
      <c r="H4" s="156"/>
      <c r="I4" s="156"/>
      <c r="J4" s="157"/>
      <c r="K4" s="155" t="s">
        <v>2</v>
      </c>
      <c r="L4" s="156"/>
      <c r="M4" s="156"/>
      <c r="N4" s="156"/>
      <c r="O4" s="157"/>
    </row>
    <row r="5" spans="2:26" ht="15.5" x14ac:dyDescent="0.35">
      <c r="B5" s="121" t="s">
        <v>222</v>
      </c>
      <c r="C5" s="122"/>
      <c r="D5" s="122"/>
      <c r="E5" s="122"/>
      <c r="F5" s="125"/>
      <c r="G5" s="125"/>
      <c r="H5" s="125"/>
      <c r="I5" s="125"/>
      <c r="J5" s="125"/>
      <c r="K5" s="125"/>
      <c r="L5" s="125"/>
      <c r="M5" s="125"/>
      <c r="N5" s="125"/>
      <c r="O5" s="125"/>
      <c r="Q5" s="125"/>
      <c r="R5" s="125"/>
      <c r="V5" s="155" t="s">
        <v>412</v>
      </c>
      <c r="W5" s="156"/>
      <c r="X5" s="156"/>
      <c r="Y5" s="156"/>
      <c r="Z5" s="157"/>
    </row>
    <row r="6" spans="2:26" x14ac:dyDescent="0.35">
      <c r="B6" s="84" t="s">
        <v>5</v>
      </c>
      <c r="C6" s="83" t="s">
        <v>6</v>
      </c>
      <c r="D6" s="83" t="s">
        <v>7</v>
      </c>
      <c r="E6" s="83" t="s">
        <v>8</v>
      </c>
      <c r="F6" s="82" t="s">
        <v>9</v>
      </c>
      <c r="G6" s="81" t="s">
        <v>10</v>
      </c>
      <c r="H6" s="81" t="s">
        <v>11</v>
      </c>
      <c r="I6" s="81" t="s">
        <v>12</v>
      </c>
      <c r="J6" s="80" t="s">
        <v>13</v>
      </c>
      <c r="K6" s="82" t="s">
        <v>9</v>
      </c>
      <c r="L6" s="81" t="s">
        <v>10</v>
      </c>
      <c r="M6" s="81" t="s">
        <v>11</v>
      </c>
      <c r="N6" s="81" t="s">
        <v>12</v>
      </c>
      <c r="O6" s="80" t="s">
        <v>13</v>
      </c>
      <c r="P6" s="69" t="s">
        <v>14</v>
      </c>
      <c r="Q6" s="57" t="s">
        <v>15</v>
      </c>
      <c r="R6" s="57" t="s">
        <v>16</v>
      </c>
      <c r="S6" s="57" t="s">
        <v>413</v>
      </c>
      <c r="T6" s="57" t="s">
        <v>18</v>
      </c>
      <c r="V6" s="109" t="s">
        <v>9</v>
      </c>
      <c r="W6" s="105" t="s">
        <v>10</v>
      </c>
      <c r="X6" s="105" t="s">
        <v>11</v>
      </c>
      <c r="Y6" s="105" t="s">
        <v>12</v>
      </c>
      <c r="Z6" s="110" t="s">
        <v>13</v>
      </c>
    </row>
    <row r="7" spans="2:26" x14ac:dyDescent="0.35">
      <c r="B7" s="55" t="s">
        <v>19</v>
      </c>
      <c r="C7" s="123"/>
      <c r="D7" s="11" t="s">
        <v>20</v>
      </c>
      <c r="E7" s="123"/>
      <c r="F7" s="74"/>
      <c r="G7" s="79">
        <v>4.8068576350153963E-2</v>
      </c>
      <c r="H7" s="79">
        <v>5.2004567612795746E-2</v>
      </c>
      <c r="I7" s="79">
        <v>5.5554302886213019E-2</v>
      </c>
      <c r="J7" s="61">
        <v>5.9783202372398196E-2</v>
      </c>
      <c r="K7" s="79"/>
      <c r="L7" s="79">
        <v>6.3983599501539704E-3</v>
      </c>
      <c r="M7" s="79">
        <v>1.0232829112795747E-2</v>
      </c>
      <c r="N7" s="79">
        <v>1.2995538486213024E-2</v>
      </c>
      <c r="O7" s="79">
        <v>1.5729873172398205E-2</v>
      </c>
      <c r="P7" s="15"/>
      <c r="Q7" s="132"/>
      <c r="R7" s="132"/>
      <c r="S7" s="132"/>
      <c r="T7" s="16"/>
      <c r="V7" s="17">
        <v>1.11062455</v>
      </c>
      <c r="W7" s="18">
        <v>2.8580098399999998</v>
      </c>
      <c r="X7" s="18">
        <v>4.3982281700000003</v>
      </c>
      <c r="Y7" s="18">
        <v>5.7146113500000002</v>
      </c>
      <c r="Z7" s="19">
        <v>7.3324319099999995</v>
      </c>
    </row>
    <row r="8" spans="2:26" x14ac:dyDescent="0.35">
      <c r="B8" s="54" t="s">
        <v>22</v>
      </c>
      <c r="C8" s="122"/>
      <c r="D8" s="20" t="s">
        <v>23</v>
      </c>
      <c r="E8" s="122"/>
      <c r="F8" s="72">
        <v>4.1674057159380405E-2</v>
      </c>
      <c r="G8" s="70">
        <v>4.8390610971220473E-2</v>
      </c>
      <c r="H8" s="70">
        <v>5.2685799990909596E-2</v>
      </c>
      <c r="I8" s="70">
        <v>5.6255664329489058E-2</v>
      </c>
      <c r="J8" s="62">
        <v>6.0445427104090649E-2</v>
      </c>
      <c r="K8" s="70" t="s">
        <v>21</v>
      </c>
      <c r="L8" s="70">
        <v>6.6975716712204857E-3</v>
      </c>
      <c r="M8" s="70">
        <v>1.0873029890909606E-2</v>
      </c>
      <c r="N8" s="70">
        <v>1.3657650729489056E-2</v>
      </c>
      <c r="O8" s="70">
        <v>1.6359579304090648E-2</v>
      </c>
      <c r="P8" s="24"/>
      <c r="Q8" s="25"/>
      <c r="R8" s="25"/>
      <c r="S8" s="25"/>
      <c r="T8" s="26"/>
      <c r="V8" s="27">
        <v>1.11501297</v>
      </c>
      <c r="W8" s="28">
        <v>2.86184694</v>
      </c>
      <c r="X8" s="28">
        <v>4.3940738700000006</v>
      </c>
      <c r="Y8" s="28">
        <v>5.6998341199999993</v>
      </c>
      <c r="Z8" s="29">
        <v>7.3012165000000007</v>
      </c>
    </row>
    <row r="9" spans="2:26" x14ac:dyDescent="0.35">
      <c r="B9" s="55" t="s">
        <v>24</v>
      </c>
      <c r="C9" s="123"/>
      <c r="D9" s="11" t="s">
        <v>20</v>
      </c>
      <c r="E9" s="123"/>
      <c r="F9" s="74">
        <v>6.6021752263801081E-2</v>
      </c>
      <c r="G9" s="79">
        <v>7.4250934163362467E-2</v>
      </c>
      <c r="H9" s="79">
        <v>8.101095272404453E-2</v>
      </c>
      <c r="I9" s="79"/>
      <c r="J9" s="61"/>
      <c r="K9" s="79">
        <v>2.2862489663801108E-2</v>
      </c>
      <c r="L9" s="79">
        <v>3.0975083063362469E-2</v>
      </c>
      <c r="M9" s="79">
        <v>3.7339211324044524E-2</v>
      </c>
      <c r="N9" s="79"/>
      <c r="O9" s="79"/>
      <c r="P9" s="15"/>
      <c r="Q9" s="132"/>
      <c r="R9" s="132"/>
      <c r="S9" s="132"/>
      <c r="T9" s="16"/>
      <c r="V9" s="17">
        <v>1.0784823000000001</v>
      </c>
      <c r="W9" s="18">
        <v>2.6662056299999999</v>
      </c>
      <c r="X9" s="18">
        <v>3.9536605799999998</v>
      </c>
      <c r="Y9" s="18">
        <v>4.9855123099999998</v>
      </c>
      <c r="Z9" s="19">
        <v>6.1781157799999997</v>
      </c>
    </row>
    <row r="10" spans="2:26" x14ac:dyDescent="0.35">
      <c r="B10" s="56" t="s">
        <v>25</v>
      </c>
      <c r="C10" s="124"/>
      <c r="D10" s="20" t="s">
        <v>23</v>
      </c>
      <c r="E10" s="124"/>
      <c r="F10" s="73">
        <v>5.3571297813671696E-2</v>
      </c>
      <c r="G10" s="75">
        <v>7.0073628528350904E-2</v>
      </c>
      <c r="H10" s="75">
        <v>8.151072012745228E-2</v>
      </c>
      <c r="I10" s="75">
        <v>8.683572375286179E-2</v>
      </c>
      <c r="J10" s="63">
        <v>9.2879235198636431E-2</v>
      </c>
      <c r="K10" s="75">
        <v>1.1008117313671703E-2</v>
      </c>
      <c r="L10" s="75">
        <v>2.6987240028350908E-2</v>
      </c>
      <c r="M10" s="75">
        <v>3.755921612745227E-2</v>
      </c>
      <c r="N10" s="75">
        <v>4.192662165286179E-2</v>
      </c>
      <c r="O10" s="75">
        <v>4.6411789198636422E-2</v>
      </c>
      <c r="P10" s="33"/>
      <c r="Q10" s="133"/>
      <c r="R10" s="133"/>
      <c r="S10" s="133"/>
      <c r="T10" s="34"/>
      <c r="V10" s="27">
        <v>1.0708171500000001</v>
      </c>
      <c r="W10" s="28">
        <v>2.6627576100000003</v>
      </c>
      <c r="X10" s="28">
        <v>3.9068649099999999</v>
      </c>
      <c r="Y10" s="28">
        <v>4.8487798800000004</v>
      </c>
      <c r="Z10" s="29">
        <v>5.84969289</v>
      </c>
    </row>
    <row r="11" spans="2:26" x14ac:dyDescent="0.35">
      <c r="B11" s="54" t="s">
        <v>26</v>
      </c>
      <c r="C11" s="122"/>
      <c r="D11" s="11" t="s">
        <v>23</v>
      </c>
      <c r="E11" s="122"/>
      <c r="F11" s="72">
        <v>4.1931114647729438E-2</v>
      </c>
      <c r="G11" s="70">
        <v>4.8630628271795484E-2</v>
      </c>
      <c r="H11" s="70">
        <v>5.337973178247004E-2</v>
      </c>
      <c r="I11" s="70"/>
      <c r="J11" s="62"/>
      <c r="K11" s="70" t="s">
        <v>21</v>
      </c>
      <c r="L11" s="70">
        <v>6.9319822717954938E-3</v>
      </c>
      <c r="M11" s="70">
        <v>1.1536944282470044E-2</v>
      </c>
      <c r="N11" s="70"/>
      <c r="O11" s="70"/>
      <c r="P11" s="24"/>
      <c r="Q11" s="25"/>
      <c r="R11" s="25"/>
      <c r="S11" s="25"/>
      <c r="T11" s="26"/>
      <c r="V11" s="17">
        <v>1.1040885300000001</v>
      </c>
      <c r="W11" s="18">
        <v>2.8253561</v>
      </c>
      <c r="X11" s="18">
        <v>4.3483261199999994</v>
      </c>
      <c r="Y11" s="18">
        <v>5.6218750900000005</v>
      </c>
      <c r="Z11" s="19">
        <v>7.1402587399999993</v>
      </c>
    </row>
    <row r="12" spans="2:26" x14ac:dyDescent="0.35">
      <c r="B12" s="56" t="s">
        <v>27</v>
      </c>
      <c r="C12" s="124"/>
      <c r="D12" s="35" t="s">
        <v>23</v>
      </c>
      <c r="E12" s="124"/>
      <c r="F12" s="73"/>
      <c r="G12" s="75">
        <v>5.1299177100618716E-2</v>
      </c>
      <c r="H12" s="75">
        <v>5.8175702869915899E-2</v>
      </c>
      <c r="I12" s="75"/>
      <c r="J12" s="63">
        <v>7.3014621212826661E-2</v>
      </c>
      <c r="K12" s="75"/>
      <c r="L12" s="75">
        <v>9.5183085006187163E-3</v>
      </c>
      <c r="M12" s="75">
        <v>1.6165195569915906E-2</v>
      </c>
      <c r="N12" s="75"/>
      <c r="O12" s="75">
        <v>2.8366495112826656E-2</v>
      </c>
      <c r="P12" s="33"/>
      <c r="Q12" s="133"/>
      <c r="R12" s="133"/>
      <c r="S12" s="133"/>
      <c r="T12" s="34"/>
      <c r="V12" s="36">
        <v>1.1004231499999999</v>
      </c>
      <c r="W12" s="37">
        <v>2.8071467800000001</v>
      </c>
      <c r="X12" s="37">
        <v>4.3077624600000002</v>
      </c>
      <c r="Y12" s="37">
        <v>5.5394182199999999</v>
      </c>
      <c r="Z12" s="38">
        <v>6.9670829599999999</v>
      </c>
    </row>
    <row r="13" spans="2:26" x14ac:dyDescent="0.35">
      <c r="C13" s="122"/>
      <c r="D13" s="122"/>
      <c r="E13" s="122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V13" s="40"/>
      <c r="W13" s="40"/>
      <c r="X13" s="40"/>
      <c r="Y13" s="40"/>
      <c r="Z13" s="40"/>
    </row>
    <row r="14" spans="2:26" ht="15.5" x14ac:dyDescent="0.35">
      <c r="B14" s="121" t="s">
        <v>223</v>
      </c>
      <c r="C14" s="122"/>
      <c r="D14" s="122"/>
      <c r="E14" s="122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Q14" s="125"/>
      <c r="R14" s="125"/>
      <c r="S14" s="125"/>
      <c r="T14" s="125"/>
      <c r="V14" s="155" t="s">
        <v>412</v>
      </c>
      <c r="W14" s="156"/>
      <c r="X14" s="156"/>
      <c r="Y14" s="156"/>
      <c r="Z14" s="157"/>
    </row>
    <row r="15" spans="2:26" x14ac:dyDescent="0.35">
      <c r="B15" s="84" t="s">
        <v>5</v>
      </c>
      <c r="C15" s="83" t="s">
        <v>6</v>
      </c>
      <c r="D15" s="83" t="s">
        <v>7</v>
      </c>
      <c r="E15" s="83" t="s">
        <v>8</v>
      </c>
      <c r="F15" s="82" t="s">
        <v>9</v>
      </c>
      <c r="G15" s="81" t="s">
        <v>10</v>
      </c>
      <c r="H15" s="81" t="s">
        <v>11</v>
      </c>
      <c r="I15" s="81" t="s">
        <v>12</v>
      </c>
      <c r="J15" s="80" t="s">
        <v>13</v>
      </c>
      <c r="K15" s="82" t="s">
        <v>9</v>
      </c>
      <c r="L15" s="81" t="s">
        <v>10</v>
      </c>
      <c r="M15" s="81" t="s">
        <v>11</v>
      </c>
      <c r="N15" s="81" t="s">
        <v>12</v>
      </c>
      <c r="O15" s="80" t="s">
        <v>13</v>
      </c>
      <c r="P15" s="69" t="s">
        <v>14</v>
      </c>
      <c r="Q15" s="57" t="s">
        <v>15</v>
      </c>
      <c r="R15" s="57" t="s">
        <v>16</v>
      </c>
      <c r="S15" s="57" t="s">
        <v>413</v>
      </c>
      <c r="T15" s="57" t="s">
        <v>18</v>
      </c>
      <c r="V15" s="109" t="s">
        <v>9</v>
      </c>
      <c r="W15" s="105" t="s">
        <v>10</v>
      </c>
      <c r="X15" s="105" t="s">
        <v>11</v>
      </c>
      <c r="Y15" s="105" t="s">
        <v>12</v>
      </c>
      <c r="Z15" s="110" t="s">
        <v>13</v>
      </c>
    </row>
    <row r="16" spans="2:26" x14ac:dyDescent="0.35">
      <c r="B16" s="55" t="s">
        <v>19</v>
      </c>
      <c r="C16" s="123"/>
      <c r="D16" s="11" t="s">
        <v>20</v>
      </c>
      <c r="E16" s="123"/>
      <c r="F16" s="74"/>
      <c r="G16" s="79">
        <v>5.0692192023880166E-2</v>
      </c>
      <c r="H16" s="79">
        <v>5.5476116872910833E-2</v>
      </c>
      <c r="I16" s="79">
        <v>5.9632347965918681E-2</v>
      </c>
      <c r="J16" s="61">
        <v>6.4233821692528753E-2</v>
      </c>
      <c r="K16" s="79"/>
      <c r="L16" s="79">
        <v>8.9783501238801695E-3</v>
      </c>
      <c r="M16" s="79">
        <v>1.3640209772910826E-2</v>
      </c>
      <c r="N16" s="79">
        <v>1.6987745365918683E-2</v>
      </c>
      <c r="O16" s="79">
        <v>2.0066781292528747E-2</v>
      </c>
      <c r="P16" s="15"/>
      <c r="Q16" s="132"/>
      <c r="R16" s="132"/>
      <c r="S16" s="132"/>
      <c r="T16" s="16"/>
      <c r="V16" s="17">
        <v>1.11062455</v>
      </c>
      <c r="W16" s="18">
        <v>2.8580098399999998</v>
      </c>
      <c r="X16" s="18">
        <v>4.3982281700000003</v>
      </c>
      <c r="Y16" s="18">
        <v>5.7146113500000002</v>
      </c>
      <c r="Z16" s="19">
        <v>7.3324319099999995</v>
      </c>
    </row>
    <row r="17" spans="2:26" x14ac:dyDescent="0.35">
      <c r="B17" s="54" t="s">
        <v>22</v>
      </c>
      <c r="C17" s="122"/>
      <c r="D17" s="20" t="s">
        <v>23</v>
      </c>
      <c r="E17" s="122"/>
      <c r="F17" s="72">
        <v>4.2381763353796814E-2</v>
      </c>
      <c r="G17" s="70">
        <v>5.1158330955576932E-2</v>
      </c>
      <c r="H17" s="70">
        <v>5.6425617333992276E-2</v>
      </c>
      <c r="I17" s="70">
        <v>6.0582385142351938E-2</v>
      </c>
      <c r="J17" s="62">
        <v>6.5092615879244364E-2</v>
      </c>
      <c r="K17" s="70">
        <v>3.5597665379682227E-4</v>
      </c>
      <c r="L17" s="70">
        <v>9.4167877555769389E-3</v>
      </c>
      <c r="M17" s="70">
        <v>1.453848323399228E-2</v>
      </c>
      <c r="N17" s="70">
        <v>1.7886601442351935E-2</v>
      </c>
      <c r="O17" s="70">
        <v>2.088159167924436E-2</v>
      </c>
      <c r="P17" s="24"/>
      <c r="Q17" s="25"/>
      <c r="R17" s="25"/>
      <c r="S17" s="25"/>
      <c r="T17" s="26"/>
      <c r="V17" s="27">
        <v>1.11501297</v>
      </c>
      <c r="W17" s="28">
        <v>2.86184694</v>
      </c>
      <c r="X17" s="28">
        <v>4.3940738700000006</v>
      </c>
      <c r="Y17" s="28">
        <v>5.6998341199999993</v>
      </c>
      <c r="Z17" s="29">
        <v>7.3012165000000007</v>
      </c>
    </row>
    <row r="18" spans="2:26" x14ac:dyDescent="0.35">
      <c r="B18" s="55" t="s">
        <v>24</v>
      </c>
      <c r="C18" s="123"/>
      <c r="D18" s="11" t="s">
        <v>20</v>
      </c>
      <c r="E18" s="123"/>
      <c r="F18" s="74">
        <v>7.2200993622995355E-2</v>
      </c>
      <c r="G18" s="79">
        <v>8.1916071201678708E-2</v>
      </c>
      <c r="H18" s="79">
        <v>8.9261598491482033E-2</v>
      </c>
      <c r="I18" s="79"/>
      <c r="J18" s="61"/>
      <c r="K18" s="79">
        <v>2.8744764522995368E-2</v>
      </c>
      <c r="L18" s="79">
        <v>3.8245282001678697E-2</v>
      </c>
      <c r="M18" s="79">
        <v>4.5114276791482041E-2</v>
      </c>
      <c r="N18" s="79"/>
      <c r="O18" s="79"/>
      <c r="P18" s="15"/>
      <c r="Q18" s="132"/>
      <c r="R18" s="132"/>
      <c r="S18" s="132"/>
      <c r="T18" s="16"/>
      <c r="V18" s="17">
        <v>1.0784823000000001</v>
      </c>
      <c r="W18" s="18">
        <v>2.6662056299999999</v>
      </c>
      <c r="X18" s="18">
        <v>3.9536605799999998</v>
      </c>
      <c r="Y18" s="18">
        <v>4.9855123099999998</v>
      </c>
      <c r="Z18" s="19">
        <v>6.1781157799999997</v>
      </c>
    </row>
    <row r="19" spans="2:26" x14ac:dyDescent="0.35">
      <c r="B19" s="56" t="s">
        <v>25</v>
      </c>
      <c r="C19" s="124"/>
      <c r="D19" s="20" t="s">
        <v>23</v>
      </c>
      <c r="E19" s="124"/>
      <c r="F19" s="73">
        <v>5.8237218143644659E-2</v>
      </c>
      <c r="G19" s="75">
        <v>7.9189370042952817E-2</v>
      </c>
      <c r="H19" s="75">
        <v>9.2794598664466724E-2</v>
      </c>
      <c r="I19" s="75">
        <v>9.8027883424917167E-2</v>
      </c>
      <c r="J19" s="63">
        <v>0.10307203799120131</v>
      </c>
      <c r="K19" s="75">
        <v>1.5472537043644673E-2</v>
      </c>
      <c r="L19" s="75">
        <v>3.5589915342952833E-2</v>
      </c>
      <c r="M19" s="75">
        <v>4.803824006446672E-2</v>
      </c>
      <c r="N19" s="75">
        <v>5.2249147924917159E-2</v>
      </c>
      <c r="O19" s="75">
        <v>5.5709913591201296E-2</v>
      </c>
      <c r="P19" s="33"/>
      <c r="Q19" s="133"/>
      <c r="R19" s="133"/>
      <c r="S19" s="133"/>
      <c r="T19" s="34"/>
      <c r="V19" s="27">
        <v>1.0708171500000001</v>
      </c>
      <c r="W19" s="28">
        <v>2.6627576100000003</v>
      </c>
      <c r="X19" s="28">
        <v>3.9068649099999999</v>
      </c>
      <c r="Y19" s="28">
        <v>4.8487798800000004</v>
      </c>
      <c r="Z19" s="29">
        <v>5.84969289</v>
      </c>
    </row>
    <row r="20" spans="2:26" x14ac:dyDescent="0.35">
      <c r="B20" s="54" t="s">
        <v>26</v>
      </c>
      <c r="C20" s="122"/>
      <c r="D20" s="11" t="s">
        <v>23</v>
      </c>
      <c r="E20" s="122"/>
      <c r="F20" s="72">
        <v>4.2747141172689691E-2</v>
      </c>
      <c r="G20" s="70">
        <v>5.1474072429588118E-2</v>
      </c>
      <c r="H20" s="70">
        <v>5.7270862434810541E-2</v>
      </c>
      <c r="I20" s="70"/>
      <c r="J20" s="62"/>
      <c r="K20" s="70">
        <v>7.0786207268969982E-4</v>
      </c>
      <c r="L20" s="70">
        <v>9.724679729588126E-3</v>
      </c>
      <c r="M20" s="70">
        <v>1.5347438634810546E-2</v>
      </c>
      <c r="N20" s="70"/>
      <c r="O20" s="70"/>
      <c r="P20" s="24"/>
      <c r="Q20" s="25"/>
      <c r="R20" s="25"/>
      <c r="S20" s="25"/>
      <c r="T20" s="26"/>
      <c r="V20" s="17">
        <v>1.1040885300000001</v>
      </c>
      <c r="W20" s="18">
        <v>2.8253561</v>
      </c>
      <c r="X20" s="18">
        <v>4.3483261199999994</v>
      </c>
      <c r="Y20" s="18">
        <v>5.6218750900000005</v>
      </c>
      <c r="Z20" s="19">
        <v>7.1402587399999993</v>
      </c>
    </row>
    <row r="21" spans="2:26" x14ac:dyDescent="0.35">
      <c r="B21" s="56" t="s">
        <v>27</v>
      </c>
      <c r="C21" s="124"/>
      <c r="D21" s="35" t="s">
        <v>23</v>
      </c>
      <c r="E21" s="124"/>
      <c r="F21" s="73"/>
      <c r="G21" s="75">
        <v>5.3355767960229887E-2</v>
      </c>
      <c r="H21" s="75">
        <v>6.0911663452867582E-2</v>
      </c>
      <c r="I21" s="75"/>
      <c r="J21" s="63">
        <v>7.6849199855150929E-2</v>
      </c>
      <c r="K21" s="75"/>
      <c r="L21" s="75">
        <v>1.1542981760229895E-2</v>
      </c>
      <c r="M21" s="75">
        <v>1.8841621652867589E-2</v>
      </c>
      <c r="N21" s="75"/>
      <c r="O21" s="75">
        <v>3.2058628855150935E-2</v>
      </c>
      <c r="P21" s="33"/>
      <c r="Q21" s="133"/>
      <c r="R21" s="133"/>
      <c r="S21" s="133"/>
      <c r="T21" s="34"/>
      <c r="V21" s="36">
        <v>1.1004231499999999</v>
      </c>
      <c r="W21" s="37">
        <v>2.8071467800000001</v>
      </c>
      <c r="X21" s="37">
        <v>4.3077624600000002</v>
      </c>
      <c r="Y21" s="37">
        <v>5.5394182199999999</v>
      </c>
      <c r="Z21" s="38">
        <v>6.9670829599999999</v>
      </c>
    </row>
    <row r="22" spans="2:26" x14ac:dyDescent="0.35">
      <c r="C22" s="122"/>
      <c r="D22" s="122"/>
      <c r="E22" s="122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V22" s="40"/>
      <c r="W22" s="40"/>
      <c r="X22" s="40"/>
      <c r="Y22" s="40"/>
      <c r="Z22" s="40"/>
    </row>
    <row r="23" spans="2:26" ht="15.5" x14ac:dyDescent="0.35">
      <c r="B23" s="121" t="s">
        <v>28</v>
      </c>
      <c r="C23" s="122"/>
      <c r="D23" s="122"/>
      <c r="E23" s="122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V23" s="40"/>
      <c r="W23" s="40"/>
      <c r="X23" s="40"/>
      <c r="Y23" s="40"/>
      <c r="Z23" s="40"/>
    </row>
    <row r="24" spans="2:26" x14ac:dyDescent="0.35">
      <c r="B24" s="84" t="s">
        <v>5</v>
      </c>
      <c r="C24" s="83" t="s">
        <v>6</v>
      </c>
      <c r="D24" s="83" t="s">
        <v>7</v>
      </c>
      <c r="E24" s="83" t="s">
        <v>8</v>
      </c>
      <c r="F24" s="82" t="s">
        <v>9</v>
      </c>
      <c r="G24" s="81" t="s">
        <v>10</v>
      </c>
      <c r="H24" s="81" t="s">
        <v>11</v>
      </c>
      <c r="I24" s="81" t="s">
        <v>12</v>
      </c>
      <c r="J24" s="80" t="s">
        <v>13</v>
      </c>
      <c r="K24" s="82" t="s">
        <v>9</v>
      </c>
      <c r="L24" s="81" t="s">
        <v>10</v>
      </c>
      <c r="M24" s="81" t="s">
        <v>11</v>
      </c>
      <c r="N24" s="81" t="s">
        <v>12</v>
      </c>
      <c r="O24" s="80" t="s">
        <v>13</v>
      </c>
      <c r="P24" s="69" t="s">
        <v>14</v>
      </c>
      <c r="Q24" s="57" t="s">
        <v>15</v>
      </c>
      <c r="R24" s="57" t="s">
        <v>16</v>
      </c>
      <c r="S24" s="57" t="s">
        <v>413</v>
      </c>
      <c r="T24" s="57" t="s">
        <v>18</v>
      </c>
      <c r="V24" s="109" t="s">
        <v>9</v>
      </c>
      <c r="W24" s="105" t="s">
        <v>10</v>
      </c>
      <c r="X24" s="105" t="s">
        <v>11</v>
      </c>
      <c r="Y24" s="105" t="s">
        <v>12</v>
      </c>
      <c r="Z24" s="110" t="s">
        <v>13</v>
      </c>
    </row>
    <row r="25" spans="2:26" x14ac:dyDescent="0.35">
      <c r="B25" s="78" t="s">
        <v>416</v>
      </c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8"/>
      <c r="Q25" s="77"/>
      <c r="R25" s="77"/>
      <c r="S25" s="77"/>
      <c r="T25" s="76"/>
      <c r="V25" s="111"/>
      <c r="W25" s="106"/>
      <c r="X25" s="106"/>
      <c r="Y25" s="106"/>
      <c r="Z25" s="112"/>
    </row>
    <row r="26" spans="2:26" x14ac:dyDescent="0.35">
      <c r="B26" s="55" t="s">
        <v>29</v>
      </c>
      <c r="C26" s="52" t="s">
        <v>30</v>
      </c>
      <c r="D26" s="52" t="s">
        <v>31</v>
      </c>
      <c r="E26" s="52" t="s">
        <v>417</v>
      </c>
      <c r="F26" s="74">
        <v>4.0821894212657216E-2</v>
      </c>
      <c r="G26" s="70">
        <v>4.5910188942874977E-2</v>
      </c>
      <c r="H26" s="70">
        <v>4.9947008379922837E-2</v>
      </c>
      <c r="I26" s="70">
        <v>5.2555788767674722E-2</v>
      </c>
      <c r="J26" s="62">
        <v>5.5500485200237398E-2</v>
      </c>
      <c r="K26" s="70" t="s">
        <v>21</v>
      </c>
      <c r="L26" s="70">
        <v>4.2970032428749794E-3</v>
      </c>
      <c r="M26" s="70">
        <v>8.266832879922829E-3</v>
      </c>
      <c r="N26" s="70">
        <v>1.0115177467674725E-2</v>
      </c>
      <c r="O26" s="70">
        <v>1.1585530700237401E-2</v>
      </c>
      <c r="P26" s="54" t="s">
        <v>418</v>
      </c>
      <c r="Q26" s="52" t="s">
        <v>419</v>
      </c>
      <c r="R26" s="93" t="s">
        <v>32</v>
      </c>
      <c r="S26" s="70">
        <v>5.666421E-2</v>
      </c>
      <c r="T26" s="62">
        <v>-6.7172016200771623E-3</v>
      </c>
      <c r="V26" s="113">
        <v>1.1149594199999999</v>
      </c>
      <c r="W26" s="71">
        <v>2.87330211</v>
      </c>
      <c r="X26" s="71">
        <v>4.4350127000000006</v>
      </c>
      <c r="Y26" s="71">
        <v>5.7861477699999995</v>
      </c>
      <c r="Z26" s="114">
        <v>7.4819803299999998</v>
      </c>
    </row>
    <row r="27" spans="2:26" x14ac:dyDescent="0.35">
      <c r="B27" s="54" t="s">
        <v>29</v>
      </c>
      <c r="C27" s="52" t="s">
        <v>33</v>
      </c>
      <c r="D27" s="52" t="s">
        <v>31</v>
      </c>
      <c r="E27" s="52" t="s">
        <v>34</v>
      </c>
      <c r="F27" s="72">
        <v>4.1178643367626132E-2</v>
      </c>
      <c r="G27" s="70">
        <v>4.7671269572603418E-2</v>
      </c>
      <c r="H27" s="70">
        <v>5.2994444746733288E-2</v>
      </c>
      <c r="I27" s="70">
        <v>5.6469074902716201E-2</v>
      </c>
      <c r="J27" s="62">
        <v>5.9935655481780481E-2</v>
      </c>
      <c r="K27" s="70" t="s">
        <v>21</v>
      </c>
      <c r="L27" s="70">
        <v>5.9646688726034194E-3</v>
      </c>
      <c r="M27" s="70">
        <v>1.1150945546733291E-2</v>
      </c>
      <c r="N27" s="70">
        <v>1.3821036202716207E-2</v>
      </c>
      <c r="O27" s="70">
        <v>1.5814220481780487E-2</v>
      </c>
      <c r="P27" s="54" t="s">
        <v>21</v>
      </c>
      <c r="Q27" s="52" t="s">
        <v>21</v>
      </c>
      <c r="R27" s="93" t="s">
        <v>21</v>
      </c>
      <c r="S27" s="70">
        <v>0</v>
      </c>
      <c r="T27" s="62">
        <v>5.2994444746733288E-2</v>
      </c>
      <c r="V27" s="113">
        <v>1.11431334</v>
      </c>
      <c r="W27" s="71">
        <v>2.8613519300000001</v>
      </c>
      <c r="X27" s="71">
        <v>4.3897899200000001</v>
      </c>
      <c r="Y27" s="71">
        <v>5.6839228300000002</v>
      </c>
      <c r="Z27" s="114">
        <v>7.2684430300000002</v>
      </c>
    </row>
    <row r="28" spans="2:26" x14ac:dyDescent="0.35">
      <c r="B28" s="56" t="s">
        <v>29</v>
      </c>
      <c r="C28" s="66" t="s">
        <v>35</v>
      </c>
      <c r="D28" s="66" t="s">
        <v>31</v>
      </c>
      <c r="E28" s="66" t="s">
        <v>338</v>
      </c>
      <c r="F28" s="73">
        <v>4.2001629785737384E-2</v>
      </c>
      <c r="G28" s="75">
        <v>4.9917122373660541E-2</v>
      </c>
      <c r="H28" s="75">
        <v>5.6615036261955701E-2</v>
      </c>
      <c r="I28" s="75">
        <v>6.1034013767344381E-2</v>
      </c>
      <c r="J28" s="63">
        <v>6.5303649639513517E-2</v>
      </c>
      <c r="K28" s="70" t="s">
        <v>21</v>
      </c>
      <c r="L28" s="70">
        <v>8.1413211736605408E-3</v>
      </c>
      <c r="M28" s="70">
        <v>1.4657604661955701E-2</v>
      </c>
      <c r="N28" s="70">
        <v>1.8229609167344375E-2</v>
      </c>
      <c r="O28" s="70">
        <v>2.0994209639513504E-2</v>
      </c>
      <c r="P28" s="54" t="s">
        <v>21</v>
      </c>
      <c r="Q28" s="52" t="s">
        <v>21</v>
      </c>
      <c r="R28" s="93" t="s">
        <v>21</v>
      </c>
      <c r="S28" s="70">
        <v>0</v>
      </c>
      <c r="T28" s="62">
        <v>5.6615036261955701E-2</v>
      </c>
      <c r="V28" s="115">
        <v>1.1141570599999999</v>
      </c>
      <c r="W28" s="107">
        <v>2.8571017300000001</v>
      </c>
      <c r="X28" s="107">
        <v>4.3736548800000001</v>
      </c>
      <c r="Y28" s="107">
        <v>5.6469979400000003</v>
      </c>
      <c r="Z28" s="116">
        <v>7.1861846300000005</v>
      </c>
    </row>
    <row r="29" spans="2:26" x14ac:dyDescent="0.35">
      <c r="B29" s="54" t="s">
        <v>37</v>
      </c>
      <c r="C29" s="52" t="s">
        <v>30</v>
      </c>
      <c r="D29" s="52" t="s">
        <v>31</v>
      </c>
      <c r="E29" s="52" t="s">
        <v>338</v>
      </c>
      <c r="F29" s="72">
        <v>4.1302351414402E-2</v>
      </c>
      <c r="G29" s="70">
        <v>4.6824570694353182E-2</v>
      </c>
      <c r="H29" s="70">
        <v>5.0603389528215074E-2</v>
      </c>
      <c r="I29" s="70">
        <v>5.3249082830801125E-2</v>
      </c>
      <c r="J29" s="62">
        <v>5.6161493657545802E-2</v>
      </c>
      <c r="K29" s="70" t="s">
        <v>21</v>
      </c>
      <c r="L29" s="70">
        <v>5.1641062943531824E-3</v>
      </c>
      <c r="M29" s="70">
        <v>8.8889798282150746E-3</v>
      </c>
      <c r="N29" s="70">
        <v>1.0772490330801127E-2</v>
      </c>
      <c r="O29" s="70">
        <v>1.2215606157545796E-2</v>
      </c>
      <c r="P29" s="55" t="s">
        <v>21</v>
      </c>
      <c r="Q29" s="65" t="s">
        <v>21</v>
      </c>
      <c r="R29" s="99" t="s">
        <v>21</v>
      </c>
      <c r="S29" s="79">
        <v>0</v>
      </c>
      <c r="T29" s="61">
        <v>5.0603389528215074E-2</v>
      </c>
      <c r="V29" s="113">
        <v>1.1140661300000001</v>
      </c>
      <c r="W29" s="71">
        <v>2.8661206099999998</v>
      </c>
      <c r="X29" s="71">
        <v>4.4197632999999996</v>
      </c>
      <c r="Y29" s="71">
        <v>5.7612569699999998</v>
      </c>
      <c r="Z29" s="114">
        <v>7.4412038699999998</v>
      </c>
    </row>
    <row r="30" spans="2:26" x14ac:dyDescent="0.35">
      <c r="B30" s="54" t="s">
        <v>37</v>
      </c>
      <c r="C30" s="52" t="s">
        <v>33</v>
      </c>
      <c r="D30" s="52" t="s">
        <v>31</v>
      </c>
      <c r="E30" s="52" t="s">
        <v>38</v>
      </c>
      <c r="F30" s="72">
        <v>4.160028891227828E-2</v>
      </c>
      <c r="G30" s="70">
        <v>4.7808743936252146E-2</v>
      </c>
      <c r="H30" s="70">
        <v>5.3052151287991824E-2</v>
      </c>
      <c r="I30" s="70">
        <v>5.6431310993340991E-2</v>
      </c>
      <c r="J30" s="62">
        <v>5.9985563923573876E-2</v>
      </c>
      <c r="K30" s="70" t="s">
        <v>21</v>
      </c>
      <c r="L30" s="70">
        <v>6.096908236252154E-3</v>
      </c>
      <c r="M30" s="70">
        <v>1.1206885587991825E-2</v>
      </c>
      <c r="N30" s="70">
        <v>1.3786238693340981E-2</v>
      </c>
      <c r="O30" s="70">
        <v>1.5861033123573884E-2</v>
      </c>
      <c r="P30" s="54" t="s">
        <v>21</v>
      </c>
      <c r="Q30" s="52" t="s">
        <v>21</v>
      </c>
      <c r="R30" s="93" t="s">
        <v>21</v>
      </c>
      <c r="S30" s="70">
        <v>0</v>
      </c>
      <c r="T30" s="62">
        <v>5.3052151287991824E-2</v>
      </c>
      <c r="V30" s="113">
        <v>1.1135028</v>
      </c>
      <c r="W30" s="71">
        <v>2.8590983899999998</v>
      </c>
      <c r="X30" s="71">
        <v>4.3868445200000004</v>
      </c>
      <c r="Y30" s="71">
        <v>5.6816495900000001</v>
      </c>
      <c r="Z30" s="114">
        <v>7.2658531699999997</v>
      </c>
    </row>
    <row r="31" spans="2:26" x14ac:dyDescent="0.35">
      <c r="B31" s="56" t="s">
        <v>37</v>
      </c>
      <c r="C31" s="66" t="s">
        <v>35</v>
      </c>
      <c r="D31" s="66" t="s">
        <v>31</v>
      </c>
      <c r="E31" s="66" t="s">
        <v>39</v>
      </c>
      <c r="F31" s="73">
        <v>4.2035913875013577E-2</v>
      </c>
      <c r="G31" s="75">
        <v>5.0077955894808152E-2</v>
      </c>
      <c r="H31" s="75">
        <v>5.6708324920585043E-2</v>
      </c>
      <c r="I31" s="75">
        <v>6.1037816189786619E-2</v>
      </c>
      <c r="J31" s="63">
        <v>6.5393264806625592E-2</v>
      </c>
      <c r="K31" s="75" t="s">
        <v>21</v>
      </c>
      <c r="L31" s="75">
        <v>8.3009228948081517E-3</v>
      </c>
      <c r="M31" s="75">
        <v>1.4750454820585034E-2</v>
      </c>
      <c r="N31" s="75">
        <v>1.8236687389786618E-2</v>
      </c>
      <c r="O31" s="75">
        <v>2.1081391306625594E-2</v>
      </c>
      <c r="P31" s="56" t="s">
        <v>21</v>
      </c>
      <c r="Q31" s="66" t="s">
        <v>21</v>
      </c>
      <c r="R31" s="95" t="s">
        <v>21</v>
      </c>
      <c r="S31" s="75">
        <v>0</v>
      </c>
      <c r="T31" s="63">
        <v>5.6708324920585043E-2</v>
      </c>
      <c r="V31" s="115">
        <v>1.1140390899999999</v>
      </c>
      <c r="W31" s="107">
        <v>2.85611617</v>
      </c>
      <c r="X31" s="107">
        <v>4.3716618700000005</v>
      </c>
      <c r="Y31" s="107">
        <v>5.6448913899999997</v>
      </c>
      <c r="Z31" s="116">
        <v>7.1828872500000003</v>
      </c>
    </row>
    <row r="32" spans="2:26" x14ac:dyDescent="0.35">
      <c r="B32" s="54" t="s">
        <v>40</v>
      </c>
      <c r="C32" s="52" t="s">
        <v>30</v>
      </c>
      <c r="D32" s="52" t="s">
        <v>31</v>
      </c>
      <c r="E32" s="52" t="s">
        <v>21</v>
      </c>
      <c r="F32" s="72">
        <v>4.1676780524529305E-2</v>
      </c>
      <c r="G32" s="70">
        <v>4.6922638403726721E-2</v>
      </c>
      <c r="H32" s="70">
        <v>5.096924939204369E-2</v>
      </c>
      <c r="I32" s="70">
        <v>5.3995320679001348E-2</v>
      </c>
      <c r="J32" s="62">
        <v>5.7393538728196247E-2</v>
      </c>
      <c r="K32" s="70" t="s">
        <v>21</v>
      </c>
      <c r="L32" s="70">
        <v>5.2570636037267233E-3</v>
      </c>
      <c r="M32" s="70">
        <v>9.2358281920436915E-3</v>
      </c>
      <c r="N32" s="70">
        <v>1.1480491779001354E-2</v>
      </c>
      <c r="O32" s="70">
        <v>1.3392660128196258E-2</v>
      </c>
      <c r="P32" s="54" t="s">
        <v>21</v>
      </c>
      <c r="Q32" s="52" t="s">
        <v>21</v>
      </c>
      <c r="R32" s="93" t="s">
        <v>21</v>
      </c>
      <c r="S32" s="70">
        <v>0</v>
      </c>
      <c r="T32" s="62">
        <v>5.096924939204369E-2</v>
      </c>
      <c r="V32" s="113">
        <v>1.1133708100000002</v>
      </c>
      <c r="W32" s="71">
        <v>2.8643167000000003</v>
      </c>
      <c r="X32" s="71">
        <v>4.4142707200000002</v>
      </c>
      <c r="Y32" s="71">
        <v>5.7451104099999997</v>
      </c>
      <c r="Z32" s="114">
        <v>7.3940612000000003</v>
      </c>
    </row>
    <row r="33" spans="2:26" x14ac:dyDescent="0.35">
      <c r="B33" s="54" t="s">
        <v>40</v>
      </c>
      <c r="C33" s="52" t="s">
        <v>33</v>
      </c>
      <c r="D33" s="52" t="s">
        <v>31</v>
      </c>
      <c r="E33" s="52" t="s">
        <v>41</v>
      </c>
      <c r="F33" s="72">
        <v>4.1970057281007431E-2</v>
      </c>
      <c r="G33" s="70">
        <v>4.8641127035218557E-2</v>
      </c>
      <c r="H33" s="70">
        <v>5.4418906611728698E-2</v>
      </c>
      <c r="I33" s="70">
        <v>5.8341788612843996E-2</v>
      </c>
      <c r="J33" s="62">
        <v>6.2307690713396417E-2</v>
      </c>
      <c r="K33" s="70" t="s">
        <v>21</v>
      </c>
      <c r="L33" s="70">
        <v>6.88251533521856E-3</v>
      </c>
      <c r="M33" s="70">
        <v>1.2495266711728698E-2</v>
      </c>
      <c r="N33" s="70">
        <v>1.5585059212844005E-2</v>
      </c>
      <c r="O33" s="70">
        <v>1.8059146813396425E-2</v>
      </c>
      <c r="P33" s="54" t="s">
        <v>420</v>
      </c>
      <c r="Q33" s="52" t="s">
        <v>421</v>
      </c>
      <c r="R33" s="93">
        <v>47729</v>
      </c>
      <c r="S33" s="70">
        <v>5.2675130000000001E-2</v>
      </c>
      <c r="T33" s="62">
        <v>1.7437766117286979E-3</v>
      </c>
      <c r="V33" s="113">
        <v>1.1128384</v>
      </c>
      <c r="W33" s="71">
        <v>2.8528704</v>
      </c>
      <c r="X33" s="71">
        <v>4.3658999099999996</v>
      </c>
      <c r="Y33" s="71">
        <v>5.6338060600000004</v>
      </c>
      <c r="Z33" s="114">
        <v>7.1620708100000003</v>
      </c>
    </row>
    <row r="34" spans="2:26" x14ac:dyDescent="0.35">
      <c r="B34" s="56" t="s">
        <v>40</v>
      </c>
      <c r="C34" s="66" t="s">
        <v>35</v>
      </c>
      <c r="D34" s="66" t="s">
        <v>31</v>
      </c>
      <c r="E34" s="66" t="s">
        <v>21</v>
      </c>
      <c r="F34" s="73">
        <v>4.2407962421859957E-2</v>
      </c>
      <c r="G34" s="75">
        <v>5.1022313070839403E-2</v>
      </c>
      <c r="H34" s="75">
        <v>5.8379587498465925E-2</v>
      </c>
      <c r="I34" s="75">
        <v>6.3518887505077753E-2</v>
      </c>
      <c r="J34" s="63">
        <v>6.8390446701550936E-2</v>
      </c>
      <c r="K34" s="70">
        <v>3.4065092185995519E-4</v>
      </c>
      <c r="L34" s="70">
        <v>9.1991462708394048E-3</v>
      </c>
      <c r="M34" s="70">
        <v>1.6331736798465928E-2</v>
      </c>
      <c r="N34" s="70">
        <v>2.0578454005077764E-2</v>
      </c>
      <c r="O34" s="70">
        <v>2.3916522201550935E-2</v>
      </c>
      <c r="P34" s="54" t="s">
        <v>21</v>
      </c>
      <c r="Q34" s="52" t="s">
        <v>21</v>
      </c>
      <c r="R34" s="93" t="s">
        <v>21</v>
      </c>
      <c r="S34" s="70"/>
      <c r="T34" s="62"/>
      <c r="V34" s="115">
        <v>1.11353342</v>
      </c>
      <c r="W34" s="107">
        <v>2.8508406600000002</v>
      </c>
      <c r="X34" s="107">
        <v>4.3522981500000002</v>
      </c>
      <c r="Y34" s="107">
        <v>5.5985861400000001</v>
      </c>
      <c r="Z34" s="116">
        <v>7.0801746900000007</v>
      </c>
    </row>
    <row r="35" spans="2:26" x14ac:dyDescent="0.35">
      <c r="B35" s="78" t="s">
        <v>422</v>
      </c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8"/>
      <c r="Q35" s="77"/>
      <c r="R35" s="94"/>
      <c r="S35" s="77"/>
      <c r="T35" s="76"/>
      <c r="V35" s="111"/>
      <c r="W35" s="106"/>
      <c r="X35" s="106"/>
      <c r="Y35" s="106"/>
      <c r="Z35" s="112"/>
    </row>
    <row r="36" spans="2:26" x14ac:dyDescent="0.35">
      <c r="B36" s="54" t="s">
        <v>42</v>
      </c>
      <c r="C36" s="52" t="s">
        <v>30</v>
      </c>
      <c r="D36" s="52" t="s">
        <v>43</v>
      </c>
      <c r="E36" s="52" t="s">
        <v>423</v>
      </c>
      <c r="F36" s="72">
        <v>4.1403438568918531E-2</v>
      </c>
      <c r="G36" s="70">
        <v>4.6834491242243405E-2</v>
      </c>
      <c r="H36" s="70">
        <v>5.1221177805739981E-2</v>
      </c>
      <c r="I36" s="70">
        <v>5.4196663911823442E-2</v>
      </c>
      <c r="J36" s="62">
        <v>5.7370204453607646E-2</v>
      </c>
      <c r="K36" s="70" t="s">
        <v>21</v>
      </c>
      <c r="L36" s="70">
        <v>5.1728352422434135E-3</v>
      </c>
      <c r="M36" s="70">
        <v>9.4741442057399809E-3</v>
      </c>
      <c r="N36" s="70">
        <v>1.1671511811823437E-2</v>
      </c>
      <c r="O36" s="70">
        <v>1.3371515553607632E-2</v>
      </c>
      <c r="P36" s="54" t="s">
        <v>424</v>
      </c>
      <c r="Q36" s="52" t="s">
        <v>425</v>
      </c>
      <c r="R36" s="93" t="s">
        <v>32</v>
      </c>
      <c r="S36" s="70">
        <v>5.1008490000000004E-2</v>
      </c>
      <c r="T36" s="62">
        <v>2.1268780573997781E-4</v>
      </c>
      <c r="V36" s="113">
        <v>1.1138873199999999</v>
      </c>
      <c r="W36" s="71">
        <v>2.86575537</v>
      </c>
      <c r="X36" s="71">
        <v>4.4132895799999998</v>
      </c>
      <c r="Y36" s="71">
        <v>5.7406777800000004</v>
      </c>
      <c r="Z36" s="114">
        <v>7.3893742900000001</v>
      </c>
    </row>
    <row r="37" spans="2:26" x14ac:dyDescent="0.35">
      <c r="B37" s="54" t="s">
        <v>42</v>
      </c>
      <c r="C37" s="52" t="s">
        <v>33</v>
      </c>
      <c r="D37" s="52" t="s">
        <v>43</v>
      </c>
      <c r="E37" s="52" t="s">
        <v>426</v>
      </c>
      <c r="F37" s="72">
        <v>4.1285333214610156E-2</v>
      </c>
      <c r="G37" s="70">
        <v>4.8751706384489758E-2</v>
      </c>
      <c r="H37" s="70">
        <v>5.4566340695305651E-2</v>
      </c>
      <c r="I37" s="70">
        <v>5.8721525492538888E-2</v>
      </c>
      <c r="J37" s="62">
        <v>6.2656963580783889E-2</v>
      </c>
      <c r="K37" s="70" t="s">
        <v>21</v>
      </c>
      <c r="L37" s="70">
        <v>6.9903027844897617E-3</v>
      </c>
      <c r="M37" s="70">
        <v>1.2636478495305654E-2</v>
      </c>
      <c r="N37" s="70">
        <v>1.594414069253889E-2</v>
      </c>
      <c r="O37" s="70">
        <v>1.8392262080783893E-2</v>
      </c>
      <c r="P37" s="54" t="s">
        <v>427</v>
      </c>
      <c r="Q37" s="52" t="s">
        <v>428</v>
      </c>
      <c r="R37" s="93" t="s">
        <v>32</v>
      </c>
      <c r="S37" s="70">
        <v>5.5220859999999997E-2</v>
      </c>
      <c r="T37" s="62">
        <v>-6.5451930469434538E-4</v>
      </c>
      <c r="V37" s="113">
        <v>1.1140676</v>
      </c>
      <c r="W37" s="71">
        <v>2.8542840300000001</v>
      </c>
      <c r="X37" s="71">
        <v>4.3653988900000007</v>
      </c>
      <c r="Y37" s="71">
        <v>5.6278866399999998</v>
      </c>
      <c r="Z37" s="114">
        <v>7.1467687200000007</v>
      </c>
    </row>
    <row r="38" spans="2:26" x14ac:dyDescent="0.35">
      <c r="B38" s="54" t="s">
        <v>42</v>
      </c>
      <c r="C38" s="52" t="s">
        <v>35</v>
      </c>
      <c r="D38" s="52" t="s">
        <v>43</v>
      </c>
      <c r="E38" s="52" t="s">
        <v>429</v>
      </c>
      <c r="F38" s="72">
        <v>4.2760968814859891E-2</v>
      </c>
      <c r="G38" s="70">
        <v>5.1896365224026034E-2</v>
      </c>
      <c r="H38" s="70">
        <v>5.9759035575309677E-2</v>
      </c>
      <c r="I38" s="70">
        <v>6.5071324545049117E-2</v>
      </c>
      <c r="J38" s="62">
        <v>7.0441777697933555E-2</v>
      </c>
      <c r="K38" s="70">
        <v>6.7424401485988942E-4</v>
      </c>
      <c r="L38" s="70">
        <v>1.0028646924026038E-2</v>
      </c>
      <c r="M38" s="70">
        <v>1.7632449675309664E-2</v>
      </c>
      <c r="N38" s="70">
        <v>2.2037058045049129E-2</v>
      </c>
      <c r="O38" s="70">
        <v>2.5847061797933561E-2</v>
      </c>
      <c r="P38" s="54" t="s">
        <v>21</v>
      </c>
      <c r="Q38" s="52" t="s">
        <v>21</v>
      </c>
      <c r="R38" s="93" t="s">
        <v>21</v>
      </c>
      <c r="S38" s="70">
        <v>0</v>
      </c>
      <c r="T38" s="62">
        <v>5.9759035575309677E-2</v>
      </c>
      <c r="V38" s="113">
        <v>1.11306474</v>
      </c>
      <c r="W38" s="71">
        <v>2.8459736800000002</v>
      </c>
      <c r="X38" s="71">
        <v>4.3357729699999998</v>
      </c>
      <c r="Y38" s="71">
        <v>5.5651344700000003</v>
      </c>
      <c r="Z38" s="114">
        <v>7.0103917000000004</v>
      </c>
    </row>
    <row r="39" spans="2:26" x14ac:dyDescent="0.35">
      <c r="B39" s="78" t="s">
        <v>45</v>
      </c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8"/>
      <c r="Q39" s="77"/>
      <c r="R39" s="94"/>
      <c r="S39" s="77"/>
      <c r="T39" s="76"/>
      <c r="V39" s="111"/>
      <c r="W39" s="106"/>
      <c r="X39" s="106"/>
      <c r="Y39" s="106"/>
      <c r="Z39" s="112"/>
    </row>
    <row r="40" spans="2:26" x14ac:dyDescent="0.35">
      <c r="B40" s="55" t="s">
        <v>46</v>
      </c>
      <c r="C40" s="65" t="s">
        <v>30</v>
      </c>
      <c r="D40" s="65" t="s">
        <v>47</v>
      </c>
      <c r="E40" s="65" t="s">
        <v>430</v>
      </c>
      <c r="F40" s="74">
        <v>4.0773564188797434E-2</v>
      </c>
      <c r="G40" s="79">
        <v>4.6546046410937097E-2</v>
      </c>
      <c r="H40" s="79">
        <v>5.0847066102552518E-2</v>
      </c>
      <c r="I40" s="79">
        <v>5.4163351899532468E-2</v>
      </c>
      <c r="J40" s="61">
        <v>5.7754195777171051E-2</v>
      </c>
      <c r="K40" s="70" t="s">
        <v>21</v>
      </c>
      <c r="L40" s="70">
        <v>4.8987857109370992E-3</v>
      </c>
      <c r="M40" s="70">
        <v>9.11930980255252E-3</v>
      </c>
      <c r="N40" s="70">
        <v>1.1639946099532473E-2</v>
      </c>
      <c r="O40" s="70">
        <v>1.3738903977171054E-2</v>
      </c>
      <c r="P40" s="54" t="s">
        <v>431</v>
      </c>
      <c r="Q40" s="52" t="s">
        <v>432</v>
      </c>
      <c r="R40" s="93" t="s">
        <v>32</v>
      </c>
      <c r="S40" s="70">
        <v>4.7540899999999997E-2</v>
      </c>
      <c r="T40" s="62">
        <v>3.3061661025525213E-3</v>
      </c>
      <c r="V40" s="117">
        <v>1.1150665200000001</v>
      </c>
      <c r="W40" s="60">
        <v>2.86957313</v>
      </c>
      <c r="X40" s="60">
        <v>4.42114808</v>
      </c>
      <c r="Y40" s="60">
        <v>5.7492642199999997</v>
      </c>
      <c r="Z40" s="118">
        <v>7.3877832899999998</v>
      </c>
    </row>
    <row r="41" spans="2:26" x14ac:dyDescent="0.35">
      <c r="B41" s="54" t="s">
        <v>46</v>
      </c>
      <c r="C41" s="52" t="s">
        <v>33</v>
      </c>
      <c r="D41" s="52" t="s">
        <v>47</v>
      </c>
      <c r="E41" s="52" t="s">
        <v>433</v>
      </c>
      <c r="F41" s="72">
        <v>4.147288880364771E-2</v>
      </c>
      <c r="G41" s="70">
        <v>4.842529902627845E-2</v>
      </c>
      <c r="H41" s="70">
        <v>5.4354565894083495E-2</v>
      </c>
      <c r="I41" s="70">
        <v>5.8279105842027529E-2</v>
      </c>
      <c r="J41" s="62">
        <v>6.1977968246945618E-2</v>
      </c>
      <c r="K41" s="70" t="s">
        <v>21</v>
      </c>
      <c r="L41" s="70">
        <v>6.6776221262784523E-3</v>
      </c>
      <c r="M41" s="70">
        <v>1.2434136894083498E-2</v>
      </c>
      <c r="N41" s="70">
        <v>1.5526152642027537E-2</v>
      </c>
      <c r="O41" s="70">
        <v>1.7749120646945608E-2</v>
      </c>
      <c r="P41" s="54" t="s">
        <v>21</v>
      </c>
      <c r="Q41" s="52" t="s">
        <v>21</v>
      </c>
      <c r="R41" s="93" t="s">
        <v>21</v>
      </c>
      <c r="S41" s="70">
        <v>0</v>
      </c>
      <c r="T41" s="62">
        <v>5.4354565894083495E-2</v>
      </c>
      <c r="V41" s="113">
        <v>1.1137716600000001</v>
      </c>
      <c r="W41" s="71">
        <v>2.8557998800000002</v>
      </c>
      <c r="X41" s="71">
        <v>4.3696663400000002</v>
      </c>
      <c r="Y41" s="71">
        <v>5.6380898699999999</v>
      </c>
      <c r="Z41" s="114">
        <v>7.1730648600000002</v>
      </c>
    </row>
    <row r="42" spans="2:26" x14ac:dyDescent="0.35">
      <c r="B42" s="56" t="s">
        <v>46</v>
      </c>
      <c r="C42" s="66" t="s">
        <v>35</v>
      </c>
      <c r="D42" s="66" t="s">
        <v>47</v>
      </c>
      <c r="E42" s="66" t="s">
        <v>21</v>
      </c>
      <c r="F42" s="73">
        <v>4.2436410009837069E-2</v>
      </c>
      <c r="G42" s="75">
        <v>5.1027311874651933E-2</v>
      </c>
      <c r="H42" s="75">
        <v>5.8582867724812214E-2</v>
      </c>
      <c r="I42" s="75">
        <v>6.354494190190961E-2</v>
      </c>
      <c r="J42" s="63">
        <v>6.8422646342900517E-2</v>
      </c>
      <c r="K42" s="70">
        <v>3.5349500983707267E-4</v>
      </c>
      <c r="L42" s="70">
        <v>9.1973102746519333E-3</v>
      </c>
      <c r="M42" s="70">
        <v>1.6519194024812209E-2</v>
      </c>
      <c r="N42" s="70">
        <v>2.0599068001909613E-2</v>
      </c>
      <c r="O42" s="70">
        <v>2.3943099342900509E-2</v>
      </c>
      <c r="P42" s="54" t="s">
        <v>21</v>
      </c>
      <c r="Q42" s="52" t="s">
        <v>21</v>
      </c>
      <c r="R42" s="93" t="s">
        <v>21</v>
      </c>
      <c r="S42" s="70">
        <v>0</v>
      </c>
      <c r="T42" s="62">
        <v>5.8582867724812214E-2</v>
      </c>
      <c r="V42" s="115">
        <v>1.1135653000000001</v>
      </c>
      <c r="W42" s="107">
        <v>2.8509033400000003</v>
      </c>
      <c r="X42" s="107">
        <v>4.3508703099999995</v>
      </c>
      <c r="Y42" s="107">
        <v>5.5966181800000001</v>
      </c>
      <c r="Z42" s="116">
        <v>7.0780715999999995</v>
      </c>
    </row>
    <row r="43" spans="2:26" x14ac:dyDescent="0.35">
      <c r="B43" s="54" t="s">
        <v>49</v>
      </c>
      <c r="C43" s="52" t="s">
        <v>30</v>
      </c>
      <c r="D43" s="52" t="s">
        <v>47</v>
      </c>
      <c r="E43" s="52" t="s">
        <v>356</v>
      </c>
      <c r="F43" s="72">
        <v>4.0561499656445357E-2</v>
      </c>
      <c r="G43" s="70">
        <v>4.5907378414671782E-2</v>
      </c>
      <c r="H43" s="70">
        <v>5.0100656731543285E-2</v>
      </c>
      <c r="I43" s="70">
        <v>5.2852405704857525E-2</v>
      </c>
      <c r="J43" s="62">
        <v>5.6547922963291641E-2</v>
      </c>
      <c r="K43" s="70" t="s">
        <v>21</v>
      </c>
      <c r="L43" s="70">
        <v>4.2935108146717913E-3</v>
      </c>
      <c r="M43" s="70">
        <v>8.412100131543282E-3</v>
      </c>
      <c r="N43" s="70">
        <v>1.0396812904857517E-2</v>
      </c>
      <c r="O43" s="70">
        <v>1.2586122263291626E-2</v>
      </c>
      <c r="P43" s="55" t="s">
        <v>434</v>
      </c>
      <c r="Q43" s="65" t="s">
        <v>435</v>
      </c>
      <c r="R43" s="99" t="s">
        <v>32</v>
      </c>
      <c r="S43" s="79">
        <v>5.0398800000000001E-2</v>
      </c>
      <c r="T43" s="61">
        <v>-2.981432684567159E-4</v>
      </c>
      <c r="V43" s="113">
        <v>1.1154549499999999</v>
      </c>
      <c r="W43" s="71">
        <v>2.8741830900000003</v>
      </c>
      <c r="X43" s="71">
        <v>4.4342922200000006</v>
      </c>
      <c r="Y43" s="71">
        <v>5.7809760699999995</v>
      </c>
      <c r="Z43" s="114">
        <v>7.4515341499999996</v>
      </c>
    </row>
    <row r="44" spans="2:26" x14ac:dyDescent="0.35">
      <c r="B44" s="54" t="s">
        <v>49</v>
      </c>
      <c r="C44" s="52" t="s">
        <v>33</v>
      </c>
      <c r="D44" s="52" t="s">
        <v>47</v>
      </c>
      <c r="E44" s="52" t="s">
        <v>274</v>
      </c>
      <c r="F44" s="72">
        <v>4.0988545316331719E-2</v>
      </c>
      <c r="G44" s="70">
        <v>4.7889559385954537E-2</v>
      </c>
      <c r="H44" s="70">
        <v>5.3405958117398948E-2</v>
      </c>
      <c r="I44" s="70">
        <v>5.7064390108663571E-2</v>
      </c>
      <c r="J44" s="62">
        <v>6.1043876708812228E-2</v>
      </c>
      <c r="K44" s="70" t="s">
        <v>21</v>
      </c>
      <c r="L44" s="70">
        <v>6.174532585954534E-3</v>
      </c>
      <c r="M44" s="70">
        <v>1.1541840717398943E-2</v>
      </c>
      <c r="N44" s="70">
        <v>1.4384616708663572E-2</v>
      </c>
      <c r="O44" s="70">
        <v>1.6866001708812237E-2</v>
      </c>
      <c r="P44" s="54" t="s">
        <v>436</v>
      </c>
      <c r="Q44" s="52" t="s">
        <v>437</v>
      </c>
      <c r="R44" s="93" t="s">
        <v>32</v>
      </c>
      <c r="S44" s="70">
        <v>5.508801E-2</v>
      </c>
      <c r="T44" s="62">
        <v>-1.6820518826010517E-3</v>
      </c>
      <c r="V44" s="113">
        <v>1.11462423</v>
      </c>
      <c r="W44" s="71">
        <v>2.86052573</v>
      </c>
      <c r="X44" s="71">
        <v>4.3844226100000006</v>
      </c>
      <c r="Y44" s="71">
        <v>5.66996726</v>
      </c>
      <c r="Z44" s="114">
        <v>7.2282039100000004</v>
      </c>
    </row>
    <row r="45" spans="2:26" x14ac:dyDescent="0.35">
      <c r="B45" s="56" t="s">
        <v>49</v>
      </c>
      <c r="C45" s="66" t="s">
        <v>35</v>
      </c>
      <c r="D45" s="66" t="s">
        <v>47</v>
      </c>
      <c r="E45" s="66" t="s">
        <v>21</v>
      </c>
      <c r="F45" s="73">
        <v>4.2119433656322841E-2</v>
      </c>
      <c r="G45" s="75">
        <v>5.0174691658061196E-2</v>
      </c>
      <c r="H45" s="75">
        <v>5.7204120066610964E-2</v>
      </c>
      <c r="I45" s="75">
        <v>6.2346740297004787E-2</v>
      </c>
      <c r="J45" s="63">
        <v>6.7132904816785716E-2</v>
      </c>
      <c r="K45" s="75">
        <v>4.8923456322843423E-5</v>
      </c>
      <c r="L45" s="75">
        <v>8.3850424580611971E-3</v>
      </c>
      <c r="M45" s="75">
        <v>1.5214695266610963E-2</v>
      </c>
      <c r="N45" s="75">
        <v>1.9469515497004784E-2</v>
      </c>
      <c r="O45" s="75">
        <v>2.2726904816785704E-2</v>
      </c>
      <c r="P45" s="56" t="s">
        <v>21</v>
      </c>
      <c r="Q45" s="66" t="s">
        <v>21</v>
      </c>
      <c r="R45" s="95" t="s">
        <v>21</v>
      </c>
      <c r="S45" s="75">
        <v>0</v>
      </c>
      <c r="T45" s="63">
        <v>5.7204120066610964E-2</v>
      </c>
      <c r="V45" s="115">
        <v>1.1140113</v>
      </c>
      <c r="W45" s="107">
        <v>2.8556534600000001</v>
      </c>
      <c r="X45" s="107">
        <v>4.3673423299999996</v>
      </c>
      <c r="Y45" s="107">
        <v>5.6266705699999999</v>
      </c>
      <c r="Z45" s="116">
        <v>7.1308633400000003</v>
      </c>
    </row>
    <row r="46" spans="2:26" x14ac:dyDescent="0.35">
      <c r="B46" s="55" t="s">
        <v>50</v>
      </c>
      <c r="C46" s="65" t="s">
        <v>30</v>
      </c>
      <c r="D46" s="65" t="s">
        <v>47</v>
      </c>
      <c r="E46" s="65" t="s">
        <v>179</v>
      </c>
      <c r="F46" s="74">
        <v>4.0388180707396797E-2</v>
      </c>
      <c r="G46" s="79">
        <v>4.5975323121475786E-2</v>
      </c>
      <c r="H46" s="79">
        <v>5.040946185606017E-2</v>
      </c>
      <c r="I46" s="79">
        <v>5.344635769157504E-2</v>
      </c>
      <c r="J46" s="61">
        <v>5.6974138827560417E-2</v>
      </c>
      <c r="K46" s="70" t="s">
        <v>21</v>
      </c>
      <c r="L46" s="70">
        <v>4.358618621475796E-3</v>
      </c>
      <c r="M46" s="70">
        <v>8.7055041560601676E-3</v>
      </c>
      <c r="N46" s="70">
        <v>1.0961339191575046E-2</v>
      </c>
      <c r="O46" s="70">
        <v>1.2995784227560411E-2</v>
      </c>
      <c r="P46" s="54" t="s">
        <v>438</v>
      </c>
      <c r="Q46" s="52" t="s">
        <v>439</v>
      </c>
      <c r="R46" s="93" t="s">
        <v>32</v>
      </c>
      <c r="S46" s="70">
        <v>4.912826E-2</v>
      </c>
      <c r="T46" s="62">
        <v>1.2812018560601698E-3</v>
      </c>
      <c r="V46" s="117">
        <v>1.1157689399999999</v>
      </c>
      <c r="W46" s="60">
        <v>2.8743024099999999</v>
      </c>
      <c r="X46" s="60">
        <v>4.4311414100000004</v>
      </c>
      <c r="Y46" s="60">
        <v>5.7690979100000002</v>
      </c>
      <c r="Z46" s="118">
        <v>7.427222679999999</v>
      </c>
    </row>
    <row r="47" spans="2:26" x14ac:dyDescent="0.35">
      <c r="B47" s="54" t="s">
        <v>50</v>
      </c>
      <c r="C47" s="52" t="s">
        <v>33</v>
      </c>
      <c r="D47" s="52" t="s">
        <v>47</v>
      </c>
      <c r="E47" s="52" t="s">
        <v>133</v>
      </c>
      <c r="F47" s="72">
        <v>4.1227661310905515E-2</v>
      </c>
      <c r="G47" s="70">
        <v>4.8115057023687777E-2</v>
      </c>
      <c r="H47" s="70">
        <v>5.382971599725913E-2</v>
      </c>
      <c r="I47" s="70">
        <v>5.7856745164712717E-2</v>
      </c>
      <c r="J47" s="62">
        <v>6.1546710636361725E-2</v>
      </c>
      <c r="K47" s="70" t="s">
        <v>21</v>
      </c>
      <c r="L47" s="70">
        <v>6.3843997236877701E-3</v>
      </c>
      <c r="M47" s="70">
        <v>1.1939308897259124E-2</v>
      </c>
      <c r="N47" s="70">
        <v>1.5128994164712726E-2</v>
      </c>
      <c r="O47" s="70">
        <v>1.7342459636361721E-2</v>
      </c>
      <c r="P47" s="54" t="s">
        <v>440</v>
      </c>
      <c r="Q47" s="52" t="s">
        <v>441</v>
      </c>
      <c r="R47" s="93" t="s">
        <v>32</v>
      </c>
      <c r="S47" s="70">
        <v>4.9999729999999999E-2</v>
      </c>
      <c r="T47" s="62">
        <v>3.8299859972591305E-3</v>
      </c>
      <c r="V47" s="113">
        <v>1.1142247700000001</v>
      </c>
      <c r="W47" s="71">
        <v>2.8584783599999999</v>
      </c>
      <c r="X47" s="71">
        <v>4.3779418400000001</v>
      </c>
      <c r="Y47" s="71">
        <v>5.6525192999999998</v>
      </c>
      <c r="Z47" s="114">
        <v>7.1970449500000004</v>
      </c>
    </row>
    <row r="48" spans="2:26" x14ac:dyDescent="0.35">
      <c r="B48" s="56" t="s">
        <v>50</v>
      </c>
      <c r="C48" s="66" t="s">
        <v>35</v>
      </c>
      <c r="D48" s="66" t="s">
        <v>47</v>
      </c>
      <c r="E48" s="66" t="s">
        <v>21</v>
      </c>
      <c r="F48" s="73">
        <v>4.2460144701261478E-2</v>
      </c>
      <c r="G48" s="75">
        <v>5.0966978014766004E-2</v>
      </c>
      <c r="H48" s="75">
        <v>5.8482260032212519E-2</v>
      </c>
      <c r="I48" s="75">
        <v>6.3619413989120327E-2</v>
      </c>
      <c r="J48" s="63">
        <v>6.8406252872399528E-2</v>
      </c>
      <c r="K48" s="70">
        <v>3.7690300126148532E-4</v>
      </c>
      <c r="L48" s="70">
        <v>9.1401519147659982E-3</v>
      </c>
      <c r="M48" s="70">
        <v>1.6424328132212517E-2</v>
      </c>
      <c r="N48" s="70">
        <v>2.0669482389120326E-2</v>
      </c>
      <c r="O48" s="70">
        <v>2.392861367239953E-2</v>
      </c>
      <c r="P48" s="54" t="s">
        <v>21</v>
      </c>
      <c r="Q48" s="52" t="s">
        <v>21</v>
      </c>
      <c r="R48" s="93" t="s">
        <v>21</v>
      </c>
      <c r="S48" s="70"/>
      <c r="T48" s="62"/>
      <c r="V48" s="115">
        <v>1.1135289099999999</v>
      </c>
      <c r="W48" s="107">
        <v>2.8511191</v>
      </c>
      <c r="X48" s="107">
        <v>4.3519424500000001</v>
      </c>
      <c r="Y48" s="107">
        <v>5.5970652599999999</v>
      </c>
      <c r="Z48" s="116">
        <v>7.0781691100000002</v>
      </c>
    </row>
    <row r="49" spans="2:26" x14ac:dyDescent="0.35">
      <c r="B49" s="78" t="s">
        <v>51</v>
      </c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8"/>
      <c r="Q49" s="77"/>
      <c r="R49" s="94"/>
      <c r="S49" s="77"/>
      <c r="T49" s="76"/>
      <c r="V49" s="111"/>
      <c r="W49" s="106"/>
      <c r="X49" s="106"/>
      <c r="Y49" s="106"/>
      <c r="Z49" s="112"/>
    </row>
    <row r="50" spans="2:26" x14ac:dyDescent="0.35">
      <c r="B50" s="55" t="s">
        <v>52</v>
      </c>
      <c r="C50" s="65" t="s">
        <v>30</v>
      </c>
      <c r="D50" s="65" t="s">
        <v>53</v>
      </c>
      <c r="E50" s="65" t="s">
        <v>57</v>
      </c>
      <c r="F50" s="74">
        <v>4.1488543250654278E-2</v>
      </c>
      <c r="G50" s="79">
        <v>4.6716965880730821E-2</v>
      </c>
      <c r="H50" s="79">
        <v>5.0601357086605396E-2</v>
      </c>
      <c r="I50" s="79">
        <v>5.3343746183165119E-2</v>
      </c>
      <c r="J50" s="61">
        <v>5.6538500458309417E-2</v>
      </c>
      <c r="K50" s="70" t="s">
        <v>21</v>
      </c>
      <c r="L50" s="70">
        <v>5.0612372807308237E-3</v>
      </c>
      <c r="M50" s="70">
        <v>8.8865418866053997E-3</v>
      </c>
      <c r="N50" s="70">
        <v>1.0861980983165119E-2</v>
      </c>
      <c r="O50" s="70">
        <v>1.2575461058309416E-2</v>
      </c>
      <c r="P50" s="54" t="s">
        <v>442</v>
      </c>
      <c r="Q50" s="52" t="s">
        <v>443</v>
      </c>
      <c r="R50" s="93" t="s">
        <v>32</v>
      </c>
      <c r="S50" s="70">
        <v>4.8480519999999999E-2</v>
      </c>
      <c r="T50" s="62">
        <v>2.1208370866053969E-3</v>
      </c>
      <c r="V50" s="117">
        <v>1.1137322599999999</v>
      </c>
      <c r="W50" s="60">
        <v>2.8662122399999999</v>
      </c>
      <c r="X50" s="60">
        <v>4.4201450500000004</v>
      </c>
      <c r="Y50" s="60">
        <v>5.7603010500000007</v>
      </c>
      <c r="Z50" s="118">
        <v>7.4310724700000002</v>
      </c>
    </row>
    <row r="51" spans="2:26" x14ac:dyDescent="0.35">
      <c r="B51" s="54" t="s">
        <v>52</v>
      </c>
      <c r="C51" s="52" t="s">
        <v>33</v>
      </c>
      <c r="D51" s="52" t="s">
        <v>53</v>
      </c>
      <c r="E51" s="52" t="s">
        <v>58</v>
      </c>
      <c r="F51" s="72">
        <v>4.1907046625617159E-2</v>
      </c>
      <c r="G51" s="70">
        <v>4.8182271747135859E-2</v>
      </c>
      <c r="H51" s="70">
        <v>5.3736908544569986E-2</v>
      </c>
      <c r="I51" s="70">
        <v>5.7294417105901684E-2</v>
      </c>
      <c r="J51" s="62">
        <v>6.0961866579111415E-2</v>
      </c>
      <c r="K51" s="70" t="s">
        <v>21</v>
      </c>
      <c r="L51" s="70">
        <v>6.4478997471358645E-3</v>
      </c>
      <c r="M51" s="70">
        <v>1.1851634544569976E-2</v>
      </c>
      <c r="N51" s="70">
        <v>1.459881500590168E-2</v>
      </c>
      <c r="O51" s="70">
        <v>1.678552887911142E-2</v>
      </c>
      <c r="P51" s="54" t="s">
        <v>444</v>
      </c>
      <c r="Q51" s="52" t="s">
        <v>445</v>
      </c>
      <c r="R51" s="93" t="s">
        <v>32</v>
      </c>
      <c r="S51" s="70">
        <v>5.0425230000000001E-2</v>
      </c>
      <c r="T51" s="62">
        <v>3.3116785445699848E-3</v>
      </c>
      <c r="V51" s="113">
        <v>1.1129647899999999</v>
      </c>
      <c r="W51" s="71">
        <v>2.8558996900000002</v>
      </c>
      <c r="X51" s="71">
        <v>4.3763954299999996</v>
      </c>
      <c r="Y51" s="71">
        <v>5.65892149</v>
      </c>
      <c r="Z51" s="114">
        <v>7.2195382500000003</v>
      </c>
    </row>
    <row r="52" spans="2:26" x14ac:dyDescent="0.35">
      <c r="B52" s="56" t="s">
        <v>52</v>
      </c>
      <c r="C52" s="66" t="s">
        <v>35</v>
      </c>
      <c r="D52" s="66" t="s">
        <v>53</v>
      </c>
      <c r="E52" s="66" t="s">
        <v>351</v>
      </c>
      <c r="F52" s="73">
        <v>4.2482204760489917E-2</v>
      </c>
      <c r="G52" s="75">
        <v>5.103588085313375E-2</v>
      </c>
      <c r="H52" s="75">
        <v>5.8388650837310166E-2</v>
      </c>
      <c r="I52" s="75">
        <v>6.3526058740437985E-2</v>
      </c>
      <c r="J52" s="63">
        <v>6.8060623176529375E-2</v>
      </c>
      <c r="K52" s="70">
        <v>3.9938986048991716E-4</v>
      </c>
      <c r="L52" s="70">
        <v>9.2063551531337551E-3</v>
      </c>
      <c r="M52" s="70">
        <v>1.6336168337310164E-2</v>
      </c>
      <c r="N52" s="70">
        <v>2.0581714040437984E-2</v>
      </c>
      <c r="O52" s="70">
        <v>2.360276907652939E-2</v>
      </c>
      <c r="P52" s="54" t="s">
        <v>21</v>
      </c>
      <c r="Q52" s="52" t="s">
        <v>21</v>
      </c>
      <c r="R52" s="93" t="s">
        <v>21</v>
      </c>
      <c r="S52" s="70">
        <v>0</v>
      </c>
      <c r="T52" s="62">
        <v>5.8388650837310166E-2</v>
      </c>
      <c r="V52" s="115">
        <v>1.11349148</v>
      </c>
      <c r="W52" s="107">
        <v>2.8507305399999998</v>
      </c>
      <c r="X52" s="107">
        <v>4.3521748999999996</v>
      </c>
      <c r="Y52" s="107">
        <v>5.5984514999999995</v>
      </c>
      <c r="Z52" s="116">
        <v>7.0855457400000006</v>
      </c>
    </row>
    <row r="53" spans="2:26" x14ac:dyDescent="0.35">
      <c r="B53" s="54" t="s">
        <v>56</v>
      </c>
      <c r="C53" s="52" t="s">
        <v>30</v>
      </c>
      <c r="D53" s="52" t="s">
        <v>53</v>
      </c>
      <c r="E53" s="52" t="s">
        <v>446</v>
      </c>
      <c r="F53" s="72">
        <v>4.1121313628864301E-2</v>
      </c>
      <c r="G53" s="70">
        <v>4.6656516219535746E-2</v>
      </c>
      <c r="H53" s="70">
        <v>5.0596460701265139E-2</v>
      </c>
      <c r="I53" s="70">
        <v>5.3531752963393207E-2</v>
      </c>
      <c r="J53" s="62">
        <v>5.6548636374116647E-2</v>
      </c>
      <c r="K53" s="70" t="s">
        <v>21</v>
      </c>
      <c r="L53" s="70">
        <v>5.0040485195357483E-3</v>
      </c>
      <c r="M53" s="70">
        <v>8.8819928012651463E-3</v>
      </c>
      <c r="N53" s="70">
        <v>1.1040687463393208E-2</v>
      </c>
      <c r="O53" s="70">
        <v>1.2587187574116639E-2</v>
      </c>
      <c r="P53" s="55" t="s">
        <v>447</v>
      </c>
      <c r="Q53" s="65" t="s">
        <v>448</v>
      </c>
      <c r="R53" s="99" t="s">
        <v>32</v>
      </c>
      <c r="S53" s="79">
        <v>5.63525E-2</v>
      </c>
      <c r="T53" s="61">
        <v>-5.7560392987348608E-3</v>
      </c>
      <c r="V53" s="113">
        <v>1.1144128</v>
      </c>
      <c r="W53" s="71">
        <v>2.8677592500000002</v>
      </c>
      <c r="X53" s="71">
        <v>4.4217300100000001</v>
      </c>
      <c r="Y53" s="71">
        <v>5.7591678100000001</v>
      </c>
      <c r="Z53" s="114">
        <v>7.4282652799999997</v>
      </c>
    </row>
    <row r="54" spans="2:26" x14ac:dyDescent="0.35">
      <c r="B54" s="54" t="s">
        <v>56</v>
      </c>
      <c r="C54" s="52" t="s">
        <v>33</v>
      </c>
      <c r="D54" s="52" t="s">
        <v>53</v>
      </c>
      <c r="E54" s="52" t="s">
        <v>449</v>
      </c>
      <c r="F54" s="72">
        <v>4.1824664704766472E-2</v>
      </c>
      <c r="G54" s="70">
        <v>4.8055714023128172E-2</v>
      </c>
      <c r="H54" s="70">
        <v>5.3425643299192263E-2</v>
      </c>
      <c r="I54" s="70">
        <v>5.6845654068438028E-2</v>
      </c>
      <c r="J54" s="62">
        <v>6.0409593980497875E-2</v>
      </c>
      <c r="K54" s="70" t="s">
        <v>21</v>
      </c>
      <c r="L54" s="70">
        <v>6.3276830231281771E-3</v>
      </c>
      <c r="M54" s="70">
        <v>1.1557481299192271E-2</v>
      </c>
      <c r="N54" s="70">
        <v>1.4175378068438035E-2</v>
      </c>
      <c r="O54" s="70">
        <v>1.6261579280497866E-2</v>
      </c>
      <c r="P54" s="54" t="s">
        <v>450</v>
      </c>
      <c r="Q54" s="52" t="s">
        <v>451</v>
      </c>
      <c r="R54" s="93" t="s">
        <v>32</v>
      </c>
      <c r="S54" s="70">
        <v>5.1954790000000001E-2</v>
      </c>
      <c r="T54" s="62">
        <v>1.4708532991922624E-3</v>
      </c>
      <c r="V54" s="113">
        <v>1.11312404</v>
      </c>
      <c r="W54" s="71">
        <v>2.85695202</v>
      </c>
      <c r="X54" s="71">
        <v>4.3807031900000002</v>
      </c>
      <c r="Y54" s="71">
        <v>5.6696380199999998</v>
      </c>
      <c r="Z54" s="114">
        <v>7.2437576200000002</v>
      </c>
    </row>
    <row r="55" spans="2:26" x14ac:dyDescent="0.35">
      <c r="B55" s="54" t="s">
        <v>56</v>
      </c>
      <c r="C55" s="52" t="s">
        <v>35</v>
      </c>
      <c r="D55" s="52" t="s">
        <v>53</v>
      </c>
      <c r="E55" s="52" t="s">
        <v>54</v>
      </c>
      <c r="F55" s="72">
        <v>4.21315034805382E-2</v>
      </c>
      <c r="G55" s="70">
        <v>5.022648637010825E-2</v>
      </c>
      <c r="H55" s="70">
        <v>5.710714179670788E-2</v>
      </c>
      <c r="I55" s="70">
        <v>6.1979000296894696E-2</v>
      </c>
      <c r="J55" s="62">
        <v>6.6593887231293641E-2</v>
      </c>
      <c r="K55" s="70">
        <v>6.5267980538200043E-5</v>
      </c>
      <c r="L55" s="70">
        <v>8.4365475701082392E-3</v>
      </c>
      <c r="M55" s="70">
        <v>1.5124279396707879E-2</v>
      </c>
      <c r="N55" s="70">
        <v>1.9123250996894693E-2</v>
      </c>
      <c r="O55" s="70">
        <v>2.2217189731293632E-2</v>
      </c>
      <c r="P55" s="56" t="s">
        <v>452</v>
      </c>
      <c r="Q55" s="66" t="s">
        <v>453</v>
      </c>
      <c r="R55" s="95" t="s">
        <v>32</v>
      </c>
      <c r="S55" s="75">
        <v>5.5392690000000001E-2</v>
      </c>
      <c r="T55" s="63">
        <v>1.714451796707879E-3</v>
      </c>
      <c r="V55" s="113">
        <v>1.1139706199999999</v>
      </c>
      <c r="W55" s="71">
        <v>2.8553310500000002</v>
      </c>
      <c r="X55" s="71">
        <v>4.36767415</v>
      </c>
      <c r="Y55" s="71">
        <v>5.6309045500000003</v>
      </c>
      <c r="Z55" s="114">
        <v>7.1455821999999998</v>
      </c>
    </row>
    <row r="56" spans="2:26" x14ac:dyDescent="0.35">
      <c r="B56" s="78" t="s">
        <v>59</v>
      </c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8"/>
      <c r="Q56" s="77"/>
      <c r="R56" s="94"/>
      <c r="S56" s="77"/>
      <c r="T56" s="76"/>
      <c r="V56" s="111"/>
      <c r="W56" s="106"/>
      <c r="X56" s="106"/>
      <c r="Y56" s="106"/>
      <c r="Z56" s="112"/>
    </row>
    <row r="57" spans="2:26" x14ac:dyDescent="0.35">
      <c r="B57" s="55" t="s">
        <v>60</v>
      </c>
      <c r="C57" s="65" t="s">
        <v>61</v>
      </c>
      <c r="D57" s="65" t="s">
        <v>62</v>
      </c>
      <c r="E57" s="65" t="s">
        <v>179</v>
      </c>
      <c r="F57" s="74">
        <v>4.190137299760277E-2</v>
      </c>
      <c r="G57" s="79">
        <v>4.7059171105991428E-2</v>
      </c>
      <c r="H57" s="79">
        <v>5.1128936100378101E-2</v>
      </c>
      <c r="I57" s="79">
        <v>5.3720379775444284E-2</v>
      </c>
      <c r="J57" s="61">
        <v>5.687603839528145E-2</v>
      </c>
      <c r="K57" s="70" t="s">
        <v>21</v>
      </c>
      <c r="L57" s="70">
        <v>5.3874846059914303E-3</v>
      </c>
      <c r="M57" s="70">
        <v>9.3878097003781032E-3</v>
      </c>
      <c r="N57" s="70">
        <v>1.1220202675444279E-2</v>
      </c>
      <c r="O57" s="70">
        <v>1.289741439528146E-2</v>
      </c>
      <c r="P57" s="54" t="s">
        <v>454</v>
      </c>
      <c r="Q57" s="52" t="s">
        <v>455</v>
      </c>
      <c r="R57" s="93" t="s">
        <v>32</v>
      </c>
      <c r="S57" s="70">
        <v>0</v>
      </c>
      <c r="T57" s="62">
        <v>5.1128936100378101E-2</v>
      </c>
      <c r="V57" s="117">
        <v>1.11294034</v>
      </c>
      <c r="W57" s="60">
        <v>2.8627273899999999</v>
      </c>
      <c r="X57" s="60">
        <v>4.41091006</v>
      </c>
      <c r="Y57" s="60">
        <v>5.7453269699999998</v>
      </c>
      <c r="Z57" s="118">
        <v>7.4083347999999996</v>
      </c>
    </row>
    <row r="58" spans="2:26" x14ac:dyDescent="0.35">
      <c r="B58" s="56" t="s">
        <v>60</v>
      </c>
      <c r="C58" s="66" t="s">
        <v>63</v>
      </c>
      <c r="D58" s="66" t="s">
        <v>62</v>
      </c>
      <c r="E58" s="66" t="s">
        <v>21</v>
      </c>
      <c r="F58" s="73">
        <v>4.3647035062562289E-2</v>
      </c>
      <c r="G58" s="75">
        <v>5.0286760670306907E-2</v>
      </c>
      <c r="H58" s="75">
        <v>5.5810968210146306E-2</v>
      </c>
      <c r="I58" s="75">
        <v>5.9366539707411667E-2</v>
      </c>
      <c r="J58" s="63">
        <v>6.2656645805886119E-2</v>
      </c>
      <c r="K58" s="70">
        <v>1.5437129625622895E-3</v>
      </c>
      <c r="L58" s="70">
        <v>8.5068677703069064E-3</v>
      </c>
      <c r="M58" s="70">
        <v>1.3903398210146302E-2</v>
      </c>
      <c r="N58" s="70">
        <v>1.6655217707411657E-2</v>
      </c>
      <c r="O58" s="70">
        <v>1.8479657305886125E-2</v>
      </c>
      <c r="P58" s="54" t="s">
        <v>21</v>
      </c>
      <c r="Q58" s="52" t="s">
        <v>21</v>
      </c>
      <c r="R58" s="93" t="s">
        <v>21</v>
      </c>
      <c r="S58" s="70">
        <v>0</v>
      </c>
      <c r="T58" s="62">
        <v>5.5810968210146306E-2</v>
      </c>
      <c r="V58" s="115">
        <v>1.11154496</v>
      </c>
      <c r="W58" s="107">
        <v>2.8509689200000001</v>
      </c>
      <c r="X58" s="107">
        <v>4.37327143</v>
      </c>
      <c r="Y58" s="107">
        <v>5.6655284799999999</v>
      </c>
      <c r="Z58" s="116">
        <v>7.2563824400000003</v>
      </c>
    </row>
    <row r="59" spans="2:26" x14ac:dyDescent="0.35">
      <c r="B59" s="55" t="s">
        <v>64</v>
      </c>
      <c r="C59" s="65" t="s">
        <v>65</v>
      </c>
      <c r="D59" s="65" t="s">
        <v>62</v>
      </c>
      <c r="E59" s="65" t="s">
        <v>179</v>
      </c>
      <c r="F59" s="74">
        <v>4.1168652332544131E-2</v>
      </c>
      <c r="G59" s="79">
        <v>4.7299682103591291E-2</v>
      </c>
      <c r="H59" s="79">
        <v>5.2417946884125127E-2</v>
      </c>
      <c r="I59" s="79">
        <v>5.5568610551475876E-2</v>
      </c>
      <c r="J59" s="61">
        <v>5.873471271344121E-2</v>
      </c>
      <c r="K59" s="79" t="s">
        <v>21</v>
      </c>
      <c r="L59" s="79">
        <v>5.6119899035912968E-3</v>
      </c>
      <c r="M59" s="79">
        <v>1.0605610884125125E-2</v>
      </c>
      <c r="N59" s="79">
        <v>1.2969990151475874E-2</v>
      </c>
      <c r="O59" s="79">
        <v>1.4672277513441214E-2</v>
      </c>
      <c r="P59" s="55" t="s">
        <v>21</v>
      </c>
      <c r="Q59" s="65" t="s">
        <v>21</v>
      </c>
      <c r="R59" s="99" t="s">
        <v>21</v>
      </c>
      <c r="S59" s="79">
        <v>0</v>
      </c>
      <c r="T59" s="61">
        <v>5.2417946884125127E-2</v>
      </c>
      <c r="V59" s="117">
        <v>1.1143433700000001</v>
      </c>
      <c r="W59" s="60">
        <v>2.8636919999999999</v>
      </c>
      <c r="X59" s="60">
        <v>4.3984839400000002</v>
      </c>
      <c r="Y59" s="60">
        <v>5.7053882399999996</v>
      </c>
      <c r="Z59" s="118">
        <v>7.3194586099999999</v>
      </c>
    </row>
    <row r="60" spans="2:26" x14ac:dyDescent="0.35">
      <c r="B60" s="56" t="s">
        <v>64</v>
      </c>
      <c r="C60" s="66" t="s">
        <v>66</v>
      </c>
      <c r="D60" s="66" t="s">
        <v>62</v>
      </c>
      <c r="E60" s="66" t="s">
        <v>21</v>
      </c>
      <c r="F60" s="73">
        <v>4.2252592090573339E-2</v>
      </c>
      <c r="G60" s="75">
        <v>4.9787237775713332E-2</v>
      </c>
      <c r="H60" s="75">
        <v>5.641514394135197E-2</v>
      </c>
      <c r="I60" s="75">
        <v>5.9921624195585596E-2</v>
      </c>
      <c r="J60" s="63">
        <v>6.4010966219311613E-2</v>
      </c>
      <c r="K60" s="75">
        <v>1.8743259057334236E-4</v>
      </c>
      <c r="L60" s="75">
        <v>8.0205407757133335E-3</v>
      </c>
      <c r="M60" s="75">
        <v>1.4470257141351974E-2</v>
      </c>
      <c r="N60" s="75">
        <v>1.7177558795585607E-2</v>
      </c>
      <c r="O60" s="75">
        <v>1.9765394419311598E-2</v>
      </c>
      <c r="P60" s="56" t="s">
        <v>21</v>
      </c>
      <c r="Q60" s="66" t="s">
        <v>21</v>
      </c>
      <c r="R60" s="95" t="s">
        <v>21</v>
      </c>
      <c r="S60" s="75"/>
      <c r="T60" s="63"/>
      <c r="V60" s="115">
        <v>1.1137713599999999</v>
      </c>
      <c r="W60" s="107">
        <v>2.8570229</v>
      </c>
      <c r="X60" s="107">
        <v>4.3753304700000006</v>
      </c>
      <c r="Y60" s="107">
        <v>5.6602071199999999</v>
      </c>
      <c r="Z60" s="116">
        <v>7.2258606099999998</v>
      </c>
    </row>
    <row r="61" spans="2:26" x14ac:dyDescent="0.35">
      <c r="B61" s="78" t="s">
        <v>226</v>
      </c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8"/>
      <c r="Q61" s="77"/>
      <c r="R61" s="94"/>
      <c r="S61" s="77"/>
      <c r="T61" s="76"/>
      <c r="V61" s="111"/>
      <c r="W61" s="106"/>
      <c r="X61" s="106"/>
      <c r="Y61" s="106"/>
      <c r="Z61" s="112"/>
    </row>
    <row r="62" spans="2:26" x14ac:dyDescent="0.35">
      <c r="B62" s="55" t="s">
        <v>227</v>
      </c>
      <c r="C62" s="65" t="s">
        <v>61</v>
      </c>
      <c r="D62" s="65" t="s">
        <v>97</v>
      </c>
      <c r="E62" s="65" t="s">
        <v>21</v>
      </c>
      <c r="F62" s="74">
        <v>4.0277098050122702E-2</v>
      </c>
      <c r="G62" s="79">
        <v>4.5198787824296156E-2</v>
      </c>
      <c r="H62" s="79">
        <v>4.8682653267194315E-2</v>
      </c>
      <c r="I62" s="79">
        <v>5.08698299587413E-2</v>
      </c>
      <c r="J62" s="61">
        <v>5.3153973793868818E-2</v>
      </c>
      <c r="K62" s="70" t="s">
        <v>21</v>
      </c>
      <c r="L62" s="70">
        <v>3.6202710242961662E-3</v>
      </c>
      <c r="M62" s="70">
        <v>7.0649314671943197E-3</v>
      </c>
      <c r="N62" s="70">
        <v>8.5100658587413044E-3</v>
      </c>
      <c r="O62" s="70">
        <v>9.3347641938688174E-3</v>
      </c>
      <c r="P62" s="54" t="s">
        <v>21</v>
      </c>
      <c r="Q62" s="52" t="s">
        <v>21</v>
      </c>
      <c r="R62" s="93" t="s">
        <v>21</v>
      </c>
      <c r="S62" s="70"/>
      <c r="T62" s="62"/>
      <c r="V62" s="117">
        <v>1.1159919299999999</v>
      </c>
      <c r="W62" s="60">
        <v>2.8795010799999998</v>
      </c>
      <c r="X62" s="60">
        <v>4.4550444100000002</v>
      </c>
      <c r="Y62" s="60">
        <v>5.8311374999999996</v>
      </c>
      <c r="Z62" s="118">
        <v>7.58685367</v>
      </c>
    </row>
    <row r="63" spans="2:26" x14ac:dyDescent="0.35">
      <c r="B63" s="56" t="s">
        <v>227</v>
      </c>
      <c r="C63" s="66" t="s">
        <v>63</v>
      </c>
      <c r="D63" s="66" t="s">
        <v>97</v>
      </c>
      <c r="E63" s="66" t="s">
        <v>21</v>
      </c>
      <c r="F63" s="73">
        <v>4.1715004120480868E-2</v>
      </c>
      <c r="G63" s="75">
        <v>4.7963574622952351E-2</v>
      </c>
      <c r="H63" s="75">
        <v>5.2824995590672025E-2</v>
      </c>
      <c r="I63" s="75">
        <v>5.6094624060609929E-2</v>
      </c>
      <c r="J63" s="63">
        <v>5.8958362218449786E-2</v>
      </c>
      <c r="K63" s="70" t="s">
        <v>21</v>
      </c>
      <c r="L63" s="70">
        <v>6.2816665229523637E-3</v>
      </c>
      <c r="M63" s="70">
        <v>1.1052927490672028E-2</v>
      </c>
      <c r="N63" s="70">
        <v>1.3539079560609932E-2</v>
      </c>
      <c r="O63" s="70">
        <v>1.4945799618449784E-2</v>
      </c>
      <c r="P63" s="54" t="s">
        <v>21</v>
      </c>
      <c r="Q63" s="52" t="s">
        <v>21</v>
      </c>
      <c r="R63" s="93" t="s">
        <v>21</v>
      </c>
      <c r="S63" s="70"/>
      <c r="T63" s="62"/>
      <c r="V63" s="115">
        <v>1.1145090799999999</v>
      </c>
      <c r="W63" s="71">
        <v>2.86684604</v>
      </c>
      <c r="X63" s="107">
        <v>4.4144491199999996</v>
      </c>
      <c r="Y63" s="107">
        <v>5.7434041699999998</v>
      </c>
      <c r="Z63" s="116">
        <v>7.4052191799999996</v>
      </c>
    </row>
    <row r="64" spans="2:26" x14ac:dyDescent="0.35">
      <c r="B64" s="55" t="s">
        <v>228</v>
      </c>
      <c r="C64" s="65" t="s">
        <v>65</v>
      </c>
      <c r="D64" s="65" t="s">
        <v>97</v>
      </c>
      <c r="E64" s="65" t="s">
        <v>21</v>
      </c>
      <c r="F64" s="74">
        <v>4.1035572204338192E-2</v>
      </c>
      <c r="G64" s="79">
        <v>4.7298253779406184E-2</v>
      </c>
      <c r="H64" s="79">
        <v>5.2466450302030523E-2</v>
      </c>
      <c r="I64" s="79">
        <v>5.5569383772782706E-2</v>
      </c>
      <c r="J64" s="61">
        <v>5.9100044458083277E-2</v>
      </c>
      <c r="K64" s="79" t="s">
        <v>21</v>
      </c>
      <c r="L64" s="79">
        <v>5.6117478794061922E-3</v>
      </c>
      <c r="M64" s="79">
        <v>1.0652256802030521E-2</v>
      </c>
      <c r="N64" s="79">
        <v>1.2971459672782694E-2</v>
      </c>
      <c r="O64" s="79">
        <v>1.501921925808327E-2</v>
      </c>
      <c r="P64" s="55" t="s">
        <v>21</v>
      </c>
      <c r="Q64" s="65" t="s">
        <v>21</v>
      </c>
      <c r="R64" s="99" t="s">
        <v>21</v>
      </c>
      <c r="S64" s="79">
        <v>0</v>
      </c>
      <c r="T64" s="61">
        <v>5.2466450302030523E-2</v>
      </c>
      <c r="V64" s="117">
        <v>1.11457614</v>
      </c>
      <c r="W64" s="60">
        <v>2.8640946999999999</v>
      </c>
      <c r="X64" s="60">
        <v>4.3983510900000002</v>
      </c>
      <c r="Y64" s="60">
        <v>5.7050857500000003</v>
      </c>
      <c r="Z64" s="118">
        <v>7.3111397399999998</v>
      </c>
    </row>
    <row r="65" spans="2:26" x14ac:dyDescent="0.35">
      <c r="B65" s="56" t="s">
        <v>228</v>
      </c>
      <c r="C65" s="66" t="s">
        <v>66</v>
      </c>
      <c r="D65" s="66" t="s">
        <v>97</v>
      </c>
      <c r="E65" s="66" t="s">
        <v>21</v>
      </c>
      <c r="F65" s="73">
        <v>4.2175065618944178E-2</v>
      </c>
      <c r="G65" s="75">
        <v>5.0346949175662799E-2</v>
      </c>
      <c r="H65" s="75">
        <v>5.7301754057580853E-2</v>
      </c>
      <c r="I65" s="75">
        <v>6.1810592284503134E-2</v>
      </c>
      <c r="J65" s="63">
        <v>6.5912605808227928E-2</v>
      </c>
      <c r="K65" s="75">
        <v>1.1049941894418144E-4</v>
      </c>
      <c r="L65" s="75">
        <v>8.5528732756627937E-3</v>
      </c>
      <c r="M65" s="75">
        <v>1.5309712157580847E-2</v>
      </c>
      <c r="N65" s="75">
        <v>1.896483748450313E-2</v>
      </c>
      <c r="O65" s="75">
        <v>2.1572289808227924E-2</v>
      </c>
      <c r="P65" s="56" t="s">
        <v>21</v>
      </c>
      <c r="Q65" s="66" t="s">
        <v>21</v>
      </c>
      <c r="R65" s="95" t="s">
        <v>21</v>
      </c>
      <c r="S65" s="75">
        <v>0</v>
      </c>
      <c r="T65" s="63">
        <v>5.7301754057580853E-2</v>
      </c>
      <c r="V65" s="113">
        <v>1.1138925200000001</v>
      </c>
      <c r="W65" s="71">
        <v>2.8546260299999999</v>
      </c>
      <c r="X65" s="107">
        <v>4.36529335</v>
      </c>
      <c r="Y65" s="107">
        <v>5.6299800300000005</v>
      </c>
      <c r="Z65" s="114">
        <v>7.1573078100000007</v>
      </c>
    </row>
    <row r="66" spans="2:26" x14ac:dyDescent="0.35">
      <c r="B66" s="56" t="s">
        <v>306</v>
      </c>
      <c r="C66" s="66" t="s">
        <v>61</v>
      </c>
      <c r="D66" s="66" t="s">
        <v>97</v>
      </c>
      <c r="E66" s="66" t="s">
        <v>21</v>
      </c>
      <c r="F66" s="73">
        <v>4.0006928699705097E-2</v>
      </c>
      <c r="G66" s="75">
        <v>4.4990465546222297E-2</v>
      </c>
      <c r="H66" s="75">
        <v>4.8466136221193529E-2</v>
      </c>
      <c r="I66" s="75">
        <v>5.0754081824707892E-2</v>
      </c>
      <c r="J66" s="63">
        <v>5.3321725973075426E-2</v>
      </c>
      <c r="K66" s="75" t="s">
        <v>21</v>
      </c>
      <c r="L66" s="75">
        <v>3.4231442462223064E-3</v>
      </c>
      <c r="M66" s="75">
        <v>6.8596076211935326E-3</v>
      </c>
      <c r="N66" s="75">
        <v>8.4003913247078822E-3</v>
      </c>
      <c r="O66" s="75">
        <v>9.4965912730754255E-3</v>
      </c>
      <c r="P66" s="56" t="s">
        <v>21</v>
      </c>
      <c r="Q66" s="66" t="s">
        <v>21</v>
      </c>
      <c r="R66" s="95" t="s">
        <v>21</v>
      </c>
      <c r="S66" s="75">
        <v>0</v>
      </c>
      <c r="T66" s="63">
        <v>4.8466136221193529E-2</v>
      </c>
      <c r="V66" s="117">
        <v>1.1164846900000001</v>
      </c>
      <c r="W66" s="60">
        <v>2.88164182</v>
      </c>
      <c r="X66" s="60">
        <v>4.4596599399999999</v>
      </c>
      <c r="Y66" s="60">
        <v>5.8375225899999998</v>
      </c>
      <c r="Z66" s="118">
        <v>7.5891252800000002</v>
      </c>
    </row>
    <row r="67" spans="2:26" x14ac:dyDescent="0.35">
      <c r="B67" s="78" t="s">
        <v>301</v>
      </c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8"/>
      <c r="Q67" s="77"/>
      <c r="R67" s="94"/>
      <c r="S67" s="77"/>
      <c r="T67" s="76"/>
      <c r="V67" s="111"/>
      <c r="W67" s="106"/>
      <c r="X67" s="106"/>
      <c r="Y67" s="106"/>
      <c r="Z67" s="112"/>
    </row>
    <row r="68" spans="2:26" x14ac:dyDescent="0.35">
      <c r="B68" s="55" t="s">
        <v>303</v>
      </c>
      <c r="C68" s="65" t="s">
        <v>30</v>
      </c>
      <c r="D68" s="65" t="s">
        <v>304</v>
      </c>
      <c r="E68" s="65" t="s">
        <v>21</v>
      </c>
      <c r="F68" s="74">
        <v>4.0369132477329255E-2</v>
      </c>
      <c r="G68" s="79">
        <v>4.5628514809079992E-2</v>
      </c>
      <c r="H68" s="79">
        <v>4.9317309933624279E-2</v>
      </c>
      <c r="I68" s="79">
        <v>5.2127253717148866E-2</v>
      </c>
      <c r="J68" s="61">
        <v>5.5249965481519635E-2</v>
      </c>
      <c r="K68" s="70" t="s">
        <v>21</v>
      </c>
      <c r="L68" s="70">
        <v>4.0287346090799956E-3</v>
      </c>
      <c r="M68" s="70">
        <v>7.6682846336242876E-3</v>
      </c>
      <c r="N68" s="70">
        <v>9.7072525171488667E-3</v>
      </c>
      <c r="O68" s="70">
        <v>1.1346034581519634E-2</v>
      </c>
      <c r="P68" s="54" t="s">
        <v>21</v>
      </c>
      <c r="Q68" s="52" t="s">
        <v>21</v>
      </c>
      <c r="R68" s="93" t="s">
        <v>21</v>
      </c>
      <c r="S68" s="70">
        <v>0</v>
      </c>
      <c r="T68" s="62">
        <v>4.9317309933624279E-2</v>
      </c>
      <c r="V68" s="117">
        <v>1.1158146799999999</v>
      </c>
      <c r="W68" s="60">
        <v>2.8765308300000001</v>
      </c>
      <c r="X68" s="60">
        <v>4.4449271499999998</v>
      </c>
      <c r="Y68" s="60">
        <v>5.8028738500000001</v>
      </c>
      <c r="Z68" s="118">
        <v>7.5047828499999998</v>
      </c>
    </row>
    <row r="69" spans="2:26" x14ac:dyDescent="0.35">
      <c r="B69" s="54" t="s">
        <v>303</v>
      </c>
      <c r="C69" s="66" t="s">
        <v>35</v>
      </c>
      <c r="D69" s="52" t="s">
        <v>304</v>
      </c>
      <c r="E69" s="52" t="s">
        <v>21</v>
      </c>
      <c r="F69" s="72">
        <v>4.2459313752637222E-2</v>
      </c>
      <c r="G69" s="70">
        <v>5.097522123511003E-2</v>
      </c>
      <c r="H69" s="70">
        <v>5.8291190934328344E-2</v>
      </c>
      <c r="I69" s="70">
        <v>6.3158208133500468E-2</v>
      </c>
      <c r="J69" s="62">
        <v>6.6928140808184683E-2</v>
      </c>
      <c r="K69" s="70">
        <v>3.7611175263723221E-4</v>
      </c>
      <c r="L69" s="70">
        <v>9.1480035351100275E-3</v>
      </c>
      <c r="M69" s="70">
        <v>1.6243616834328331E-2</v>
      </c>
      <c r="N69" s="70">
        <v>2.0234613533500468E-2</v>
      </c>
      <c r="O69" s="70">
        <v>2.2532765208184685E-2</v>
      </c>
      <c r="P69" s="54" t="s">
        <v>21</v>
      </c>
      <c r="Q69" s="52" t="s">
        <v>21</v>
      </c>
      <c r="R69" s="93" t="s">
        <v>21</v>
      </c>
      <c r="S69" s="70">
        <v>0</v>
      </c>
      <c r="T69" s="62">
        <v>5.8291190934328344E-2</v>
      </c>
      <c r="V69" s="113">
        <v>1.1135300399999999</v>
      </c>
      <c r="W69" s="71">
        <v>2.8510826699999998</v>
      </c>
      <c r="X69" s="71">
        <v>4.3533601800000001</v>
      </c>
      <c r="Y69" s="71">
        <v>5.6034328499999999</v>
      </c>
      <c r="Z69" s="114">
        <v>7.1105842399999997</v>
      </c>
    </row>
    <row r="70" spans="2:26" x14ac:dyDescent="0.35">
      <c r="B70" s="56" t="s">
        <v>303</v>
      </c>
      <c r="C70" s="52" t="s">
        <v>33</v>
      </c>
      <c r="D70" s="66" t="s">
        <v>304</v>
      </c>
      <c r="E70" s="53" t="s">
        <v>21</v>
      </c>
      <c r="F70" s="73">
        <v>4.1076963308442092E-2</v>
      </c>
      <c r="G70" s="75">
        <v>4.7972854861279751E-2</v>
      </c>
      <c r="H70" s="75">
        <v>5.3411884686060819E-2</v>
      </c>
      <c r="I70" s="75">
        <v>5.702234701205388E-2</v>
      </c>
      <c r="J70" s="63">
        <v>6.0685299923615037E-2</v>
      </c>
      <c r="K70" s="70" t="s">
        <v>21</v>
      </c>
      <c r="L70" s="70">
        <v>6.2523025612797566E-3</v>
      </c>
      <c r="M70" s="70">
        <v>1.154663238606082E-2</v>
      </c>
      <c r="N70" s="70">
        <v>1.4344177912053868E-2</v>
      </c>
      <c r="O70" s="70">
        <v>1.6526030223615037E-2</v>
      </c>
      <c r="P70" s="54" t="s">
        <v>21</v>
      </c>
      <c r="Q70" s="52" t="s">
        <v>21</v>
      </c>
      <c r="R70" s="93" t="s">
        <v>21</v>
      </c>
      <c r="S70" s="70">
        <v>0</v>
      </c>
      <c r="T70" s="62">
        <v>5.3411884686060819E-2</v>
      </c>
      <c r="V70" s="115">
        <v>1.11447341</v>
      </c>
      <c r="W70" s="71">
        <v>2.8597620699999999</v>
      </c>
      <c r="X70" s="107">
        <v>4.3834977400000001</v>
      </c>
      <c r="Y70" s="107">
        <v>5.6697332999999999</v>
      </c>
      <c r="Z70" s="116">
        <v>7.2362535800000005</v>
      </c>
    </row>
    <row r="71" spans="2:26" x14ac:dyDescent="0.35">
      <c r="B71" s="78" t="s">
        <v>302</v>
      </c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8"/>
      <c r="Q71" s="77"/>
      <c r="R71" s="94"/>
      <c r="S71" s="77"/>
      <c r="T71" s="76"/>
      <c r="V71" s="111"/>
      <c r="W71" s="106"/>
      <c r="X71" s="106"/>
      <c r="Y71" s="106"/>
      <c r="Z71" s="112"/>
    </row>
    <row r="72" spans="2:26" x14ac:dyDescent="0.35">
      <c r="B72" s="55" t="s">
        <v>305</v>
      </c>
      <c r="C72" s="65" t="s">
        <v>30</v>
      </c>
      <c r="D72" s="65" t="s">
        <v>131</v>
      </c>
      <c r="E72" s="65" t="s">
        <v>21</v>
      </c>
      <c r="F72" s="74">
        <v>4.0462165776274782E-2</v>
      </c>
      <c r="G72" s="79">
        <v>4.5638726221370711E-2</v>
      </c>
      <c r="H72" s="79">
        <v>4.936950360922622E-2</v>
      </c>
      <c r="I72" s="79">
        <v>5.1936840509669902E-2</v>
      </c>
      <c r="J72" s="61">
        <v>5.4631079658917711E-2</v>
      </c>
      <c r="K72" s="79" t="s">
        <v>21</v>
      </c>
      <c r="L72" s="79">
        <v>4.0385747213707232E-3</v>
      </c>
      <c r="M72" s="79">
        <v>7.7179794092262222E-3</v>
      </c>
      <c r="N72" s="79">
        <v>9.5262306096699119E-3</v>
      </c>
      <c r="O72" s="79">
        <v>1.0753099858917706E-2</v>
      </c>
      <c r="P72" s="55" t="s">
        <v>21</v>
      </c>
      <c r="Q72" s="65" t="s">
        <v>21</v>
      </c>
      <c r="R72" s="99" t="s">
        <v>21</v>
      </c>
      <c r="S72" s="79">
        <v>0</v>
      </c>
      <c r="T72" s="61">
        <v>4.936950360922622E-2</v>
      </c>
      <c r="V72" s="117">
        <v>1.11563948</v>
      </c>
      <c r="W72" s="60">
        <v>2.8761630900000004</v>
      </c>
      <c r="X72" s="60">
        <v>4.44404573</v>
      </c>
      <c r="Y72" s="60">
        <v>5.8045084099999995</v>
      </c>
      <c r="Z72" s="118">
        <v>7.5219520400000004</v>
      </c>
    </row>
    <row r="73" spans="2:26" x14ac:dyDescent="0.35">
      <c r="B73" s="56" t="s">
        <v>305</v>
      </c>
      <c r="C73" s="66" t="s">
        <v>35</v>
      </c>
      <c r="D73" s="66" t="s">
        <v>131</v>
      </c>
      <c r="E73" s="66" t="s">
        <v>21</v>
      </c>
      <c r="F73" s="73">
        <v>4.2474550198070782E-2</v>
      </c>
      <c r="G73" s="75">
        <v>5.098118486454456E-2</v>
      </c>
      <c r="H73" s="75">
        <v>5.829510991461883E-2</v>
      </c>
      <c r="I73" s="75">
        <v>6.3161269386023733E-2</v>
      </c>
      <c r="J73" s="63">
        <v>6.7269692861141941E-2</v>
      </c>
      <c r="K73" s="75">
        <v>3.8513389807078111E-4</v>
      </c>
      <c r="L73" s="75">
        <v>9.1511316645445599E-3</v>
      </c>
      <c r="M73" s="75">
        <v>1.624547461461882E-2</v>
      </c>
      <c r="N73" s="75">
        <v>2.0235950586023736E-2</v>
      </c>
      <c r="O73" s="75">
        <v>2.2853823561141934E-2</v>
      </c>
      <c r="P73" s="56" t="s">
        <v>21</v>
      </c>
      <c r="Q73" s="66" t="s">
        <v>21</v>
      </c>
      <c r="R73" s="95" t="s">
        <v>21</v>
      </c>
      <c r="S73" s="75">
        <v>0</v>
      </c>
      <c r="T73" s="63">
        <v>5.829510991461883E-2</v>
      </c>
      <c r="V73" s="113">
        <v>1.11353645</v>
      </c>
      <c r="W73" s="71">
        <v>2.8510775900000001</v>
      </c>
      <c r="X73" s="107">
        <v>4.3533461400000002</v>
      </c>
      <c r="Y73" s="107">
        <v>5.6034110200000002</v>
      </c>
      <c r="Z73" s="114">
        <v>7.1049613299999992</v>
      </c>
    </row>
    <row r="74" spans="2:26" x14ac:dyDescent="0.35">
      <c r="B74" s="78" t="s">
        <v>67</v>
      </c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8"/>
      <c r="Q74" s="77"/>
      <c r="R74" s="94"/>
      <c r="S74" s="77"/>
      <c r="T74" s="76"/>
      <c r="V74" s="111"/>
      <c r="W74" s="106"/>
      <c r="X74" s="106"/>
      <c r="Y74" s="106"/>
      <c r="Z74" s="112"/>
    </row>
    <row r="75" spans="2:26" x14ac:dyDescent="0.35">
      <c r="B75" s="55" t="s">
        <v>68</v>
      </c>
      <c r="C75" s="65" t="s">
        <v>61</v>
      </c>
      <c r="D75" s="65" t="s">
        <v>69</v>
      </c>
      <c r="E75" s="65" t="s">
        <v>21</v>
      </c>
      <c r="F75" s="74">
        <v>4.3027346251935467E-2</v>
      </c>
      <c r="G75" s="79">
        <v>4.8500199435631421E-2</v>
      </c>
      <c r="H75" s="79">
        <v>5.3045657846923909E-2</v>
      </c>
      <c r="I75" s="79">
        <v>5.5897409774139581E-2</v>
      </c>
      <c r="J75" s="61">
        <v>5.9060862576065222E-2</v>
      </c>
      <c r="K75" s="79">
        <v>9.0410665193547003E-4</v>
      </c>
      <c r="L75" s="79">
        <v>6.7493908356314261E-3</v>
      </c>
      <c r="M75" s="79">
        <v>1.1199178346923909E-2</v>
      </c>
      <c r="N75" s="79">
        <v>1.3279264674139578E-2</v>
      </c>
      <c r="O75" s="79">
        <v>1.4976499976065212E-2</v>
      </c>
      <c r="P75" s="55" t="s">
        <v>21</v>
      </c>
      <c r="Q75" s="65" t="s">
        <v>21</v>
      </c>
      <c r="R75" s="99" t="s">
        <v>21</v>
      </c>
      <c r="S75" s="79">
        <v>0</v>
      </c>
      <c r="T75" s="61">
        <v>5.3045657846923909E-2</v>
      </c>
      <c r="V75" s="117">
        <v>1.11088034</v>
      </c>
      <c r="W75" s="60">
        <v>2.8503663700000001</v>
      </c>
      <c r="X75" s="60">
        <v>4.3774666400000006</v>
      </c>
      <c r="Y75" s="60">
        <v>5.6807288599999994</v>
      </c>
      <c r="Z75" s="118">
        <v>7.2901723200000008</v>
      </c>
    </row>
    <row r="76" spans="2:26" x14ac:dyDescent="0.35">
      <c r="B76" s="56" t="s">
        <v>68</v>
      </c>
      <c r="C76" s="66" t="s">
        <v>63</v>
      </c>
      <c r="D76" s="66" t="s">
        <v>69</v>
      </c>
      <c r="E76" s="66" t="s">
        <v>81</v>
      </c>
      <c r="F76" s="73">
        <v>4.4499034351560544E-2</v>
      </c>
      <c r="G76" s="75">
        <v>5.1001727232220476E-2</v>
      </c>
      <c r="H76" s="75">
        <v>5.6272074000130123E-2</v>
      </c>
      <c r="I76" s="75">
        <v>5.9438977156876224E-2</v>
      </c>
      <c r="J76" s="63">
        <v>6.2436933439156982E-2</v>
      </c>
      <c r="K76" s="75">
        <v>2.329857251560547E-3</v>
      </c>
      <c r="L76" s="75">
        <v>9.1791109322204752E-3</v>
      </c>
      <c r="M76" s="75">
        <v>1.4334502800130114E-2</v>
      </c>
      <c r="N76" s="75">
        <v>1.6717719256876241E-2</v>
      </c>
      <c r="O76" s="75">
        <v>1.8263105939156987E-2</v>
      </c>
      <c r="P76" s="56" t="s">
        <v>21</v>
      </c>
      <c r="Q76" s="66" t="s">
        <v>21</v>
      </c>
      <c r="R76" s="95" t="s">
        <v>21</v>
      </c>
      <c r="S76" s="75">
        <v>0</v>
      </c>
      <c r="T76" s="63">
        <v>5.6272074000130123E-2</v>
      </c>
      <c r="V76" s="115">
        <v>1.1101091699999999</v>
      </c>
      <c r="W76" s="107">
        <v>2.8450119300000001</v>
      </c>
      <c r="X76" s="107">
        <v>4.3634018799999996</v>
      </c>
      <c r="Y76" s="107">
        <v>5.6549721100000001</v>
      </c>
      <c r="Z76" s="116">
        <v>7.2512765899999998</v>
      </c>
    </row>
    <row r="77" spans="2:26" x14ac:dyDescent="0.35">
      <c r="B77" s="55" t="s">
        <v>70</v>
      </c>
      <c r="C77" s="65" t="s">
        <v>65</v>
      </c>
      <c r="D77" s="65" t="s">
        <v>69</v>
      </c>
      <c r="E77" s="65" t="s">
        <v>229</v>
      </c>
      <c r="F77" s="74">
        <v>4.3290281631546947E-2</v>
      </c>
      <c r="G77" s="79">
        <v>4.9218967579841226E-2</v>
      </c>
      <c r="H77" s="79">
        <v>5.3997051143321054E-2</v>
      </c>
      <c r="I77" s="79">
        <v>5.7357585553087564E-2</v>
      </c>
      <c r="J77" s="61">
        <v>6.083699091592349E-2</v>
      </c>
      <c r="K77" s="70">
        <v>1.1588226315469479E-3</v>
      </c>
      <c r="L77" s="70">
        <v>7.4306585798412268E-3</v>
      </c>
      <c r="M77" s="70">
        <v>1.2098409943321054E-2</v>
      </c>
      <c r="N77" s="70">
        <v>1.4657732853087583E-2</v>
      </c>
      <c r="O77" s="70">
        <v>1.6663344115923493E-2</v>
      </c>
      <c r="P77" s="54" t="s">
        <v>456</v>
      </c>
      <c r="Q77" s="52" t="s">
        <v>457</v>
      </c>
      <c r="R77" s="93">
        <v>47371</v>
      </c>
      <c r="S77" s="70">
        <v>5.2440769999999998E-2</v>
      </c>
      <c r="T77" s="62">
        <v>1.556281143321056E-3</v>
      </c>
      <c r="V77" s="117">
        <v>1.1103687</v>
      </c>
      <c r="W77" s="60">
        <v>2.8450917900000001</v>
      </c>
      <c r="X77" s="60">
        <v>4.3616853600000001</v>
      </c>
      <c r="Y77" s="60">
        <v>5.6445857999999998</v>
      </c>
      <c r="Z77" s="118">
        <v>7.2106178000000005</v>
      </c>
    </row>
    <row r="78" spans="2:26" x14ac:dyDescent="0.35">
      <c r="B78" s="54" t="s">
        <v>70</v>
      </c>
      <c r="C78" s="52" t="s">
        <v>66</v>
      </c>
      <c r="D78" s="52" t="s">
        <v>69</v>
      </c>
      <c r="E78" s="52" t="s">
        <v>81</v>
      </c>
      <c r="F78" s="72">
        <v>4.4516468949749519E-2</v>
      </c>
      <c r="G78" s="70">
        <v>5.2133414652144223E-2</v>
      </c>
      <c r="H78" s="70">
        <v>5.8831341377856186E-2</v>
      </c>
      <c r="I78" s="70">
        <v>6.3605091598114685E-2</v>
      </c>
      <c r="J78" s="62">
        <v>6.7540676295839777E-2</v>
      </c>
      <c r="K78" s="70">
        <v>2.3374221497495249E-3</v>
      </c>
      <c r="L78" s="70">
        <v>1.025197285214423E-2</v>
      </c>
      <c r="M78" s="70">
        <v>1.67547269778562E-2</v>
      </c>
      <c r="N78" s="70">
        <v>2.0654565098114676E-2</v>
      </c>
      <c r="O78" s="70">
        <v>2.3107414095839773E-2</v>
      </c>
      <c r="P78" s="54" t="s">
        <v>21</v>
      </c>
      <c r="Q78" s="52" t="s">
        <v>21</v>
      </c>
      <c r="R78" s="93" t="s">
        <v>21</v>
      </c>
      <c r="S78" s="70">
        <v>0</v>
      </c>
      <c r="T78" s="62">
        <v>5.8831341377856186E-2</v>
      </c>
      <c r="V78" s="115">
        <v>1.1101311300000001</v>
      </c>
      <c r="W78" s="107">
        <v>2.8398007000000001</v>
      </c>
      <c r="X78" s="107">
        <v>4.3368851199999998</v>
      </c>
      <c r="Y78" s="107">
        <v>5.58312834</v>
      </c>
      <c r="Z78" s="116">
        <v>7.0813850400000007</v>
      </c>
    </row>
    <row r="79" spans="2:26" x14ac:dyDescent="0.35">
      <c r="B79" s="55" t="s">
        <v>71</v>
      </c>
      <c r="C79" s="65" t="s">
        <v>61</v>
      </c>
      <c r="D79" s="65" t="s">
        <v>69</v>
      </c>
      <c r="E79" s="65" t="s">
        <v>21</v>
      </c>
      <c r="F79" s="74">
        <v>4.1153126569751217E-2</v>
      </c>
      <c r="G79" s="79">
        <v>4.6157268271243918E-2</v>
      </c>
      <c r="H79" s="79">
        <v>4.9647770348980533E-2</v>
      </c>
      <c r="I79" s="79">
        <v>5.2065021261115785E-2</v>
      </c>
      <c r="J79" s="61">
        <v>5.4664997365848712E-2</v>
      </c>
      <c r="K79" s="79" t="s">
        <v>21</v>
      </c>
      <c r="L79" s="79">
        <v>4.5329294712439256E-3</v>
      </c>
      <c r="M79" s="79">
        <v>7.9835470489805372E-3</v>
      </c>
      <c r="N79" s="79">
        <v>9.6484877611157892E-3</v>
      </c>
      <c r="O79" s="79">
        <v>1.0784104965848716E-2</v>
      </c>
      <c r="P79" s="55" t="s">
        <v>21</v>
      </c>
      <c r="Q79" s="65" t="s">
        <v>21</v>
      </c>
      <c r="R79" s="99" t="s">
        <v>21</v>
      </c>
      <c r="S79" s="79">
        <v>0</v>
      </c>
      <c r="T79" s="61">
        <v>4.9647770348980533E-2</v>
      </c>
      <c r="V79" s="117">
        <v>1.1143234199999998</v>
      </c>
      <c r="W79" s="60">
        <v>2.8706660099999999</v>
      </c>
      <c r="X79" s="60">
        <v>4.4349899600000002</v>
      </c>
      <c r="Y79" s="60">
        <v>5.7938588900000001</v>
      </c>
      <c r="Z79" s="118">
        <v>7.511518960000001</v>
      </c>
    </row>
    <row r="80" spans="2:26" x14ac:dyDescent="0.35">
      <c r="B80" s="56" t="s">
        <v>71</v>
      </c>
      <c r="C80" s="66" t="s">
        <v>63</v>
      </c>
      <c r="D80" s="66" t="s">
        <v>69</v>
      </c>
      <c r="E80" s="66" t="s">
        <v>21</v>
      </c>
      <c r="F80" s="73">
        <v>4.2689515046639828E-2</v>
      </c>
      <c r="G80" s="75">
        <v>4.8601658226207246E-2</v>
      </c>
      <c r="H80" s="75">
        <v>5.2879079480242515E-2</v>
      </c>
      <c r="I80" s="75">
        <v>5.5802469216603666E-2</v>
      </c>
      <c r="J80" s="63">
        <v>5.8510595651928586E-2</v>
      </c>
      <c r="K80" s="75">
        <v>6.1555894663982511E-4</v>
      </c>
      <c r="L80" s="75">
        <v>6.8933785262072465E-3</v>
      </c>
      <c r="M80" s="75">
        <v>1.1105703280242522E-2</v>
      </c>
      <c r="N80" s="75">
        <v>1.3260390316603667E-2</v>
      </c>
      <c r="O80" s="75">
        <v>1.4514361751928589E-2</v>
      </c>
      <c r="P80" s="56" t="s">
        <v>21</v>
      </c>
      <c r="Q80" s="66" t="s">
        <v>21</v>
      </c>
      <c r="R80" s="95" t="s">
        <v>21</v>
      </c>
      <c r="S80" s="75">
        <v>0</v>
      </c>
      <c r="T80" s="63">
        <v>5.2879079480242515E-2</v>
      </c>
      <c r="V80" s="115">
        <v>1.1131160500000001</v>
      </c>
      <c r="W80" s="107">
        <v>2.8616150399999998</v>
      </c>
      <c r="X80" s="107">
        <v>4.40858303</v>
      </c>
      <c r="Y80" s="107">
        <v>5.7410332100000003</v>
      </c>
      <c r="Z80" s="116">
        <v>7.4130034600000005</v>
      </c>
    </row>
    <row r="81" spans="2:26" x14ac:dyDescent="0.35">
      <c r="B81" s="54" t="s">
        <v>72</v>
      </c>
      <c r="C81" s="52" t="s">
        <v>65</v>
      </c>
      <c r="D81" s="52" t="s">
        <v>69</v>
      </c>
      <c r="E81" s="52" t="s">
        <v>34</v>
      </c>
      <c r="F81" s="72">
        <v>4.1032915365832853E-2</v>
      </c>
      <c r="G81" s="70">
        <v>4.6873127322126971E-2</v>
      </c>
      <c r="H81" s="70">
        <v>5.1733627098622628E-2</v>
      </c>
      <c r="I81" s="70">
        <v>5.4798712737048408E-2</v>
      </c>
      <c r="J81" s="62">
        <v>5.8356206090875766E-2</v>
      </c>
      <c r="K81" s="70" t="s">
        <v>21</v>
      </c>
      <c r="L81" s="70">
        <v>5.2084018221269721E-3</v>
      </c>
      <c r="M81" s="70">
        <v>9.9587244986226332E-3</v>
      </c>
      <c r="N81" s="70">
        <v>1.2241880737048402E-2</v>
      </c>
      <c r="O81" s="70">
        <v>1.4311259590875763E-2</v>
      </c>
      <c r="P81" s="54" t="s">
        <v>21</v>
      </c>
      <c r="Q81" s="52" t="s">
        <v>21</v>
      </c>
      <c r="R81" s="93" t="s">
        <v>21</v>
      </c>
      <c r="S81" s="70">
        <v>0</v>
      </c>
      <c r="T81" s="62">
        <v>5.1733627098622628E-2</v>
      </c>
      <c r="V81" s="117">
        <v>1.11458938</v>
      </c>
      <c r="W81" s="60">
        <v>2.8667368799999999</v>
      </c>
      <c r="X81" s="60">
        <v>4.4090113299999993</v>
      </c>
      <c r="Y81" s="60">
        <v>5.7271269700000005</v>
      </c>
      <c r="Z81" s="118">
        <v>7.3515215499999993</v>
      </c>
    </row>
    <row r="82" spans="2:26" x14ac:dyDescent="0.35">
      <c r="B82" s="56" t="s">
        <v>72</v>
      </c>
      <c r="C82" s="66" t="s">
        <v>66</v>
      </c>
      <c r="D82" s="66" t="s">
        <v>69</v>
      </c>
      <c r="E82" s="66" t="s">
        <v>36</v>
      </c>
      <c r="F82" s="73">
        <v>4.2026317588501359E-2</v>
      </c>
      <c r="G82" s="75">
        <v>4.9959187618330757E-2</v>
      </c>
      <c r="H82" s="75">
        <v>5.6516006835550935E-2</v>
      </c>
      <c r="I82" s="75">
        <v>6.0890483388086496E-2</v>
      </c>
      <c r="J82" s="63">
        <v>6.4688379422184764E-2</v>
      </c>
      <c r="K82" s="75" t="s">
        <v>21</v>
      </c>
      <c r="L82" s="75">
        <v>8.1846478183307553E-3</v>
      </c>
      <c r="M82" s="75">
        <v>1.4565925435550927E-2</v>
      </c>
      <c r="N82" s="75">
        <v>1.8095539588086518E-2</v>
      </c>
      <c r="O82" s="75">
        <v>2.0412386322184749E-2</v>
      </c>
      <c r="P82" s="56" t="s">
        <v>21</v>
      </c>
      <c r="Q82" s="66" t="s">
        <v>21</v>
      </c>
      <c r="R82" s="95" t="s">
        <v>21</v>
      </c>
      <c r="S82" s="75">
        <v>0</v>
      </c>
      <c r="T82" s="63">
        <v>5.6516006835550935E-2</v>
      </c>
      <c r="V82" s="115">
        <v>1.1140865499999999</v>
      </c>
      <c r="W82" s="107">
        <v>2.8567675800000001</v>
      </c>
      <c r="X82" s="107">
        <v>4.3739968499999993</v>
      </c>
      <c r="Y82" s="107">
        <v>5.6489804100000001</v>
      </c>
      <c r="Z82" s="116">
        <v>7.19895555</v>
      </c>
    </row>
    <row r="83" spans="2:26" x14ac:dyDescent="0.35">
      <c r="B83" s="56" t="s">
        <v>74</v>
      </c>
      <c r="C83" s="66" t="s">
        <v>61</v>
      </c>
      <c r="D83" s="66" t="s">
        <v>69</v>
      </c>
      <c r="E83" s="66" t="s">
        <v>312</v>
      </c>
      <c r="F83" s="73">
        <v>4.2010298933455315E-2</v>
      </c>
      <c r="G83" s="75">
        <v>4.7723126320951138E-2</v>
      </c>
      <c r="H83" s="75">
        <v>5.2183664922584701E-2</v>
      </c>
      <c r="I83" s="75">
        <v>5.5239984519407884E-2</v>
      </c>
      <c r="J83" s="63">
        <v>5.848423405287477E-2</v>
      </c>
      <c r="K83" s="75" t="s">
        <v>21</v>
      </c>
      <c r="L83" s="75">
        <v>6.0156079209511357E-3</v>
      </c>
      <c r="M83" s="75">
        <v>1.0385592022584704E-2</v>
      </c>
      <c r="N83" s="75">
        <v>1.2659296419407877E-2</v>
      </c>
      <c r="O83" s="75">
        <v>1.4431649852874779E-2</v>
      </c>
      <c r="P83" s="56" t="s">
        <v>21</v>
      </c>
      <c r="Q83" s="66" t="s">
        <v>21</v>
      </c>
      <c r="R83" s="95" t="s">
        <v>21</v>
      </c>
      <c r="S83" s="75">
        <v>0</v>
      </c>
      <c r="T83" s="63">
        <v>5.2183664922584701E-2</v>
      </c>
      <c r="V83" s="117">
        <v>1.11274597</v>
      </c>
      <c r="W83" s="60">
        <v>2.85832175</v>
      </c>
      <c r="X83" s="60">
        <v>4.3949212800000002</v>
      </c>
      <c r="Y83" s="60">
        <v>5.7074863499999999</v>
      </c>
      <c r="Z83" s="118">
        <v>7.3294281200000002</v>
      </c>
    </row>
    <row r="84" spans="2:26" x14ac:dyDescent="0.35">
      <c r="B84" s="54" t="s">
        <v>76</v>
      </c>
      <c r="C84" s="52" t="s">
        <v>65</v>
      </c>
      <c r="D84" s="52" t="s">
        <v>69</v>
      </c>
      <c r="E84" s="52" t="s">
        <v>34</v>
      </c>
      <c r="F84" s="72">
        <v>4.2049515623672221E-2</v>
      </c>
      <c r="G84" s="70">
        <v>4.8124895440596158E-2</v>
      </c>
      <c r="H84" s="70">
        <v>5.3630367241157592E-2</v>
      </c>
      <c r="I84" s="70">
        <v>5.7001291059345156E-2</v>
      </c>
      <c r="J84" s="62">
        <v>6.0479059985586739E-2</v>
      </c>
      <c r="K84" s="70" t="s">
        <v>21</v>
      </c>
      <c r="L84" s="70">
        <v>6.3961510405961576E-3</v>
      </c>
      <c r="M84" s="70">
        <v>1.1752892441157591E-2</v>
      </c>
      <c r="N84" s="70">
        <v>1.432389375934516E-2</v>
      </c>
      <c r="O84" s="70">
        <v>1.6328726685586728E-2</v>
      </c>
      <c r="P84" s="54" t="s">
        <v>21</v>
      </c>
      <c r="Q84" s="52" t="s">
        <v>21</v>
      </c>
      <c r="R84" s="93" t="s">
        <v>21</v>
      </c>
      <c r="S84" s="70">
        <v>0</v>
      </c>
      <c r="T84" s="62">
        <v>5.3630367241157592E-2</v>
      </c>
      <c r="V84" s="117">
        <v>1.1126683099999999</v>
      </c>
      <c r="W84" s="60">
        <v>2.8557243199999998</v>
      </c>
      <c r="X84" s="60">
        <v>4.3773854100000005</v>
      </c>
      <c r="Y84" s="60">
        <v>5.6639652499999995</v>
      </c>
      <c r="Z84" s="118">
        <v>7.2364410500000007</v>
      </c>
    </row>
    <row r="85" spans="2:26" x14ac:dyDescent="0.35">
      <c r="B85" s="56" t="s">
        <v>76</v>
      </c>
      <c r="C85" s="66" t="s">
        <v>66</v>
      </c>
      <c r="D85" s="66" t="s">
        <v>69</v>
      </c>
      <c r="E85" s="66" t="s">
        <v>21</v>
      </c>
      <c r="F85" s="73">
        <v>4.305756307487317E-2</v>
      </c>
      <c r="G85" s="75">
        <v>5.1327156597941848E-2</v>
      </c>
      <c r="H85" s="75">
        <v>5.8869726820212243E-2</v>
      </c>
      <c r="I85" s="75">
        <v>6.3467785020114825E-2</v>
      </c>
      <c r="J85" s="63">
        <v>6.7153490989103032E-2</v>
      </c>
      <c r="K85" s="75">
        <v>9.7221847487316809E-4</v>
      </c>
      <c r="L85" s="75">
        <v>9.4930556979418521E-3</v>
      </c>
      <c r="M85" s="75">
        <v>1.6797620420212232E-2</v>
      </c>
      <c r="N85" s="75">
        <v>2.0531983420114818E-2</v>
      </c>
      <c r="O85" s="75">
        <v>2.2749078689103031E-2</v>
      </c>
      <c r="P85" s="56" t="s">
        <v>21</v>
      </c>
      <c r="Q85" s="66" t="s">
        <v>21</v>
      </c>
      <c r="R85" s="95" t="s">
        <v>21</v>
      </c>
      <c r="S85" s="75">
        <v>0</v>
      </c>
      <c r="T85" s="63">
        <v>5.8869726820212243E-2</v>
      </c>
      <c r="V85" s="115">
        <v>1.11258397</v>
      </c>
      <c r="W85" s="107">
        <v>2.8477576099999999</v>
      </c>
      <c r="X85" s="107">
        <v>4.3451515699999996</v>
      </c>
      <c r="Y85" s="107">
        <v>5.5915051399999998</v>
      </c>
      <c r="Z85" s="116">
        <v>7.0952348999999995</v>
      </c>
    </row>
    <row r="86" spans="2:26" x14ac:dyDescent="0.35">
      <c r="B86" s="54" t="s">
        <v>77</v>
      </c>
      <c r="C86" s="52" t="s">
        <v>61</v>
      </c>
      <c r="D86" s="52" t="s">
        <v>69</v>
      </c>
      <c r="E86" s="52" t="s">
        <v>21</v>
      </c>
      <c r="F86" s="72">
        <v>4.1258645728840179E-2</v>
      </c>
      <c r="G86" s="70">
        <v>4.6437046109693493E-2</v>
      </c>
      <c r="H86" s="70">
        <v>5.0073949340493931E-2</v>
      </c>
      <c r="I86" s="70">
        <v>5.2726913786507207E-2</v>
      </c>
      <c r="J86" s="62">
        <v>5.5346337764121283E-2</v>
      </c>
      <c r="K86" s="70" t="s">
        <v>21</v>
      </c>
      <c r="L86" s="70">
        <v>4.7962992096934965E-3</v>
      </c>
      <c r="M86" s="70">
        <v>8.3866472404939447E-3</v>
      </c>
      <c r="N86" s="70">
        <v>1.0276517886507205E-2</v>
      </c>
      <c r="O86" s="70">
        <v>1.1436772564121284E-2</v>
      </c>
      <c r="P86" s="54" t="s">
        <v>21</v>
      </c>
      <c r="Q86" s="52" t="s">
        <v>21</v>
      </c>
      <c r="R86" s="93" t="s">
        <v>21</v>
      </c>
      <c r="S86" s="70">
        <v>0</v>
      </c>
      <c r="T86" s="62">
        <v>5.0073949340493931E-2</v>
      </c>
      <c r="V86" s="117">
        <v>1.1141535899999999</v>
      </c>
      <c r="W86" s="60">
        <v>2.8686611200000001</v>
      </c>
      <c r="X86" s="60">
        <v>4.4282763000000003</v>
      </c>
      <c r="Y86" s="60">
        <v>5.7775633399999995</v>
      </c>
      <c r="Z86" s="118">
        <v>7.4771554</v>
      </c>
    </row>
    <row r="87" spans="2:26" x14ac:dyDescent="0.35">
      <c r="B87" s="56" t="s">
        <v>77</v>
      </c>
      <c r="C87" s="66" t="s">
        <v>63</v>
      </c>
      <c r="D87" s="66" t="s">
        <v>69</v>
      </c>
      <c r="E87" s="66" t="s">
        <v>21</v>
      </c>
      <c r="F87" s="73">
        <v>4.3038568964152445E-2</v>
      </c>
      <c r="G87" s="75">
        <v>4.9099070384985302E-2</v>
      </c>
      <c r="H87" s="75">
        <v>5.3565686325261631E-2</v>
      </c>
      <c r="I87" s="75">
        <v>5.6161016241179668E-2</v>
      </c>
      <c r="J87" s="63">
        <v>5.8722956876171045E-2</v>
      </c>
      <c r="K87" s="75">
        <v>9.4789646415245014E-4</v>
      </c>
      <c r="L87" s="75">
        <v>7.3669454849852991E-3</v>
      </c>
      <c r="M87" s="75">
        <v>1.1759829625261625E-2</v>
      </c>
      <c r="N87" s="75">
        <v>1.3601326141179669E-2</v>
      </c>
      <c r="O87" s="75">
        <v>1.4715642776171036E-2</v>
      </c>
      <c r="P87" s="56" t="s">
        <v>21</v>
      </c>
      <c r="Q87" s="66" t="s">
        <v>21</v>
      </c>
      <c r="R87" s="95" t="s">
        <v>21</v>
      </c>
      <c r="S87" s="75">
        <v>0</v>
      </c>
      <c r="T87" s="63">
        <v>5.3565686325261631E-2</v>
      </c>
      <c r="V87" s="115">
        <v>1.1126403899999999</v>
      </c>
      <c r="W87" s="107">
        <v>2.8584247199999999</v>
      </c>
      <c r="X87" s="107">
        <v>4.3992016600000001</v>
      </c>
      <c r="Y87" s="107">
        <v>5.7272081899999998</v>
      </c>
      <c r="Z87" s="116">
        <v>7.3956321899999997</v>
      </c>
    </row>
    <row r="88" spans="2:26" x14ac:dyDescent="0.35">
      <c r="B88" s="54" t="s">
        <v>78</v>
      </c>
      <c r="C88" s="52" t="s">
        <v>65</v>
      </c>
      <c r="D88" s="52" t="s">
        <v>69</v>
      </c>
      <c r="E88" s="52" t="s">
        <v>79</v>
      </c>
      <c r="F88" s="72">
        <v>4.1297911099436618E-2</v>
      </c>
      <c r="G88" s="70">
        <v>4.7514935218863533E-2</v>
      </c>
      <c r="H88" s="70">
        <v>5.2781382778096367E-2</v>
      </c>
      <c r="I88" s="70">
        <v>5.6070421904242704E-2</v>
      </c>
      <c r="J88" s="62">
        <v>5.9615782417394313E-2</v>
      </c>
      <c r="K88" s="70" t="s">
        <v>21</v>
      </c>
      <c r="L88" s="70">
        <v>5.8189971188635364E-3</v>
      </c>
      <c r="M88" s="70">
        <v>1.0951335978096364E-2</v>
      </c>
      <c r="N88" s="70">
        <v>1.3445961404242705E-2</v>
      </c>
      <c r="O88" s="70">
        <v>1.5510571717394308E-2</v>
      </c>
      <c r="P88" s="54" t="s">
        <v>21</v>
      </c>
      <c r="Q88" s="52" t="s">
        <v>21</v>
      </c>
      <c r="R88" s="93" t="s">
        <v>21</v>
      </c>
      <c r="S88" s="70">
        <v>0</v>
      </c>
      <c r="T88" s="62">
        <v>5.2781382778096367E-2</v>
      </c>
      <c r="V88" s="117">
        <v>1.11406158</v>
      </c>
      <c r="W88" s="60">
        <v>2.8618625</v>
      </c>
      <c r="X88" s="60">
        <v>4.3926897800000004</v>
      </c>
      <c r="Y88" s="60">
        <v>5.69240178</v>
      </c>
      <c r="Z88" s="118">
        <v>7.2854559099999996</v>
      </c>
    </row>
    <row r="89" spans="2:26" x14ac:dyDescent="0.35">
      <c r="B89" s="56" t="s">
        <v>78</v>
      </c>
      <c r="C89" s="66" t="s">
        <v>66</v>
      </c>
      <c r="D89" s="66" t="s">
        <v>69</v>
      </c>
      <c r="E89" s="66" t="s">
        <v>133</v>
      </c>
      <c r="F89" s="73">
        <v>4.2530437587849031E-2</v>
      </c>
      <c r="G89" s="75">
        <v>5.1025060245167085E-2</v>
      </c>
      <c r="H89" s="75">
        <v>5.8578811435450004E-2</v>
      </c>
      <c r="I89" s="75">
        <v>6.3174983844128271E-2</v>
      </c>
      <c r="J89" s="63">
        <v>6.7197518268773182E-2</v>
      </c>
      <c r="K89" s="75">
        <v>4.473989878490299E-4</v>
      </c>
      <c r="L89" s="75">
        <v>9.1968359451670839E-3</v>
      </c>
      <c r="M89" s="75">
        <v>1.6516578935449996E-2</v>
      </c>
      <c r="N89" s="75">
        <v>2.0251267144128282E-2</v>
      </c>
      <c r="O89" s="75">
        <v>2.2786843568773175E-2</v>
      </c>
      <c r="P89" s="56" t="s">
        <v>21</v>
      </c>
      <c r="Q89" s="66" t="s">
        <v>21</v>
      </c>
      <c r="R89" s="95" t="s">
        <v>21</v>
      </c>
      <c r="S89" s="75">
        <v>0</v>
      </c>
      <c r="T89" s="63">
        <v>5.8578811435450004E-2</v>
      </c>
      <c r="V89" s="115">
        <v>1.11341537</v>
      </c>
      <c r="W89" s="107">
        <v>2.8506452200000001</v>
      </c>
      <c r="X89" s="107">
        <v>4.3506497499999996</v>
      </c>
      <c r="Y89" s="107">
        <v>5.60011072</v>
      </c>
      <c r="Z89" s="116">
        <v>7.1034137999999993</v>
      </c>
    </row>
    <row r="90" spans="2:26" x14ac:dyDescent="0.35">
      <c r="B90" s="54" t="s">
        <v>80</v>
      </c>
      <c r="C90" s="52" t="s">
        <v>61</v>
      </c>
      <c r="D90" s="52" t="s">
        <v>69</v>
      </c>
      <c r="E90" s="52" t="s">
        <v>21</v>
      </c>
      <c r="F90" s="72">
        <v>4.0939403861247295E-2</v>
      </c>
      <c r="G90" s="70">
        <v>4.6309255271919127E-2</v>
      </c>
      <c r="H90" s="70">
        <v>5.0783091552635128E-2</v>
      </c>
      <c r="I90" s="70">
        <v>5.3382264009500587E-2</v>
      </c>
      <c r="J90" s="62">
        <v>5.6394663152742525E-2</v>
      </c>
      <c r="K90" s="70" t="s">
        <v>21</v>
      </c>
      <c r="L90" s="70">
        <v>4.677205971919127E-3</v>
      </c>
      <c r="M90" s="70">
        <v>9.0608935526351273E-3</v>
      </c>
      <c r="N90" s="70">
        <v>1.0901112509500585E-2</v>
      </c>
      <c r="O90" s="70">
        <v>1.2441297652742517E-2</v>
      </c>
      <c r="P90" s="54" t="s">
        <v>21</v>
      </c>
      <c r="Q90" s="52" t="s">
        <v>21</v>
      </c>
      <c r="R90" s="93" t="s">
        <v>21</v>
      </c>
      <c r="S90" s="70">
        <v>0</v>
      </c>
      <c r="T90" s="62">
        <v>5.0783091552635128E-2</v>
      </c>
      <c r="V90" s="117">
        <v>1.1147189099999999</v>
      </c>
      <c r="W90" s="60">
        <v>2.8704119299999999</v>
      </c>
      <c r="X90" s="60">
        <v>4.42307351</v>
      </c>
      <c r="Y90" s="60">
        <v>5.7616172499999996</v>
      </c>
      <c r="Z90" s="118">
        <v>7.4349894000000001</v>
      </c>
    </row>
    <row r="91" spans="2:26" x14ac:dyDescent="0.35">
      <c r="B91" s="54" t="s">
        <v>80</v>
      </c>
      <c r="C91" s="52" t="s">
        <v>63</v>
      </c>
      <c r="D91" s="52" t="s">
        <v>69</v>
      </c>
      <c r="E91" s="52" t="s">
        <v>36</v>
      </c>
      <c r="F91" s="72">
        <v>4.2794545820801264E-2</v>
      </c>
      <c r="G91" s="70">
        <v>4.8996681970051678E-2</v>
      </c>
      <c r="H91" s="70">
        <v>5.356743229978575E-2</v>
      </c>
      <c r="I91" s="70">
        <v>5.6834064104423647E-2</v>
      </c>
      <c r="J91" s="62">
        <v>6.0063277060048263E-2</v>
      </c>
      <c r="K91" s="70">
        <v>7.1158002080127375E-4</v>
      </c>
      <c r="L91" s="70">
        <v>7.2682689700516792E-3</v>
      </c>
      <c r="M91" s="70">
        <v>1.1760942999785761E-2</v>
      </c>
      <c r="N91" s="70">
        <v>1.4242965804423661E-2</v>
      </c>
      <c r="O91" s="70">
        <v>1.6000867260048252E-2</v>
      </c>
      <c r="P91" s="54" t="s">
        <v>21</v>
      </c>
      <c r="Q91" s="52" t="s">
        <v>21</v>
      </c>
      <c r="R91" s="93" t="s">
        <v>21</v>
      </c>
      <c r="S91" s="70">
        <v>0</v>
      </c>
      <c r="T91" s="62">
        <v>5.356743229978575E-2</v>
      </c>
      <c r="V91" s="115">
        <v>1.11299254</v>
      </c>
      <c r="W91" s="107">
        <v>2.85925948</v>
      </c>
      <c r="X91" s="107">
        <v>4.4008701400000003</v>
      </c>
      <c r="Y91" s="107">
        <v>5.7217804699999997</v>
      </c>
      <c r="Z91" s="116">
        <v>7.3634521399999997</v>
      </c>
    </row>
    <row r="92" spans="2:26" x14ac:dyDescent="0.35">
      <c r="B92" s="55" t="s">
        <v>82</v>
      </c>
      <c r="C92" s="65" t="s">
        <v>65</v>
      </c>
      <c r="D92" s="65" t="s">
        <v>69</v>
      </c>
      <c r="E92" s="65" t="s">
        <v>34</v>
      </c>
      <c r="F92" s="74">
        <v>4.1657339135088539E-2</v>
      </c>
      <c r="G92" s="79">
        <v>4.8039711441083065E-2</v>
      </c>
      <c r="H92" s="79">
        <v>5.3624551176502763E-2</v>
      </c>
      <c r="I92" s="79">
        <v>5.6995765360000138E-2</v>
      </c>
      <c r="J92" s="61">
        <v>6.0519149162401892E-2</v>
      </c>
      <c r="K92" s="79" t="s">
        <v>21</v>
      </c>
      <c r="L92" s="79">
        <v>6.3145201410830694E-3</v>
      </c>
      <c r="M92" s="79">
        <v>1.1746709276502759E-2</v>
      </c>
      <c r="N92" s="79">
        <v>1.4318392860000135E-2</v>
      </c>
      <c r="O92" s="79">
        <v>1.6366830062401895E-2</v>
      </c>
      <c r="P92" s="55" t="s">
        <v>21</v>
      </c>
      <c r="Q92" s="65" t="s">
        <v>21</v>
      </c>
      <c r="R92" s="99" t="s">
        <v>21</v>
      </c>
      <c r="S92" s="79">
        <v>0</v>
      </c>
      <c r="T92" s="61">
        <v>5.3624551176502763E-2</v>
      </c>
      <c r="V92" s="113">
        <v>1.11340898</v>
      </c>
      <c r="W92" s="71">
        <v>2.85752731</v>
      </c>
      <c r="X92" s="71">
        <v>4.3792704799999997</v>
      </c>
      <c r="Y92" s="71">
        <v>5.66570821</v>
      </c>
      <c r="Z92" s="114">
        <v>7.2370199</v>
      </c>
    </row>
    <row r="93" spans="2:26" x14ac:dyDescent="0.35">
      <c r="B93" s="56" t="s">
        <v>82</v>
      </c>
      <c r="C93" s="66" t="s">
        <v>66</v>
      </c>
      <c r="D93" s="66" t="s">
        <v>69</v>
      </c>
      <c r="E93" s="66" t="s">
        <v>21</v>
      </c>
      <c r="F93" s="73">
        <v>4.261834269106006E-2</v>
      </c>
      <c r="G93" s="75">
        <v>5.139935130795778E-2</v>
      </c>
      <c r="H93" s="75">
        <v>5.897285180701152E-2</v>
      </c>
      <c r="I93" s="75">
        <v>6.3658895493942963E-2</v>
      </c>
      <c r="J93" s="63">
        <v>6.7684366100005527E-2</v>
      </c>
      <c r="K93" s="75">
        <v>5.3836409106006265E-4</v>
      </c>
      <c r="L93" s="75">
        <v>9.5561600079577796E-3</v>
      </c>
      <c r="M93" s="75">
        <v>1.6890888207011505E-2</v>
      </c>
      <c r="N93" s="75">
        <v>2.0708742993942965E-2</v>
      </c>
      <c r="O93" s="75">
        <v>2.3247992500005522E-2</v>
      </c>
      <c r="P93" s="56" t="s">
        <v>21</v>
      </c>
      <c r="Q93" s="66" t="s">
        <v>21</v>
      </c>
      <c r="R93" s="95" t="s">
        <v>21</v>
      </c>
      <c r="S93" s="75">
        <v>0</v>
      </c>
      <c r="T93" s="63">
        <v>5.897285180701152E-2</v>
      </c>
      <c r="V93" s="113">
        <v>1.11325958</v>
      </c>
      <c r="W93" s="71">
        <v>2.8486194999999999</v>
      </c>
      <c r="X93" s="71">
        <v>4.34507551</v>
      </c>
      <c r="Y93" s="71">
        <v>5.5893499200000001</v>
      </c>
      <c r="Z93" s="114">
        <v>7.0836901699999997</v>
      </c>
    </row>
    <row r="94" spans="2:26" x14ac:dyDescent="0.35">
      <c r="B94" s="78" t="s">
        <v>458</v>
      </c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8"/>
      <c r="Q94" s="77"/>
      <c r="R94" s="94"/>
      <c r="S94" s="77"/>
      <c r="T94" s="76"/>
      <c r="V94" s="111"/>
      <c r="W94" s="106"/>
      <c r="X94" s="106"/>
      <c r="Y94" s="106"/>
      <c r="Z94" s="112"/>
    </row>
    <row r="95" spans="2:26" x14ac:dyDescent="0.35">
      <c r="B95" s="54" t="s">
        <v>84</v>
      </c>
      <c r="C95" s="52" t="s">
        <v>85</v>
      </c>
      <c r="D95" s="52" t="s">
        <v>20</v>
      </c>
      <c r="E95" s="52" t="s">
        <v>459</v>
      </c>
      <c r="F95" s="72">
        <v>4.2996911881860431E-2</v>
      </c>
      <c r="G95" s="70">
        <v>4.8438479025553864E-2</v>
      </c>
      <c r="H95" s="70">
        <v>5.2621860928812977E-2</v>
      </c>
      <c r="I95" s="70">
        <v>5.5409084466089539E-2</v>
      </c>
      <c r="J95" s="62">
        <v>5.8317606525929974E-2</v>
      </c>
      <c r="K95" s="70">
        <v>8.7473548186042544E-4</v>
      </c>
      <c r="L95" s="70">
        <v>6.690847425553868E-3</v>
      </c>
      <c r="M95" s="70">
        <v>1.0798564728812975E-2</v>
      </c>
      <c r="N95" s="70">
        <v>1.281777596608955E-2</v>
      </c>
      <c r="O95" s="70">
        <v>1.4270377225929956E-2</v>
      </c>
      <c r="P95" s="54" t="s">
        <v>21</v>
      </c>
      <c r="Q95" s="52" t="s">
        <v>21</v>
      </c>
      <c r="R95" s="93" t="s">
        <v>21</v>
      </c>
      <c r="S95" s="70">
        <v>0</v>
      </c>
      <c r="T95" s="62">
        <v>5.2621860928812977E-2</v>
      </c>
      <c r="V95" s="113">
        <v>1.11098502</v>
      </c>
      <c r="W95" s="71">
        <v>2.85085385</v>
      </c>
      <c r="X95" s="71">
        <v>4.3828567300000003</v>
      </c>
      <c r="Y95" s="71">
        <v>5.6925986100000001</v>
      </c>
      <c r="Z95" s="114">
        <v>7.31912612</v>
      </c>
    </row>
    <row r="96" spans="2:26" x14ac:dyDescent="0.35">
      <c r="B96" s="54" t="s">
        <v>86</v>
      </c>
      <c r="C96" s="52" t="s">
        <v>85</v>
      </c>
      <c r="D96" s="52" t="s">
        <v>20</v>
      </c>
      <c r="E96" s="52" t="s">
        <v>459</v>
      </c>
      <c r="F96" s="72">
        <v>4.3048204516837017E-2</v>
      </c>
      <c r="G96" s="70">
        <v>4.8597714460075124E-2</v>
      </c>
      <c r="H96" s="70">
        <v>5.273197270869473E-2</v>
      </c>
      <c r="I96" s="70">
        <v>5.5528395891214929E-2</v>
      </c>
      <c r="J96" s="62">
        <v>5.852179854605729E-2</v>
      </c>
      <c r="K96" s="70">
        <v>9.2429631683701996E-4</v>
      </c>
      <c r="L96" s="70">
        <v>6.8417637600751199E-3</v>
      </c>
      <c r="M96" s="70">
        <v>1.0902773208694727E-2</v>
      </c>
      <c r="N96" s="70">
        <v>1.293096159121492E-2</v>
      </c>
      <c r="O96" s="70">
        <v>1.4464480946057288E-2</v>
      </c>
      <c r="P96" s="54" t="s">
        <v>21</v>
      </c>
      <c r="Q96" s="52" t="s">
        <v>21</v>
      </c>
      <c r="R96" s="93" t="s">
        <v>21</v>
      </c>
      <c r="S96" s="70">
        <v>0</v>
      </c>
      <c r="T96" s="62">
        <v>5.273197270869473E-2</v>
      </c>
      <c r="V96" s="113">
        <v>1.1108616199999999</v>
      </c>
      <c r="W96" s="71">
        <v>2.8504346699999998</v>
      </c>
      <c r="X96" s="71">
        <v>4.3811690099999998</v>
      </c>
      <c r="Y96" s="71">
        <v>5.6884847199999999</v>
      </c>
      <c r="Z96" s="114">
        <v>7.3104505</v>
      </c>
    </row>
    <row r="97" spans="2:26" x14ac:dyDescent="0.35">
      <c r="B97" s="54" t="s">
        <v>87</v>
      </c>
      <c r="C97" s="52" t="s">
        <v>85</v>
      </c>
      <c r="D97" s="52" t="s">
        <v>20</v>
      </c>
      <c r="E97" s="52" t="s">
        <v>88</v>
      </c>
      <c r="F97" s="72">
        <v>4.2927151811403795E-2</v>
      </c>
      <c r="G97" s="70">
        <v>4.8449511763365961E-2</v>
      </c>
      <c r="H97" s="70">
        <v>5.2883010018588673E-2</v>
      </c>
      <c r="I97" s="70">
        <v>5.5410017014896201E-2</v>
      </c>
      <c r="J97" s="62">
        <v>5.8364444125654474E-2</v>
      </c>
      <c r="K97" s="70">
        <v>8.1026251140380208E-4</v>
      </c>
      <c r="L97" s="70">
        <v>6.7020674633659575E-3</v>
      </c>
      <c r="M97" s="70">
        <v>1.1045982418588677E-2</v>
      </c>
      <c r="N97" s="70">
        <v>1.2818667414896196E-2</v>
      </c>
      <c r="O97" s="70">
        <v>1.4314170525654478E-2</v>
      </c>
      <c r="P97" s="54" t="s">
        <v>21</v>
      </c>
      <c r="Q97" s="52" t="s">
        <v>21</v>
      </c>
      <c r="R97" s="93" t="s">
        <v>21</v>
      </c>
      <c r="S97" s="70">
        <v>0</v>
      </c>
      <c r="T97" s="62">
        <v>5.2883010018588673E-2</v>
      </c>
      <c r="V97" s="113">
        <v>1.1110944</v>
      </c>
      <c r="W97" s="71">
        <v>2.8507827699999999</v>
      </c>
      <c r="X97" s="71">
        <v>4.3806891700000001</v>
      </c>
      <c r="Y97" s="71">
        <v>5.6921176300000003</v>
      </c>
      <c r="Z97" s="114">
        <v>7.3185160400000004</v>
      </c>
    </row>
    <row r="98" spans="2:26" x14ac:dyDescent="0.35">
      <c r="B98" s="54" t="s">
        <v>89</v>
      </c>
      <c r="C98" s="52" t="s">
        <v>85</v>
      </c>
      <c r="D98" s="52" t="s">
        <v>20</v>
      </c>
      <c r="E98" s="52" t="s">
        <v>312</v>
      </c>
      <c r="F98" s="72">
        <v>4.1636441737153758E-2</v>
      </c>
      <c r="G98" s="70">
        <v>4.692433612051488E-2</v>
      </c>
      <c r="H98" s="70">
        <v>5.0685577222457548E-2</v>
      </c>
      <c r="I98" s="70">
        <v>5.3358611662448534E-2</v>
      </c>
      <c r="J98" s="62">
        <v>5.6214765595496055E-2</v>
      </c>
      <c r="K98" s="70" t="s">
        <v>21</v>
      </c>
      <c r="L98" s="70">
        <v>5.2577726205148851E-3</v>
      </c>
      <c r="M98" s="70">
        <v>8.9663091224575549E-3</v>
      </c>
      <c r="N98" s="70">
        <v>1.0876105462448526E-2</v>
      </c>
      <c r="O98" s="70">
        <v>1.2266074895496058E-2</v>
      </c>
      <c r="P98" s="54" t="s">
        <v>21</v>
      </c>
      <c r="Q98" s="52" t="s">
        <v>21</v>
      </c>
      <c r="R98" s="93" t="s">
        <v>21</v>
      </c>
      <c r="S98" s="70">
        <v>0</v>
      </c>
      <c r="T98" s="62">
        <v>5.0685577222457548E-2</v>
      </c>
      <c r="V98" s="113">
        <v>1.1134528399999999</v>
      </c>
      <c r="W98" s="71">
        <v>2.8642423699999999</v>
      </c>
      <c r="X98" s="71">
        <v>4.4176245099999996</v>
      </c>
      <c r="Y98" s="71">
        <v>5.7572947399999999</v>
      </c>
      <c r="Z98" s="114">
        <v>7.4361831899999995</v>
      </c>
    </row>
    <row r="99" spans="2:26" x14ac:dyDescent="0.35">
      <c r="B99" s="54" t="s">
        <v>90</v>
      </c>
      <c r="C99" s="52" t="s">
        <v>85</v>
      </c>
      <c r="D99" s="52" t="s">
        <v>20</v>
      </c>
      <c r="E99" s="52" t="s">
        <v>75</v>
      </c>
      <c r="F99" s="72">
        <v>4.2962838335030777E-2</v>
      </c>
      <c r="G99" s="70">
        <v>4.8754962442046468E-2</v>
      </c>
      <c r="H99" s="70">
        <v>5.3090784708523658E-2</v>
      </c>
      <c r="I99" s="70">
        <v>5.5977190905445784E-2</v>
      </c>
      <c r="J99" s="62">
        <v>5.8804620657336264E-2</v>
      </c>
      <c r="K99" s="70">
        <v>8.3665813503078657E-4</v>
      </c>
      <c r="L99" s="70">
        <v>6.9875496420464724E-3</v>
      </c>
      <c r="M99" s="70">
        <v>1.1239803308523665E-2</v>
      </c>
      <c r="N99" s="70">
        <v>1.3353352905445773E-2</v>
      </c>
      <c r="O99" s="70">
        <v>1.4733116257336257E-2</v>
      </c>
      <c r="P99" s="54" t="s">
        <v>21</v>
      </c>
      <c r="Q99" s="52" t="s">
        <v>21</v>
      </c>
      <c r="R99" s="93" t="s">
        <v>21</v>
      </c>
      <c r="S99" s="70">
        <v>0</v>
      </c>
      <c r="T99" s="62">
        <v>5.3090784708523658E-2</v>
      </c>
      <c r="V99" s="113">
        <v>1.1110338200000001</v>
      </c>
      <c r="W99" s="71">
        <v>2.8494031400000002</v>
      </c>
      <c r="X99" s="71">
        <v>4.37600269</v>
      </c>
      <c r="Y99" s="71">
        <v>5.6775500299999999</v>
      </c>
      <c r="Z99" s="114">
        <v>7.2918755800000001</v>
      </c>
    </row>
    <row r="100" spans="2:26" x14ac:dyDescent="0.35">
      <c r="B100" s="54" t="s">
        <v>91</v>
      </c>
      <c r="C100" s="52" t="s">
        <v>85</v>
      </c>
      <c r="D100" s="52" t="s">
        <v>20</v>
      </c>
      <c r="E100" s="52" t="s">
        <v>92</v>
      </c>
      <c r="F100" s="72">
        <v>4.2309117336821585E-2</v>
      </c>
      <c r="G100" s="70">
        <v>4.7703299309366745E-2</v>
      </c>
      <c r="H100" s="70">
        <v>5.2064452379957549E-2</v>
      </c>
      <c r="I100" s="70">
        <v>5.4736772879655872E-2</v>
      </c>
      <c r="J100" s="62">
        <v>5.7655589247349044E-2</v>
      </c>
      <c r="K100" s="70">
        <v>2.1651673682159152E-4</v>
      </c>
      <c r="L100" s="70">
        <v>5.9936688093667478E-3</v>
      </c>
      <c r="M100" s="70">
        <v>1.0270677079957546E-2</v>
      </c>
      <c r="N100" s="70">
        <v>1.2181876979655873E-2</v>
      </c>
      <c r="O100" s="70">
        <v>1.3641010747349049E-2</v>
      </c>
      <c r="P100" s="54" t="s">
        <v>21</v>
      </c>
      <c r="Q100" s="52" t="s">
        <v>21</v>
      </c>
      <c r="R100" s="93" t="s">
        <v>21</v>
      </c>
      <c r="S100" s="70">
        <v>0</v>
      </c>
      <c r="T100" s="62">
        <v>5.2064452379957549E-2</v>
      </c>
      <c r="V100" s="113">
        <v>1.1122378500000001</v>
      </c>
      <c r="W100" s="71">
        <v>2.8577401600000001</v>
      </c>
      <c r="X100" s="71">
        <v>4.3961907600000005</v>
      </c>
      <c r="Y100" s="71">
        <v>5.7141752700000001</v>
      </c>
      <c r="Z100" s="114">
        <v>7.3560617100000005</v>
      </c>
    </row>
    <row r="101" spans="2:26" x14ac:dyDescent="0.35">
      <c r="B101" s="54" t="s">
        <v>307</v>
      </c>
      <c r="C101" s="52" t="s">
        <v>85</v>
      </c>
      <c r="D101" s="52" t="s">
        <v>20</v>
      </c>
      <c r="E101" s="52" t="s">
        <v>313</v>
      </c>
      <c r="F101" s="72">
        <v>4.0643568723667305E-2</v>
      </c>
      <c r="G101" s="70">
        <v>4.6395490454588725E-2</v>
      </c>
      <c r="H101" s="70">
        <v>5.062685636411255E-2</v>
      </c>
      <c r="I101" s="70">
        <v>5.329636774042578E-2</v>
      </c>
      <c r="J101" s="62">
        <v>5.6204979715267209E-2</v>
      </c>
      <c r="K101" s="70" t="s">
        <v>21</v>
      </c>
      <c r="L101" s="70">
        <v>4.7541091545887249E-3</v>
      </c>
      <c r="M101" s="70">
        <v>8.9093280641125532E-3</v>
      </c>
      <c r="N101" s="70">
        <v>1.0817244840425778E-2</v>
      </c>
      <c r="O101" s="70">
        <v>1.2260572315267202E-2</v>
      </c>
      <c r="P101" s="54" t="s">
        <v>21</v>
      </c>
      <c r="Q101" s="52" t="s">
        <v>21</v>
      </c>
      <c r="R101" s="93" t="s">
        <v>21</v>
      </c>
      <c r="S101" s="70">
        <v>0</v>
      </c>
      <c r="T101" s="62">
        <v>5.062685636411255E-2</v>
      </c>
      <c r="V101" s="113">
        <v>1.1153369200000001</v>
      </c>
      <c r="W101" s="71">
        <v>2.8711252100000002</v>
      </c>
      <c r="X101" s="71">
        <v>4.4258334000000001</v>
      </c>
      <c r="Y101" s="71">
        <v>5.7651018399999998</v>
      </c>
      <c r="Z101" s="114">
        <v>7.4400778700000005</v>
      </c>
    </row>
    <row r="102" spans="2:26" x14ac:dyDescent="0.35">
      <c r="B102" s="54" t="s">
        <v>308</v>
      </c>
      <c r="C102" s="52" t="s">
        <v>85</v>
      </c>
      <c r="D102" s="52" t="s">
        <v>20</v>
      </c>
      <c r="E102" s="52" t="s">
        <v>73</v>
      </c>
      <c r="F102" s="72">
        <v>4.268221860615283E-2</v>
      </c>
      <c r="G102" s="70">
        <v>4.9505586799749091E-2</v>
      </c>
      <c r="H102" s="70">
        <v>5.5494933409049194E-2</v>
      </c>
      <c r="I102" s="70">
        <v>5.8787260387627827E-2</v>
      </c>
      <c r="J102" s="62">
        <v>6.2603232414328414E-2</v>
      </c>
      <c r="K102" s="70">
        <v>5.6995050615283975E-4</v>
      </c>
      <c r="L102" s="70">
        <v>7.6966702997490876E-3</v>
      </c>
      <c r="M102" s="70">
        <v>1.3506806309049194E-2</v>
      </c>
      <c r="N102" s="70">
        <v>1.6002658087627838E-2</v>
      </c>
      <c r="O102" s="70">
        <v>1.8337635314328415E-2</v>
      </c>
      <c r="P102" s="54" t="s">
        <v>21</v>
      </c>
      <c r="Q102" s="52" t="s">
        <v>21</v>
      </c>
      <c r="R102" s="93" t="s">
        <v>21</v>
      </c>
      <c r="S102" s="70">
        <v>0</v>
      </c>
      <c r="T102" s="62">
        <v>5.5494933409049194E-2</v>
      </c>
      <c r="V102" s="113">
        <v>1.1115512599999999</v>
      </c>
      <c r="W102" s="71">
        <v>2.8457839100000002</v>
      </c>
      <c r="X102" s="71">
        <v>4.3475889800000003</v>
      </c>
      <c r="Y102" s="71">
        <v>5.6068580799999994</v>
      </c>
      <c r="Z102" s="114">
        <v>7.1249633699999997</v>
      </c>
    </row>
    <row r="103" spans="2:26" x14ac:dyDescent="0.35">
      <c r="B103" s="54" t="s">
        <v>309</v>
      </c>
      <c r="C103" s="52" t="s">
        <v>85</v>
      </c>
      <c r="D103" s="52" t="s">
        <v>20</v>
      </c>
      <c r="E103" s="52" t="s">
        <v>48</v>
      </c>
      <c r="F103" s="72">
        <v>4.4727475089938018E-2</v>
      </c>
      <c r="G103" s="70">
        <v>5.5283261909988488E-2</v>
      </c>
      <c r="H103" s="70">
        <v>6.3835410144585242E-2</v>
      </c>
      <c r="I103" s="70">
        <v>6.964702875041387E-2</v>
      </c>
      <c r="J103" s="62">
        <v>7.382917098436366E-2</v>
      </c>
      <c r="K103" s="70">
        <v>2.4885953899380225E-3</v>
      </c>
      <c r="L103" s="70">
        <v>1.3124638609988488E-2</v>
      </c>
      <c r="M103" s="70">
        <v>2.1276578844585246E-2</v>
      </c>
      <c r="N103" s="70">
        <v>2.6098564050413886E-2</v>
      </c>
      <c r="O103" s="70">
        <v>2.8818666084363648E-2</v>
      </c>
      <c r="P103" s="54" t="s">
        <v>21</v>
      </c>
      <c r="Q103" s="52" t="s">
        <v>21</v>
      </c>
      <c r="R103" s="93" t="s">
        <v>21</v>
      </c>
      <c r="S103" s="70">
        <v>0</v>
      </c>
      <c r="T103" s="62">
        <v>6.3835410144585242E-2</v>
      </c>
      <c r="V103" s="113">
        <v>1.1070181800000001</v>
      </c>
      <c r="W103" s="71">
        <v>2.8019976899999999</v>
      </c>
      <c r="X103" s="71">
        <v>4.2154819000000003</v>
      </c>
      <c r="Y103" s="71">
        <v>5.3311503199999999</v>
      </c>
      <c r="Z103" s="114">
        <v>6.6162750199999998</v>
      </c>
    </row>
    <row r="104" spans="2:26" x14ac:dyDescent="0.35">
      <c r="B104" s="54" t="s">
        <v>310</v>
      </c>
      <c r="C104" s="52" t="s">
        <v>85</v>
      </c>
      <c r="D104" s="52" t="s">
        <v>20</v>
      </c>
      <c r="E104" s="52" t="s">
        <v>159</v>
      </c>
      <c r="F104" s="72">
        <v>4.0745390940450481E-2</v>
      </c>
      <c r="G104" s="70">
        <v>4.6770138035702076E-2</v>
      </c>
      <c r="H104" s="70">
        <v>5.1130529294805292E-2</v>
      </c>
      <c r="I104" s="70">
        <v>5.4862059879833183E-2</v>
      </c>
      <c r="J104" s="62">
        <v>5.7442002511942453E-2</v>
      </c>
      <c r="K104" s="70" t="s">
        <v>21</v>
      </c>
      <c r="L104" s="70">
        <v>5.1111635357020645E-3</v>
      </c>
      <c r="M104" s="70">
        <v>9.3878324948052996E-3</v>
      </c>
      <c r="N104" s="70">
        <v>1.2302507179833177E-2</v>
      </c>
      <c r="O104" s="70">
        <v>1.3446635511942438E-2</v>
      </c>
      <c r="P104" s="54" t="s">
        <v>314</v>
      </c>
      <c r="Q104" s="52" t="s">
        <v>315</v>
      </c>
      <c r="R104" s="93">
        <v>47788</v>
      </c>
      <c r="S104" s="70">
        <v>4.9859109999999998E-2</v>
      </c>
      <c r="T104" s="62">
        <v>1.2714192948052941E-3</v>
      </c>
      <c r="V104" s="113">
        <v>1.11512352</v>
      </c>
      <c r="W104" s="71">
        <v>2.8682015000000001</v>
      </c>
      <c r="X104" s="71">
        <v>4.4164314999999998</v>
      </c>
      <c r="Y104" s="71">
        <v>5.7332814900000004</v>
      </c>
      <c r="Z104" s="114">
        <v>7.3749420400000005</v>
      </c>
    </row>
    <row r="105" spans="2:26" x14ac:dyDescent="0.35">
      <c r="B105" s="56" t="s">
        <v>311</v>
      </c>
      <c r="C105" s="52" t="s">
        <v>85</v>
      </c>
      <c r="D105" s="66" t="s">
        <v>20</v>
      </c>
      <c r="E105" s="66" t="s">
        <v>274</v>
      </c>
      <c r="F105" s="73">
        <v>4.1752205593536561E-2</v>
      </c>
      <c r="G105" s="75">
        <v>4.8389746205061715E-2</v>
      </c>
      <c r="H105" s="75">
        <v>5.4431770992259015E-2</v>
      </c>
      <c r="I105" s="75">
        <v>5.8627618784792064E-2</v>
      </c>
      <c r="J105" s="63">
        <v>6.2547174928889754E-2</v>
      </c>
      <c r="K105" s="75" t="s">
        <v>21</v>
      </c>
      <c r="L105" s="75">
        <v>6.6451611050617181E-3</v>
      </c>
      <c r="M105" s="75">
        <v>1.2507925392259015E-2</v>
      </c>
      <c r="N105" s="75">
        <v>1.5855606184792054E-2</v>
      </c>
      <c r="O105" s="75">
        <v>1.8290533428889755E-2</v>
      </c>
      <c r="P105" s="56" t="s">
        <v>21</v>
      </c>
      <c r="Q105" s="66" t="s">
        <v>21</v>
      </c>
      <c r="R105" s="95" t="s">
        <v>21</v>
      </c>
      <c r="S105" s="75">
        <v>0</v>
      </c>
      <c r="T105" s="63">
        <v>5.4431770992259015E-2</v>
      </c>
      <c r="V105" s="115">
        <v>1.1132405999999999</v>
      </c>
      <c r="W105" s="107">
        <v>2.8551066299999999</v>
      </c>
      <c r="X105" s="107">
        <v>4.3684389399999999</v>
      </c>
      <c r="Y105" s="107">
        <v>5.6305005100000001</v>
      </c>
      <c r="Z105" s="116">
        <v>7.1492569899999996</v>
      </c>
    </row>
    <row r="106" spans="2:26" x14ac:dyDescent="0.35">
      <c r="B106" s="52" t="s">
        <v>21</v>
      </c>
      <c r="C106" s="52" t="s">
        <v>21</v>
      </c>
      <c r="E106" s="52" t="s">
        <v>21</v>
      </c>
      <c r="F106" s="70" t="s">
        <v>21</v>
      </c>
      <c r="G106" s="70"/>
      <c r="H106" s="70" t="s">
        <v>21</v>
      </c>
      <c r="I106" s="70"/>
      <c r="J106" s="70" t="s">
        <v>21</v>
      </c>
      <c r="K106" s="70" t="s">
        <v>21</v>
      </c>
      <c r="L106" s="70"/>
      <c r="M106" s="70" t="s">
        <v>21</v>
      </c>
      <c r="N106" s="70"/>
      <c r="O106" s="70" t="s">
        <v>21</v>
      </c>
      <c r="R106" s="93"/>
      <c r="V106" s="71"/>
      <c r="W106" s="71"/>
      <c r="X106" s="71"/>
      <c r="Y106" s="71"/>
      <c r="Z106" s="71"/>
    </row>
    <row r="107" spans="2:26" ht="15.5" x14ac:dyDescent="0.35">
      <c r="B107" s="121" t="s">
        <v>93</v>
      </c>
      <c r="C107" s="52" t="s">
        <v>21</v>
      </c>
      <c r="E107" s="52" t="s">
        <v>21</v>
      </c>
      <c r="F107" s="70" t="s">
        <v>21</v>
      </c>
      <c r="G107" s="70"/>
      <c r="H107" s="70" t="s">
        <v>21</v>
      </c>
      <c r="I107" s="70"/>
      <c r="J107" s="70" t="s">
        <v>21</v>
      </c>
      <c r="K107" s="70" t="s">
        <v>21</v>
      </c>
      <c r="L107" s="70"/>
      <c r="M107" s="70" t="s">
        <v>21</v>
      </c>
      <c r="N107" s="70"/>
      <c r="O107" s="70" t="s">
        <v>21</v>
      </c>
      <c r="R107" s="93"/>
      <c r="V107" s="71"/>
      <c r="W107" s="71"/>
      <c r="X107" s="71"/>
      <c r="Y107" s="71"/>
      <c r="Z107" s="71"/>
    </row>
    <row r="108" spans="2:26" x14ac:dyDescent="0.35">
      <c r="B108" s="84" t="s">
        <v>5</v>
      </c>
      <c r="C108" s="83" t="s">
        <v>6</v>
      </c>
      <c r="D108" s="83" t="s">
        <v>7</v>
      </c>
      <c r="E108" s="83" t="s">
        <v>8</v>
      </c>
      <c r="F108" s="82" t="s">
        <v>9</v>
      </c>
      <c r="G108" s="81" t="s">
        <v>10</v>
      </c>
      <c r="H108" s="81" t="s">
        <v>11</v>
      </c>
      <c r="I108" s="81" t="s">
        <v>12</v>
      </c>
      <c r="J108" s="80" t="s">
        <v>13</v>
      </c>
      <c r="K108" s="57" t="s">
        <v>9</v>
      </c>
      <c r="L108" s="57" t="s">
        <v>10</v>
      </c>
      <c r="M108" s="57" t="s">
        <v>11</v>
      </c>
      <c r="N108" s="57" t="s">
        <v>12</v>
      </c>
      <c r="O108" s="57" t="s">
        <v>13</v>
      </c>
      <c r="P108" s="69" t="s">
        <v>14</v>
      </c>
      <c r="Q108" s="57" t="s">
        <v>15</v>
      </c>
      <c r="R108" s="57" t="s">
        <v>16</v>
      </c>
      <c r="S108" s="57" t="s">
        <v>413</v>
      </c>
      <c r="T108" s="57" t="s">
        <v>18</v>
      </c>
      <c r="V108" s="109" t="s">
        <v>9</v>
      </c>
      <c r="W108" s="105" t="s">
        <v>10</v>
      </c>
      <c r="X108" s="105" t="s">
        <v>11</v>
      </c>
      <c r="Y108" s="105" t="s">
        <v>12</v>
      </c>
      <c r="Z108" s="110" t="s">
        <v>13</v>
      </c>
    </row>
    <row r="109" spans="2:26" x14ac:dyDescent="0.35">
      <c r="B109" s="78" t="s">
        <v>94</v>
      </c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8"/>
      <c r="Q109" s="77"/>
      <c r="R109" s="94"/>
      <c r="S109" s="77"/>
      <c r="T109" s="76"/>
      <c r="V109" s="111"/>
      <c r="W109" s="106"/>
      <c r="X109" s="106"/>
      <c r="Y109" s="106"/>
      <c r="Z109" s="112"/>
    </row>
    <row r="110" spans="2:26" x14ac:dyDescent="0.35">
      <c r="B110" s="55" t="s">
        <v>95</v>
      </c>
      <c r="C110" s="65" t="s">
        <v>85</v>
      </c>
      <c r="D110" s="65" t="s">
        <v>43</v>
      </c>
      <c r="E110" s="65" t="s">
        <v>230</v>
      </c>
      <c r="F110" s="74">
        <v>4.0587490832948409E-2</v>
      </c>
      <c r="G110" s="79">
        <v>4.6468762787649352E-2</v>
      </c>
      <c r="H110" s="79">
        <v>5.1045895894307643E-2</v>
      </c>
      <c r="I110" s="79">
        <v>5.3689421580829948E-2</v>
      </c>
      <c r="J110" s="61">
        <v>5.6477911338928065E-2</v>
      </c>
      <c r="K110" s="79" t="s">
        <v>21</v>
      </c>
      <c r="L110" s="79">
        <v>4.8268185876493511E-3</v>
      </c>
      <c r="M110" s="79">
        <v>9.308734794307643E-3</v>
      </c>
      <c r="N110" s="79">
        <v>1.1191759880829946E-2</v>
      </c>
      <c r="O110" s="79">
        <v>1.2521231238928062E-2</v>
      </c>
      <c r="P110" s="55" t="s">
        <v>21</v>
      </c>
      <c r="Q110" s="65" t="s">
        <v>21</v>
      </c>
      <c r="R110" s="99" t="s">
        <v>21</v>
      </c>
      <c r="S110" s="79">
        <v>0</v>
      </c>
      <c r="T110" s="62">
        <v>5.1045895894307643E-2</v>
      </c>
      <c r="V110" s="117">
        <v>1.11539535</v>
      </c>
      <c r="W110" s="60">
        <v>2.8706090100000003</v>
      </c>
      <c r="X110" s="60">
        <v>4.4202710399999994</v>
      </c>
      <c r="Y110" s="60">
        <v>5.7541802400000002</v>
      </c>
      <c r="Z110" s="118">
        <v>7.4246114700000003</v>
      </c>
    </row>
    <row r="111" spans="2:26" x14ac:dyDescent="0.35">
      <c r="B111" s="56" t="s">
        <v>95</v>
      </c>
      <c r="C111" s="66" t="s">
        <v>35</v>
      </c>
      <c r="D111" s="66" t="s">
        <v>43</v>
      </c>
      <c r="E111" s="66" t="s">
        <v>231</v>
      </c>
      <c r="F111" s="73">
        <v>4.1884346555840293E-2</v>
      </c>
      <c r="G111" s="75">
        <v>4.9664395220996416E-2</v>
      </c>
      <c r="H111" s="75">
        <v>5.6217727126346699E-2</v>
      </c>
      <c r="I111" s="75">
        <v>5.9815385736538343E-2</v>
      </c>
      <c r="J111" s="63">
        <v>6.3386118185573229E-2</v>
      </c>
      <c r="K111" s="75" t="s">
        <v>21</v>
      </c>
      <c r="L111" s="75">
        <v>7.9022708209964126E-3</v>
      </c>
      <c r="M111" s="75">
        <v>1.4282136626346701E-2</v>
      </c>
      <c r="N111" s="75">
        <v>1.7076359036538338E-2</v>
      </c>
      <c r="O111" s="75">
        <v>1.9172233185573241E-2</v>
      </c>
      <c r="P111" s="56" t="s">
        <v>21</v>
      </c>
      <c r="Q111" s="66" t="s">
        <v>21</v>
      </c>
      <c r="R111" s="95" t="s">
        <v>21</v>
      </c>
      <c r="S111" s="75">
        <v>0</v>
      </c>
      <c r="T111" s="63">
        <v>5.6217727126346699E-2</v>
      </c>
      <c r="V111" s="115">
        <v>1.1143006</v>
      </c>
      <c r="W111" s="107">
        <v>2.8585239100000002</v>
      </c>
      <c r="X111" s="107">
        <v>4.3784614899999994</v>
      </c>
      <c r="Y111" s="107">
        <v>5.6645974100000007</v>
      </c>
      <c r="Z111" s="116">
        <v>7.2406369000000002</v>
      </c>
    </row>
    <row r="112" spans="2:26" x14ac:dyDescent="0.35">
      <c r="B112" s="54" t="s">
        <v>96</v>
      </c>
      <c r="C112" s="52" t="s">
        <v>85</v>
      </c>
      <c r="D112" s="52" t="s">
        <v>97</v>
      </c>
      <c r="E112" s="52" t="s">
        <v>21</v>
      </c>
      <c r="F112" s="72">
        <v>4.1139613516471815E-2</v>
      </c>
      <c r="G112" s="70">
        <v>4.7131772718698423E-2</v>
      </c>
      <c r="H112" s="70">
        <v>5.1843502101889399E-2</v>
      </c>
      <c r="I112" s="70">
        <v>5.4859026653036699E-2</v>
      </c>
      <c r="J112" s="62">
        <v>5.791288619137476E-2</v>
      </c>
      <c r="K112" s="70" t="s">
        <v>21</v>
      </c>
      <c r="L112" s="70">
        <v>5.4550487186984277E-3</v>
      </c>
      <c r="M112" s="70">
        <v>1.0063658901889396E-2</v>
      </c>
      <c r="N112" s="70">
        <v>1.2299546053036708E-2</v>
      </c>
      <c r="O112" s="70">
        <v>1.3890172891374765E-2</v>
      </c>
      <c r="P112" s="54" t="s">
        <v>21</v>
      </c>
      <c r="Q112" s="52" t="s">
        <v>21</v>
      </c>
      <c r="R112" s="93" t="s">
        <v>21</v>
      </c>
      <c r="S112" s="70">
        <v>0</v>
      </c>
      <c r="T112" s="62">
        <v>5.1843502101889399E-2</v>
      </c>
      <c r="V112" s="113">
        <v>1.1143698</v>
      </c>
      <c r="W112" s="71">
        <v>2.8645922499999998</v>
      </c>
      <c r="X112" s="71">
        <v>4.4059258099999994</v>
      </c>
      <c r="Y112" s="71">
        <v>5.7232623299999998</v>
      </c>
      <c r="Z112" s="114">
        <v>7.3578247000000001</v>
      </c>
    </row>
    <row r="113" spans="2:26" x14ac:dyDescent="0.35">
      <c r="B113" s="56" t="s">
        <v>96</v>
      </c>
      <c r="C113" s="66" t="s">
        <v>35</v>
      </c>
      <c r="D113" s="66" t="s">
        <v>97</v>
      </c>
      <c r="E113" s="66" t="s">
        <v>44</v>
      </c>
      <c r="F113" s="73">
        <v>4.3461091612074211E-2</v>
      </c>
      <c r="G113" s="75">
        <v>5.0639908200341074E-2</v>
      </c>
      <c r="H113" s="75">
        <v>5.7030042570519877E-2</v>
      </c>
      <c r="I113" s="75">
        <v>6.1266378319533098E-2</v>
      </c>
      <c r="J113" s="63">
        <v>6.4761502967101897E-2</v>
      </c>
      <c r="K113" s="75">
        <v>1.3482049120742204E-3</v>
      </c>
      <c r="L113" s="75">
        <v>8.8343714003410838E-3</v>
      </c>
      <c r="M113" s="75">
        <v>1.5053729870519873E-2</v>
      </c>
      <c r="N113" s="75">
        <v>1.8450609319533098E-2</v>
      </c>
      <c r="O113" s="75">
        <v>2.0479826767101895E-2</v>
      </c>
      <c r="P113" s="56" t="s">
        <v>21</v>
      </c>
      <c r="Q113" s="66" t="s">
        <v>21</v>
      </c>
      <c r="R113" s="95" t="s">
        <v>21</v>
      </c>
      <c r="S113" s="75">
        <v>0</v>
      </c>
      <c r="T113" s="63">
        <v>5.7030042570519877E-2</v>
      </c>
      <c r="V113" s="115">
        <v>1.11200582</v>
      </c>
      <c r="W113" s="107">
        <v>2.84970911</v>
      </c>
      <c r="X113" s="107">
        <v>4.3625908100000004</v>
      </c>
      <c r="Y113" s="107">
        <v>5.6337703599999998</v>
      </c>
      <c r="Z113" s="116">
        <v>7.1830071800000006</v>
      </c>
    </row>
    <row r="114" spans="2:26" x14ac:dyDescent="0.35">
      <c r="B114" s="54" t="s">
        <v>98</v>
      </c>
      <c r="C114" s="52" t="s">
        <v>85</v>
      </c>
      <c r="D114" s="52" t="s">
        <v>47</v>
      </c>
      <c r="E114" s="52" t="s">
        <v>21</v>
      </c>
      <c r="F114" s="72">
        <v>4.1155933183358959E-2</v>
      </c>
      <c r="G114" s="70">
        <v>4.7260857269918688E-2</v>
      </c>
      <c r="H114" s="70">
        <v>5.2360810342370105E-2</v>
      </c>
      <c r="I114" s="70">
        <v>5.5418058988120036E-2</v>
      </c>
      <c r="J114" s="62">
        <v>5.862550782702497E-2</v>
      </c>
      <c r="K114" s="70" t="s">
        <v>21</v>
      </c>
      <c r="L114" s="70">
        <v>5.5784565699186911E-3</v>
      </c>
      <c r="M114" s="70">
        <v>1.05538674423701E-2</v>
      </c>
      <c r="N114" s="70">
        <v>1.282946688812004E-2</v>
      </c>
      <c r="O114" s="70">
        <v>1.4569334927024958E-2</v>
      </c>
      <c r="P114" s="54" t="s">
        <v>21</v>
      </c>
      <c r="Q114" s="52" t="s">
        <v>21</v>
      </c>
      <c r="R114" s="93" t="s">
        <v>21</v>
      </c>
      <c r="S114" s="70">
        <v>0</v>
      </c>
      <c r="T114" s="62">
        <v>5.2360810342370105E-2</v>
      </c>
      <c r="V114" s="113">
        <v>1.1143246200000001</v>
      </c>
      <c r="W114" s="71">
        <v>2.8638765300000002</v>
      </c>
      <c r="X114" s="71">
        <v>4.3992576899999998</v>
      </c>
      <c r="Y114" s="71">
        <v>5.7082123100000004</v>
      </c>
      <c r="Z114" s="114">
        <v>7.3253358100000003</v>
      </c>
    </row>
    <row r="115" spans="2:26" x14ac:dyDescent="0.35">
      <c r="B115" s="56" t="s">
        <v>98</v>
      </c>
      <c r="C115" s="66" t="s">
        <v>35</v>
      </c>
      <c r="D115" s="66" t="s">
        <v>47</v>
      </c>
      <c r="E115" s="66" t="s">
        <v>460</v>
      </c>
      <c r="F115" s="73">
        <v>4.2587848592753608E-2</v>
      </c>
      <c r="G115" s="75">
        <v>5.0339145397287344E-2</v>
      </c>
      <c r="H115" s="75">
        <v>5.7298133117204157E-2</v>
      </c>
      <c r="I115" s="75">
        <v>6.1899409168201219E-2</v>
      </c>
      <c r="J115" s="63">
        <v>6.583288829783826E-2</v>
      </c>
      <c r="K115" s="75">
        <v>5.1615439275361653E-4</v>
      </c>
      <c r="L115" s="75">
        <v>8.5496687972873506E-3</v>
      </c>
      <c r="M115" s="75">
        <v>1.5309356917204158E-2</v>
      </c>
      <c r="N115" s="75">
        <v>1.9051217168201202E-2</v>
      </c>
      <c r="O115" s="75">
        <v>2.1499159197838239E-2</v>
      </c>
      <c r="P115" s="56" t="s">
        <v>461</v>
      </c>
      <c r="Q115" s="66" t="s">
        <v>462</v>
      </c>
      <c r="R115" s="95" t="s">
        <v>32</v>
      </c>
      <c r="S115" s="75">
        <v>5.1677850000000004E-2</v>
      </c>
      <c r="T115" s="63">
        <v>5.6202831172041529E-3</v>
      </c>
      <c r="V115" s="115">
        <v>1.11326741</v>
      </c>
      <c r="W115" s="107">
        <v>2.85355589</v>
      </c>
      <c r="X115" s="107">
        <v>4.3643138400000003</v>
      </c>
      <c r="Y115" s="107">
        <v>5.6281650599999997</v>
      </c>
      <c r="Z115" s="116">
        <v>7.1564743700000006</v>
      </c>
    </row>
    <row r="116" spans="2:26" x14ac:dyDescent="0.35">
      <c r="B116" s="54" t="s">
        <v>99</v>
      </c>
      <c r="C116" s="52" t="s">
        <v>85</v>
      </c>
      <c r="D116" s="52" t="s">
        <v>69</v>
      </c>
      <c r="E116" s="52" t="s">
        <v>100</v>
      </c>
      <c r="F116" s="72">
        <v>4.092849951850383E-2</v>
      </c>
      <c r="G116" s="70">
        <v>4.7761458357838009E-2</v>
      </c>
      <c r="H116" s="70">
        <v>5.3195255812646912E-2</v>
      </c>
      <c r="I116" s="70">
        <v>5.6478942204343123E-2</v>
      </c>
      <c r="J116" s="62">
        <v>6.0034808890422557E-2</v>
      </c>
      <c r="K116" s="70" t="s">
        <v>21</v>
      </c>
      <c r="L116" s="70">
        <v>6.0538856578380047E-3</v>
      </c>
      <c r="M116" s="70">
        <v>1.1343319112646908E-2</v>
      </c>
      <c r="N116" s="70">
        <v>1.3832701504343129E-2</v>
      </c>
      <c r="O116" s="70">
        <v>1.5909222090422566E-2</v>
      </c>
      <c r="P116" s="54" t="s">
        <v>21</v>
      </c>
      <c r="Q116" s="52" t="s">
        <v>21</v>
      </c>
      <c r="R116" s="93" t="s">
        <v>21</v>
      </c>
      <c r="S116" s="70">
        <v>0</v>
      </c>
      <c r="T116" s="62">
        <v>5.3195255812646912E-2</v>
      </c>
      <c r="V116" s="113">
        <v>1.11472825</v>
      </c>
      <c r="W116" s="71">
        <v>2.8614871800000001</v>
      </c>
      <c r="X116" s="71">
        <v>4.3876548900000003</v>
      </c>
      <c r="Y116" s="71">
        <v>5.6812303499999999</v>
      </c>
      <c r="Z116" s="114">
        <v>7.2640964399999994</v>
      </c>
    </row>
    <row r="117" spans="2:26" x14ac:dyDescent="0.35">
      <c r="B117" s="56" t="s">
        <v>99</v>
      </c>
      <c r="C117" s="66" t="s">
        <v>35</v>
      </c>
      <c r="D117" s="66" t="s">
        <v>69</v>
      </c>
      <c r="E117" s="66" t="s">
        <v>224</v>
      </c>
      <c r="F117" s="73">
        <v>4.1575435010529828E-2</v>
      </c>
      <c r="G117" s="75">
        <v>5.03244781946268E-2</v>
      </c>
      <c r="H117" s="75">
        <v>5.7391137061444851E-2</v>
      </c>
      <c r="I117" s="75">
        <v>6.2081521778407971E-2</v>
      </c>
      <c r="J117" s="63">
        <v>6.5717868499617471E-2</v>
      </c>
      <c r="K117" s="75" t="s">
        <v>21</v>
      </c>
      <c r="L117" s="75">
        <v>8.5326846946267906E-3</v>
      </c>
      <c r="M117" s="75">
        <v>1.5395274561444849E-2</v>
      </c>
      <c r="N117" s="75">
        <v>1.9221893978407976E-2</v>
      </c>
      <c r="O117" s="75">
        <v>2.1390447099617467E-2</v>
      </c>
      <c r="P117" s="56" t="s">
        <v>463</v>
      </c>
      <c r="Q117" s="66" t="s">
        <v>464</v>
      </c>
      <c r="R117" s="95" t="s">
        <v>32</v>
      </c>
      <c r="S117" s="75">
        <v>5.6397009999999997E-2</v>
      </c>
      <c r="T117" s="63">
        <v>9.9412706144485358E-4</v>
      </c>
      <c r="V117" s="115">
        <v>1.11472046</v>
      </c>
      <c r="W117" s="107">
        <v>2.8561651000000001</v>
      </c>
      <c r="X117" s="107">
        <v>4.3660243599999999</v>
      </c>
      <c r="Y117" s="107">
        <v>5.6276593799999999</v>
      </c>
      <c r="Z117" s="116">
        <v>7.1569073400000001</v>
      </c>
    </row>
    <row r="118" spans="2:26" x14ac:dyDescent="0.35">
      <c r="B118" s="54" t="s">
        <v>101</v>
      </c>
      <c r="C118" s="52" t="s">
        <v>85</v>
      </c>
      <c r="D118" s="52" t="s">
        <v>31</v>
      </c>
      <c r="E118" s="52" t="s">
        <v>21</v>
      </c>
      <c r="F118" s="72">
        <v>4.0591611002123593E-2</v>
      </c>
      <c r="G118" s="70">
        <v>4.7071479447799901E-2</v>
      </c>
      <c r="H118" s="70">
        <v>5.204471145688027E-2</v>
      </c>
      <c r="I118" s="70">
        <v>5.5248650224985173E-2</v>
      </c>
      <c r="J118" s="62">
        <v>5.8590797808442917E-2</v>
      </c>
      <c r="K118" s="70" t="s">
        <v>21</v>
      </c>
      <c r="L118" s="70">
        <v>5.397069547799894E-3</v>
      </c>
      <c r="M118" s="70">
        <v>1.0253508756880272E-2</v>
      </c>
      <c r="N118" s="70">
        <v>1.2668292624985174E-2</v>
      </c>
      <c r="O118" s="70">
        <v>1.4536428008442907E-2</v>
      </c>
      <c r="P118" s="54" t="s">
        <v>21</v>
      </c>
      <c r="Q118" s="52" t="s">
        <v>21</v>
      </c>
      <c r="R118" s="93" t="s">
        <v>21</v>
      </c>
      <c r="S118" s="70">
        <v>0</v>
      </c>
      <c r="T118" s="62">
        <v>5.204471145688027E-2</v>
      </c>
      <c r="V118" s="113">
        <v>1.1154004200000001</v>
      </c>
      <c r="W118" s="71">
        <v>2.86691071</v>
      </c>
      <c r="X118" s="71">
        <v>4.4055900000000001</v>
      </c>
      <c r="Y118" s="71">
        <v>5.7170937799999999</v>
      </c>
      <c r="Z118" s="114">
        <v>7.3345695200000005</v>
      </c>
    </row>
    <row r="119" spans="2:26" x14ac:dyDescent="0.35">
      <c r="B119" s="56" t="s">
        <v>101</v>
      </c>
      <c r="C119" s="66" t="s">
        <v>35</v>
      </c>
      <c r="D119" s="66" t="s">
        <v>31</v>
      </c>
      <c r="E119" s="66" t="s">
        <v>21</v>
      </c>
      <c r="F119" s="73">
        <v>4.1884484425912409E-2</v>
      </c>
      <c r="G119" s="75">
        <v>4.9664449125660266E-2</v>
      </c>
      <c r="H119" s="75">
        <v>5.6217762477195017E-2</v>
      </c>
      <c r="I119" s="75">
        <v>6.0090240079567328E-2</v>
      </c>
      <c r="J119" s="63">
        <v>6.3578092855205562E-2</v>
      </c>
      <c r="K119" s="75" t="s">
        <v>21</v>
      </c>
      <c r="L119" s="75">
        <v>7.9022996256602647E-3</v>
      </c>
      <c r="M119" s="75">
        <v>1.4282153977195022E-2</v>
      </c>
      <c r="N119" s="75">
        <v>1.7336973379567321E-2</v>
      </c>
      <c r="O119" s="75">
        <v>1.9355997655205556E-2</v>
      </c>
      <c r="P119" s="56" t="s">
        <v>21</v>
      </c>
      <c r="Q119" s="66" t="s">
        <v>21</v>
      </c>
      <c r="R119" s="95" t="s">
        <v>21</v>
      </c>
      <c r="S119" s="75">
        <v>0</v>
      </c>
      <c r="T119" s="63">
        <v>5.6217762477195017E-2</v>
      </c>
      <c r="V119" s="115">
        <v>1.1143006600000001</v>
      </c>
      <c r="W119" s="107">
        <v>2.85852387</v>
      </c>
      <c r="X119" s="107">
        <v>4.3784613700000001</v>
      </c>
      <c r="Y119" s="107">
        <v>5.6618114400000001</v>
      </c>
      <c r="Z119" s="116">
        <v>7.23328624</v>
      </c>
    </row>
    <row r="120" spans="2:26" x14ac:dyDescent="0.35">
      <c r="B120" s="54" t="s">
        <v>102</v>
      </c>
      <c r="C120" s="52" t="s">
        <v>85</v>
      </c>
      <c r="D120" s="52" t="s">
        <v>69</v>
      </c>
      <c r="E120" s="52" t="s">
        <v>465</v>
      </c>
      <c r="F120" s="72">
        <v>4.146972784685711E-2</v>
      </c>
      <c r="G120" s="70">
        <v>4.7802512804610148E-2</v>
      </c>
      <c r="H120" s="70">
        <v>5.3255404486139711E-2</v>
      </c>
      <c r="I120" s="70">
        <v>5.6584792586848634E-2</v>
      </c>
      <c r="J120" s="62">
        <v>5.9961959558415046E-2</v>
      </c>
      <c r="K120" s="70" t="s">
        <v>21</v>
      </c>
      <c r="L120" s="70">
        <v>6.0903991046101398E-3</v>
      </c>
      <c r="M120" s="70">
        <v>1.1398491686139716E-2</v>
      </c>
      <c r="N120" s="70">
        <v>1.3931042986848646E-2</v>
      </c>
      <c r="O120" s="70">
        <v>1.5839106158415057E-2</v>
      </c>
      <c r="P120" s="54" t="s">
        <v>21</v>
      </c>
      <c r="Q120" s="52" t="s">
        <v>21</v>
      </c>
      <c r="R120" s="93" t="s">
        <v>21</v>
      </c>
      <c r="S120" s="70">
        <v>0</v>
      </c>
      <c r="T120" s="62">
        <v>5.3255404486139711E-2</v>
      </c>
      <c r="V120" s="113">
        <v>1.1137530499999999</v>
      </c>
      <c r="W120" s="71">
        <v>2.8595715799999999</v>
      </c>
      <c r="X120" s="71">
        <v>4.3852908900000003</v>
      </c>
      <c r="Y120" s="71">
        <v>5.6775863700000002</v>
      </c>
      <c r="Z120" s="114">
        <v>7.2619383499999994</v>
      </c>
    </row>
    <row r="121" spans="2:26" x14ac:dyDescent="0.35">
      <c r="B121" s="56" t="s">
        <v>102</v>
      </c>
      <c r="C121" s="66" t="s">
        <v>35</v>
      </c>
      <c r="D121" s="66" t="s">
        <v>69</v>
      </c>
      <c r="E121" s="66" t="s">
        <v>159</v>
      </c>
      <c r="F121" s="73">
        <v>4.219181447185253E-2</v>
      </c>
      <c r="G121" s="75">
        <v>5.0326675742810412E-2</v>
      </c>
      <c r="H121" s="75">
        <v>5.7394732501752012E-2</v>
      </c>
      <c r="I121" s="75">
        <v>6.1722483900565006E-2</v>
      </c>
      <c r="J121" s="63">
        <v>6.5652494652839122E-2</v>
      </c>
      <c r="K121" s="75">
        <v>1.3012537185253057E-4</v>
      </c>
      <c r="L121" s="75">
        <v>8.5351598428104001E-3</v>
      </c>
      <c r="M121" s="75">
        <v>1.5398993201752019E-2</v>
      </c>
      <c r="N121" s="75">
        <v>1.8882561100565003E-2</v>
      </c>
      <c r="O121" s="75">
        <v>2.1326389352839117E-2</v>
      </c>
      <c r="P121" s="56" t="s">
        <v>21</v>
      </c>
      <c r="Q121" s="66" t="s">
        <v>21</v>
      </c>
      <c r="R121" s="95" t="s">
        <v>21</v>
      </c>
      <c r="S121" s="75">
        <v>0</v>
      </c>
      <c r="T121" s="63">
        <v>5.7394732501752012E-2</v>
      </c>
      <c r="V121" s="113">
        <v>1.11385136</v>
      </c>
      <c r="W121" s="71">
        <v>2.85464166</v>
      </c>
      <c r="X121" s="71">
        <v>4.3646090800000001</v>
      </c>
      <c r="Y121" s="71">
        <v>5.6299931000000001</v>
      </c>
      <c r="Z121" s="114">
        <v>7.1622187099999994</v>
      </c>
    </row>
    <row r="122" spans="2:26" x14ac:dyDescent="0.35">
      <c r="B122" s="55" t="s">
        <v>104</v>
      </c>
      <c r="C122" s="65" t="s">
        <v>85</v>
      </c>
      <c r="D122" s="65" t="s">
        <v>43</v>
      </c>
      <c r="E122" s="64" t="s">
        <v>423</v>
      </c>
      <c r="F122" s="79">
        <v>4.0613688750322292E-2</v>
      </c>
      <c r="G122" s="79">
        <v>4.63485728329458E-2</v>
      </c>
      <c r="H122" s="79">
        <v>5.1041563103672777E-2</v>
      </c>
      <c r="I122" s="79">
        <v>5.368556650155748E-2</v>
      </c>
      <c r="J122" s="61">
        <v>5.6520959250727247E-2</v>
      </c>
      <c r="K122" s="79" t="s">
        <v>21</v>
      </c>
      <c r="L122" s="79">
        <v>4.7115286329458021E-3</v>
      </c>
      <c r="M122" s="79">
        <v>9.3037939036727767E-3</v>
      </c>
      <c r="N122" s="79">
        <v>1.118760610155748E-2</v>
      </c>
      <c r="O122" s="79">
        <v>1.2562134350727255E-2</v>
      </c>
      <c r="P122" s="55" t="s">
        <v>21</v>
      </c>
      <c r="Q122" s="65" t="s">
        <v>21</v>
      </c>
      <c r="R122" s="99" t="s">
        <v>21</v>
      </c>
      <c r="S122" s="79">
        <v>0</v>
      </c>
      <c r="T122" s="61">
        <v>5.1041563103672777E-2</v>
      </c>
      <c r="V122" s="117">
        <v>1.11536469</v>
      </c>
      <c r="W122" s="60">
        <v>2.8717590300000002</v>
      </c>
      <c r="X122" s="60">
        <v>4.4214746499999995</v>
      </c>
      <c r="Y122" s="60">
        <v>5.7552893000000003</v>
      </c>
      <c r="Z122" s="118">
        <v>7.4245586700000006</v>
      </c>
    </row>
    <row r="123" spans="2:26" x14ac:dyDescent="0.35">
      <c r="B123" s="56" t="s">
        <v>104</v>
      </c>
      <c r="C123" s="66" t="s">
        <v>35</v>
      </c>
      <c r="D123" s="66" t="s">
        <v>43</v>
      </c>
      <c r="E123" s="53" t="s">
        <v>423</v>
      </c>
      <c r="F123" s="75">
        <v>4.2129893971793661E-2</v>
      </c>
      <c r="G123" s="75">
        <v>5.0225857040214934E-2</v>
      </c>
      <c r="H123" s="75">
        <v>5.7106729080447907E-2</v>
      </c>
      <c r="I123" s="75">
        <v>6.0978216194060249E-2</v>
      </c>
      <c r="J123" s="63">
        <v>6.4383776946446911E-2</v>
      </c>
      <c r="K123" s="75">
        <v>6.4310471793660277E-5</v>
      </c>
      <c r="L123" s="75">
        <v>8.436213540214935E-3</v>
      </c>
      <c r="M123" s="75">
        <v>1.5124079480447901E-2</v>
      </c>
      <c r="N123" s="75">
        <v>1.8176828594060241E-2</v>
      </c>
      <c r="O123" s="75">
        <v>2.0120556546446903E-2</v>
      </c>
      <c r="P123" s="66" t="s">
        <v>21</v>
      </c>
      <c r="Q123" s="66" t="s">
        <v>21</v>
      </c>
      <c r="R123" s="95" t="s">
        <v>21</v>
      </c>
      <c r="S123" s="75">
        <v>0</v>
      </c>
      <c r="T123" s="63">
        <v>5.7106729080447907E-2</v>
      </c>
      <c r="V123" s="115">
        <v>1.11396994</v>
      </c>
      <c r="W123" s="107">
        <v>2.85533159</v>
      </c>
      <c r="X123" s="107">
        <v>4.3676756399999999</v>
      </c>
      <c r="Y123" s="107">
        <v>5.6409942300000004</v>
      </c>
      <c r="Z123" s="116">
        <v>7.1972098799999991</v>
      </c>
    </row>
    <row r="124" spans="2:26" x14ac:dyDescent="0.35">
      <c r="B124" s="54" t="s">
        <v>105</v>
      </c>
      <c r="C124" s="52" t="s">
        <v>85</v>
      </c>
      <c r="D124" s="52" t="s">
        <v>43</v>
      </c>
      <c r="E124" s="52" t="s">
        <v>423</v>
      </c>
      <c r="F124" s="72">
        <v>4.0566978362246403E-2</v>
      </c>
      <c r="G124" s="70">
        <v>4.6405998818901749E-2</v>
      </c>
      <c r="H124" s="70">
        <v>5.0941058296692265E-2</v>
      </c>
      <c r="I124" s="70">
        <v>5.3585807593628687E-2</v>
      </c>
      <c r="J124" s="62">
        <v>5.6325051987857436E-2</v>
      </c>
      <c r="K124" s="70" t="s">
        <v>21</v>
      </c>
      <c r="L124" s="70">
        <v>4.7670352189017537E-3</v>
      </c>
      <c r="M124" s="70">
        <v>9.2092256966922678E-3</v>
      </c>
      <c r="N124" s="70">
        <v>1.1093327793628687E-2</v>
      </c>
      <c r="O124" s="70">
        <v>1.2375211887857425E-2</v>
      </c>
      <c r="P124" s="54" t="s">
        <v>21</v>
      </c>
      <c r="Q124" s="52" t="s">
        <v>21</v>
      </c>
      <c r="R124" s="93" t="s">
        <v>21</v>
      </c>
      <c r="S124" s="70">
        <v>0</v>
      </c>
      <c r="T124" s="62">
        <v>5.0941058296692265E-2</v>
      </c>
      <c r="V124" s="113">
        <v>1.1154371600000001</v>
      </c>
      <c r="W124" s="71">
        <v>2.8710702700000001</v>
      </c>
      <c r="X124" s="71">
        <v>4.4218857500000004</v>
      </c>
      <c r="Y124" s="71">
        <v>5.75734777</v>
      </c>
      <c r="Z124" s="114">
        <v>7.4314683500000003</v>
      </c>
    </row>
    <row r="125" spans="2:26" x14ac:dyDescent="0.35">
      <c r="B125" s="56" t="s">
        <v>105</v>
      </c>
      <c r="C125" s="66" t="s">
        <v>35</v>
      </c>
      <c r="D125" s="66" t="s">
        <v>43</v>
      </c>
      <c r="E125" s="66" t="s">
        <v>21</v>
      </c>
      <c r="F125" s="73">
        <v>4.2067090336293363E-2</v>
      </c>
      <c r="G125" s="75">
        <v>5.0097870237489926E-2</v>
      </c>
      <c r="H125" s="75">
        <v>5.6907140041599788E-2</v>
      </c>
      <c r="I125" s="75">
        <v>6.0687948424317614E-2</v>
      </c>
      <c r="J125" s="63">
        <v>6.4177869805354462E-2</v>
      </c>
      <c r="K125" s="75">
        <v>7.6278362933701258E-6</v>
      </c>
      <c r="L125" s="75">
        <v>8.3158777374899261E-3</v>
      </c>
      <c r="M125" s="75">
        <v>1.4936126541599783E-2</v>
      </c>
      <c r="N125" s="75">
        <v>1.7903094624317616E-2</v>
      </c>
      <c r="O125" s="75">
        <v>1.9925446505354459E-2</v>
      </c>
      <c r="P125" s="56" t="s">
        <v>21</v>
      </c>
      <c r="Q125" s="66" t="s">
        <v>21</v>
      </c>
      <c r="R125" s="95" t="s">
        <v>21</v>
      </c>
      <c r="S125" s="75">
        <v>0</v>
      </c>
      <c r="T125" s="63">
        <v>5.6907140041599788E-2</v>
      </c>
      <c r="V125" s="113">
        <v>1.11403995</v>
      </c>
      <c r="W125" s="71">
        <v>2.8560432800000002</v>
      </c>
      <c r="X125" s="71">
        <v>4.3700763299999998</v>
      </c>
      <c r="Y125" s="71">
        <v>5.6465443400000002</v>
      </c>
      <c r="Z125" s="114">
        <v>7.2070103400000001</v>
      </c>
    </row>
    <row r="126" spans="2:26" x14ac:dyDescent="0.35">
      <c r="B126" s="55" t="s">
        <v>106</v>
      </c>
      <c r="C126" s="65" t="s">
        <v>85</v>
      </c>
      <c r="D126" s="65" t="s">
        <v>62</v>
      </c>
      <c r="E126" s="65" t="s">
        <v>466</v>
      </c>
      <c r="F126" s="74">
        <v>4.0945334418870265E-2</v>
      </c>
      <c r="G126" s="79">
        <v>4.7198833349892257E-2</v>
      </c>
      <c r="H126" s="79">
        <v>5.225609946394788E-2</v>
      </c>
      <c r="I126" s="79">
        <v>5.526675495918084E-2</v>
      </c>
      <c r="J126" s="61">
        <v>5.8332152887260305E-2</v>
      </c>
      <c r="K126" s="79" t="s">
        <v>21</v>
      </c>
      <c r="L126" s="79">
        <v>5.5184559498922493E-3</v>
      </c>
      <c r="M126" s="79">
        <v>1.0453969063947875E-2</v>
      </c>
      <c r="N126" s="79">
        <v>1.2685704959180845E-2</v>
      </c>
      <c r="O126" s="79">
        <v>1.4289953287260319E-2</v>
      </c>
      <c r="P126" s="55" t="s">
        <v>467</v>
      </c>
      <c r="Q126" s="65" t="s">
        <v>468</v>
      </c>
      <c r="R126" s="99" t="s">
        <v>32</v>
      </c>
      <c r="S126" s="79">
        <v>5.4557539999999995E-2</v>
      </c>
      <c r="T126" s="61">
        <v>-2.3014405360521142E-3</v>
      </c>
      <c r="V126" s="117">
        <v>1.1147325099999998</v>
      </c>
      <c r="W126" s="60">
        <v>2.8649698299999997</v>
      </c>
      <c r="X126" s="60">
        <v>4.4014406399999997</v>
      </c>
      <c r="Y126" s="60">
        <v>5.71251233</v>
      </c>
      <c r="Z126" s="118">
        <v>7.3365734200000006</v>
      </c>
    </row>
    <row r="127" spans="2:26" x14ac:dyDescent="0.35">
      <c r="B127" s="56" t="s">
        <v>106</v>
      </c>
      <c r="C127" s="66" t="s">
        <v>35</v>
      </c>
      <c r="D127" s="66" t="s">
        <v>62</v>
      </c>
      <c r="E127" s="66" t="s">
        <v>469</v>
      </c>
      <c r="F127" s="73">
        <v>4.2099994889027728E-2</v>
      </c>
      <c r="G127" s="75">
        <v>5.0405940510405041E-2</v>
      </c>
      <c r="H127" s="75">
        <v>5.7397903334875211E-2</v>
      </c>
      <c r="I127" s="75">
        <v>6.1178897512022004E-2</v>
      </c>
      <c r="J127" s="63">
        <v>6.4929699386967715E-2</v>
      </c>
      <c r="K127" s="75">
        <v>4.0831789027733628E-5</v>
      </c>
      <c r="L127" s="75">
        <v>8.6101727104050379E-3</v>
      </c>
      <c r="M127" s="75">
        <v>1.5401546034875216E-2</v>
      </c>
      <c r="N127" s="75">
        <v>1.8367978812022002E-2</v>
      </c>
      <c r="O127" s="75">
        <v>2.063887138696769E-2</v>
      </c>
      <c r="P127" s="66" t="s">
        <v>21</v>
      </c>
      <c r="Q127" s="66" t="s">
        <v>21</v>
      </c>
      <c r="R127" s="95" t="s">
        <v>21</v>
      </c>
      <c r="S127" s="75">
        <v>0</v>
      </c>
      <c r="T127" s="75">
        <v>5.7397903334875211E-2</v>
      </c>
      <c r="V127" s="115">
        <v>1.11398576</v>
      </c>
      <c r="W127" s="107">
        <v>2.85450794</v>
      </c>
      <c r="X127" s="107">
        <v>4.3643228399999998</v>
      </c>
      <c r="Y127" s="107">
        <v>5.6352275299999999</v>
      </c>
      <c r="Z127" s="116">
        <v>7.182137130000001</v>
      </c>
    </row>
    <row r="128" spans="2:26" x14ac:dyDescent="0.35">
      <c r="B128" s="54" t="s">
        <v>107</v>
      </c>
      <c r="C128" s="52" t="s">
        <v>85</v>
      </c>
      <c r="D128" s="52" t="s">
        <v>62</v>
      </c>
      <c r="E128" s="52" t="s">
        <v>264</v>
      </c>
      <c r="F128" s="72">
        <v>4.115213972371299E-2</v>
      </c>
      <c r="G128" s="70">
        <v>4.7200484454245739E-2</v>
      </c>
      <c r="H128" s="70">
        <v>5.2257753373367515E-2</v>
      </c>
      <c r="I128" s="70">
        <v>5.5411252807780455E-2</v>
      </c>
      <c r="J128" s="62">
        <v>5.8436554429019877E-2</v>
      </c>
      <c r="K128" s="70" t="s">
        <v>21</v>
      </c>
      <c r="L128" s="70">
        <v>5.5199683542457387E-3</v>
      </c>
      <c r="M128" s="70">
        <v>1.0455510073367516E-2</v>
      </c>
      <c r="N128" s="70">
        <v>1.2822289907780452E-2</v>
      </c>
      <c r="O128" s="70">
        <v>1.4389900929019879E-2</v>
      </c>
      <c r="P128" s="54" t="s">
        <v>21</v>
      </c>
      <c r="Q128" s="52" t="s">
        <v>21</v>
      </c>
      <c r="R128" s="93" t="s">
        <v>21</v>
      </c>
      <c r="S128" s="70">
        <v>0</v>
      </c>
      <c r="T128" s="62">
        <v>5.2257753373367515E-2</v>
      </c>
      <c r="V128" s="113">
        <v>1.1143488099999999</v>
      </c>
      <c r="W128" s="71">
        <v>2.86429819</v>
      </c>
      <c r="X128" s="71">
        <v>4.4008205299999998</v>
      </c>
      <c r="Y128" s="71">
        <v>5.7100236600000001</v>
      </c>
      <c r="Z128" s="114">
        <v>7.3309920099999992</v>
      </c>
    </row>
    <row r="129" spans="2:26" x14ac:dyDescent="0.35">
      <c r="B129" s="54" t="s">
        <v>107</v>
      </c>
      <c r="C129" s="52" t="s">
        <v>35</v>
      </c>
      <c r="D129" s="52" t="s">
        <v>62</v>
      </c>
      <c r="E129" s="52" t="s">
        <v>289</v>
      </c>
      <c r="F129" s="72">
        <v>4.2029838962543496E-2</v>
      </c>
      <c r="G129" s="70">
        <v>4.9786490328885519E-2</v>
      </c>
      <c r="H129" s="70">
        <v>5.641392902897014E-2</v>
      </c>
      <c r="I129" s="70">
        <v>5.9920335332893766E-2</v>
      </c>
      <c r="J129" s="62">
        <v>6.3664116048112618E-2</v>
      </c>
      <c r="K129" s="70" t="s">
        <v>21</v>
      </c>
      <c r="L129" s="70">
        <v>8.0197140288855162E-3</v>
      </c>
      <c r="M129" s="70">
        <v>1.4469008928970142E-2</v>
      </c>
      <c r="N129" s="70">
        <v>1.7176332232893769E-2</v>
      </c>
      <c r="O129" s="70">
        <v>1.9436318448112635E-2</v>
      </c>
      <c r="P129" s="54" t="s">
        <v>21</v>
      </c>
      <c r="Q129" s="52" t="s">
        <v>21</v>
      </c>
      <c r="R129" s="93" t="s">
        <v>21</v>
      </c>
      <c r="S129" s="70">
        <v>0</v>
      </c>
      <c r="T129" s="62">
        <v>5.641392902897014E-2</v>
      </c>
      <c r="V129" s="113">
        <v>1.11408497</v>
      </c>
      <c r="W129" s="71">
        <v>2.85757298</v>
      </c>
      <c r="X129" s="71">
        <v>4.3758415900000003</v>
      </c>
      <c r="Y129" s="71">
        <v>5.6606843800000002</v>
      </c>
      <c r="Z129" s="114">
        <v>7.2321050199999997</v>
      </c>
    </row>
    <row r="130" spans="2:26" x14ac:dyDescent="0.35">
      <c r="B130" s="96" t="s">
        <v>83</v>
      </c>
      <c r="C130" s="97"/>
      <c r="D130" s="97"/>
      <c r="E130" s="97"/>
      <c r="F130" s="77"/>
      <c r="G130" s="77"/>
      <c r="H130" s="77"/>
      <c r="I130" s="77"/>
      <c r="J130" s="77"/>
      <c r="K130" s="97"/>
      <c r="L130" s="97"/>
      <c r="M130" s="97"/>
      <c r="N130" s="97"/>
      <c r="O130" s="97"/>
      <c r="P130" s="96"/>
      <c r="Q130" s="97"/>
      <c r="R130" s="100"/>
      <c r="S130" s="97"/>
      <c r="T130" s="98"/>
      <c r="V130" s="119"/>
      <c r="W130" s="108"/>
      <c r="X130" s="108"/>
      <c r="Y130" s="108"/>
      <c r="Z130" s="120"/>
    </row>
    <row r="131" spans="2:26" x14ac:dyDescent="0.35">
      <c r="B131" s="55" t="s">
        <v>108</v>
      </c>
      <c r="C131" s="65" t="s">
        <v>85</v>
      </c>
      <c r="D131" s="65" t="s">
        <v>20</v>
      </c>
      <c r="E131" s="64" t="s">
        <v>58</v>
      </c>
      <c r="F131" s="79">
        <v>4.1232273040774384E-2</v>
      </c>
      <c r="G131" s="79">
        <v>4.726804250336672E-2</v>
      </c>
      <c r="H131" s="79">
        <v>5.201639411890481E-2</v>
      </c>
      <c r="I131" s="79">
        <v>5.5925673287133541E-2</v>
      </c>
      <c r="J131" s="61">
        <v>5.9306204277649634E-2</v>
      </c>
      <c r="K131" s="79" t="s">
        <v>21</v>
      </c>
      <c r="L131" s="79">
        <v>5.5845884033667182E-3</v>
      </c>
      <c r="M131" s="79">
        <v>1.0227571618904811E-2</v>
      </c>
      <c r="N131" s="79">
        <v>1.3309496187133538E-2</v>
      </c>
      <c r="O131" s="79">
        <v>1.5220610677649626E-2</v>
      </c>
      <c r="P131" s="55" t="s">
        <v>470</v>
      </c>
      <c r="Q131" s="65" t="s">
        <v>471</v>
      </c>
      <c r="R131" s="99">
        <v>47580</v>
      </c>
      <c r="S131" s="79">
        <v>5.0258839999999999E-2</v>
      </c>
      <c r="T131" s="61">
        <v>1.7575541189048111E-3</v>
      </c>
      <c r="V131" s="117">
        <v>1.11417725</v>
      </c>
      <c r="W131" s="60">
        <v>2.86387656</v>
      </c>
      <c r="X131" s="60">
        <v>4.40360408</v>
      </c>
      <c r="Y131" s="60">
        <v>5.7051423200000002</v>
      </c>
      <c r="Z131" s="118">
        <v>7.3026156100000001</v>
      </c>
    </row>
    <row r="132" spans="2:26" x14ac:dyDescent="0.35">
      <c r="B132" s="54" t="s">
        <v>109</v>
      </c>
      <c r="C132" s="52" t="s">
        <v>85</v>
      </c>
      <c r="D132" s="52" t="s">
        <v>20</v>
      </c>
      <c r="E132" s="58" t="s">
        <v>54</v>
      </c>
      <c r="F132" s="70">
        <v>4.4105451525831257E-2</v>
      </c>
      <c r="G132" s="70">
        <v>5.3445407719566435E-2</v>
      </c>
      <c r="H132" s="70">
        <v>6.2308768336220482E-2</v>
      </c>
      <c r="I132" s="70">
        <v>6.8408031024615998E-2</v>
      </c>
      <c r="J132" s="62">
        <v>7.0565586662445168E-2</v>
      </c>
      <c r="K132" s="70">
        <v>1.934756425831248E-3</v>
      </c>
      <c r="L132" s="70">
        <v>1.1417851219566434E-2</v>
      </c>
      <c r="M132" s="70">
        <v>1.9871626036220467E-2</v>
      </c>
      <c r="N132" s="70">
        <v>2.4960772324615983E-2</v>
      </c>
      <c r="O132" s="70">
        <v>2.5800376462445165E-2</v>
      </c>
      <c r="P132" s="54" t="s">
        <v>472</v>
      </c>
      <c r="Q132" s="52" t="s">
        <v>473</v>
      </c>
      <c r="R132" s="93" t="s">
        <v>32</v>
      </c>
      <c r="S132" s="70">
        <v>5.4434139999999999E-2</v>
      </c>
      <c r="T132" s="62">
        <v>7.8746283362204836E-3</v>
      </c>
      <c r="V132" s="113">
        <v>1.1083799400000001</v>
      </c>
      <c r="W132" s="71">
        <v>2.81768295</v>
      </c>
      <c r="X132" s="71">
        <v>4.2460024599999997</v>
      </c>
      <c r="Y132" s="71">
        <v>5.3765827099999992</v>
      </c>
      <c r="Z132" s="114">
        <v>6.7277759800000005</v>
      </c>
    </row>
    <row r="133" spans="2:26" x14ac:dyDescent="0.35">
      <c r="B133" s="56" t="s">
        <v>111</v>
      </c>
      <c r="C133" s="66" t="s">
        <v>85</v>
      </c>
      <c r="D133" s="66" t="s">
        <v>20</v>
      </c>
      <c r="E133" s="53" t="s">
        <v>112</v>
      </c>
      <c r="F133" s="75">
        <v>4.2227006217329111E-2</v>
      </c>
      <c r="G133" s="75">
        <v>4.9365595113526166E-2</v>
      </c>
      <c r="H133" s="75">
        <v>5.4897444243221037E-2</v>
      </c>
      <c r="I133" s="75">
        <v>5.8274477645597587E-2</v>
      </c>
      <c r="J133" s="63">
        <v>6.1682264251533926E-2</v>
      </c>
      <c r="K133" s="75">
        <v>1.3862951732911567E-4</v>
      </c>
      <c r="L133" s="75">
        <v>7.5652810135261664E-3</v>
      </c>
      <c r="M133" s="75">
        <v>1.2944674143221037E-2</v>
      </c>
      <c r="N133" s="75">
        <v>1.5520640345597596E-2</v>
      </c>
      <c r="O133" s="75">
        <v>1.7468613651533925E-2</v>
      </c>
      <c r="P133" s="56" t="s">
        <v>21</v>
      </c>
      <c r="Q133" s="66" t="s">
        <v>21</v>
      </c>
      <c r="R133" s="95" t="s">
        <v>21</v>
      </c>
      <c r="S133" s="75">
        <v>0</v>
      </c>
      <c r="T133" s="63">
        <v>5.4897444243221037E-2</v>
      </c>
      <c r="V133" s="115">
        <v>1.11239968</v>
      </c>
      <c r="W133" s="107">
        <v>2.84808445</v>
      </c>
      <c r="X133" s="107">
        <v>4.3564815499999998</v>
      </c>
      <c r="Y133" s="107">
        <v>5.6243506600000002</v>
      </c>
      <c r="Z133" s="116">
        <v>7.1638935500000001</v>
      </c>
    </row>
    <row r="134" spans="2:26" x14ac:dyDescent="0.35">
      <c r="P134" s="127"/>
      <c r="Q134" s="127"/>
      <c r="R134" s="44"/>
      <c r="S134" s="127"/>
      <c r="T134" s="127"/>
      <c r="V134" s="71"/>
      <c r="W134" s="71"/>
      <c r="X134" s="71"/>
      <c r="Y134" s="71"/>
      <c r="Z134" s="71"/>
    </row>
    <row r="135" spans="2:26" ht="15.5" x14ac:dyDescent="0.35">
      <c r="B135" s="121" t="s">
        <v>113</v>
      </c>
      <c r="R135" s="93"/>
      <c r="S135" s="70"/>
      <c r="T135" s="70"/>
      <c r="V135" s="71"/>
      <c r="W135" s="71"/>
      <c r="X135" s="71"/>
      <c r="Y135" s="71"/>
      <c r="Z135" s="71"/>
    </row>
    <row r="136" spans="2:26" x14ac:dyDescent="0.35">
      <c r="B136" s="84" t="s">
        <v>5</v>
      </c>
      <c r="C136" s="83" t="s">
        <v>6</v>
      </c>
      <c r="D136" s="83" t="s">
        <v>7</v>
      </c>
      <c r="E136" s="83" t="s">
        <v>8</v>
      </c>
      <c r="F136" s="82" t="s">
        <v>9</v>
      </c>
      <c r="G136" s="81" t="s">
        <v>10</v>
      </c>
      <c r="H136" s="81" t="s">
        <v>11</v>
      </c>
      <c r="I136" s="81" t="s">
        <v>12</v>
      </c>
      <c r="J136" s="80" t="s">
        <v>13</v>
      </c>
      <c r="K136" s="57" t="s">
        <v>9</v>
      </c>
      <c r="L136" s="57" t="s">
        <v>10</v>
      </c>
      <c r="M136" s="57" t="s">
        <v>11</v>
      </c>
      <c r="N136" s="57" t="s">
        <v>12</v>
      </c>
      <c r="O136" s="57" t="s">
        <v>13</v>
      </c>
      <c r="P136" s="69" t="s">
        <v>14</v>
      </c>
      <c r="Q136" s="57" t="s">
        <v>15</v>
      </c>
      <c r="R136" s="57" t="s">
        <v>16</v>
      </c>
      <c r="S136" s="57" t="s">
        <v>413</v>
      </c>
      <c r="T136" s="57" t="s">
        <v>18</v>
      </c>
      <c r="V136" s="109" t="s">
        <v>9</v>
      </c>
      <c r="W136" s="105" t="s">
        <v>10</v>
      </c>
      <c r="X136" s="105" t="s">
        <v>11</v>
      </c>
      <c r="Y136" s="105" t="s">
        <v>12</v>
      </c>
      <c r="Z136" s="110" t="s">
        <v>13</v>
      </c>
    </row>
    <row r="137" spans="2:26" x14ac:dyDescent="0.35">
      <c r="B137" s="78" t="s">
        <v>114</v>
      </c>
      <c r="C137" s="9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8"/>
      <c r="Q137" s="77"/>
      <c r="R137" s="94"/>
      <c r="S137" s="77"/>
      <c r="T137" s="76"/>
      <c r="V137" s="111"/>
      <c r="W137" s="106"/>
      <c r="X137" s="106"/>
      <c r="Y137" s="106"/>
      <c r="Z137" s="112"/>
    </row>
    <row r="138" spans="2:26" x14ac:dyDescent="0.35">
      <c r="B138" s="55" t="s">
        <v>317</v>
      </c>
      <c r="C138" s="65" t="s">
        <v>232</v>
      </c>
      <c r="D138" s="65" t="s">
        <v>20</v>
      </c>
      <c r="E138" s="65" t="s">
        <v>21</v>
      </c>
      <c r="F138" s="79">
        <v>4.3609631101045349E-2</v>
      </c>
      <c r="G138" s="79">
        <v>5.5073032267525725E-2</v>
      </c>
      <c r="H138" s="79">
        <v>6.8639470961853036E-2</v>
      </c>
      <c r="I138" s="79">
        <v>7.5085518406299331E-2</v>
      </c>
      <c r="J138" s="61">
        <v>8.0227761657387223E-2</v>
      </c>
      <c r="K138" s="79">
        <v>1.4433771010453527E-3</v>
      </c>
      <c r="L138" s="79">
        <v>1.2928319467525724E-2</v>
      </c>
      <c r="M138" s="79">
        <v>2.5705997561853041E-2</v>
      </c>
      <c r="N138" s="79">
        <v>3.1099361706299337E-2</v>
      </c>
      <c r="O138" s="61">
        <v>3.473623525738722E-2</v>
      </c>
      <c r="P138" s="55" t="s">
        <v>21</v>
      </c>
      <c r="Q138" s="65" t="s">
        <v>21</v>
      </c>
      <c r="R138" s="99" t="s">
        <v>21</v>
      </c>
      <c r="S138" s="79">
        <v>0</v>
      </c>
      <c r="T138" s="61">
        <v>6.8639470961853036E-2</v>
      </c>
      <c r="V138" s="113">
        <v>1.1097773199999998</v>
      </c>
      <c r="W138" s="71">
        <v>2.80980345</v>
      </c>
      <c r="X138" s="71">
        <v>4.1766326999999999</v>
      </c>
      <c r="Y138" s="71">
        <v>5.2177216300000007</v>
      </c>
      <c r="Z138" s="114">
        <v>6.3644840999999994</v>
      </c>
    </row>
    <row r="139" spans="2:26" x14ac:dyDescent="0.35">
      <c r="B139" s="54" t="s">
        <v>175</v>
      </c>
      <c r="C139" s="52" t="s">
        <v>232</v>
      </c>
      <c r="D139" s="52" t="s">
        <v>43</v>
      </c>
      <c r="E139" s="52" t="s">
        <v>21</v>
      </c>
      <c r="F139" s="70">
        <v>4.3276148895070816E-2</v>
      </c>
      <c r="G139" s="70">
        <v>5.5518366782696615E-2</v>
      </c>
      <c r="H139" s="70">
        <v>6.7217553781723907E-2</v>
      </c>
      <c r="I139" s="70">
        <v>7.5544387605579993E-2</v>
      </c>
      <c r="J139" s="62">
        <v>7.9940470745502576E-2</v>
      </c>
      <c r="K139" s="70">
        <v>1.1370880950708154E-3</v>
      </c>
      <c r="L139" s="70">
        <v>1.3347013582696621E-2</v>
      </c>
      <c r="M139" s="70">
        <v>2.4399115881723901E-2</v>
      </c>
      <c r="N139" s="70">
        <v>3.1517529005579983E-2</v>
      </c>
      <c r="O139" s="62">
        <v>3.4477152945502576E-2</v>
      </c>
      <c r="P139" s="54" t="s">
        <v>21</v>
      </c>
      <c r="Q139" s="52" t="s">
        <v>21</v>
      </c>
      <c r="R139" s="93" t="s">
        <v>21</v>
      </c>
      <c r="S139" s="70">
        <v>0</v>
      </c>
      <c r="T139" s="62">
        <v>6.7217553781723907E-2</v>
      </c>
      <c r="V139" s="113">
        <v>1.1104400699999999</v>
      </c>
      <c r="W139" s="71">
        <v>2.8059679099999997</v>
      </c>
      <c r="X139" s="71">
        <v>4.1847460600000002</v>
      </c>
      <c r="Y139" s="71">
        <v>5.2265258299999999</v>
      </c>
      <c r="Z139" s="114">
        <v>6.3761177299999998</v>
      </c>
    </row>
    <row r="140" spans="2:26" x14ac:dyDescent="0.35">
      <c r="B140" s="54" t="s">
        <v>122</v>
      </c>
      <c r="C140" s="52" t="s">
        <v>232</v>
      </c>
      <c r="D140" s="52" t="s">
        <v>97</v>
      </c>
      <c r="E140" s="52" t="s">
        <v>267</v>
      </c>
      <c r="F140" s="70">
        <v>4.2513448249568132E-2</v>
      </c>
      <c r="G140" s="70">
        <v>5.4510880205073893E-2</v>
      </c>
      <c r="H140" s="70">
        <v>6.5098922871672321E-2</v>
      </c>
      <c r="I140" s="70">
        <v>7.3240945573653626E-2</v>
      </c>
      <c r="J140" s="62">
        <v>7.9811032299238444E-2</v>
      </c>
      <c r="K140" s="70">
        <v>4.1995904956813358E-4</v>
      </c>
      <c r="L140" s="70">
        <v>1.2410788305073899E-2</v>
      </c>
      <c r="M140" s="70">
        <v>2.2450268971672308E-2</v>
      </c>
      <c r="N140" s="70">
        <v>2.9411911673653635E-2</v>
      </c>
      <c r="O140" s="62">
        <v>3.4359061299238436E-2</v>
      </c>
      <c r="P140" s="54" t="s">
        <v>21</v>
      </c>
      <c r="Q140" s="52" t="s">
        <v>21</v>
      </c>
      <c r="R140" s="93" t="s">
        <v>21</v>
      </c>
      <c r="S140" s="70">
        <v>0</v>
      </c>
      <c r="T140" s="62">
        <v>6.5098922871672321E-2</v>
      </c>
      <c r="V140" s="113">
        <v>1.1118050500000001</v>
      </c>
      <c r="W140" s="71">
        <v>2.8155870100000002</v>
      </c>
      <c r="X140" s="71">
        <v>4.2155355500000002</v>
      </c>
      <c r="Y140" s="71">
        <v>5.2859793499999999</v>
      </c>
      <c r="Z140" s="114">
        <v>6.4375163599999992</v>
      </c>
    </row>
    <row r="141" spans="2:26" x14ac:dyDescent="0.35">
      <c r="B141" s="54" t="s">
        <v>168</v>
      </c>
      <c r="C141" s="52" t="s">
        <v>232</v>
      </c>
      <c r="D141" s="52" t="s">
        <v>20</v>
      </c>
      <c r="E141" s="52" t="s">
        <v>21</v>
      </c>
      <c r="F141" s="70">
        <v>4.5925840556176739E-2</v>
      </c>
      <c r="G141" s="70">
        <v>5.6009300660639805E-2</v>
      </c>
      <c r="H141" s="70">
        <v>6.5614648850285603E-2</v>
      </c>
      <c r="I141" s="70">
        <v>7.0634609959192393E-2</v>
      </c>
      <c r="J141" s="62">
        <v>7.56072452411886E-2</v>
      </c>
      <c r="K141" s="70">
        <v>3.6217886561767448E-3</v>
      </c>
      <c r="L141" s="70">
        <v>1.3809386760639804E-2</v>
      </c>
      <c r="M141" s="70">
        <v>2.2925629350285609E-2</v>
      </c>
      <c r="N141" s="70">
        <v>2.7015499059192396E-2</v>
      </c>
      <c r="O141" s="62">
        <v>3.0467805541188608E-2</v>
      </c>
      <c r="P141" s="54" t="s">
        <v>474</v>
      </c>
      <c r="Q141" s="52" t="s">
        <v>475</v>
      </c>
      <c r="R141" s="93">
        <v>47505</v>
      </c>
      <c r="S141" s="70">
        <v>6.150423E-2</v>
      </c>
      <c r="T141" s="62">
        <v>4.1104188502856034E-3</v>
      </c>
      <c r="V141" s="113">
        <v>1.1040500799999999</v>
      </c>
      <c r="W141" s="71">
        <v>2.7930866499999998</v>
      </c>
      <c r="X141" s="71">
        <v>4.1915596500000003</v>
      </c>
      <c r="Y141" s="71">
        <v>5.2861023500000002</v>
      </c>
      <c r="Z141" s="114">
        <v>6.5327139899999995</v>
      </c>
    </row>
    <row r="142" spans="2:26" x14ac:dyDescent="0.35">
      <c r="B142" s="54" t="s">
        <v>152</v>
      </c>
      <c r="C142" s="52" t="s">
        <v>232</v>
      </c>
      <c r="D142" s="52" t="s">
        <v>20</v>
      </c>
      <c r="E142" s="52" t="s">
        <v>123</v>
      </c>
      <c r="F142" s="70">
        <v>4.5045804582400067E-2</v>
      </c>
      <c r="G142" s="70">
        <v>5.724619782775562E-2</v>
      </c>
      <c r="H142" s="70">
        <v>6.4341845142265486E-2</v>
      </c>
      <c r="I142" s="70">
        <v>6.9306010485466099E-2</v>
      </c>
      <c r="J142" s="62">
        <v>7.2902336034433982E-2</v>
      </c>
      <c r="K142" s="70">
        <v>2.7966110824000625E-3</v>
      </c>
      <c r="L142" s="70">
        <v>1.4955965527755615E-2</v>
      </c>
      <c r="M142" s="70">
        <v>2.1743215942265488E-2</v>
      </c>
      <c r="N142" s="70">
        <v>2.5778348585466095E-2</v>
      </c>
      <c r="O142" s="62">
        <v>2.7951194434433987E-2</v>
      </c>
      <c r="P142" s="54" t="s">
        <v>476</v>
      </c>
      <c r="Q142" s="52" t="s">
        <v>477</v>
      </c>
      <c r="R142" s="93">
        <v>47484</v>
      </c>
      <c r="S142" s="70">
        <v>5.7366819999999999E-2</v>
      </c>
      <c r="T142" s="62">
        <v>6.9750251422654869E-3</v>
      </c>
      <c r="V142" s="113">
        <v>1.1061797099999999</v>
      </c>
      <c r="W142" s="71">
        <v>2.7894378099999999</v>
      </c>
      <c r="X142" s="71">
        <v>4.1949778200000001</v>
      </c>
      <c r="Y142" s="71">
        <v>5.3147091099999999</v>
      </c>
      <c r="Z142" s="114">
        <v>6.6182049100000002</v>
      </c>
    </row>
    <row r="143" spans="2:26" x14ac:dyDescent="0.35">
      <c r="B143" s="54" t="s">
        <v>174</v>
      </c>
      <c r="C143" s="52" t="s">
        <v>232</v>
      </c>
      <c r="D143" s="52" t="s">
        <v>47</v>
      </c>
      <c r="E143" s="52" t="s">
        <v>21</v>
      </c>
      <c r="F143" s="70">
        <v>4.6008314646685616E-2</v>
      </c>
      <c r="G143" s="70">
        <v>5.4742705263614702E-2</v>
      </c>
      <c r="H143" s="70">
        <v>6.2898159608505463E-2</v>
      </c>
      <c r="I143" s="70">
        <v>6.6245575846978794E-2</v>
      </c>
      <c r="J143" s="62">
        <v>6.9680429204539943E-2</v>
      </c>
      <c r="K143" s="70">
        <v>3.6829699466856165E-3</v>
      </c>
      <c r="L143" s="70">
        <v>1.2619632463614706E-2</v>
      </c>
      <c r="M143" s="70">
        <v>2.0406763408505453E-2</v>
      </c>
      <c r="N143" s="70">
        <v>2.2950131146978799E-2</v>
      </c>
      <c r="O143" s="62">
        <v>2.4953849404539926E-2</v>
      </c>
      <c r="P143" s="54" t="s">
        <v>21</v>
      </c>
      <c r="Q143" s="52" t="s">
        <v>21</v>
      </c>
      <c r="R143" s="93" t="s">
        <v>21</v>
      </c>
      <c r="S143" s="70">
        <v>0</v>
      </c>
      <c r="T143" s="62">
        <v>6.2898159608505463E-2</v>
      </c>
      <c r="V143" s="113">
        <v>1.1039590800000001</v>
      </c>
      <c r="W143" s="71">
        <v>2.8024545500000002</v>
      </c>
      <c r="X143" s="71">
        <v>4.2240372600000002</v>
      </c>
      <c r="Y143" s="71">
        <v>5.3844741699999998</v>
      </c>
      <c r="Z143" s="114">
        <v>6.75670006</v>
      </c>
    </row>
    <row r="144" spans="2:26" x14ac:dyDescent="0.35">
      <c r="B144" s="54" t="s">
        <v>323</v>
      </c>
      <c r="C144" s="52" t="s">
        <v>232</v>
      </c>
      <c r="D144" s="52" t="s">
        <v>69</v>
      </c>
      <c r="E144" s="52" t="s">
        <v>116</v>
      </c>
      <c r="F144" s="70">
        <v>4.3324057069176566E-2</v>
      </c>
      <c r="G144" s="70">
        <v>5.2401950457027148E-2</v>
      </c>
      <c r="H144" s="70">
        <v>6.2225192660906245E-2</v>
      </c>
      <c r="I144" s="70">
        <v>6.7843596516461713E-2</v>
      </c>
      <c r="J144" s="62">
        <v>7.2682067519686797E-2</v>
      </c>
      <c r="K144" s="70">
        <v>1.1864503691765647E-3</v>
      </c>
      <c r="L144" s="70">
        <v>1.0428620457027138E-2</v>
      </c>
      <c r="M144" s="70">
        <v>1.9788327260906253E-2</v>
      </c>
      <c r="N144" s="70">
        <v>2.4435114716461728E-2</v>
      </c>
      <c r="O144" s="62">
        <v>2.7763391119686804E-2</v>
      </c>
      <c r="P144" s="54" t="s">
        <v>377</v>
      </c>
      <c r="Q144" s="52" t="s">
        <v>378</v>
      </c>
      <c r="R144" s="93" t="s">
        <v>32</v>
      </c>
      <c r="S144" s="70">
        <v>5.4441940000000001E-2</v>
      </c>
      <c r="T144" s="62">
        <v>7.7832526609062438E-3</v>
      </c>
      <c r="V144" s="113">
        <v>1.11033074</v>
      </c>
      <c r="W144" s="71">
        <v>2.8257504199999999</v>
      </c>
      <c r="X144" s="71">
        <v>4.2562463900000003</v>
      </c>
      <c r="Y144" s="71">
        <v>5.3933457599999999</v>
      </c>
      <c r="Z144" s="114">
        <v>6.6899704800000004</v>
      </c>
    </row>
    <row r="145" spans="2:26" x14ac:dyDescent="0.35">
      <c r="B145" s="54" t="s">
        <v>130</v>
      </c>
      <c r="C145" s="52" t="s">
        <v>232</v>
      </c>
      <c r="D145" s="52" t="s">
        <v>131</v>
      </c>
      <c r="E145" s="52" t="s">
        <v>288</v>
      </c>
      <c r="F145" s="70">
        <v>4.2854609877196748E-2</v>
      </c>
      <c r="G145" s="70">
        <v>5.1911673349697353E-2</v>
      </c>
      <c r="H145" s="70">
        <v>6.0794745796022766E-2</v>
      </c>
      <c r="I145" s="70">
        <v>6.6843105241724904E-2</v>
      </c>
      <c r="J145" s="62">
        <v>7.1413292179880128E-2</v>
      </c>
      <c r="K145" s="70">
        <v>7.3883197719674682E-4</v>
      </c>
      <c r="L145" s="70">
        <v>9.9668026496973518E-3</v>
      </c>
      <c r="M145" s="70">
        <v>1.8460665496022759E-2</v>
      </c>
      <c r="N145" s="70">
        <v>2.3509962741724896E-2</v>
      </c>
      <c r="O145" s="62">
        <v>2.6588588679880142E-2</v>
      </c>
      <c r="P145" s="54" t="s">
        <v>478</v>
      </c>
      <c r="Q145" s="52" t="s">
        <v>479</v>
      </c>
      <c r="R145" s="93">
        <v>47532</v>
      </c>
      <c r="S145" s="70">
        <v>5.4102339999999999E-2</v>
      </c>
      <c r="T145" s="62">
        <v>6.692405796022767E-3</v>
      </c>
      <c r="V145" s="113">
        <v>1.1112052299999999</v>
      </c>
      <c r="W145" s="71">
        <v>2.8302008299999999</v>
      </c>
      <c r="X145" s="71">
        <v>4.2752725700000003</v>
      </c>
      <c r="Y145" s="71">
        <v>5.4264407100000005</v>
      </c>
      <c r="Z145" s="114">
        <v>6.7472941800000008</v>
      </c>
    </row>
    <row r="146" spans="2:26" x14ac:dyDescent="0.35">
      <c r="B146" s="54" t="s">
        <v>171</v>
      </c>
      <c r="C146" s="52" t="s">
        <v>232</v>
      </c>
      <c r="D146" s="52" t="s">
        <v>20</v>
      </c>
      <c r="E146" s="52" t="s">
        <v>21</v>
      </c>
      <c r="F146" s="70">
        <v>4.4123786191418962E-2</v>
      </c>
      <c r="G146" s="70">
        <v>5.2422777780839168E-2</v>
      </c>
      <c r="H146" s="70">
        <v>6.0047655068588605E-2</v>
      </c>
      <c r="I146" s="70">
        <v>6.4551257773685228E-2</v>
      </c>
      <c r="J146" s="62">
        <v>6.9102761433584514E-2</v>
      </c>
      <c r="K146" s="70">
        <v>1.9313287914189672E-3</v>
      </c>
      <c r="L146" s="70">
        <v>1.0447353280839167E-2</v>
      </c>
      <c r="M146" s="70">
        <v>1.7767794168588615E-2</v>
      </c>
      <c r="N146" s="70">
        <v>2.1390140573685219E-2</v>
      </c>
      <c r="O146" s="62">
        <v>2.443453333358454E-2</v>
      </c>
      <c r="P146" s="54" t="s">
        <v>480</v>
      </c>
      <c r="Q146" s="52" t="s">
        <v>481</v>
      </c>
      <c r="R146" s="93">
        <v>47644</v>
      </c>
      <c r="S146" s="70">
        <v>5.435421E-2</v>
      </c>
      <c r="T146" s="62">
        <v>5.6934450685886054E-3</v>
      </c>
      <c r="V146" s="113">
        <v>1.1084091900000002</v>
      </c>
      <c r="W146" s="71">
        <v>2.8244697900000002</v>
      </c>
      <c r="X146" s="71">
        <v>4.2768750899999999</v>
      </c>
      <c r="Y146" s="71">
        <v>5.4565958700000001</v>
      </c>
      <c r="Z146" s="114">
        <v>6.8335127399999998</v>
      </c>
    </row>
    <row r="147" spans="2:26" x14ac:dyDescent="0.35">
      <c r="B147" s="54" t="s">
        <v>332</v>
      </c>
      <c r="C147" s="52" t="s">
        <v>232</v>
      </c>
      <c r="D147" s="52" t="s">
        <v>20</v>
      </c>
      <c r="E147" s="52" t="s">
        <v>21</v>
      </c>
      <c r="F147" s="70">
        <v>4.2339154274204656E-2</v>
      </c>
      <c r="G147" s="70">
        <v>5.0202534741084243E-2</v>
      </c>
      <c r="H147" s="70">
        <v>5.8530314186138584E-2</v>
      </c>
      <c r="I147" s="70">
        <v>6.2737736652322393E-2</v>
      </c>
      <c r="J147" s="62">
        <v>6.707021949090311E-2</v>
      </c>
      <c r="K147" s="70">
        <v>2.4215807420466511E-4</v>
      </c>
      <c r="L147" s="70">
        <v>8.3536062410842441E-3</v>
      </c>
      <c r="M147" s="70">
        <v>1.635064258613857E-2</v>
      </c>
      <c r="N147" s="70">
        <v>1.9701877552322392E-2</v>
      </c>
      <c r="O147" s="62">
        <v>2.2536499790903129E-2</v>
      </c>
      <c r="P147" s="54" t="s">
        <v>21</v>
      </c>
      <c r="Q147" s="52" t="s">
        <v>21</v>
      </c>
      <c r="R147" s="93" t="s">
        <v>21</v>
      </c>
      <c r="S147" s="70">
        <v>0</v>
      </c>
      <c r="T147" s="62">
        <v>5.8530314186138584E-2</v>
      </c>
      <c r="V147" s="113">
        <v>1.1122470600000001</v>
      </c>
      <c r="W147" s="71">
        <v>2.84121559</v>
      </c>
      <c r="X147" s="71">
        <v>4.3119754500000003</v>
      </c>
      <c r="Y147" s="71">
        <v>5.5124013200000004</v>
      </c>
      <c r="Z147" s="114">
        <v>6.9312488300000004</v>
      </c>
    </row>
    <row r="148" spans="2:26" x14ac:dyDescent="0.35">
      <c r="B148" s="54" t="s">
        <v>118</v>
      </c>
      <c r="C148" s="52" t="s">
        <v>232</v>
      </c>
      <c r="D148" s="52" t="s">
        <v>20</v>
      </c>
      <c r="E148" s="52" t="s">
        <v>123</v>
      </c>
      <c r="F148" s="70">
        <v>4.2711237284846326E-2</v>
      </c>
      <c r="G148" s="70">
        <v>5.0887188492964024E-2</v>
      </c>
      <c r="H148" s="70">
        <v>5.8467224819642949E-2</v>
      </c>
      <c r="I148" s="70">
        <v>6.3686875964878542E-2</v>
      </c>
      <c r="J148" s="62">
        <v>6.7556894146108118E-2</v>
      </c>
      <c r="K148" s="70">
        <v>6.0166408484632096E-4</v>
      </c>
      <c r="L148" s="70">
        <v>9.0019804929640252E-3</v>
      </c>
      <c r="M148" s="70">
        <v>1.6295279519642953E-2</v>
      </c>
      <c r="N148" s="70">
        <v>2.0587730664878536E-2</v>
      </c>
      <c r="O148" s="62">
        <v>2.2998898646108105E-2</v>
      </c>
      <c r="P148" s="54" t="s">
        <v>482</v>
      </c>
      <c r="Q148" s="52" t="s">
        <v>483</v>
      </c>
      <c r="R148" s="93">
        <v>47557</v>
      </c>
      <c r="S148" s="70">
        <v>5.3241170000000004E-2</v>
      </c>
      <c r="T148" s="62">
        <v>5.2260548196429446E-3</v>
      </c>
      <c r="V148" s="113">
        <v>1.11147207</v>
      </c>
      <c r="W148" s="71">
        <v>2.8369228900000003</v>
      </c>
      <c r="X148" s="71">
        <v>4.3064105699999997</v>
      </c>
      <c r="Y148" s="71">
        <v>5.5037607800000004</v>
      </c>
      <c r="Z148" s="114">
        <v>6.9107479900000008</v>
      </c>
    </row>
    <row r="149" spans="2:26" x14ac:dyDescent="0.35">
      <c r="B149" s="54" t="s">
        <v>318</v>
      </c>
      <c r="C149" s="52" t="s">
        <v>232</v>
      </c>
      <c r="D149" s="52" t="s">
        <v>20</v>
      </c>
      <c r="E149" s="52" t="s">
        <v>316</v>
      </c>
      <c r="F149" s="70">
        <v>4.2845494956760474E-2</v>
      </c>
      <c r="G149" s="70">
        <v>5.1450428449758882E-2</v>
      </c>
      <c r="H149" s="70">
        <v>5.8295092147516665E-2</v>
      </c>
      <c r="I149" s="70">
        <v>6.2345072803696167E-2</v>
      </c>
      <c r="J149" s="62">
        <v>6.5980658239565851E-2</v>
      </c>
      <c r="K149" s="70">
        <v>7.3082635676047659E-4</v>
      </c>
      <c r="L149" s="70">
        <v>9.5328350497588896E-3</v>
      </c>
      <c r="M149" s="70">
        <v>1.6132043147516664E-2</v>
      </c>
      <c r="N149" s="70">
        <v>1.9333478903696175E-2</v>
      </c>
      <c r="O149" s="62">
        <v>2.1513245139565873E-2</v>
      </c>
      <c r="P149" s="54" t="s">
        <v>21</v>
      </c>
      <c r="Q149" s="52" t="s">
        <v>21</v>
      </c>
      <c r="R149" s="93" t="s">
        <v>21</v>
      </c>
      <c r="S149" s="70">
        <v>0</v>
      </c>
      <c r="T149" s="62">
        <v>5.8295092147516665E-2</v>
      </c>
      <c r="V149" s="113">
        <v>1.1112163499999999</v>
      </c>
      <c r="W149" s="71">
        <v>2.8318901300000001</v>
      </c>
      <c r="X149" s="71">
        <v>4.3027710900000002</v>
      </c>
      <c r="Y149" s="71">
        <v>5.5135874500000002</v>
      </c>
      <c r="Z149" s="114">
        <v>6.9577878499999999</v>
      </c>
    </row>
    <row r="150" spans="2:26" x14ac:dyDescent="0.35">
      <c r="B150" s="54" t="s">
        <v>119</v>
      </c>
      <c r="C150" s="52" t="s">
        <v>232</v>
      </c>
      <c r="D150" s="52" t="s">
        <v>120</v>
      </c>
      <c r="E150" s="52" t="s">
        <v>21</v>
      </c>
      <c r="F150" s="70">
        <v>4.1463342113597514E-2</v>
      </c>
      <c r="G150" s="70">
        <v>5.0090807146220176E-2</v>
      </c>
      <c r="H150" s="70">
        <v>5.7545054549514439E-2</v>
      </c>
      <c r="I150" s="70">
        <v>6.3105663779959353E-2</v>
      </c>
      <c r="J150" s="62">
        <v>6.9114241371521751E-2</v>
      </c>
      <c r="K150" s="70" t="s">
        <v>21</v>
      </c>
      <c r="L150" s="70">
        <v>8.2524537462201758E-3</v>
      </c>
      <c r="M150" s="70">
        <v>1.543425804951444E-2</v>
      </c>
      <c r="N150" s="70">
        <v>2.0049279579959348E-2</v>
      </c>
      <c r="O150" s="62">
        <v>2.4454512571521741E-2</v>
      </c>
      <c r="P150" s="54" t="s">
        <v>21</v>
      </c>
      <c r="Q150" s="52" t="s">
        <v>21</v>
      </c>
      <c r="R150" s="93" t="s">
        <v>21</v>
      </c>
      <c r="S150" s="70">
        <v>0</v>
      </c>
      <c r="T150" s="62">
        <v>5.7545054549514439E-2</v>
      </c>
      <c r="V150" s="113">
        <v>1.1137729000000001</v>
      </c>
      <c r="W150" s="71">
        <v>2.8468513300000002</v>
      </c>
      <c r="X150" s="71">
        <v>4.32670449</v>
      </c>
      <c r="Y150" s="71">
        <v>5.5291507700000002</v>
      </c>
      <c r="Z150" s="114">
        <v>6.9028663399999992</v>
      </c>
    </row>
    <row r="151" spans="2:26" x14ac:dyDescent="0.35">
      <c r="B151" s="54" t="s">
        <v>115</v>
      </c>
      <c r="C151" s="52" t="s">
        <v>232</v>
      </c>
      <c r="D151" s="52" t="s">
        <v>31</v>
      </c>
      <c r="E151" s="52" t="s">
        <v>21</v>
      </c>
      <c r="F151" s="70">
        <v>4.1994566471633764E-2</v>
      </c>
      <c r="G151" s="70">
        <v>4.9372844203864542E-2</v>
      </c>
      <c r="H151" s="70">
        <v>5.7194348429098679E-2</v>
      </c>
      <c r="I151" s="70">
        <v>6.2311441004429508E-2</v>
      </c>
      <c r="J151" s="62">
        <v>6.7518407893540786E-2</v>
      </c>
      <c r="K151" s="70" t="s">
        <v>21</v>
      </c>
      <c r="L151" s="70">
        <v>7.5758264038645459E-3</v>
      </c>
      <c r="M151" s="70">
        <v>1.5105237829098674E-2</v>
      </c>
      <c r="N151" s="70">
        <v>1.9305821104429504E-2</v>
      </c>
      <c r="O151" s="62">
        <v>2.2960077093540785E-2</v>
      </c>
      <c r="P151" s="54" t="s">
        <v>484</v>
      </c>
      <c r="Q151" s="52" t="s">
        <v>485</v>
      </c>
      <c r="R151" s="93">
        <v>47492</v>
      </c>
      <c r="S151" s="70">
        <v>5.1100770000000004E-2</v>
      </c>
      <c r="T151" s="62">
        <v>6.0935784290986755E-3</v>
      </c>
      <c r="V151" s="113">
        <v>1.11276811</v>
      </c>
      <c r="W151" s="71">
        <v>2.8484238299999998</v>
      </c>
      <c r="X151" s="71">
        <v>4.3328008799999997</v>
      </c>
      <c r="Y151" s="71">
        <v>5.5444193200000003</v>
      </c>
      <c r="Z151" s="114">
        <v>6.9505471799999992</v>
      </c>
    </row>
    <row r="152" spans="2:26" x14ac:dyDescent="0.35">
      <c r="B152" s="54" t="s">
        <v>319</v>
      </c>
      <c r="C152" s="52" t="s">
        <v>232</v>
      </c>
      <c r="D152" s="52" t="s">
        <v>97</v>
      </c>
      <c r="E152" s="52" t="s">
        <v>36</v>
      </c>
      <c r="F152" s="70">
        <v>4.1906225507875407E-2</v>
      </c>
      <c r="G152" s="70">
        <v>4.9739331451843484E-2</v>
      </c>
      <c r="H152" s="70">
        <v>5.7108029713601023E-2</v>
      </c>
      <c r="I152" s="70">
        <v>6.2243074180039097E-2</v>
      </c>
      <c r="J152" s="62">
        <v>6.8155318682509708E-2</v>
      </c>
      <c r="K152" s="70" t="s">
        <v>21</v>
      </c>
      <c r="L152" s="70">
        <v>7.9212327518434801E-3</v>
      </c>
      <c r="M152" s="70">
        <v>1.5025662813601022E-2</v>
      </c>
      <c r="N152" s="70">
        <v>1.9244903980039099E-2</v>
      </c>
      <c r="O152" s="62">
        <v>2.3557682582509711E-2</v>
      </c>
      <c r="P152" s="54" t="s">
        <v>21</v>
      </c>
      <c r="Q152" s="52" t="s">
        <v>21</v>
      </c>
      <c r="R152" s="93" t="s">
        <v>21</v>
      </c>
      <c r="S152" s="70">
        <v>0</v>
      </c>
      <c r="T152" s="62">
        <v>5.7108029713601023E-2</v>
      </c>
      <c r="V152" s="113">
        <v>1.11294296</v>
      </c>
      <c r="W152" s="71">
        <v>2.84642514</v>
      </c>
      <c r="X152" s="71">
        <v>4.3315090299999994</v>
      </c>
      <c r="Y152" s="71">
        <v>5.5456744799999997</v>
      </c>
      <c r="Z152" s="114">
        <v>6.9418514799999995</v>
      </c>
    </row>
    <row r="153" spans="2:26" x14ac:dyDescent="0.35">
      <c r="B153" s="54" t="s">
        <v>134</v>
      </c>
      <c r="C153" s="52" t="s">
        <v>232</v>
      </c>
      <c r="D153" s="52" t="s">
        <v>43</v>
      </c>
      <c r="E153" s="52" t="s">
        <v>486</v>
      </c>
      <c r="F153" s="70">
        <v>4.1843038657189767E-2</v>
      </c>
      <c r="G153" s="70">
        <v>4.9351706320735933E-2</v>
      </c>
      <c r="H153" s="70">
        <v>5.6647601934535323E-2</v>
      </c>
      <c r="I153" s="70">
        <v>6.1575687419822972E-2</v>
      </c>
      <c r="J153" s="62">
        <v>6.7105520413798969E-2</v>
      </c>
      <c r="K153" s="70" t="s">
        <v>21</v>
      </c>
      <c r="L153" s="70">
        <v>7.5594231207359325E-3</v>
      </c>
      <c r="M153" s="70">
        <v>1.4595434834535318E-2</v>
      </c>
      <c r="N153" s="70">
        <v>1.8620688319822973E-2</v>
      </c>
      <c r="O153" s="62">
        <v>2.257370251379897E-2</v>
      </c>
      <c r="P153" s="54" t="s">
        <v>487</v>
      </c>
      <c r="Q153" s="52" t="s">
        <v>488</v>
      </c>
      <c r="R153" s="93" t="s">
        <v>32</v>
      </c>
      <c r="S153" s="70">
        <v>5.3088660000000003E-2</v>
      </c>
      <c r="T153" s="62">
        <v>3.5589419345353202E-3</v>
      </c>
      <c r="V153" s="113">
        <v>1.11300489</v>
      </c>
      <c r="W153" s="71">
        <v>2.84943583</v>
      </c>
      <c r="X153" s="71">
        <v>4.3391377200000001</v>
      </c>
      <c r="Y153" s="71">
        <v>5.5611431500000004</v>
      </c>
      <c r="Z153" s="114">
        <v>6.9776540600000008</v>
      </c>
    </row>
    <row r="154" spans="2:26" x14ac:dyDescent="0.35">
      <c r="B154" s="54" t="s">
        <v>326</v>
      </c>
      <c r="C154" s="52" t="s">
        <v>232</v>
      </c>
      <c r="D154" s="52" t="s">
        <v>255</v>
      </c>
      <c r="E154" s="52" t="s">
        <v>21</v>
      </c>
      <c r="F154" s="70">
        <v>4.283578234971934E-2</v>
      </c>
      <c r="G154" s="70">
        <v>4.99499442309254E-2</v>
      </c>
      <c r="H154" s="70">
        <v>5.6650658882076932E-2</v>
      </c>
      <c r="I154" s="70">
        <v>6.0277579616882036E-2</v>
      </c>
      <c r="J154" s="62">
        <v>6.4196581306639328E-2</v>
      </c>
      <c r="K154" s="70">
        <v>7.2235164971933691E-4</v>
      </c>
      <c r="L154" s="70">
        <v>8.1188336309254011E-3</v>
      </c>
      <c r="M154" s="70">
        <v>1.4594039482076914E-2</v>
      </c>
      <c r="N154" s="70">
        <v>1.7401439316882046E-2</v>
      </c>
      <c r="O154" s="62">
        <v>1.9836590706639314E-2</v>
      </c>
      <c r="P154" s="54" t="s">
        <v>21</v>
      </c>
      <c r="Q154" s="52" t="s">
        <v>21</v>
      </c>
      <c r="R154" s="93" t="s">
        <v>21</v>
      </c>
      <c r="S154" s="70">
        <v>0</v>
      </c>
      <c r="T154" s="62">
        <v>5.6650658882076932E-2</v>
      </c>
      <c r="V154" s="113">
        <v>1.1112322000000001</v>
      </c>
      <c r="W154" s="71">
        <v>2.8421352300000002</v>
      </c>
      <c r="X154" s="71">
        <v>4.33135504</v>
      </c>
      <c r="Y154" s="71">
        <v>5.5715173899999995</v>
      </c>
      <c r="Z154" s="114">
        <v>7.0580314299999998</v>
      </c>
    </row>
    <row r="155" spans="2:26" x14ac:dyDescent="0.35">
      <c r="B155" s="54" t="s">
        <v>333</v>
      </c>
      <c r="C155" s="52" t="s">
        <v>232</v>
      </c>
      <c r="D155" s="52" t="s">
        <v>20</v>
      </c>
      <c r="E155" s="52" t="s">
        <v>21</v>
      </c>
      <c r="F155" s="70">
        <v>4.2295273475783962E-2</v>
      </c>
      <c r="G155" s="70">
        <v>4.9975990191250104E-2</v>
      </c>
      <c r="H155" s="70">
        <v>5.7132468698247188E-2</v>
      </c>
      <c r="I155" s="70">
        <v>6.0648264882523305E-2</v>
      </c>
      <c r="J155" s="62">
        <v>6.4279537939173681E-2</v>
      </c>
      <c r="K155" s="70">
        <v>2.1547147578396351E-4</v>
      </c>
      <c r="L155" s="70">
        <v>8.1468497912501048E-3</v>
      </c>
      <c r="M155" s="70">
        <v>1.5048252098247172E-2</v>
      </c>
      <c r="N155" s="70">
        <v>1.7752617882523313E-2</v>
      </c>
      <c r="O155" s="62">
        <v>1.9920614739173691E-2</v>
      </c>
      <c r="P155" s="54" t="s">
        <v>21</v>
      </c>
      <c r="Q155" s="52" t="s">
        <v>21</v>
      </c>
      <c r="R155" s="93" t="s">
        <v>21</v>
      </c>
      <c r="S155" s="70">
        <v>0</v>
      </c>
      <c r="T155" s="62">
        <v>5.7132468698247188E-2</v>
      </c>
      <c r="V155" s="113">
        <v>1.1122038000000001</v>
      </c>
      <c r="W155" s="71">
        <v>2.8447449199999997</v>
      </c>
      <c r="X155" s="71">
        <v>4.3296567100000001</v>
      </c>
      <c r="Y155" s="71">
        <v>5.5619018899999997</v>
      </c>
      <c r="Z155" s="114">
        <v>7.0437815200000005</v>
      </c>
    </row>
    <row r="156" spans="2:26" x14ac:dyDescent="0.35">
      <c r="B156" s="54" t="s">
        <v>126</v>
      </c>
      <c r="C156" s="52" t="s">
        <v>232</v>
      </c>
      <c r="D156" s="52" t="s">
        <v>69</v>
      </c>
      <c r="E156" s="52" t="s">
        <v>133</v>
      </c>
      <c r="F156" s="70">
        <v>4.1039266190121083E-2</v>
      </c>
      <c r="G156" s="70">
        <v>4.922923088174979E-2</v>
      </c>
      <c r="H156" s="70">
        <v>5.620134509967508E-2</v>
      </c>
      <c r="I156" s="70">
        <v>6.1123939834094421E-2</v>
      </c>
      <c r="J156" s="62">
        <v>6.6813984540051136E-2</v>
      </c>
      <c r="K156" s="70" t="s">
        <v>21</v>
      </c>
      <c r="L156" s="70">
        <v>7.440821981749798E-3</v>
      </c>
      <c r="M156" s="70">
        <v>1.4175891199675075E-2</v>
      </c>
      <c r="N156" s="70">
        <v>1.8200597634094415E-2</v>
      </c>
      <c r="O156" s="62">
        <v>2.2305585140051133E-2</v>
      </c>
      <c r="P156" s="54" t="s">
        <v>489</v>
      </c>
      <c r="Q156" s="52" t="s">
        <v>490</v>
      </c>
      <c r="R156" s="93">
        <v>47484</v>
      </c>
      <c r="S156" s="70">
        <v>5.2041760000000006E-2</v>
      </c>
      <c r="T156" s="62">
        <v>4.1595850996750741E-3</v>
      </c>
      <c r="V156" s="113">
        <v>1.11454092</v>
      </c>
      <c r="W156" s="71">
        <v>2.8546827000000001</v>
      </c>
      <c r="X156" s="71">
        <v>4.34887099</v>
      </c>
      <c r="Y156" s="71">
        <v>5.5778738500000005</v>
      </c>
      <c r="Z156" s="114">
        <v>7.0030687399999998</v>
      </c>
    </row>
    <row r="157" spans="2:26" x14ac:dyDescent="0.35">
      <c r="B157" s="54" t="s">
        <v>132</v>
      </c>
      <c r="C157" s="52" t="s">
        <v>232</v>
      </c>
      <c r="D157" s="52" t="s">
        <v>20</v>
      </c>
      <c r="E157" s="52" t="s">
        <v>135</v>
      </c>
      <c r="F157" s="70">
        <v>4.1841947093122514E-2</v>
      </c>
      <c r="G157" s="70">
        <v>4.9965077869996551E-2</v>
      </c>
      <c r="H157" s="70">
        <v>5.6635112154776859E-2</v>
      </c>
      <c r="I157" s="70">
        <v>5.9812294969319335E-2</v>
      </c>
      <c r="J157" s="62">
        <v>6.3801290195908147E-2</v>
      </c>
      <c r="K157" s="70" t="s">
        <v>21</v>
      </c>
      <c r="L157" s="70">
        <v>8.1312298699965507E-3</v>
      </c>
      <c r="M157" s="70">
        <v>1.4578259754776866E-2</v>
      </c>
      <c r="N157" s="70">
        <v>1.6966987369319335E-2</v>
      </c>
      <c r="O157" s="62">
        <v>1.9464667095908151E-2</v>
      </c>
      <c r="P157" s="54" t="s">
        <v>491</v>
      </c>
      <c r="Q157" s="52" t="s">
        <v>492</v>
      </c>
      <c r="R157" s="93">
        <v>47567</v>
      </c>
      <c r="S157" s="70">
        <v>5.284005E-2</v>
      </c>
      <c r="T157" s="62">
        <v>3.7950621547768598E-3</v>
      </c>
      <c r="V157" s="113">
        <v>1.1131318800000001</v>
      </c>
      <c r="W157" s="71">
        <v>2.8458634599999999</v>
      </c>
      <c r="X157" s="71">
        <v>4.33464749</v>
      </c>
      <c r="Y157" s="71">
        <v>5.5752766099999995</v>
      </c>
      <c r="Z157" s="114">
        <v>7.0708366199999997</v>
      </c>
    </row>
    <row r="158" spans="2:26" x14ac:dyDescent="0.35">
      <c r="B158" s="54" t="s">
        <v>127</v>
      </c>
      <c r="C158" s="52" t="s">
        <v>232</v>
      </c>
      <c r="D158" s="52" t="s">
        <v>62</v>
      </c>
      <c r="E158" s="52" t="s">
        <v>493</v>
      </c>
      <c r="F158" s="70">
        <v>4.1774349769491334E-2</v>
      </c>
      <c r="G158" s="70">
        <v>4.9081387045945446E-2</v>
      </c>
      <c r="H158" s="70">
        <v>5.5964116829670382E-2</v>
      </c>
      <c r="I158" s="70">
        <v>6.0575126400984274E-2</v>
      </c>
      <c r="J158" s="62">
        <v>6.5629479665741036E-2</v>
      </c>
      <c r="K158" s="70" t="s">
        <v>21</v>
      </c>
      <c r="L158" s="70">
        <v>7.3027833459454444E-3</v>
      </c>
      <c r="M158" s="70">
        <v>1.3954157429670374E-2</v>
      </c>
      <c r="N158" s="70">
        <v>1.768741270098427E-2</v>
      </c>
      <c r="O158" s="62">
        <v>2.1194795365741034E-2</v>
      </c>
      <c r="P158" s="54" t="s">
        <v>494</v>
      </c>
      <c r="Q158" s="52" t="s">
        <v>495</v>
      </c>
      <c r="R158" s="93">
        <v>47635</v>
      </c>
      <c r="S158" s="70">
        <v>5.2411139999999995E-2</v>
      </c>
      <c r="T158" s="62">
        <v>3.5529768296703873E-3</v>
      </c>
      <c r="V158" s="113">
        <v>1.11315309</v>
      </c>
      <c r="W158" s="71">
        <v>2.8524130099999998</v>
      </c>
      <c r="X158" s="71">
        <v>4.3494961600000002</v>
      </c>
      <c r="Y158" s="71">
        <v>5.5861937900000003</v>
      </c>
      <c r="Z158" s="114">
        <v>7.0384873099999998</v>
      </c>
    </row>
    <row r="159" spans="2:26" x14ac:dyDescent="0.35">
      <c r="B159" s="54" t="s">
        <v>330</v>
      </c>
      <c r="C159" s="52" t="s">
        <v>232</v>
      </c>
      <c r="D159" s="52" t="s">
        <v>97</v>
      </c>
      <c r="E159" s="52" t="s">
        <v>21</v>
      </c>
      <c r="F159" s="70">
        <v>4.2532473739360484E-2</v>
      </c>
      <c r="G159" s="70">
        <v>4.9234276498981204E-2</v>
      </c>
      <c r="H159" s="70">
        <v>5.5915757488729199E-2</v>
      </c>
      <c r="I159" s="70">
        <v>5.9630984042424492E-2</v>
      </c>
      <c r="J159" s="62">
        <v>6.2918460311144328E-2</v>
      </c>
      <c r="K159" s="70">
        <v>4.3416393936048826E-4</v>
      </c>
      <c r="L159" s="70">
        <v>7.4434467989812052E-3</v>
      </c>
      <c r="M159" s="70">
        <v>1.3905047488729207E-2</v>
      </c>
      <c r="N159" s="70">
        <v>1.67963869424245E-2</v>
      </c>
      <c r="O159" s="62">
        <v>1.8636800711144347E-2</v>
      </c>
      <c r="P159" s="54" t="s">
        <v>381</v>
      </c>
      <c r="Q159" s="52" t="s">
        <v>382</v>
      </c>
      <c r="R159" s="93">
        <v>47497</v>
      </c>
      <c r="S159" s="70">
        <v>5.2007490000000003E-2</v>
      </c>
      <c r="T159" s="62">
        <v>3.908267488729196E-3</v>
      </c>
      <c r="V159" s="113">
        <v>1.1117914600000001</v>
      </c>
      <c r="W159" s="71">
        <v>2.84846457</v>
      </c>
      <c r="X159" s="71">
        <v>4.3459210499999994</v>
      </c>
      <c r="Y159" s="71">
        <v>5.5947736199999998</v>
      </c>
      <c r="Z159" s="114">
        <v>7.1082617099999998</v>
      </c>
    </row>
    <row r="160" spans="2:26" x14ac:dyDescent="0.35">
      <c r="B160" s="54" t="s">
        <v>121</v>
      </c>
      <c r="C160" s="52" t="s">
        <v>232</v>
      </c>
      <c r="D160" s="52" t="s">
        <v>69</v>
      </c>
      <c r="E160" s="52" t="s">
        <v>21</v>
      </c>
      <c r="F160" s="70">
        <v>4.1312793495542857E-2</v>
      </c>
      <c r="G160" s="70">
        <v>4.8610146101449633E-2</v>
      </c>
      <c r="H160" s="70">
        <v>5.5708228757705126E-2</v>
      </c>
      <c r="I160" s="70">
        <v>6.140984762933295E-2</v>
      </c>
      <c r="J160" s="62">
        <v>6.6000416181992524E-2</v>
      </c>
      <c r="K160" s="70" t="s">
        <v>21</v>
      </c>
      <c r="L160" s="70">
        <v>6.8529759014496344E-3</v>
      </c>
      <c r="M160" s="70">
        <v>1.3710684157705122E-2</v>
      </c>
      <c r="N160" s="70">
        <v>1.8467184429332956E-2</v>
      </c>
      <c r="O160" s="62">
        <v>2.154815688199253E-2</v>
      </c>
      <c r="P160" s="54" t="s">
        <v>21</v>
      </c>
      <c r="Q160" s="52" t="s">
        <v>21</v>
      </c>
      <c r="R160" s="93" t="s">
        <v>21</v>
      </c>
      <c r="S160" s="70">
        <v>0</v>
      </c>
      <c r="T160" s="62">
        <v>5.5708228757705126E-2</v>
      </c>
      <c r="V160" s="113">
        <v>1.1140644900000001</v>
      </c>
      <c r="W160" s="71">
        <v>2.8552433700000002</v>
      </c>
      <c r="X160" s="71">
        <v>4.3557492800000004</v>
      </c>
      <c r="Y160" s="71">
        <v>5.5816835899999999</v>
      </c>
      <c r="Z160" s="114">
        <v>7.0204519500000009</v>
      </c>
    </row>
    <row r="161" spans="2:26" x14ac:dyDescent="0.35">
      <c r="B161" s="54" t="s">
        <v>328</v>
      </c>
      <c r="C161" s="52" t="s">
        <v>232</v>
      </c>
      <c r="D161" s="52" t="s">
        <v>31</v>
      </c>
      <c r="E161" s="52" t="s">
        <v>133</v>
      </c>
      <c r="F161" s="70">
        <v>4.172729872524919E-2</v>
      </c>
      <c r="G161" s="70">
        <v>4.9335410526560861E-2</v>
      </c>
      <c r="H161" s="70">
        <v>5.5616841677837821E-2</v>
      </c>
      <c r="I161" s="70">
        <v>5.9706968289704176E-2</v>
      </c>
      <c r="J161" s="62">
        <v>6.4060181956492435E-2</v>
      </c>
      <c r="K161" s="70" t="s">
        <v>21</v>
      </c>
      <c r="L161" s="70">
        <v>7.5381080265608594E-3</v>
      </c>
      <c r="M161" s="70">
        <v>1.3623072477837832E-2</v>
      </c>
      <c r="N161" s="70">
        <v>1.6866840789704185E-2</v>
      </c>
      <c r="O161" s="62">
        <v>1.971081905649244E-2</v>
      </c>
      <c r="P161" s="54" t="s">
        <v>21</v>
      </c>
      <c r="Q161" s="52" t="s">
        <v>21</v>
      </c>
      <c r="R161" s="93" t="s">
        <v>21</v>
      </c>
      <c r="S161" s="70">
        <v>0</v>
      </c>
      <c r="T161" s="62">
        <v>5.5616841677837821E-2</v>
      </c>
      <c r="V161" s="113">
        <v>1.1132933899999999</v>
      </c>
      <c r="W161" s="71">
        <v>2.8494131</v>
      </c>
      <c r="X161" s="71">
        <v>4.3494807500000006</v>
      </c>
      <c r="Y161" s="71">
        <v>5.5979218700000004</v>
      </c>
      <c r="Z161" s="114">
        <v>7.0856809600000004</v>
      </c>
    </row>
    <row r="162" spans="2:26" x14ac:dyDescent="0.35">
      <c r="B162" s="54" t="s">
        <v>331</v>
      </c>
      <c r="C162" s="52" t="s">
        <v>232</v>
      </c>
      <c r="D162" s="52" t="s">
        <v>20</v>
      </c>
      <c r="E162" s="52" t="s">
        <v>236</v>
      </c>
      <c r="F162" s="70">
        <v>4.1607035136262835E-2</v>
      </c>
      <c r="G162" s="70">
        <v>4.9132279718695548E-2</v>
      </c>
      <c r="H162" s="70">
        <v>5.5944469962741619E-2</v>
      </c>
      <c r="I162" s="70">
        <v>6.001044403033759E-2</v>
      </c>
      <c r="J162" s="62">
        <v>6.3602497128861582E-2</v>
      </c>
      <c r="K162" s="70" t="s">
        <v>21</v>
      </c>
      <c r="L162" s="70">
        <v>7.3457250186955486E-3</v>
      </c>
      <c r="M162" s="70">
        <v>1.393123866274161E-2</v>
      </c>
      <c r="N162" s="70">
        <v>1.715300043033758E-2</v>
      </c>
      <c r="O162" s="62">
        <v>1.9285204428861561E-2</v>
      </c>
      <c r="P162" s="54" t="s">
        <v>21</v>
      </c>
      <c r="Q162" s="52" t="s">
        <v>21</v>
      </c>
      <c r="R162" s="93" t="s">
        <v>21</v>
      </c>
      <c r="S162" s="70">
        <v>0</v>
      </c>
      <c r="T162" s="62">
        <v>5.5944469962741619E-2</v>
      </c>
      <c r="V162" s="113">
        <v>1.1135256200000001</v>
      </c>
      <c r="W162" s="71">
        <v>2.8516423400000002</v>
      </c>
      <c r="X162" s="71">
        <v>4.3487617399999996</v>
      </c>
      <c r="Y162" s="71">
        <v>5.5905637600000002</v>
      </c>
      <c r="Z162" s="114">
        <v>7.0852045000000006</v>
      </c>
    </row>
    <row r="163" spans="2:26" x14ac:dyDescent="0.35">
      <c r="B163" s="54" t="s">
        <v>331</v>
      </c>
      <c r="C163" s="52" t="s">
        <v>232</v>
      </c>
      <c r="D163" s="52" t="s">
        <v>20</v>
      </c>
      <c r="E163" s="52" t="s">
        <v>21</v>
      </c>
      <c r="F163" s="70">
        <v>4.1607035136262835E-2</v>
      </c>
      <c r="G163" s="70">
        <v>4.9132279718695548E-2</v>
      </c>
      <c r="H163" s="70">
        <v>5.5944469962741619E-2</v>
      </c>
      <c r="I163" s="70">
        <v>6.001044403033759E-2</v>
      </c>
      <c r="J163" s="62">
        <v>6.3602497128861582E-2</v>
      </c>
      <c r="K163" s="70" t="s">
        <v>21</v>
      </c>
      <c r="L163" s="70">
        <v>7.3457250186955486E-3</v>
      </c>
      <c r="M163" s="70">
        <v>1.393123866274161E-2</v>
      </c>
      <c r="N163" s="70">
        <v>1.715300043033758E-2</v>
      </c>
      <c r="O163" s="62">
        <v>1.9285204428861561E-2</v>
      </c>
      <c r="P163" s="54" t="s">
        <v>21</v>
      </c>
      <c r="Q163" s="52" t="s">
        <v>21</v>
      </c>
      <c r="R163" s="93" t="s">
        <v>21</v>
      </c>
      <c r="S163" s="70">
        <v>0</v>
      </c>
      <c r="T163" s="62">
        <v>5.5944469962741619E-2</v>
      </c>
      <c r="V163" s="113">
        <v>1.1135256200000001</v>
      </c>
      <c r="W163" s="71">
        <v>2.8516423400000002</v>
      </c>
      <c r="X163" s="71">
        <v>4.3487617399999996</v>
      </c>
      <c r="Y163" s="71">
        <v>5.5905637600000002</v>
      </c>
      <c r="Z163" s="114">
        <v>7.0852045000000006</v>
      </c>
    </row>
    <row r="164" spans="2:26" x14ac:dyDescent="0.35">
      <c r="B164" s="54" t="s">
        <v>327</v>
      </c>
      <c r="C164" s="52" t="s">
        <v>232</v>
      </c>
      <c r="D164" s="52" t="s">
        <v>43</v>
      </c>
      <c r="E164" s="52" t="s">
        <v>21</v>
      </c>
      <c r="F164" s="70">
        <v>4.1577739964788266E-2</v>
      </c>
      <c r="G164" s="70">
        <v>4.8858290691664551E-2</v>
      </c>
      <c r="H164" s="70">
        <v>5.5024161397617684E-2</v>
      </c>
      <c r="I164" s="70">
        <v>5.9453184013771809E-2</v>
      </c>
      <c r="J164" s="62">
        <v>6.3961655492619979E-2</v>
      </c>
      <c r="K164" s="70" t="s">
        <v>21</v>
      </c>
      <c r="L164" s="70">
        <v>7.0875625916645528E-3</v>
      </c>
      <c r="M164" s="70">
        <v>1.3066143697617681E-2</v>
      </c>
      <c r="N164" s="70">
        <v>1.663217431377181E-2</v>
      </c>
      <c r="O164" s="62">
        <v>1.9623851492619967E-2</v>
      </c>
      <c r="P164" s="54" t="s">
        <v>21</v>
      </c>
      <c r="Q164" s="52" t="s">
        <v>21</v>
      </c>
      <c r="R164" s="93" t="s">
        <v>21</v>
      </c>
      <c r="S164" s="70">
        <v>0</v>
      </c>
      <c r="T164" s="62">
        <v>5.5024161397617684E-2</v>
      </c>
      <c r="V164" s="113">
        <v>1.1135718100000001</v>
      </c>
      <c r="W164" s="71">
        <v>2.8528795599999999</v>
      </c>
      <c r="X164" s="71">
        <v>4.3596958199999998</v>
      </c>
      <c r="Y164" s="71">
        <v>5.6127021399999997</v>
      </c>
      <c r="Z164" s="114">
        <v>7.1032458000000007</v>
      </c>
    </row>
    <row r="165" spans="2:26" x14ac:dyDescent="0.35">
      <c r="B165" s="54" t="s">
        <v>235</v>
      </c>
      <c r="C165" s="52" t="s">
        <v>232</v>
      </c>
      <c r="D165" s="52" t="s">
        <v>31</v>
      </c>
      <c r="E165" s="52" t="s">
        <v>142</v>
      </c>
      <c r="F165" s="70">
        <v>4.1273958961555064E-2</v>
      </c>
      <c r="G165" s="70">
        <v>4.8807554881995771E-2</v>
      </c>
      <c r="H165" s="70">
        <v>5.4879313436875368E-2</v>
      </c>
      <c r="I165" s="70">
        <v>5.9540179362878212E-2</v>
      </c>
      <c r="J165" s="62">
        <v>6.4595860296260771E-2</v>
      </c>
      <c r="K165" s="70" t="s">
        <v>21</v>
      </c>
      <c r="L165" s="70">
        <v>7.036595181995774E-3</v>
      </c>
      <c r="M165" s="70">
        <v>1.2926825236875371E-2</v>
      </c>
      <c r="N165" s="70">
        <v>1.6709254262878219E-2</v>
      </c>
      <c r="O165" s="62">
        <v>2.0215579696260755E-2</v>
      </c>
      <c r="P165" s="54" t="s">
        <v>21</v>
      </c>
      <c r="Q165" s="52" t="s">
        <v>21</v>
      </c>
      <c r="R165" s="93" t="s">
        <v>21</v>
      </c>
      <c r="S165" s="70">
        <v>0</v>
      </c>
      <c r="T165" s="62">
        <v>5.4879313436875368E-2</v>
      </c>
      <c r="V165" s="113">
        <v>1.1141715999999999</v>
      </c>
      <c r="W165" s="71">
        <v>2.8545409500000001</v>
      </c>
      <c r="X165" s="71">
        <v>4.3625151100000004</v>
      </c>
      <c r="Y165" s="71">
        <v>5.6136981800000001</v>
      </c>
      <c r="Z165" s="114">
        <v>7.0874922199999997</v>
      </c>
    </row>
    <row r="166" spans="2:26" x14ac:dyDescent="0.35">
      <c r="B166" s="54" t="s">
        <v>240</v>
      </c>
      <c r="C166" s="52" t="s">
        <v>232</v>
      </c>
      <c r="D166" s="52" t="s">
        <v>20</v>
      </c>
      <c r="E166" s="52" t="s">
        <v>21</v>
      </c>
      <c r="F166" s="70">
        <v>4.0980377104792055E-2</v>
      </c>
      <c r="G166" s="70">
        <v>4.8144310272261591E-2</v>
      </c>
      <c r="H166" s="70">
        <v>5.5178784298978545E-2</v>
      </c>
      <c r="I166" s="70">
        <v>5.873766754748895E-2</v>
      </c>
      <c r="J166" s="62">
        <v>6.2694606493246124E-2</v>
      </c>
      <c r="K166" s="70" t="s">
        <v>21</v>
      </c>
      <c r="L166" s="70">
        <v>6.4131202722615931E-3</v>
      </c>
      <c r="M166" s="70">
        <v>1.3212342098978546E-2</v>
      </c>
      <c r="N166" s="70">
        <v>1.5960768947488952E-2</v>
      </c>
      <c r="O166" s="62">
        <v>1.8430261093246147E-2</v>
      </c>
      <c r="P166" s="54" t="s">
        <v>21</v>
      </c>
      <c r="Q166" s="52" t="s">
        <v>21</v>
      </c>
      <c r="R166" s="93" t="s">
        <v>21</v>
      </c>
      <c r="S166" s="70">
        <v>0</v>
      </c>
      <c r="T166" s="62">
        <v>5.5178784298978545E-2</v>
      </c>
      <c r="V166" s="113">
        <v>1.1146700599999999</v>
      </c>
      <c r="W166" s="71">
        <v>2.8596022900000002</v>
      </c>
      <c r="X166" s="71">
        <v>4.36667556</v>
      </c>
      <c r="Y166" s="71">
        <v>5.6253061600000001</v>
      </c>
      <c r="Z166" s="114">
        <v>7.1412556599999997</v>
      </c>
    </row>
    <row r="167" spans="2:26" x14ac:dyDescent="0.35">
      <c r="B167" s="54" t="s">
        <v>237</v>
      </c>
      <c r="C167" s="52" t="s">
        <v>232</v>
      </c>
      <c r="D167" s="52" t="s">
        <v>43</v>
      </c>
      <c r="E167" s="52" t="s">
        <v>110</v>
      </c>
      <c r="F167" s="70">
        <v>4.1162607187993631E-2</v>
      </c>
      <c r="G167" s="70">
        <v>4.8469503062338E-2</v>
      </c>
      <c r="H167" s="70">
        <v>5.4658227590800766E-2</v>
      </c>
      <c r="I167" s="70">
        <v>5.8952175935389477E-2</v>
      </c>
      <c r="J167" s="62">
        <v>6.3117686533248007E-2</v>
      </c>
      <c r="K167" s="70" t="s">
        <v>21</v>
      </c>
      <c r="L167" s="70">
        <v>6.7194131623380029E-3</v>
      </c>
      <c r="M167" s="70">
        <v>1.2720423290800763E-2</v>
      </c>
      <c r="N167" s="70">
        <v>1.6159131935389467E-2</v>
      </c>
      <c r="O167" s="62">
        <v>1.8826341033247998E-2</v>
      </c>
      <c r="P167" s="54" t="s">
        <v>21</v>
      </c>
      <c r="Q167" s="52" t="s">
        <v>21</v>
      </c>
      <c r="R167" s="93" t="s">
        <v>21</v>
      </c>
      <c r="S167" s="70">
        <v>0</v>
      </c>
      <c r="T167" s="62">
        <v>5.4658227590800766E-2</v>
      </c>
      <c r="V167" s="113">
        <v>1.1143481</v>
      </c>
      <c r="W167" s="71">
        <v>2.85651996</v>
      </c>
      <c r="X167" s="71">
        <v>4.3672269100000003</v>
      </c>
      <c r="Y167" s="71">
        <v>5.6261282100000001</v>
      </c>
      <c r="Z167" s="114">
        <v>7.1335941400000005</v>
      </c>
    </row>
    <row r="168" spans="2:26" x14ac:dyDescent="0.35">
      <c r="B168" s="54" t="s">
        <v>329</v>
      </c>
      <c r="C168" s="52" t="s">
        <v>232</v>
      </c>
      <c r="D168" s="52" t="s">
        <v>62</v>
      </c>
      <c r="E168" s="52" t="s">
        <v>21</v>
      </c>
      <c r="F168" s="70">
        <v>4.1474915952313701E-2</v>
      </c>
      <c r="G168" s="70">
        <v>4.8389467232010763E-2</v>
      </c>
      <c r="H168" s="70">
        <v>5.4505335089719852E-2</v>
      </c>
      <c r="I168" s="70">
        <v>5.8427999673958446E-2</v>
      </c>
      <c r="J168" s="62">
        <v>6.311293954573205E-2</v>
      </c>
      <c r="K168" s="70" t="s">
        <v>21</v>
      </c>
      <c r="L168" s="70">
        <v>6.6435042320107671E-3</v>
      </c>
      <c r="M168" s="70">
        <v>1.2576188189719853E-2</v>
      </c>
      <c r="N168" s="70">
        <v>1.5666256773958446E-2</v>
      </c>
      <c r="O168" s="62">
        <v>1.8832445845732057E-2</v>
      </c>
      <c r="P168" s="54" t="s">
        <v>21</v>
      </c>
      <c r="Q168" s="52" t="s">
        <v>21</v>
      </c>
      <c r="R168" s="93" t="s">
        <v>21</v>
      </c>
      <c r="S168" s="70">
        <v>0</v>
      </c>
      <c r="T168" s="62">
        <v>5.4505335089719852E-2</v>
      </c>
      <c r="V168" s="113">
        <v>1.11377093</v>
      </c>
      <c r="W168" s="71">
        <v>2.8560195500000001</v>
      </c>
      <c r="X168" s="71">
        <v>4.3684750299999999</v>
      </c>
      <c r="Y168" s="71">
        <v>5.6345908500000004</v>
      </c>
      <c r="Z168" s="114">
        <v>7.1240908100000002</v>
      </c>
    </row>
    <row r="169" spans="2:26" x14ac:dyDescent="0.35">
      <c r="B169" s="54" t="s">
        <v>374</v>
      </c>
      <c r="C169" s="52" t="s">
        <v>232</v>
      </c>
      <c r="D169" s="52" t="s">
        <v>20</v>
      </c>
      <c r="E169" s="52" t="s">
        <v>21</v>
      </c>
      <c r="F169" s="70">
        <v>3.9952360643442479E-2</v>
      </c>
      <c r="G169" s="70">
        <v>4.4745718554488174E-2</v>
      </c>
      <c r="H169" s="70">
        <v>4.7956510160657044E-2</v>
      </c>
      <c r="I169" s="70">
        <v>5.013315320447298E-2</v>
      </c>
      <c r="J169" s="62">
        <v>5.2583450029144302E-2</v>
      </c>
      <c r="K169" s="70" t="s">
        <v>21</v>
      </c>
      <c r="L169" s="70">
        <v>3.1900264544881731E-3</v>
      </c>
      <c r="M169" s="70">
        <v>6.374317160657051E-3</v>
      </c>
      <c r="N169" s="70">
        <v>7.8078100044729776E-3</v>
      </c>
      <c r="O169" s="62">
        <v>8.7871951291443005E-3</v>
      </c>
      <c r="P169" s="54" t="s">
        <v>21</v>
      </c>
      <c r="Q169" s="52" t="s">
        <v>21</v>
      </c>
      <c r="R169" s="93" t="s">
        <v>21</v>
      </c>
      <c r="S169" s="70">
        <v>0</v>
      </c>
      <c r="T169" s="62">
        <v>4.7956510160657044E-2</v>
      </c>
      <c r="V169" s="113">
        <v>1.11659277</v>
      </c>
      <c r="W169" s="71">
        <v>2.8832853900000002</v>
      </c>
      <c r="X169" s="71">
        <v>4.4669062000000004</v>
      </c>
      <c r="Y169" s="71">
        <v>5.8543816899999994</v>
      </c>
      <c r="Z169" s="114">
        <v>7.6241325799999995</v>
      </c>
    </row>
    <row r="170" spans="2:26" x14ac:dyDescent="0.35">
      <c r="B170" s="54" t="s">
        <v>337</v>
      </c>
      <c r="C170" s="52" t="s">
        <v>232</v>
      </c>
      <c r="D170" s="52" t="s">
        <v>31</v>
      </c>
      <c r="E170" s="52" t="s">
        <v>81</v>
      </c>
      <c r="F170" s="70">
        <v>4.1237190818174785E-2</v>
      </c>
      <c r="G170" s="70">
        <v>4.7863480684000398E-2</v>
      </c>
      <c r="H170" s="70">
        <v>5.3408718352977613E-2</v>
      </c>
      <c r="I170" s="70">
        <v>5.753749865001679E-2</v>
      </c>
      <c r="J170" s="62">
        <v>6.2022694765740925E-2</v>
      </c>
      <c r="K170" s="70" t="s">
        <v>21</v>
      </c>
      <c r="L170" s="70">
        <v>6.1483484840004071E-3</v>
      </c>
      <c r="M170" s="70">
        <v>1.1543421852977616E-2</v>
      </c>
      <c r="N170" s="70">
        <v>1.4829564250016799E-2</v>
      </c>
      <c r="O170" s="62">
        <v>1.779207086574093E-2</v>
      </c>
      <c r="P170" s="54" t="s">
        <v>385</v>
      </c>
      <c r="Q170" s="52" t="s">
        <v>386</v>
      </c>
      <c r="R170" s="93">
        <v>47519</v>
      </c>
      <c r="S170" s="70">
        <v>4.9194060000000005E-2</v>
      </c>
      <c r="T170" s="62">
        <v>4.2146583529776085E-3</v>
      </c>
      <c r="V170" s="113">
        <v>1.1141816199999999</v>
      </c>
      <c r="W170" s="71">
        <v>2.8599337899999999</v>
      </c>
      <c r="X170" s="71">
        <v>4.3839540500000007</v>
      </c>
      <c r="Y170" s="71">
        <v>5.6632785700000001</v>
      </c>
      <c r="Z170" s="114">
        <v>7.1975743100000003</v>
      </c>
    </row>
    <row r="171" spans="2:26" x14ac:dyDescent="0.35">
      <c r="B171" s="54" t="s">
        <v>327</v>
      </c>
      <c r="C171" s="52" t="s">
        <v>232</v>
      </c>
      <c r="D171" s="52" t="s">
        <v>43</v>
      </c>
      <c r="E171" s="52" t="s">
        <v>21</v>
      </c>
      <c r="F171" s="70">
        <v>4.1577739964788266E-2</v>
      </c>
      <c r="G171" s="70">
        <v>4.8858290691664551E-2</v>
      </c>
      <c r="H171" s="70">
        <v>5.5024161397617684E-2</v>
      </c>
      <c r="I171" s="70">
        <v>5.9453184013771809E-2</v>
      </c>
      <c r="J171" s="62">
        <v>6.3961655492619979E-2</v>
      </c>
      <c r="K171" s="70" t="s">
        <v>21</v>
      </c>
      <c r="L171" s="70">
        <v>7.0875625916645528E-3</v>
      </c>
      <c r="M171" s="70">
        <v>1.3066143697617681E-2</v>
      </c>
      <c r="N171" s="70">
        <v>1.663217431377181E-2</v>
      </c>
      <c r="O171" s="62">
        <v>1.9623851492619967E-2</v>
      </c>
      <c r="P171" s="54" t="s">
        <v>21</v>
      </c>
      <c r="Q171" s="52" t="s">
        <v>21</v>
      </c>
      <c r="R171" s="93" t="s">
        <v>21</v>
      </c>
      <c r="S171" s="70">
        <v>0</v>
      </c>
      <c r="T171" s="62">
        <v>5.5024161397617684E-2</v>
      </c>
      <c r="V171" s="113">
        <v>1.1135718100000001</v>
      </c>
      <c r="W171" s="71">
        <v>2.8528795599999999</v>
      </c>
      <c r="X171" s="71">
        <v>4.3596958199999998</v>
      </c>
      <c r="Y171" s="71">
        <v>5.6127021399999997</v>
      </c>
      <c r="Z171" s="114">
        <v>7.1032458000000007</v>
      </c>
    </row>
    <row r="172" spans="2:26" x14ac:dyDescent="0.35">
      <c r="B172" s="54" t="s">
        <v>341</v>
      </c>
      <c r="C172" s="52" t="s">
        <v>232</v>
      </c>
      <c r="D172" s="52" t="s">
        <v>69</v>
      </c>
      <c r="E172" s="52" t="s">
        <v>21</v>
      </c>
      <c r="F172" s="70">
        <v>4.094735023880669E-2</v>
      </c>
      <c r="G172" s="70">
        <v>4.7670978725050953E-2</v>
      </c>
      <c r="H172" s="70">
        <v>5.3047378731885877E-2</v>
      </c>
      <c r="I172" s="70">
        <v>5.6331133320103977E-2</v>
      </c>
      <c r="J172" s="62">
        <v>6.0602307066235504E-2</v>
      </c>
      <c r="K172" s="70" t="s">
        <v>21</v>
      </c>
      <c r="L172" s="70">
        <v>5.9614868250509549E-3</v>
      </c>
      <c r="M172" s="70">
        <v>1.1198903531885882E-2</v>
      </c>
      <c r="N172" s="70">
        <v>1.3689301120103969E-2</v>
      </c>
      <c r="O172" s="62">
        <v>1.6442405366235514E-2</v>
      </c>
      <c r="P172" s="54" t="s">
        <v>496</v>
      </c>
      <c r="Q172" s="52" t="s">
        <v>497</v>
      </c>
      <c r="R172" s="93" t="s">
        <v>32</v>
      </c>
      <c r="S172" s="70">
        <v>5.2344869999999995E-2</v>
      </c>
      <c r="T172" s="62">
        <v>7.0250873188588275E-4</v>
      </c>
      <c r="V172" s="113">
        <v>1.11478108</v>
      </c>
      <c r="W172" s="71">
        <v>2.8621787700000003</v>
      </c>
      <c r="X172" s="71">
        <v>4.3900515799999997</v>
      </c>
      <c r="Y172" s="71">
        <v>5.6858631299999995</v>
      </c>
      <c r="Z172" s="114">
        <v>7.2566356400000007</v>
      </c>
    </row>
    <row r="173" spans="2:26" x14ac:dyDescent="0.35">
      <c r="B173" s="54" t="s">
        <v>141</v>
      </c>
      <c r="C173" s="52" t="s">
        <v>232</v>
      </c>
      <c r="D173" s="52" t="s">
        <v>53</v>
      </c>
      <c r="E173" s="52" t="s">
        <v>123</v>
      </c>
      <c r="F173" s="70">
        <v>4.0948100834962635E-2</v>
      </c>
      <c r="G173" s="70">
        <v>4.7717349832174287E-2</v>
      </c>
      <c r="H173" s="70">
        <v>5.3045964462019833E-2</v>
      </c>
      <c r="I173" s="70">
        <v>5.6897881078410928E-2</v>
      </c>
      <c r="J173" s="62">
        <v>6.1632821921531196E-2</v>
      </c>
      <c r="K173" s="70" t="s">
        <v>21</v>
      </c>
      <c r="L173" s="70">
        <v>6.0099246321742893E-3</v>
      </c>
      <c r="M173" s="70">
        <v>1.1200750362019831E-2</v>
      </c>
      <c r="N173" s="70">
        <v>1.4226567678410918E-2</v>
      </c>
      <c r="O173" s="62">
        <v>1.7421495521531209E-2</v>
      </c>
      <c r="P173" s="54" t="s">
        <v>498</v>
      </c>
      <c r="Q173" s="52" t="s">
        <v>499</v>
      </c>
      <c r="R173" s="93" t="s">
        <v>32</v>
      </c>
      <c r="S173" s="70">
        <v>5.4370410000000001E-2</v>
      </c>
      <c r="T173" s="62">
        <v>-1.3244455379801678E-3</v>
      </c>
      <c r="V173" s="113">
        <v>1.1147201400000002</v>
      </c>
      <c r="W173" s="71">
        <v>2.8612852099999997</v>
      </c>
      <c r="X173" s="71">
        <v>4.3891041499999996</v>
      </c>
      <c r="Y173" s="71">
        <v>5.6774532899999999</v>
      </c>
      <c r="Z173" s="114">
        <v>7.2225011500000003</v>
      </c>
    </row>
    <row r="174" spans="2:26" x14ac:dyDescent="0.35">
      <c r="B174" s="54" t="s">
        <v>137</v>
      </c>
      <c r="C174" s="52" t="s">
        <v>232</v>
      </c>
      <c r="D174" s="52" t="s">
        <v>20</v>
      </c>
      <c r="E174" s="52" t="s">
        <v>21</v>
      </c>
      <c r="F174" s="70">
        <v>4.233543562165068E-2</v>
      </c>
      <c r="G174" s="70">
        <v>4.8696243844043752E-2</v>
      </c>
      <c r="H174" s="70">
        <v>5.3447972483094477E-2</v>
      </c>
      <c r="I174" s="70">
        <v>5.6236718275287985E-2</v>
      </c>
      <c r="J174" s="62">
        <v>5.9495762098088004E-2</v>
      </c>
      <c r="K174" s="70">
        <v>2.4506222165068207E-4</v>
      </c>
      <c r="L174" s="70">
        <v>6.9343346440437492E-3</v>
      </c>
      <c r="M174" s="70">
        <v>1.157881168309448E-2</v>
      </c>
      <c r="N174" s="70">
        <v>1.3601393775287993E-2</v>
      </c>
      <c r="O174" s="62">
        <v>1.5400741598088005E-2</v>
      </c>
      <c r="P174" s="54" t="s">
        <v>500</v>
      </c>
      <c r="Q174" s="52" t="s">
        <v>501</v>
      </c>
      <c r="R174" s="93">
        <v>47423</v>
      </c>
      <c r="S174" s="70">
        <v>5.0477480000000005E-2</v>
      </c>
      <c r="T174" s="62">
        <v>2.9704924830944723E-3</v>
      </c>
      <c r="V174" s="113">
        <v>1.1121814299999999</v>
      </c>
      <c r="W174" s="71">
        <v>2.85151873</v>
      </c>
      <c r="X174" s="71">
        <v>4.3755826500000001</v>
      </c>
      <c r="Y174" s="71">
        <v>5.6703550700000003</v>
      </c>
      <c r="Z174" s="114">
        <v>7.2546473799999998</v>
      </c>
    </row>
    <row r="175" spans="2:26" x14ac:dyDescent="0.35">
      <c r="B175" s="54" t="s">
        <v>158</v>
      </c>
      <c r="C175" s="52" t="s">
        <v>232</v>
      </c>
      <c r="D175" s="52" t="s">
        <v>20</v>
      </c>
      <c r="E175" s="52" t="s">
        <v>338</v>
      </c>
      <c r="F175" s="70">
        <v>4.1647642600571036E-2</v>
      </c>
      <c r="G175" s="70">
        <v>4.8207718930637466E-2</v>
      </c>
      <c r="H175" s="70">
        <v>5.3321761247248467E-2</v>
      </c>
      <c r="I175" s="70">
        <v>5.6143043041527278E-2</v>
      </c>
      <c r="J175" s="62">
        <v>5.9431088759572648E-2</v>
      </c>
      <c r="K175" s="70" t="s">
        <v>21</v>
      </c>
      <c r="L175" s="70">
        <v>6.4719131306374723E-3</v>
      </c>
      <c r="M175" s="70">
        <v>1.1459591547248469E-2</v>
      </c>
      <c r="N175" s="70">
        <v>1.3514290441527278E-2</v>
      </c>
      <c r="O175" s="62">
        <v>1.5332666159572645E-2</v>
      </c>
      <c r="P175" s="54" t="s">
        <v>502</v>
      </c>
      <c r="Q175" s="52" t="s">
        <v>503</v>
      </c>
      <c r="R175" s="93">
        <v>47543</v>
      </c>
      <c r="S175" s="70">
        <v>5.1447070000000004E-2</v>
      </c>
      <c r="T175" s="62">
        <v>1.8746912472484625E-3</v>
      </c>
      <c r="V175" s="113">
        <v>1.1134571799999999</v>
      </c>
      <c r="W175" s="71">
        <v>2.8572070200000002</v>
      </c>
      <c r="X175" s="71">
        <v>4.3826127999999995</v>
      </c>
      <c r="Y175" s="71">
        <v>5.6764208500000004</v>
      </c>
      <c r="Z175" s="114">
        <v>7.27469374</v>
      </c>
    </row>
    <row r="176" spans="2:26" x14ac:dyDescent="0.35">
      <c r="B176" s="54" t="s">
        <v>149</v>
      </c>
      <c r="C176" s="52" t="s">
        <v>232</v>
      </c>
      <c r="D176" s="52" t="s">
        <v>53</v>
      </c>
      <c r="E176" s="52" t="s">
        <v>21</v>
      </c>
      <c r="F176" s="70">
        <v>4.1320349659201921E-2</v>
      </c>
      <c r="G176" s="70">
        <v>4.7614480845074345E-2</v>
      </c>
      <c r="H176" s="70">
        <v>5.2788357897085872E-2</v>
      </c>
      <c r="I176" s="70">
        <v>5.6360650308148734E-2</v>
      </c>
      <c r="J176" s="62">
        <v>6.06359883579837E-2</v>
      </c>
      <c r="K176" s="70" t="s">
        <v>21</v>
      </c>
      <c r="L176" s="70">
        <v>5.9114699450743408E-3</v>
      </c>
      <c r="M176" s="70">
        <v>1.0956605497085877E-2</v>
      </c>
      <c r="N176" s="70">
        <v>1.3718829408148722E-2</v>
      </c>
      <c r="O176" s="62">
        <v>1.647670045798369E-2</v>
      </c>
      <c r="P176" s="54" t="s">
        <v>504</v>
      </c>
      <c r="Q176" s="52" t="s">
        <v>505</v>
      </c>
      <c r="R176" s="93">
        <v>47498</v>
      </c>
      <c r="S176" s="70">
        <v>4.8389090000000003E-2</v>
      </c>
      <c r="T176" s="62">
        <v>4.3992678970858692E-3</v>
      </c>
      <c r="V176" s="113">
        <v>1.11404288</v>
      </c>
      <c r="W176" s="71">
        <v>2.8612309200000001</v>
      </c>
      <c r="X176" s="71">
        <v>4.3918421800000003</v>
      </c>
      <c r="Y176" s="71">
        <v>5.6878195200000006</v>
      </c>
      <c r="Z176" s="114">
        <v>7.2569542299999998</v>
      </c>
    </row>
    <row r="177" spans="2:26" x14ac:dyDescent="0.35">
      <c r="B177" s="54" t="s">
        <v>150</v>
      </c>
      <c r="C177" s="52" t="s">
        <v>232</v>
      </c>
      <c r="D177" s="52" t="s">
        <v>43</v>
      </c>
      <c r="E177" s="52" t="s">
        <v>21</v>
      </c>
      <c r="F177" s="70">
        <v>4.1386691780317723E-2</v>
      </c>
      <c r="G177" s="70">
        <v>4.7462695771397272E-2</v>
      </c>
      <c r="H177" s="70">
        <v>5.2735055756710295E-2</v>
      </c>
      <c r="I177" s="70">
        <v>5.6497086222736324E-2</v>
      </c>
      <c r="J177" s="62">
        <v>6.1401034671515309E-2</v>
      </c>
      <c r="K177" s="70" t="s">
        <v>21</v>
      </c>
      <c r="L177" s="70">
        <v>5.7647338713972809E-3</v>
      </c>
      <c r="M177" s="70">
        <v>1.0904211056710305E-2</v>
      </c>
      <c r="N177" s="70">
        <v>1.3846090922736334E-2</v>
      </c>
      <c r="O177" s="62">
        <v>1.7199455471515308E-2</v>
      </c>
      <c r="P177" s="54" t="s">
        <v>21</v>
      </c>
      <c r="Q177" s="52" t="s">
        <v>21</v>
      </c>
      <c r="R177" s="93" t="s">
        <v>21</v>
      </c>
      <c r="S177" s="70">
        <v>0</v>
      </c>
      <c r="T177" s="62">
        <v>5.2735055756710295E-2</v>
      </c>
      <c r="V177" s="113">
        <v>1.1139593600000002</v>
      </c>
      <c r="W177" s="71">
        <v>2.8620392800000003</v>
      </c>
      <c r="X177" s="71">
        <v>4.3935057000000004</v>
      </c>
      <c r="Y177" s="71">
        <v>5.6876377099999997</v>
      </c>
      <c r="Z177" s="114">
        <v>7.2388518499999996</v>
      </c>
    </row>
    <row r="178" spans="2:26" x14ac:dyDescent="0.35">
      <c r="B178" s="54" t="s">
        <v>339</v>
      </c>
      <c r="C178" s="52" t="s">
        <v>232</v>
      </c>
      <c r="D178" s="52" t="s">
        <v>69</v>
      </c>
      <c r="E178" s="52" t="s">
        <v>288</v>
      </c>
      <c r="F178" s="70">
        <v>4.1092218077660399E-2</v>
      </c>
      <c r="G178" s="70">
        <v>4.7190219976410243E-2</v>
      </c>
      <c r="H178" s="70">
        <v>5.2513196754531387E-2</v>
      </c>
      <c r="I178" s="70">
        <v>5.5996094077453727E-2</v>
      </c>
      <c r="J178" s="62">
        <v>6.0264475996268468E-2</v>
      </c>
      <c r="K178" s="70" t="s">
        <v>21</v>
      </c>
      <c r="L178" s="70">
        <v>5.5093411764102589E-3</v>
      </c>
      <c r="M178" s="70">
        <v>1.0696499954531383E-2</v>
      </c>
      <c r="N178" s="70">
        <v>1.3374929777453727E-2</v>
      </c>
      <c r="O178" s="62">
        <v>1.6125180596268468E-2</v>
      </c>
      <c r="P178" s="54" t="s">
        <v>21</v>
      </c>
      <c r="Q178" s="52" t="s">
        <v>21</v>
      </c>
      <c r="R178" s="93" t="s">
        <v>21</v>
      </c>
      <c r="S178" s="70">
        <v>0</v>
      </c>
      <c r="T178" s="62">
        <v>5.2513196754531387E-2</v>
      </c>
      <c r="V178" s="113">
        <v>1.1144720400000001</v>
      </c>
      <c r="W178" s="71">
        <v>2.8645799599999999</v>
      </c>
      <c r="X178" s="71">
        <v>4.3985877999999996</v>
      </c>
      <c r="Y178" s="71">
        <v>5.69940625</v>
      </c>
      <c r="Z178" s="114">
        <v>7.2772256800000008</v>
      </c>
    </row>
    <row r="179" spans="2:26" x14ac:dyDescent="0.35">
      <c r="B179" s="54" t="s">
        <v>367</v>
      </c>
      <c r="C179" s="52" t="s">
        <v>232</v>
      </c>
      <c r="D179" s="52" t="s">
        <v>20</v>
      </c>
      <c r="E179" s="52" t="s">
        <v>21</v>
      </c>
      <c r="F179" s="70">
        <v>4.0787186119698698E-2</v>
      </c>
      <c r="G179" s="70">
        <v>4.5969329344706961E-2</v>
      </c>
      <c r="H179" s="70">
        <v>4.9601779367730511E-2</v>
      </c>
      <c r="I179" s="70">
        <v>5.1947552757029225E-2</v>
      </c>
      <c r="J179" s="62">
        <v>5.4462596918128631E-2</v>
      </c>
      <c r="K179" s="70" t="s">
        <v>21</v>
      </c>
      <c r="L179" s="70">
        <v>4.3519230447069662E-3</v>
      </c>
      <c r="M179" s="70">
        <v>7.9381552677305102E-3</v>
      </c>
      <c r="N179" s="70">
        <v>9.5361814570292212E-3</v>
      </c>
      <c r="O179" s="62">
        <v>1.0590972918128633E-2</v>
      </c>
      <c r="P179" s="54" t="s">
        <v>399</v>
      </c>
      <c r="Q179" s="52" t="s">
        <v>400</v>
      </c>
      <c r="R179" s="93">
        <v>47270</v>
      </c>
      <c r="S179" s="70">
        <v>4.6629469999999999E-2</v>
      </c>
      <c r="T179" s="62">
        <v>2.9723093677305121E-3</v>
      </c>
      <c r="V179" s="113">
        <v>1.1150367800000001</v>
      </c>
      <c r="W179" s="71">
        <v>2.87341969</v>
      </c>
      <c r="X179" s="71">
        <v>4.4387590000000001</v>
      </c>
      <c r="Y179" s="71">
        <v>5.7982737000000002</v>
      </c>
      <c r="Z179" s="114">
        <v>7.5195311599999997</v>
      </c>
    </row>
    <row r="180" spans="2:26" x14ac:dyDescent="0.35">
      <c r="B180" s="54" t="s">
        <v>359</v>
      </c>
      <c r="C180" s="52" t="s">
        <v>232</v>
      </c>
      <c r="D180" s="52" t="s">
        <v>20</v>
      </c>
      <c r="E180" s="52" t="s">
        <v>128</v>
      </c>
      <c r="F180" s="70">
        <v>4.1250153188062362E-2</v>
      </c>
      <c r="G180" s="70">
        <v>4.7535745287398651E-2</v>
      </c>
      <c r="H180" s="70">
        <v>5.2831267641710658E-2</v>
      </c>
      <c r="I180" s="70">
        <v>5.5528146755102058E-2</v>
      </c>
      <c r="J180" s="62">
        <v>5.8794997467841031E-2</v>
      </c>
      <c r="K180" s="70" t="s">
        <v>21</v>
      </c>
      <c r="L180" s="70">
        <v>5.83645658739865E-3</v>
      </c>
      <c r="M180" s="70">
        <v>1.0996942441710659E-2</v>
      </c>
      <c r="N180" s="70">
        <v>1.2933213355102068E-2</v>
      </c>
      <c r="O180" s="62">
        <v>1.4730227267841033E-2</v>
      </c>
      <c r="P180" s="54" t="s">
        <v>21</v>
      </c>
      <c r="Q180" s="52" t="s">
        <v>21</v>
      </c>
      <c r="R180" s="93" t="s">
        <v>21</v>
      </c>
      <c r="S180" s="70">
        <v>0</v>
      </c>
      <c r="T180" s="62">
        <v>5.2831267641710658E-2</v>
      </c>
      <c r="V180" s="113">
        <v>1.1141821300000001</v>
      </c>
      <c r="W180" s="71">
        <v>2.8630886800000002</v>
      </c>
      <c r="X180" s="71">
        <v>4.3949734999999999</v>
      </c>
      <c r="Y180" s="71">
        <v>5.7006168800000001</v>
      </c>
      <c r="Z180" s="114">
        <v>7.3127543899999994</v>
      </c>
    </row>
    <row r="181" spans="2:26" x14ac:dyDescent="0.35">
      <c r="B181" s="54" t="s">
        <v>136</v>
      </c>
      <c r="C181" s="52" t="s">
        <v>232</v>
      </c>
      <c r="D181" s="52" t="s">
        <v>47</v>
      </c>
      <c r="E181" s="52" t="s">
        <v>21</v>
      </c>
      <c r="F181" s="70">
        <v>4.1145716926091556E-2</v>
      </c>
      <c r="G181" s="70">
        <v>4.6991775378924384E-2</v>
      </c>
      <c r="H181" s="70">
        <v>5.2140866753638104E-2</v>
      </c>
      <c r="I181" s="70">
        <v>5.5440511281807853E-2</v>
      </c>
      <c r="J181" s="62">
        <v>5.9335458349918858E-2</v>
      </c>
      <c r="K181" s="70" t="s">
        <v>21</v>
      </c>
      <c r="L181" s="70">
        <v>5.3245513789243904E-3</v>
      </c>
      <c r="M181" s="70">
        <v>1.0346683953638107E-2</v>
      </c>
      <c r="N181" s="70">
        <v>1.2851595981807856E-2</v>
      </c>
      <c r="O181" s="62">
        <v>1.5244990449918866E-2</v>
      </c>
      <c r="P181" s="54" t="s">
        <v>506</v>
      </c>
      <c r="Q181" s="52" t="s">
        <v>507</v>
      </c>
      <c r="R181" s="93">
        <v>47559</v>
      </c>
      <c r="S181" s="70">
        <v>4.728972E-2</v>
      </c>
      <c r="T181" s="62">
        <v>4.8511467536381039E-3</v>
      </c>
      <c r="V181" s="113">
        <v>1.11433099</v>
      </c>
      <c r="W181" s="71">
        <v>2.8660424199999999</v>
      </c>
      <c r="X181" s="71">
        <v>4.4039903300000001</v>
      </c>
      <c r="Y181" s="71">
        <v>5.7127000199999998</v>
      </c>
      <c r="Z181" s="114">
        <v>7.3127926199999997</v>
      </c>
    </row>
    <row r="182" spans="2:26" x14ac:dyDescent="0.35">
      <c r="B182" s="54" t="s">
        <v>238</v>
      </c>
      <c r="C182" s="52" t="s">
        <v>232</v>
      </c>
      <c r="D182" s="52" t="s">
        <v>20</v>
      </c>
      <c r="E182" s="52" t="s">
        <v>21</v>
      </c>
      <c r="F182" s="70">
        <v>4.1083573737406752E-2</v>
      </c>
      <c r="G182" s="70">
        <v>4.7681233578728693E-2</v>
      </c>
      <c r="H182" s="70">
        <v>5.2583358866359897E-2</v>
      </c>
      <c r="I182" s="70">
        <v>5.6340072102719511E-2</v>
      </c>
      <c r="J182" s="62">
        <v>6.0068990673551231E-2</v>
      </c>
      <c r="K182" s="70" t="s">
        <v>21</v>
      </c>
      <c r="L182" s="70">
        <v>5.9707155787286897E-3</v>
      </c>
      <c r="M182" s="70">
        <v>1.0760433066359897E-2</v>
      </c>
      <c r="N182" s="70">
        <v>1.3699527502719504E-2</v>
      </c>
      <c r="O182" s="62">
        <v>1.5944191673551236E-2</v>
      </c>
      <c r="P182" s="54" t="s">
        <v>508</v>
      </c>
      <c r="Q182" s="52" t="s">
        <v>509</v>
      </c>
      <c r="R182" s="93">
        <v>47515</v>
      </c>
      <c r="S182" s="70">
        <v>5.1714759999999999E-2</v>
      </c>
      <c r="T182" s="62">
        <v>8.6859886635989869E-4</v>
      </c>
      <c r="V182" s="113">
        <v>1.1145241700000001</v>
      </c>
      <c r="W182" s="71">
        <v>2.8613719199999998</v>
      </c>
      <c r="X182" s="71">
        <v>4.39407514</v>
      </c>
      <c r="Y182" s="71">
        <v>5.6896982500000002</v>
      </c>
      <c r="Z182" s="114">
        <v>7.2683</v>
      </c>
    </row>
    <row r="183" spans="2:26" x14ac:dyDescent="0.35">
      <c r="B183" s="54" t="s">
        <v>324</v>
      </c>
      <c r="C183" s="52" t="s">
        <v>232</v>
      </c>
      <c r="D183" s="52" t="s">
        <v>20</v>
      </c>
      <c r="E183" s="52" t="s">
        <v>429</v>
      </c>
      <c r="F183" s="70">
        <v>4.0560605682489786E-2</v>
      </c>
      <c r="G183" s="70">
        <v>4.7033814975892166E-2</v>
      </c>
      <c r="H183" s="70">
        <v>5.2511558059523053E-2</v>
      </c>
      <c r="I183" s="70">
        <v>5.6076981303118063E-2</v>
      </c>
      <c r="J183" s="62">
        <v>5.958952769757251E-2</v>
      </c>
      <c r="K183" s="70" t="s">
        <v>21</v>
      </c>
      <c r="L183" s="70">
        <v>5.3616487758921683E-3</v>
      </c>
      <c r="M183" s="70">
        <v>1.069543585952305E-2</v>
      </c>
      <c r="N183" s="70">
        <v>1.3453006603118076E-2</v>
      </c>
      <c r="O183" s="62">
        <v>1.5490553797572512E-2</v>
      </c>
      <c r="P183" s="54" t="s">
        <v>21</v>
      </c>
      <c r="Q183" s="52" t="s">
        <v>21</v>
      </c>
      <c r="R183" s="93" t="s">
        <v>21</v>
      </c>
      <c r="S183" s="70">
        <v>0</v>
      </c>
      <c r="T183" s="62">
        <v>5.2511558059523053E-2</v>
      </c>
      <c r="V183" s="113">
        <v>1.11548264</v>
      </c>
      <c r="W183" s="71">
        <v>2.86787298</v>
      </c>
      <c r="X183" s="71">
        <v>4.4019366999999994</v>
      </c>
      <c r="Y183" s="71">
        <v>5.6998695000000001</v>
      </c>
      <c r="Z183" s="114">
        <v>7.2894711000000001</v>
      </c>
    </row>
    <row r="184" spans="2:26" x14ac:dyDescent="0.35">
      <c r="B184" s="54" t="s">
        <v>155</v>
      </c>
      <c r="C184" s="52" t="s">
        <v>232</v>
      </c>
      <c r="D184" s="52" t="s">
        <v>131</v>
      </c>
      <c r="E184" s="52" t="s">
        <v>75</v>
      </c>
      <c r="F184" s="70">
        <v>4.0978994813004536E-2</v>
      </c>
      <c r="G184" s="70">
        <v>4.6858256804315178E-2</v>
      </c>
      <c r="H184" s="70">
        <v>5.1987571014580888E-2</v>
      </c>
      <c r="I184" s="70">
        <v>5.557356300266058E-2</v>
      </c>
      <c r="J184" s="62">
        <v>5.9654632828285495E-2</v>
      </c>
      <c r="K184" s="70" t="s">
        <v>21</v>
      </c>
      <c r="L184" s="70">
        <v>5.1947186043151752E-3</v>
      </c>
      <c r="M184" s="70">
        <v>1.0199404814580893E-2</v>
      </c>
      <c r="N184" s="70">
        <v>1.2975627702660593E-2</v>
      </c>
      <c r="O184" s="62">
        <v>1.5547746628285484E-2</v>
      </c>
      <c r="P184" s="54" t="s">
        <v>510</v>
      </c>
      <c r="Q184" s="52" t="s">
        <v>511</v>
      </c>
      <c r="R184" s="93">
        <v>47534</v>
      </c>
      <c r="S184" s="70">
        <v>5.0263309999999999E-2</v>
      </c>
      <c r="T184" s="62">
        <v>1.7242610145808898E-3</v>
      </c>
      <c r="V184" s="113">
        <v>1.11468422</v>
      </c>
      <c r="W184" s="71">
        <v>2.8669894</v>
      </c>
      <c r="X184" s="71">
        <v>4.4067525500000002</v>
      </c>
      <c r="Y184" s="71">
        <v>5.7138887</v>
      </c>
      <c r="Z184" s="114">
        <v>7.3055191699999993</v>
      </c>
    </row>
    <row r="185" spans="2:26" x14ac:dyDescent="0.35">
      <c r="B185" s="54" t="s">
        <v>265</v>
      </c>
      <c r="C185" s="52" t="s">
        <v>232</v>
      </c>
      <c r="D185" s="52" t="s">
        <v>31</v>
      </c>
      <c r="E185" s="52" t="s">
        <v>21</v>
      </c>
      <c r="F185" s="70">
        <v>4.082238693491673E-2</v>
      </c>
      <c r="G185" s="70">
        <v>4.7127781820015847E-2</v>
      </c>
      <c r="H185" s="70">
        <v>5.1948376276456196E-2</v>
      </c>
      <c r="I185" s="70">
        <v>5.4961939978684746E-2</v>
      </c>
      <c r="J185" s="62">
        <v>5.7557736651067934E-2</v>
      </c>
      <c r="K185" s="70" t="s">
        <v>21</v>
      </c>
      <c r="L185" s="70">
        <v>5.4490963200158511E-3</v>
      </c>
      <c r="M185" s="70">
        <v>1.0161391376456186E-2</v>
      </c>
      <c r="N185" s="70">
        <v>1.2395922778684749E-2</v>
      </c>
      <c r="O185" s="62">
        <v>1.3552284151067939E-2</v>
      </c>
      <c r="P185" s="54" t="s">
        <v>512</v>
      </c>
      <c r="Q185" s="52" t="s">
        <v>513</v>
      </c>
      <c r="R185" s="93">
        <v>47679</v>
      </c>
      <c r="S185" s="70">
        <v>5.2897179999999995E-2</v>
      </c>
      <c r="T185" s="62">
        <v>-9.4880372354379933E-4</v>
      </c>
      <c r="V185" s="113">
        <v>1.11498823</v>
      </c>
      <c r="W185" s="71">
        <v>2.8658619000000001</v>
      </c>
      <c r="X185" s="71">
        <v>4.4054875100000004</v>
      </c>
      <c r="Y185" s="71">
        <v>5.7211995</v>
      </c>
      <c r="Z185" s="114">
        <v>7.3632994099999998</v>
      </c>
    </row>
    <row r="186" spans="2:26" x14ac:dyDescent="0.35">
      <c r="B186" s="54" t="s">
        <v>320</v>
      </c>
      <c r="C186" s="52" t="s">
        <v>232</v>
      </c>
      <c r="D186" s="52" t="s">
        <v>69</v>
      </c>
      <c r="E186" s="52" t="s">
        <v>21</v>
      </c>
      <c r="F186" s="70">
        <v>4.0815985665816672E-2</v>
      </c>
      <c r="G186" s="70">
        <v>4.6990181534961289E-2</v>
      </c>
      <c r="H186" s="70">
        <v>5.1941224014725708E-2</v>
      </c>
      <c r="I186" s="70">
        <v>5.5811810277476753E-2</v>
      </c>
      <c r="J186" s="62">
        <v>5.9449256001038307E-2</v>
      </c>
      <c r="K186" s="70" t="s">
        <v>21</v>
      </c>
      <c r="L186" s="70">
        <v>5.3195942349612921E-3</v>
      </c>
      <c r="M186" s="70">
        <v>1.0155329914725704E-2</v>
      </c>
      <c r="N186" s="70">
        <v>1.3200524177476747E-2</v>
      </c>
      <c r="O186" s="62">
        <v>1.5354778901038302E-2</v>
      </c>
      <c r="P186" s="54" t="s">
        <v>21</v>
      </c>
      <c r="Q186" s="52" t="s">
        <v>21</v>
      </c>
      <c r="R186" s="93" t="s">
        <v>21</v>
      </c>
      <c r="S186" s="70">
        <v>0</v>
      </c>
      <c r="T186" s="62">
        <v>5.1941224014725708E-2</v>
      </c>
      <c r="V186" s="113">
        <v>1.1149889499999999</v>
      </c>
      <c r="W186" s="71">
        <v>2.8667041800000002</v>
      </c>
      <c r="X186" s="71">
        <v>4.40663538</v>
      </c>
      <c r="Y186" s="71">
        <v>5.7107898600000002</v>
      </c>
      <c r="Z186" s="114">
        <v>7.3055584300000005</v>
      </c>
    </row>
    <row r="187" spans="2:26" x14ac:dyDescent="0.35">
      <c r="B187" s="54" t="s">
        <v>124</v>
      </c>
      <c r="C187" s="52" t="s">
        <v>232</v>
      </c>
      <c r="D187" s="52" t="s">
        <v>69</v>
      </c>
      <c r="E187" s="52" t="s">
        <v>112</v>
      </c>
      <c r="F187" s="70">
        <v>4.0702638221575708E-2</v>
      </c>
      <c r="G187" s="70">
        <v>4.6784576381611813E-2</v>
      </c>
      <c r="H187" s="70">
        <v>5.1930983193165768E-2</v>
      </c>
      <c r="I187" s="70">
        <v>5.5612990673842753E-2</v>
      </c>
      <c r="J187" s="62">
        <v>5.9786480445633297E-2</v>
      </c>
      <c r="K187" s="70" t="s">
        <v>21</v>
      </c>
      <c r="L187" s="70">
        <v>5.1251498816118181E-3</v>
      </c>
      <c r="M187" s="70">
        <v>1.0146068493165772E-2</v>
      </c>
      <c r="N187" s="70">
        <v>1.301323747384275E-2</v>
      </c>
      <c r="O187" s="62">
        <v>1.5673737945633287E-2</v>
      </c>
      <c r="P187" s="54" t="s">
        <v>21</v>
      </c>
      <c r="Q187" s="52" t="s">
        <v>21</v>
      </c>
      <c r="R187" s="93" t="s">
        <v>21</v>
      </c>
      <c r="S187" s="70">
        <v>0</v>
      </c>
      <c r="T187" s="62">
        <v>5.1930983193165768E-2</v>
      </c>
      <c r="V187" s="113">
        <v>1.1151948199999999</v>
      </c>
      <c r="W187" s="71">
        <v>2.8683230600000003</v>
      </c>
      <c r="X187" s="71">
        <v>4.4086827900000003</v>
      </c>
      <c r="Y187" s="71">
        <v>5.7152271599999995</v>
      </c>
      <c r="Z187" s="114">
        <v>7.3032962399999999</v>
      </c>
    </row>
    <row r="188" spans="2:26" x14ac:dyDescent="0.35">
      <c r="B188" s="54" t="s">
        <v>241</v>
      </c>
      <c r="C188" s="52" t="s">
        <v>232</v>
      </c>
      <c r="D188" s="52" t="s">
        <v>43</v>
      </c>
      <c r="E188" s="52" t="s">
        <v>243</v>
      </c>
      <c r="F188" s="70">
        <v>4.0954731498775578E-2</v>
      </c>
      <c r="G188" s="70">
        <v>4.6914689625511097E-2</v>
      </c>
      <c r="H188" s="70">
        <v>5.1885892274611906E-2</v>
      </c>
      <c r="I188" s="70">
        <v>5.5568236075343412E-2</v>
      </c>
      <c r="J188" s="62">
        <v>5.9649956469187061E-2</v>
      </c>
      <c r="K188" s="70" t="s">
        <v>21</v>
      </c>
      <c r="L188" s="70">
        <v>5.2487404255111055E-3</v>
      </c>
      <c r="M188" s="70">
        <v>1.0103491574611906E-2</v>
      </c>
      <c r="N188" s="70">
        <v>1.2970716975343403E-2</v>
      </c>
      <c r="O188" s="62">
        <v>1.5543729169187066E-2</v>
      </c>
      <c r="P188" s="54" t="s">
        <v>514</v>
      </c>
      <c r="Q188" s="52" t="s">
        <v>515</v>
      </c>
      <c r="R188" s="93" t="s">
        <v>32</v>
      </c>
      <c r="S188" s="70">
        <v>5.1585409999999998E-2</v>
      </c>
      <c r="T188" s="62">
        <v>3.0048227461190735E-4</v>
      </c>
      <c r="V188" s="113">
        <v>1.11472226</v>
      </c>
      <c r="W188" s="71">
        <v>2.86691889</v>
      </c>
      <c r="X188" s="71">
        <v>4.4075411999999998</v>
      </c>
      <c r="Y188" s="71">
        <v>5.7149927199999997</v>
      </c>
      <c r="Z188" s="114">
        <v>7.3064987499999994</v>
      </c>
    </row>
    <row r="189" spans="2:26" x14ac:dyDescent="0.35">
      <c r="B189" s="54" t="s">
        <v>154</v>
      </c>
      <c r="C189" s="52" t="s">
        <v>232</v>
      </c>
      <c r="D189" s="52" t="s">
        <v>43</v>
      </c>
      <c r="E189" s="52" t="s">
        <v>81</v>
      </c>
      <c r="F189" s="70">
        <v>4.0952114402402359E-2</v>
      </c>
      <c r="G189" s="70">
        <v>4.667619620220096E-2</v>
      </c>
      <c r="H189" s="70">
        <v>5.1875435516497051E-2</v>
      </c>
      <c r="I189" s="70">
        <v>5.5369129594329269E-2</v>
      </c>
      <c r="J189" s="62">
        <v>5.9083831720957269E-2</v>
      </c>
      <c r="K189" s="70" t="s">
        <v>21</v>
      </c>
      <c r="L189" s="70">
        <v>5.0235862022009626E-3</v>
      </c>
      <c r="M189" s="70">
        <v>1.009440871649705E-2</v>
      </c>
      <c r="N189" s="70">
        <v>1.2783325594329275E-2</v>
      </c>
      <c r="O189" s="62">
        <v>1.5007066720957283E-2</v>
      </c>
      <c r="P189" s="54" t="s">
        <v>516</v>
      </c>
      <c r="Q189" s="52" t="s">
        <v>517</v>
      </c>
      <c r="R189" s="93">
        <v>47536</v>
      </c>
      <c r="S189" s="70">
        <v>4.6862109999999998E-2</v>
      </c>
      <c r="T189" s="62">
        <v>5.0133255164970525E-3</v>
      </c>
      <c r="V189" s="113">
        <v>1.1147155200000001</v>
      </c>
      <c r="W189" s="71">
        <v>2.86815497</v>
      </c>
      <c r="X189" s="71">
        <v>4.4093296200000003</v>
      </c>
      <c r="Y189" s="71">
        <v>5.7191970799999998</v>
      </c>
      <c r="Z189" s="114">
        <v>7.3240287799999999</v>
      </c>
    </row>
    <row r="190" spans="2:26" x14ac:dyDescent="0.35">
      <c r="B190" s="54" t="s">
        <v>334</v>
      </c>
      <c r="C190" s="52" t="s">
        <v>232</v>
      </c>
      <c r="D190" s="52" t="s">
        <v>20</v>
      </c>
      <c r="E190" s="52" t="s">
        <v>253</v>
      </c>
      <c r="F190" s="70">
        <v>4.2389698599379813E-2</v>
      </c>
      <c r="G190" s="70">
        <v>4.7829669793892589E-2</v>
      </c>
      <c r="H190" s="70">
        <v>5.2403511186623536E-2</v>
      </c>
      <c r="I190" s="70">
        <v>5.5483403822640512E-2</v>
      </c>
      <c r="J190" s="62">
        <v>5.8967052136628034E-2</v>
      </c>
      <c r="K190" s="70">
        <v>2.8729249937981417E-4</v>
      </c>
      <c r="L190" s="70">
        <v>6.1107481938925921E-3</v>
      </c>
      <c r="M190" s="70">
        <v>1.0589593486623545E-2</v>
      </c>
      <c r="N190" s="70">
        <v>1.2886866122640523E-2</v>
      </c>
      <c r="O190" s="62">
        <v>1.4887381636628051E-2</v>
      </c>
      <c r="P190" s="54" t="s">
        <v>21</v>
      </c>
      <c r="Q190" s="52" t="s">
        <v>21</v>
      </c>
      <c r="R190" s="93" t="s">
        <v>21</v>
      </c>
      <c r="S190" s="70">
        <v>0</v>
      </c>
      <c r="T190" s="62">
        <v>5.2403511186623536E-2</v>
      </c>
      <c r="V190" s="113">
        <v>1.11214503</v>
      </c>
      <c r="W190" s="71">
        <v>2.8570401099999998</v>
      </c>
      <c r="X190" s="71">
        <v>4.3916323799999999</v>
      </c>
      <c r="Y190" s="71">
        <v>5.6999576799999998</v>
      </c>
      <c r="Z190" s="114">
        <v>7.3120671299999991</v>
      </c>
    </row>
    <row r="191" spans="2:26" x14ac:dyDescent="0.35">
      <c r="B191" s="54" t="s">
        <v>335</v>
      </c>
      <c r="C191" s="52" t="s">
        <v>232</v>
      </c>
      <c r="D191" s="52" t="s">
        <v>20</v>
      </c>
      <c r="E191" s="52" t="s">
        <v>123</v>
      </c>
      <c r="F191" s="70">
        <v>4.0905682481997524E-2</v>
      </c>
      <c r="G191" s="70">
        <v>4.7322616568887151E-2</v>
      </c>
      <c r="H191" s="70">
        <v>5.2350818749993998E-2</v>
      </c>
      <c r="I191" s="70">
        <v>5.5911247769098518E-2</v>
      </c>
      <c r="J191" s="62">
        <v>5.9275010606057124E-2</v>
      </c>
      <c r="K191" s="70" t="s">
        <v>21</v>
      </c>
      <c r="L191" s="70">
        <v>5.6351986688871446E-3</v>
      </c>
      <c r="M191" s="70">
        <v>1.0543170849994003E-2</v>
      </c>
      <c r="N191" s="70">
        <v>1.3295455669098521E-2</v>
      </c>
      <c r="O191" s="62">
        <v>1.5191969706057133E-2</v>
      </c>
      <c r="P191" s="54" t="s">
        <v>383</v>
      </c>
      <c r="Q191" s="52" t="s">
        <v>384</v>
      </c>
      <c r="R191" s="93">
        <v>47624</v>
      </c>
      <c r="S191" s="70">
        <v>5.1214779999999994E-2</v>
      </c>
      <c r="T191" s="62">
        <v>1.1360387499940033E-3</v>
      </c>
      <c r="V191" s="113">
        <v>1.1148024400000001</v>
      </c>
      <c r="W191" s="71">
        <v>2.8649625699999999</v>
      </c>
      <c r="X191" s="71">
        <v>4.4009197100000002</v>
      </c>
      <c r="Y191" s="71">
        <v>5.7023584600000001</v>
      </c>
      <c r="Z191" s="114">
        <v>7.2978910099999998</v>
      </c>
    </row>
    <row r="192" spans="2:26" x14ac:dyDescent="0.35">
      <c r="B192" s="54" t="s">
        <v>144</v>
      </c>
      <c r="C192" s="52" t="s">
        <v>232</v>
      </c>
      <c r="D192" s="52" t="s">
        <v>20</v>
      </c>
      <c r="E192" s="52" t="s">
        <v>249</v>
      </c>
      <c r="F192" s="70">
        <v>4.2409758208172152E-2</v>
      </c>
      <c r="G192" s="70">
        <v>4.8027616280620938E-2</v>
      </c>
      <c r="H192" s="70">
        <v>5.2341727870240627E-2</v>
      </c>
      <c r="I192" s="70">
        <v>5.5432360740961341E-2</v>
      </c>
      <c r="J192" s="62">
        <v>5.8782797753334275E-2</v>
      </c>
      <c r="K192" s="70">
        <v>3.1329870817215118E-4</v>
      </c>
      <c r="L192" s="70">
        <v>6.300978080620934E-3</v>
      </c>
      <c r="M192" s="70">
        <v>1.0533051270240627E-2</v>
      </c>
      <c r="N192" s="70">
        <v>1.2839598640961347E-2</v>
      </c>
      <c r="O192" s="62">
        <v>1.4715559453334266E-2</v>
      </c>
      <c r="P192" s="54" t="s">
        <v>518</v>
      </c>
      <c r="Q192" s="52" t="s">
        <v>519</v>
      </c>
      <c r="R192" s="93" t="s">
        <v>32</v>
      </c>
      <c r="S192" s="70">
        <v>4.8768440000000003E-2</v>
      </c>
      <c r="T192" s="62">
        <v>3.573287870240624E-3</v>
      </c>
      <c r="V192" s="113">
        <v>1.1120613800000001</v>
      </c>
      <c r="W192" s="71">
        <v>2.8551375399999999</v>
      </c>
      <c r="X192" s="71">
        <v>4.3903797600000001</v>
      </c>
      <c r="Y192" s="71">
        <v>5.7002732700000003</v>
      </c>
      <c r="Z192" s="114">
        <v>7.3127715100000001</v>
      </c>
    </row>
    <row r="193" spans="2:26" x14ac:dyDescent="0.35">
      <c r="B193" s="54" t="s">
        <v>242</v>
      </c>
      <c r="C193" s="52" t="s">
        <v>232</v>
      </c>
      <c r="D193" s="52" t="s">
        <v>43</v>
      </c>
      <c r="E193" s="52" t="s">
        <v>347</v>
      </c>
      <c r="F193" s="70">
        <v>4.0879280322182077E-2</v>
      </c>
      <c r="G193" s="70">
        <v>4.6852943816345825E-2</v>
      </c>
      <c r="H193" s="70">
        <v>5.1782026568022978E-2</v>
      </c>
      <c r="I193" s="70">
        <v>5.5659132507314933E-2</v>
      </c>
      <c r="J193" s="62">
        <v>5.9654351596082698E-2</v>
      </c>
      <c r="K193" s="70" t="s">
        <v>21</v>
      </c>
      <c r="L193" s="70">
        <v>5.1908784163458219E-3</v>
      </c>
      <c r="M193" s="70">
        <v>1.0005663968022969E-2</v>
      </c>
      <c r="N193" s="70">
        <v>1.3057225807314929E-2</v>
      </c>
      <c r="O193" s="62">
        <v>1.5549265396082701E-2</v>
      </c>
      <c r="P193" s="54" t="s">
        <v>520</v>
      </c>
      <c r="Q193" s="52" t="s">
        <v>521</v>
      </c>
      <c r="R193" s="93">
        <v>47492</v>
      </c>
      <c r="S193" s="70">
        <v>5.2065630000000002E-2</v>
      </c>
      <c r="T193" s="62">
        <v>-2.8360343197702392E-4</v>
      </c>
      <c r="V193" s="113">
        <v>1.11485408</v>
      </c>
      <c r="W193" s="71">
        <v>2.8676057699999999</v>
      </c>
      <c r="X193" s="71">
        <v>4.4087728500000001</v>
      </c>
      <c r="Y193" s="71">
        <v>5.7144628700000002</v>
      </c>
      <c r="Z193" s="114">
        <v>7.3051640999999998</v>
      </c>
    </row>
    <row r="194" spans="2:26" x14ac:dyDescent="0.35">
      <c r="B194" s="54" t="s">
        <v>244</v>
      </c>
      <c r="C194" s="52" t="s">
        <v>232</v>
      </c>
      <c r="D194" s="52" t="s">
        <v>31</v>
      </c>
      <c r="E194" s="52" t="s">
        <v>21</v>
      </c>
      <c r="F194" s="70">
        <v>4.0918477784068645E-2</v>
      </c>
      <c r="G194" s="70">
        <v>4.7060881235272502E-2</v>
      </c>
      <c r="H194" s="70">
        <v>5.1740720275855405E-2</v>
      </c>
      <c r="I194" s="70">
        <v>5.4804794555347973E-2</v>
      </c>
      <c r="J194" s="62">
        <v>5.8407088595110235E-2</v>
      </c>
      <c r="K194" s="70" t="s">
        <v>21</v>
      </c>
      <c r="L194" s="70">
        <v>5.3864259352725116E-3</v>
      </c>
      <c r="M194" s="70">
        <v>9.965372075855395E-3</v>
      </c>
      <c r="N194" s="70">
        <v>1.2247407455347971E-2</v>
      </c>
      <c r="O194" s="62">
        <v>1.4359076795110236E-2</v>
      </c>
      <c r="P194" s="54" t="s">
        <v>522</v>
      </c>
      <c r="Q194" s="52" t="s">
        <v>523</v>
      </c>
      <c r="R194" s="93">
        <v>47491</v>
      </c>
      <c r="S194" s="70">
        <v>5.0554230000000006E-2</v>
      </c>
      <c r="T194" s="62">
        <v>1.1864902758553994E-3</v>
      </c>
      <c r="V194" s="113">
        <v>1.1148002799999999</v>
      </c>
      <c r="W194" s="71">
        <v>2.8659444999999999</v>
      </c>
      <c r="X194" s="71">
        <v>4.4077696399999997</v>
      </c>
      <c r="Y194" s="71">
        <v>5.7259805099999994</v>
      </c>
      <c r="Z194" s="114">
        <v>7.3494789699999989</v>
      </c>
    </row>
    <row r="195" spans="2:26" x14ac:dyDescent="0.35">
      <c r="B195" s="54" t="s">
        <v>151</v>
      </c>
      <c r="C195" s="52" t="s">
        <v>232</v>
      </c>
      <c r="D195" s="52" t="s">
        <v>47</v>
      </c>
      <c r="E195" s="52" t="s">
        <v>140</v>
      </c>
      <c r="F195" s="70">
        <v>4.1166544322711281E-2</v>
      </c>
      <c r="G195" s="70">
        <v>4.708059142657485E-2</v>
      </c>
      <c r="H195" s="70">
        <v>5.1691115439968502E-2</v>
      </c>
      <c r="I195" s="70">
        <v>5.4994538189333114E-2</v>
      </c>
      <c r="J195" s="62">
        <v>5.9148886500495906E-2</v>
      </c>
      <c r="K195" s="70" t="s">
        <v>21</v>
      </c>
      <c r="L195" s="70">
        <v>5.4058618265748534E-3</v>
      </c>
      <c r="M195" s="70">
        <v>9.9189378399685089E-3</v>
      </c>
      <c r="N195" s="70">
        <v>1.2427271889333118E-2</v>
      </c>
      <c r="O195" s="62">
        <v>1.5064364500495898E-2</v>
      </c>
      <c r="P195" s="54" t="s">
        <v>524</v>
      </c>
      <c r="Q195" s="52" t="s">
        <v>525</v>
      </c>
      <c r="R195" s="93" t="s">
        <v>32</v>
      </c>
      <c r="S195" s="70">
        <v>4.8022330000000002E-2</v>
      </c>
      <c r="T195" s="62">
        <v>3.6687854399684999E-3</v>
      </c>
      <c r="V195" s="113">
        <v>1.1143291499999999</v>
      </c>
      <c r="W195" s="71">
        <v>2.86500515</v>
      </c>
      <c r="X195" s="71">
        <v>4.4073595299999999</v>
      </c>
      <c r="Y195" s="71">
        <v>5.7232255900000002</v>
      </c>
      <c r="Z195" s="114">
        <v>7.3290826500000001</v>
      </c>
    </row>
    <row r="196" spans="2:26" x14ac:dyDescent="0.35">
      <c r="B196" s="54" t="s">
        <v>145</v>
      </c>
      <c r="C196" s="52" t="s">
        <v>232</v>
      </c>
      <c r="D196" s="52" t="s">
        <v>69</v>
      </c>
      <c r="E196" s="52" t="s">
        <v>342</v>
      </c>
      <c r="F196" s="70">
        <v>4.1003195615491303E-2</v>
      </c>
      <c r="G196" s="70">
        <v>4.6886657392283933E-2</v>
      </c>
      <c r="H196" s="70">
        <v>5.1683556281459167E-2</v>
      </c>
      <c r="I196" s="70">
        <v>5.4987699033932004E-2</v>
      </c>
      <c r="J196" s="62">
        <v>5.9503837971669346E-2</v>
      </c>
      <c r="K196" s="70" t="s">
        <v>21</v>
      </c>
      <c r="L196" s="70">
        <v>5.2216866922839356E-3</v>
      </c>
      <c r="M196" s="70">
        <v>9.9116364814591639E-3</v>
      </c>
      <c r="N196" s="70">
        <v>1.2420950633932001E-2</v>
      </c>
      <c r="O196" s="62">
        <v>1.5401314471669349E-2</v>
      </c>
      <c r="P196" s="54" t="s">
        <v>526</v>
      </c>
      <c r="Q196" s="52" t="s">
        <v>527</v>
      </c>
      <c r="R196" s="93" t="s">
        <v>32</v>
      </c>
      <c r="S196" s="70">
        <v>5.2874359999999995E-2</v>
      </c>
      <c r="T196" s="62">
        <v>-1.1908037185408282E-3</v>
      </c>
      <c r="V196" s="113">
        <v>1.11463826</v>
      </c>
      <c r="W196" s="71">
        <v>2.8664631799999998</v>
      </c>
      <c r="X196" s="71">
        <v>4.40923234</v>
      </c>
      <c r="Y196" s="71">
        <v>5.7249565099999993</v>
      </c>
      <c r="Z196" s="114">
        <v>7.32261411</v>
      </c>
    </row>
    <row r="197" spans="2:26" x14ac:dyDescent="0.35">
      <c r="B197" s="54" t="s">
        <v>239</v>
      </c>
      <c r="C197" s="52" t="s">
        <v>232</v>
      </c>
      <c r="D197" s="52" t="s">
        <v>69</v>
      </c>
      <c r="E197" s="52" t="s">
        <v>123</v>
      </c>
      <c r="F197" s="70">
        <v>4.0665106914359497E-2</v>
      </c>
      <c r="G197" s="70">
        <v>4.6602602083735525E-2</v>
      </c>
      <c r="H197" s="70">
        <v>5.166507944506947E-2</v>
      </c>
      <c r="I197" s="70">
        <v>5.5209504305028405E-2</v>
      </c>
      <c r="J197" s="62">
        <v>5.887575997997474E-2</v>
      </c>
      <c r="K197" s="70" t="s">
        <v>21</v>
      </c>
      <c r="L197" s="70">
        <v>4.9544217837355249E-3</v>
      </c>
      <c r="M197" s="70">
        <v>9.8957119450694721E-3</v>
      </c>
      <c r="N197" s="70">
        <v>1.2632661405028401E-2</v>
      </c>
      <c r="O197" s="62">
        <v>1.4810052179974735E-2</v>
      </c>
      <c r="P197" s="54" t="s">
        <v>528</v>
      </c>
      <c r="Q197" s="52" t="s">
        <v>529</v>
      </c>
      <c r="R197" s="93" t="s">
        <v>32</v>
      </c>
      <c r="S197" s="70">
        <v>5.4495050000000003E-2</v>
      </c>
      <c r="T197" s="62">
        <v>-2.8299705549305332E-3</v>
      </c>
      <c r="V197" s="113">
        <v>1.1152413700000001</v>
      </c>
      <c r="W197" s="71">
        <v>2.8695128400000001</v>
      </c>
      <c r="X197" s="71">
        <v>4.41280158</v>
      </c>
      <c r="Y197" s="71">
        <v>5.7250721799999997</v>
      </c>
      <c r="Z197" s="114">
        <v>7.3346128200000003</v>
      </c>
    </row>
    <row r="198" spans="2:26" x14ac:dyDescent="0.35">
      <c r="B198" s="54" t="s">
        <v>340</v>
      </c>
      <c r="C198" s="52" t="s">
        <v>232</v>
      </c>
      <c r="D198" s="52" t="s">
        <v>20</v>
      </c>
      <c r="E198" s="52" t="s">
        <v>243</v>
      </c>
      <c r="F198" s="70">
        <v>4.1344095403769855E-2</v>
      </c>
      <c r="G198" s="70">
        <v>4.7390282588744795E-2</v>
      </c>
      <c r="H198" s="70">
        <v>5.2166143673789793E-2</v>
      </c>
      <c r="I198" s="70">
        <v>5.5032358745500741E-2</v>
      </c>
      <c r="J198" s="62">
        <v>5.8316461940551741E-2</v>
      </c>
      <c r="K198" s="70" t="s">
        <v>21</v>
      </c>
      <c r="L198" s="70">
        <v>5.6936548887447959E-3</v>
      </c>
      <c r="M198" s="70">
        <v>1.0364496873789791E-2</v>
      </c>
      <c r="N198" s="70">
        <v>1.2461007645500739E-2</v>
      </c>
      <c r="O198" s="62">
        <v>1.427184714055175E-2</v>
      </c>
      <c r="P198" s="54" t="s">
        <v>21</v>
      </c>
      <c r="Q198" s="52" t="s">
        <v>21</v>
      </c>
      <c r="R198" s="93" t="s">
        <v>21</v>
      </c>
      <c r="S198" s="70">
        <v>0</v>
      </c>
      <c r="T198" s="62">
        <v>5.2166143673789793E-2</v>
      </c>
      <c r="V198" s="113">
        <v>1.11409004</v>
      </c>
      <c r="W198" s="71">
        <v>2.86357632</v>
      </c>
      <c r="X198" s="71">
        <v>4.4010976099999999</v>
      </c>
      <c r="Y198" s="71">
        <v>5.7135831999999995</v>
      </c>
      <c r="Z198" s="114">
        <v>7.3378516600000001</v>
      </c>
    </row>
    <row r="199" spans="2:26" x14ac:dyDescent="0.35">
      <c r="B199" s="54" t="s">
        <v>176</v>
      </c>
      <c r="C199" s="52" t="s">
        <v>232</v>
      </c>
      <c r="D199" s="52" t="s">
        <v>47</v>
      </c>
      <c r="E199" s="52" t="s">
        <v>21</v>
      </c>
      <c r="F199" s="70">
        <v>4.0771327990325741E-2</v>
      </c>
      <c r="G199" s="70">
        <v>4.6454181678946355E-2</v>
      </c>
      <c r="H199" s="70">
        <v>5.1613635386183299E-2</v>
      </c>
      <c r="I199" s="70">
        <v>5.5254066581269815E-2</v>
      </c>
      <c r="J199" s="62">
        <v>5.9632173384240574E-2</v>
      </c>
      <c r="K199" s="70" t="s">
        <v>21</v>
      </c>
      <c r="L199" s="70">
        <v>4.8121636789463552E-3</v>
      </c>
      <c r="M199" s="70">
        <v>9.8464782861832981E-3</v>
      </c>
      <c r="N199" s="70">
        <v>1.2675893581269821E-2</v>
      </c>
      <c r="O199" s="62">
        <v>1.5529714084240569E-2</v>
      </c>
      <c r="P199" s="54" t="s">
        <v>21</v>
      </c>
      <c r="Q199" s="52" t="s">
        <v>21</v>
      </c>
      <c r="R199" s="93" t="s">
        <v>21</v>
      </c>
      <c r="S199" s="70">
        <v>0</v>
      </c>
      <c r="T199" s="62">
        <v>5.1613635386183299E-2</v>
      </c>
      <c r="V199" s="113">
        <v>1.1150661100000001</v>
      </c>
      <c r="W199" s="71">
        <v>2.87034594</v>
      </c>
      <c r="X199" s="71">
        <v>4.4145813</v>
      </c>
      <c r="Y199" s="71">
        <v>5.7267518500000003</v>
      </c>
      <c r="Z199" s="114">
        <v>7.3204946600000005</v>
      </c>
    </row>
    <row r="200" spans="2:26" x14ac:dyDescent="0.35">
      <c r="B200" s="54" t="s">
        <v>146</v>
      </c>
      <c r="C200" s="52" t="s">
        <v>232</v>
      </c>
      <c r="D200" s="52" t="s">
        <v>69</v>
      </c>
      <c r="E200" s="52" t="s">
        <v>128</v>
      </c>
      <c r="F200" s="70">
        <v>4.063358457366515E-2</v>
      </c>
      <c r="G200" s="70">
        <v>4.6636705449385335E-2</v>
      </c>
      <c r="H200" s="70">
        <v>5.1566031491806746E-2</v>
      </c>
      <c r="I200" s="70">
        <v>5.4920713660448747E-2</v>
      </c>
      <c r="J200" s="62">
        <v>5.8849716342243424E-2</v>
      </c>
      <c r="K200" s="70" t="s">
        <v>21</v>
      </c>
      <c r="L200" s="70">
        <v>4.9853049493853406E-3</v>
      </c>
      <c r="M200" s="70">
        <v>9.8008739918067425E-3</v>
      </c>
      <c r="N200" s="70">
        <v>1.2358349660448738E-2</v>
      </c>
      <c r="O200" s="62">
        <v>1.4782725942243426E-2</v>
      </c>
      <c r="P200" s="54" t="s">
        <v>530</v>
      </c>
      <c r="Q200" s="52" t="s">
        <v>531</v>
      </c>
      <c r="R200" s="93" t="s">
        <v>32</v>
      </c>
      <c r="S200" s="70">
        <v>5.0610999999999996E-2</v>
      </c>
      <c r="T200" s="62">
        <v>9.5503149180675012E-4</v>
      </c>
      <c r="V200" s="113">
        <v>1.11531924</v>
      </c>
      <c r="W200" s="71">
        <v>2.8694470299999999</v>
      </c>
      <c r="X200" s="71">
        <v>4.4136642099999994</v>
      </c>
      <c r="Y200" s="71">
        <v>5.7300750200000001</v>
      </c>
      <c r="Z200" s="114">
        <v>7.3417018199999999</v>
      </c>
    </row>
    <row r="201" spans="2:26" x14ac:dyDescent="0.35">
      <c r="B201" s="54" t="s">
        <v>325</v>
      </c>
      <c r="C201" s="52" t="s">
        <v>232</v>
      </c>
      <c r="D201" s="52" t="s">
        <v>167</v>
      </c>
      <c r="E201" s="52" t="s">
        <v>81</v>
      </c>
      <c r="F201" s="70">
        <v>4.0755739767867984E-2</v>
      </c>
      <c r="G201" s="70">
        <v>4.6791886922175611E-2</v>
      </c>
      <c r="H201" s="70">
        <v>5.1998336742148106E-2</v>
      </c>
      <c r="I201" s="70">
        <v>5.6378358006138267E-2</v>
      </c>
      <c r="J201" s="62">
        <v>5.9994929654502309E-2</v>
      </c>
      <c r="K201" s="70" t="s">
        <v>21</v>
      </c>
      <c r="L201" s="70">
        <v>5.1330448221756191E-3</v>
      </c>
      <c r="M201" s="70">
        <v>1.0210988842148104E-2</v>
      </c>
      <c r="N201" s="70">
        <v>1.3740142006138285E-2</v>
      </c>
      <c r="O201" s="62">
        <v>1.5881344554502311E-2</v>
      </c>
      <c r="P201" s="54" t="s">
        <v>379</v>
      </c>
      <c r="Q201" s="52" t="s">
        <v>380</v>
      </c>
      <c r="R201" s="93">
        <v>47588</v>
      </c>
      <c r="S201" s="70">
        <v>5.1090009999999998E-2</v>
      </c>
      <c r="T201" s="62">
        <v>9.0832674214810782E-4</v>
      </c>
      <c r="V201" s="113">
        <v>1.1151043899999999</v>
      </c>
      <c r="W201" s="71">
        <v>2.8684510699999999</v>
      </c>
      <c r="X201" s="71">
        <v>4.40811054</v>
      </c>
      <c r="Y201" s="71">
        <v>5.7029530099999999</v>
      </c>
      <c r="Z201" s="114">
        <v>7.2812555000000003</v>
      </c>
    </row>
    <row r="202" spans="2:26" x14ac:dyDescent="0.35">
      <c r="B202" s="54" t="s">
        <v>354</v>
      </c>
      <c r="C202" s="52" t="s">
        <v>232</v>
      </c>
      <c r="D202" s="52" t="s">
        <v>20</v>
      </c>
      <c r="E202" s="52" t="s">
        <v>21</v>
      </c>
      <c r="F202" s="70">
        <v>4.1489016885958095E-2</v>
      </c>
      <c r="G202" s="70">
        <v>4.7413875629856495E-2</v>
      </c>
      <c r="H202" s="70">
        <v>5.1662679524891841E-2</v>
      </c>
      <c r="I202" s="70">
        <v>5.4503121890058584E-2</v>
      </c>
      <c r="J202" s="62">
        <v>5.7677060123551178E-2</v>
      </c>
      <c r="K202" s="70" t="s">
        <v>21</v>
      </c>
      <c r="L202" s="70">
        <v>5.7146121298564979E-3</v>
      </c>
      <c r="M202" s="70">
        <v>9.8870188248918398E-3</v>
      </c>
      <c r="N202" s="70">
        <v>1.1958162890058577E-2</v>
      </c>
      <c r="O202" s="62">
        <v>1.365956392355118E-2</v>
      </c>
      <c r="P202" s="54" t="s">
        <v>393</v>
      </c>
      <c r="Q202" s="52" t="s">
        <v>394</v>
      </c>
      <c r="R202" s="93" t="s">
        <v>32</v>
      </c>
      <c r="S202" s="70">
        <v>4.9359089999999994E-2</v>
      </c>
      <c r="T202" s="62">
        <v>2.303589524891847E-3</v>
      </c>
      <c r="V202" s="113">
        <v>1.1137988999999999</v>
      </c>
      <c r="W202" s="71">
        <v>2.8629977499999999</v>
      </c>
      <c r="X202" s="71">
        <v>4.4053835899999996</v>
      </c>
      <c r="Y202" s="71">
        <v>5.7269863499999998</v>
      </c>
      <c r="Z202" s="114">
        <v>7.3695568800000002</v>
      </c>
    </row>
    <row r="203" spans="2:26" x14ac:dyDescent="0.35">
      <c r="B203" s="54" t="s">
        <v>336</v>
      </c>
      <c r="C203" s="52" t="s">
        <v>232</v>
      </c>
      <c r="D203" s="52" t="s">
        <v>69</v>
      </c>
      <c r="E203" s="52" t="s">
        <v>128</v>
      </c>
      <c r="F203" s="70">
        <v>4.0706617306343305E-2</v>
      </c>
      <c r="G203" s="70">
        <v>4.6702857138263151E-2</v>
      </c>
      <c r="H203" s="70">
        <v>5.1007569878293912E-2</v>
      </c>
      <c r="I203" s="70">
        <v>5.4129493417502096E-2</v>
      </c>
      <c r="J203" s="62">
        <v>5.8082626776280163E-2</v>
      </c>
      <c r="K203" s="70" t="s">
        <v>21</v>
      </c>
      <c r="L203" s="70">
        <v>5.0469660382631547E-3</v>
      </c>
      <c r="M203" s="70">
        <v>9.2710046782939065E-3</v>
      </c>
      <c r="N203" s="70">
        <v>1.1607503517502098E-2</v>
      </c>
      <c r="O203" s="62">
        <v>1.4049544376280174E-2</v>
      </c>
      <c r="P203" s="54" t="s">
        <v>21</v>
      </c>
      <c r="Q203" s="52" t="s">
        <v>21</v>
      </c>
      <c r="R203" s="93" t="s">
        <v>21</v>
      </c>
      <c r="S203" s="70">
        <v>0</v>
      </c>
      <c r="T203" s="62">
        <v>5.1007569878293912E-2</v>
      </c>
      <c r="V203" s="113">
        <v>1.1151971599999999</v>
      </c>
      <c r="W203" s="71">
        <v>2.8688355900000002</v>
      </c>
      <c r="X203" s="71">
        <v>4.4185129199999995</v>
      </c>
      <c r="Y203" s="71">
        <v>5.7469078900000001</v>
      </c>
      <c r="Z203" s="114">
        <v>7.3789744600000002</v>
      </c>
    </row>
    <row r="204" spans="2:26" x14ac:dyDescent="0.35">
      <c r="B204" s="54" t="s">
        <v>348</v>
      </c>
      <c r="C204" s="52" t="s">
        <v>232</v>
      </c>
      <c r="D204" s="52" t="s">
        <v>20</v>
      </c>
      <c r="E204" s="52" t="s">
        <v>532</v>
      </c>
      <c r="F204" s="70">
        <v>4.0878198413696547E-2</v>
      </c>
      <c r="G204" s="70">
        <v>4.6511662105011412E-2</v>
      </c>
      <c r="H204" s="70">
        <v>5.1194426483769616E-2</v>
      </c>
      <c r="I204" s="70">
        <v>5.4506876990126601E-2</v>
      </c>
      <c r="J204" s="62">
        <v>5.76382393967887E-2</v>
      </c>
      <c r="K204" s="70" t="s">
        <v>21</v>
      </c>
      <c r="L204" s="70">
        <v>4.8660831050114104E-3</v>
      </c>
      <c r="M204" s="70">
        <v>9.448540783769617E-3</v>
      </c>
      <c r="N204" s="70">
        <v>1.1965900990126597E-2</v>
      </c>
      <c r="O204" s="62">
        <v>1.3632299496788691E-2</v>
      </c>
      <c r="P204" s="54" t="s">
        <v>387</v>
      </c>
      <c r="Q204" s="52" t="s">
        <v>388</v>
      </c>
      <c r="R204" s="93">
        <v>47529</v>
      </c>
      <c r="S204" s="70">
        <v>5.0115380000000001E-2</v>
      </c>
      <c r="T204" s="62">
        <v>1.0790464837696148E-3</v>
      </c>
      <c r="V204" s="113">
        <v>1.11487684</v>
      </c>
      <c r="W204" s="71">
        <v>2.86987894</v>
      </c>
      <c r="X204" s="71">
        <v>4.4185975400000004</v>
      </c>
      <c r="Y204" s="71">
        <v>5.74217069</v>
      </c>
      <c r="Z204" s="114">
        <v>7.37978544</v>
      </c>
    </row>
    <row r="205" spans="2:26" x14ac:dyDescent="0.35">
      <c r="B205" s="54" t="s">
        <v>251</v>
      </c>
      <c r="C205" s="52" t="s">
        <v>232</v>
      </c>
      <c r="D205" s="52" t="s">
        <v>53</v>
      </c>
      <c r="E205" s="52" t="s">
        <v>125</v>
      </c>
      <c r="F205" s="70">
        <v>4.044600733141436E-2</v>
      </c>
      <c r="G205" s="70">
        <v>4.6156976622833641E-2</v>
      </c>
      <c r="H205" s="70">
        <v>5.0519443580741313E-2</v>
      </c>
      <c r="I205" s="70">
        <v>5.3554127176957234E-2</v>
      </c>
      <c r="J205" s="62">
        <v>5.7129605827880514E-2</v>
      </c>
      <c r="K205" s="70" t="s">
        <v>21</v>
      </c>
      <c r="L205" s="70">
        <v>4.5300639228336419E-3</v>
      </c>
      <c r="M205" s="70">
        <v>8.8090676807413143E-3</v>
      </c>
      <c r="N205" s="70">
        <v>1.106289607695723E-2</v>
      </c>
      <c r="O205" s="62">
        <v>1.3143230627880528E-2</v>
      </c>
      <c r="P205" s="54" t="s">
        <v>533</v>
      </c>
      <c r="Q205" s="52" t="s">
        <v>534</v>
      </c>
      <c r="R205" s="93" t="s">
        <v>32</v>
      </c>
      <c r="S205" s="70">
        <v>5.1930280000000002E-2</v>
      </c>
      <c r="T205" s="62">
        <v>-1.4108364192586889E-3</v>
      </c>
      <c r="V205" s="113">
        <v>1.11567343</v>
      </c>
      <c r="W205" s="71">
        <v>2.8733613500000001</v>
      </c>
      <c r="X205" s="71">
        <v>4.4287522500000005</v>
      </c>
      <c r="Y205" s="71">
        <v>5.7652067100000002</v>
      </c>
      <c r="Z205" s="114">
        <v>7.4197421099999996</v>
      </c>
    </row>
    <row r="206" spans="2:26" x14ac:dyDescent="0.35">
      <c r="B206" s="54" t="s">
        <v>143</v>
      </c>
      <c r="C206" s="52" t="s">
        <v>232</v>
      </c>
      <c r="D206" s="52" t="s">
        <v>20</v>
      </c>
      <c r="E206" s="52" t="s">
        <v>57</v>
      </c>
      <c r="F206" s="70">
        <v>4.1013730080088698E-2</v>
      </c>
      <c r="G206" s="70">
        <v>4.6495405580900609E-2</v>
      </c>
      <c r="H206" s="70">
        <v>5.1017373477794926E-2</v>
      </c>
      <c r="I206" s="70">
        <v>5.4029171722923118E-2</v>
      </c>
      <c r="J206" s="62">
        <v>5.7622239749566137E-2</v>
      </c>
      <c r="K206" s="70" t="s">
        <v>21</v>
      </c>
      <c r="L206" s="70">
        <v>4.8533557809006082E-3</v>
      </c>
      <c r="M206" s="70">
        <v>9.2829582777949303E-3</v>
      </c>
      <c r="N206" s="70">
        <v>1.1516470322923114E-2</v>
      </c>
      <c r="O206" s="62">
        <v>1.3616982749566129E-2</v>
      </c>
      <c r="P206" s="54" t="s">
        <v>535</v>
      </c>
      <c r="Q206" s="52" t="s">
        <v>536</v>
      </c>
      <c r="R206" s="93">
        <v>47498</v>
      </c>
      <c r="S206" s="70">
        <v>5.0412770000000003E-2</v>
      </c>
      <c r="T206" s="62">
        <v>6.0460347779492385E-4</v>
      </c>
      <c r="V206" s="113">
        <v>1.1145810299999999</v>
      </c>
      <c r="W206" s="71">
        <v>2.8693518399999998</v>
      </c>
      <c r="X206" s="71">
        <v>4.4197839700000001</v>
      </c>
      <c r="Y206" s="71">
        <v>5.7478134499999998</v>
      </c>
      <c r="Z206" s="114">
        <v>7.3890567599999999</v>
      </c>
    </row>
    <row r="207" spans="2:26" x14ac:dyDescent="0.35">
      <c r="B207" s="54" t="s">
        <v>257</v>
      </c>
      <c r="C207" s="52" t="s">
        <v>232</v>
      </c>
      <c r="D207" s="52" t="s">
        <v>69</v>
      </c>
      <c r="E207" s="52" t="s">
        <v>21</v>
      </c>
      <c r="F207" s="70">
        <v>4.083241159228948E-2</v>
      </c>
      <c r="G207" s="70">
        <v>4.6201893776641759E-2</v>
      </c>
      <c r="H207" s="70">
        <v>5.0464191968038308E-2</v>
      </c>
      <c r="I207" s="70">
        <v>5.3271674167636431E-2</v>
      </c>
      <c r="J207" s="62">
        <v>5.6522189026638039E-2</v>
      </c>
      <c r="K207" s="70" t="s">
        <v>21</v>
      </c>
      <c r="L207" s="70">
        <v>4.570589976641763E-3</v>
      </c>
      <c r="M207" s="70">
        <v>8.7552110680383134E-3</v>
      </c>
      <c r="N207" s="70">
        <v>1.0793364767636437E-2</v>
      </c>
      <c r="O207" s="62">
        <v>1.2561195226638042E-2</v>
      </c>
      <c r="P207" s="54" t="s">
        <v>537</v>
      </c>
      <c r="Q207" s="52" t="s">
        <v>538</v>
      </c>
      <c r="R207" s="93" t="s">
        <v>32</v>
      </c>
      <c r="S207" s="70">
        <v>4.412688E-2</v>
      </c>
      <c r="T207" s="62">
        <v>6.3373119680383075E-3</v>
      </c>
      <c r="V207" s="113">
        <v>1.1149841700000001</v>
      </c>
      <c r="W207" s="71">
        <v>2.8720585600000001</v>
      </c>
      <c r="X207" s="71">
        <v>4.42795089</v>
      </c>
      <c r="Y207" s="71">
        <v>5.7687115499999999</v>
      </c>
      <c r="Z207" s="114">
        <v>7.4391596500000006</v>
      </c>
    </row>
    <row r="208" spans="2:26" x14ac:dyDescent="0.35">
      <c r="B208" s="54" t="s">
        <v>252</v>
      </c>
      <c r="C208" s="52" t="s">
        <v>232</v>
      </c>
      <c r="D208" s="52" t="s">
        <v>20</v>
      </c>
      <c r="E208" s="52" t="s">
        <v>21</v>
      </c>
      <c r="F208" s="70">
        <v>4.1253667642100034E-2</v>
      </c>
      <c r="G208" s="70">
        <v>4.7380697598019862E-2</v>
      </c>
      <c r="H208" s="70">
        <v>5.094330087390276E-2</v>
      </c>
      <c r="I208" s="70">
        <v>5.3206448429313019E-2</v>
      </c>
      <c r="J208" s="62">
        <v>5.6813669661557278E-2</v>
      </c>
      <c r="K208" s="70" t="s">
        <v>21</v>
      </c>
      <c r="L208" s="70">
        <v>5.6833676980198606E-3</v>
      </c>
      <c r="M208" s="70">
        <v>9.2057052739027631E-3</v>
      </c>
      <c r="N208" s="70">
        <v>1.0727353429313014E-2</v>
      </c>
      <c r="O208" s="62">
        <v>1.282771536155727E-2</v>
      </c>
      <c r="P208" s="54" t="s">
        <v>539</v>
      </c>
      <c r="Q208" s="52" t="s">
        <v>540</v>
      </c>
      <c r="R208" s="93">
        <v>47545</v>
      </c>
      <c r="S208" s="70">
        <v>4.7452180000000004E-2</v>
      </c>
      <c r="T208" s="62">
        <v>3.491120873902756E-3</v>
      </c>
      <c r="V208" s="113">
        <v>1.1142554199999999</v>
      </c>
      <c r="W208" s="71">
        <v>2.8630821699999998</v>
      </c>
      <c r="X208" s="71">
        <v>4.4127032699999997</v>
      </c>
      <c r="Y208" s="71">
        <v>5.7551225600000002</v>
      </c>
      <c r="Z208" s="114">
        <v>7.4273772300000003</v>
      </c>
    </row>
    <row r="209" spans="2:26" x14ac:dyDescent="0.35">
      <c r="B209" s="54" t="s">
        <v>153</v>
      </c>
      <c r="C209" s="52" t="s">
        <v>232</v>
      </c>
      <c r="D209" s="52" t="s">
        <v>20</v>
      </c>
      <c r="E209" s="52" t="s">
        <v>133</v>
      </c>
      <c r="F209" s="70">
        <v>4.0425716387707859E-2</v>
      </c>
      <c r="G209" s="70">
        <v>4.605476254997596E-2</v>
      </c>
      <c r="H209" s="70">
        <v>5.0866740951945162E-2</v>
      </c>
      <c r="I209" s="70">
        <v>5.4172247333707207E-2</v>
      </c>
      <c r="J209" s="62">
        <v>5.7375868381029094E-2</v>
      </c>
      <c r="K209" s="70" t="s">
        <v>21</v>
      </c>
      <c r="L209" s="70">
        <v>4.4350896499759668E-3</v>
      </c>
      <c r="M209" s="70">
        <v>9.1399158519451587E-3</v>
      </c>
      <c r="N209" s="70">
        <v>1.1651435533707215E-2</v>
      </c>
      <c r="O209" s="62">
        <v>1.3384125181029081E-2</v>
      </c>
      <c r="P209" s="54" t="s">
        <v>541</v>
      </c>
      <c r="Q209" s="52" t="s">
        <v>542</v>
      </c>
      <c r="R209" s="93">
        <v>47529</v>
      </c>
      <c r="S209" s="70">
        <v>5.0480850000000001E-2</v>
      </c>
      <c r="T209" s="62">
        <v>3.8589095194516143E-4</v>
      </c>
      <c r="V209" s="113">
        <v>1.11569494</v>
      </c>
      <c r="W209" s="71">
        <v>2.87442193</v>
      </c>
      <c r="X209" s="71">
        <v>4.4260545100000002</v>
      </c>
      <c r="Y209" s="71">
        <v>5.7520210399999998</v>
      </c>
      <c r="Z209" s="114">
        <v>7.3962179599999995</v>
      </c>
    </row>
    <row r="210" spans="2:26" x14ac:dyDescent="0.35">
      <c r="B210" s="54" t="s">
        <v>343</v>
      </c>
      <c r="C210" s="52" t="s">
        <v>232</v>
      </c>
      <c r="D210" s="52" t="s">
        <v>31</v>
      </c>
      <c r="E210" s="52" t="s">
        <v>21</v>
      </c>
      <c r="F210" s="70">
        <v>4.0855087020640009E-2</v>
      </c>
      <c r="G210" s="70">
        <v>4.5997649886965253E-2</v>
      </c>
      <c r="H210" s="70">
        <v>5.0308302960907991E-2</v>
      </c>
      <c r="I210" s="70">
        <v>5.3250725276512999E-2</v>
      </c>
      <c r="J210" s="62">
        <v>5.6634566285739749E-2</v>
      </c>
      <c r="K210" s="70" t="s">
        <v>21</v>
      </c>
      <c r="L210" s="70">
        <v>4.381467686965252E-3</v>
      </c>
      <c r="M210" s="70">
        <v>8.6106895609079949E-3</v>
      </c>
      <c r="N210" s="70">
        <v>1.0776253676512994E-2</v>
      </c>
      <c r="O210" s="62">
        <v>1.2671445985739747E-2</v>
      </c>
      <c r="P210" s="54" t="s">
        <v>21</v>
      </c>
      <c r="Q210" s="52" t="s">
        <v>21</v>
      </c>
      <c r="R210" s="93" t="s">
        <v>21</v>
      </c>
      <c r="S210" s="70">
        <v>0</v>
      </c>
      <c r="T210" s="62">
        <v>5.0308302960907991E-2</v>
      </c>
      <c r="V210" s="113">
        <v>1.11487778</v>
      </c>
      <c r="W210" s="71">
        <v>2.8726104800000001</v>
      </c>
      <c r="X210" s="71">
        <v>4.4305471299999999</v>
      </c>
      <c r="Y210" s="71">
        <v>5.7715342099999996</v>
      </c>
      <c r="Z210" s="114">
        <v>7.4384601199999993</v>
      </c>
    </row>
    <row r="211" spans="2:26" x14ac:dyDescent="0.35">
      <c r="B211" s="54" t="s">
        <v>357</v>
      </c>
      <c r="C211" s="52" t="s">
        <v>232</v>
      </c>
      <c r="D211" s="52" t="s">
        <v>20</v>
      </c>
      <c r="E211" s="52" t="s">
        <v>21</v>
      </c>
      <c r="F211" s="70">
        <v>4.0878086474821898E-2</v>
      </c>
      <c r="G211" s="70">
        <v>4.6443470177540309E-2</v>
      </c>
      <c r="H211" s="70">
        <v>5.0727327377852433E-2</v>
      </c>
      <c r="I211" s="70">
        <v>5.3561412494646833E-2</v>
      </c>
      <c r="J211" s="62">
        <v>5.6769961990140685E-2</v>
      </c>
      <c r="K211" s="70" t="s">
        <v>21</v>
      </c>
      <c r="L211" s="70">
        <v>4.8003609775403083E-3</v>
      </c>
      <c r="M211" s="70">
        <v>9.0051282778524349E-3</v>
      </c>
      <c r="N211" s="70">
        <v>1.1069076194646839E-2</v>
      </c>
      <c r="O211" s="62">
        <v>1.2799844390140685E-2</v>
      </c>
      <c r="P211" s="54" t="s">
        <v>21</v>
      </c>
      <c r="Q211" s="52" t="s">
        <v>21</v>
      </c>
      <c r="R211" s="93" t="s">
        <v>21</v>
      </c>
      <c r="S211" s="70">
        <v>0</v>
      </c>
      <c r="T211" s="62">
        <v>5.0727327377852433E-2</v>
      </c>
      <c r="V211" s="113">
        <v>1.1148834999999999</v>
      </c>
      <c r="W211" s="71">
        <v>2.8693267599999999</v>
      </c>
      <c r="X211" s="71">
        <v>4.4229312499999995</v>
      </c>
      <c r="Y211" s="71">
        <v>5.7584231399999997</v>
      </c>
      <c r="Z211" s="114">
        <v>7.4203432500000002</v>
      </c>
    </row>
    <row r="212" spans="2:26" x14ac:dyDescent="0.35">
      <c r="B212" s="54" t="s">
        <v>360</v>
      </c>
      <c r="C212" s="52" t="s">
        <v>232</v>
      </c>
      <c r="D212" s="52" t="s">
        <v>20</v>
      </c>
      <c r="E212" s="52" t="s">
        <v>543</v>
      </c>
      <c r="F212" s="70">
        <v>4.0974453098098787E-2</v>
      </c>
      <c r="G212" s="70">
        <v>4.6428485260351239E-2</v>
      </c>
      <c r="H212" s="70">
        <v>5.0724777801513403E-2</v>
      </c>
      <c r="I212" s="70">
        <v>5.3542176348132298E-2</v>
      </c>
      <c r="J212" s="62">
        <v>5.686699465157849E-2</v>
      </c>
      <c r="K212" s="70" t="s">
        <v>21</v>
      </c>
      <c r="L212" s="70">
        <v>4.7864797603512357E-3</v>
      </c>
      <c r="M212" s="70">
        <v>9.002937001513403E-3</v>
      </c>
      <c r="N212" s="70">
        <v>1.10511716481323E-2</v>
      </c>
      <c r="O212" s="62">
        <v>1.2892535451578485E-2</v>
      </c>
      <c r="P212" s="54" t="s">
        <v>21</v>
      </c>
      <c r="Q212" s="52" t="s">
        <v>21</v>
      </c>
      <c r="R212" s="93" t="s">
        <v>21</v>
      </c>
      <c r="S212" s="70">
        <v>0</v>
      </c>
      <c r="T212" s="62">
        <v>5.0724777801513403E-2</v>
      </c>
      <c r="V212" s="113">
        <v>1.1147041799999999</v>
      </c>
      <c r="W212" s="71">
        <v>2.8696295599999999</v>
      </c>
      <c r="X212" s="71">
        <v>4.4233802899999999</v>
      </c>
      <c r="Y212" s="71">
        <v>5.7587728900000004</v>
      </c>
      <c r="Z212" s="114">
        <v>7.41841858</v>
      </c>
    </row>
    <row r="213" spans="2:26" x14ac:dyDescent="0.35">
      <c r="B213" s="54" t="s">
        <v>258</v>
      </c>
      <c r="C213" s="52" t="s">
        <v>232</v>
      </c>
      <c r="D213" s="52" t="s">
        <v>31</v>
      </c>
      <c r="E213" s="52" t="s">
        <v>21</v>
      </c>
      <c r="F213" s="70">
        <v>4.0524308849838993E-2</v>
      </c>
      <c r="G213" s="70">
        <v>4.592012403868042E-2</v>
      </c>
      <c r="H213" s="70">
        <v>5.0202782561593377E-2</v>
      </c>
      <c r="I213" s="70">
        <v>5.2857189853687148E-2</v>
      </c>
      <c r="J213" s="62">
        <v>5.5624346073328099E-2</v>
      </c>
      <c r="K213" s="70" t="s">
        <v>21</v>
      </c>
      <c r="L213" s="70">
        <v>4.3062404386804247E-3</v>
      </c>
      <c r="M213" s="70">
        <v>8.5094488615933706E-3</v>
      </c>
      <c r="N213" s="70">
        <v>1.0401816853687141E-2</v>
      </c>
      <c r="O213" s="62">
        <v>1.1705455173328102E-2</v>
      </c>
      <c r="P213" s="54" t="s">
        <v>544</v>
      </c>
      <c r="Q213" s="52" t="s">
        <v>545</v>
      </c>
      <c r="R213" s="93">
        <v>47517</v>
      </c>
      <c r="S213" s="70">
        <v>4.9370480000000001E-2</v>
      </c>
      <c r="T213" s="62">
        <v>8.3230256159337601E-4</v>
      </c>
      <c r="V213" s="113">
        <v>1.1155155800000001</v>
      </c>
      <c r="W213" s="71">
        <v>2.8742049000000001</v>
      </c>
      <c r="X213" s="71">
        <v>4.4332512299999998</v>
      </c>
      <c r="Y213" s="71">
        <v>5.77963643</v>
      </c>
      <c r="Z213" s="114">
        <v>7.4713409300000002</v>
      </c>
    </row>
    <row r="214" spans="2:26" x14ac:dyDescent="0.35">
      <c r="B214" s="54" t="s">
        <v>344</v>
      </c>
      <c r="C214" s="52" t="s">
        <v>232</v>
      </c>
      <c r="D214" s="52" t="s">
        <v>97</v>
      </c>
      <c r="E214" s="52" t="s">
        <v>225</v>
      </c>
      <c r="F214" s="70">
        <v>4.0275774696192791E-2</v>
      </c>
      <c r="G214" s="70">
        <v>4.6100082469477756E-2</v>
      </c>
      <c r="H214" s="70">
        <v>5.0158228737570761E-2</v>
      </c>
      <c r="I214" s="70">
        <v>5.3197249603586863E-2</v>
      </c>
      <c r="J214" s="62">
        <v>5.6487066481736445E-2</v>
      </c>
      <c r="K214" s="70" t="s">
        <v>21</v>
      </c>
      <c r="L214" s="70">
        <v>4.4761834694777552E-3</v>
      </c>
      <c r="M214" s="70">
        <v>8.4664608375707648E-3</v>
      </c>
      <c r="N214" s="70">
        <v>1.0723987203586865E-2</v>
      </c>
      <c r="O214" s="62">
        <v>1.2530071581736451E-2</v>
      </c>
      <c r="P214" s="54" t="s">
        <v>21</v>
      </c>
      <c r="Q214" s="52" t="s">
        <v>21</v>
      </c>
      <c r="R214" s="93" t="s">
        <v>21</v>
      </c>
      <c r="S214" s="70">
        <v>0</v>
      </c>
      <c r="T214" s="62">
        <v>5.0158228737570761E-2</v>
      </c>
      <c r="V214" s="113">
        <v>1.11598898</v>
      </c>
      <c r="W214" s="71">
        <v>2.8739179699999999</v>
      </c>
      <c r="X214" s="71">
        <v>4.4330051600000004</v>
      </c>
      <c r="Y214" s="71">
        <v>5.7750238600000001</v>
      </c>
      <c r="Z214" s="114">
        <v>7.4451389600000004</v>
      </c>
    </row>
    <row r="215" spans="2:26" x14ac:dyDescent="0.35">
      <c r="B215" s="54" t="s">
        <v>353</v>
      </c>
      <c r="C215" s="52" t="s">
        <v>232</v>
      </c>
      <c r="D215" s="52" t="s">
        <v>31</v>
      </c>
      <c r="E215" s="52" t="s">
        <v>546</v>
      </c>
      <c r="F215" s="70">
        <v>4.0220065353490729E-2</v>
      </c>
      <c r="G215" s="70">
        <v>4.587406223008416E-2</v>
      </c>
      <c r="H215" s="70">
        <v>5.0148269133339848E-2</v>
      </c>
      <c r="I215" s="70">
        <v>5.3044241904893402E-2</v>
      </c>
      <c r="J215" s="62">
        <v>5.6468899987919541E-2</v>
      </c>
      <c r="K215" s="70" t="s">
        <v>21</v>
      </c>
      <c r="L215" s="70">
        <v>4.2621662300841596E-3</v>
      </c>
      <c r="M215" s="70">
        <v>8.4574785333398541E-3</v>
      </c>
      <c r="N215" s="70">
        <v>1.057939400489339E-2</v>
      </c>
      <c r="O215" s="62">
        <v>1.2512706387919535E-2</v>
      </c>
      <c r="P215" s="54" t="s">
        <v>21</v>
      </c>
      <c r="Q215" s="52" t="s">
        <v>21</v>
      </c>
      <c r="R215" s="93" t="s">
        <v>21</v>
      </c>
      <c r="S215" s="70">
        <v>0</v>
      </c>
      <c r="T215" s="62">
        <v>5.0148269133339848E-2</v>
      </c>
      <c r="V215" s="113">
        <v>1.11608705</v>
      </c>
      <c r="W215" s="71">
        <v>2.8754814999999998</v>
      </c>
      <c r="X215" s="71">
        <v>4.4350629699999997</v>
      </c>
      <c r="Y215" s="71">
        <v>5.7788875500000003</v>
      </c>
      <c r="Z215" s="114">
        <v>7.4499595099999993</v>
      </c>
    </row>
    <row r="216" spans="2:26" x14ac:dyDescent="0.35">
      <c r="B216" s="54" t="s">
        <v>361</v>
      </c>
      <c r="C216" s="52" t="s">
        <v>232</v>
      </c>
      <c r="D216" s="52" t="s">
        <v>304</v>
      </c>
      <c r="E216" s="52" t="s">
        <v>21</v>
      </c>
      <c r="F216" s="70">
        <v>4.0386576723754161E-2</v>
      </c>
      <c r="G216" s="70">
        <v>4.5911818195670841E-2</v>
      </c>
      <c r="H216" s="70">
        <v>5.0100561931419547E-2</v>
      </c>
      <c r="I216" s="70">
        <v>5.2852102454181774E-2</v>
      </c>
      <c r="J216" s="62">
        <v>5.585270202515779E-2</v>
      </c>
      <c r="K216" s="70" t="s">
        <v>21</v>
      </c>
      <c r="L216" s="70">
        <v>4.2971623956708496E-3</v>
      </c>
      <c r="M216" s="70">
        <v>8.4116085314195552E-3</v>
      </c>
      <c r="N216" s="70">
        <v>1.0396275154181777E-2</v>
      </c>
      <c r="O216" s="62">
        <v>1.192322662515778E-2</v>
      </c>
      <c r="P216" s="54" t="s">
        <v>21</v>
      </c>
      <c r="Q216" s="52" t="s">
        <v>21</v>
      </c>
      <c r="R216" s="93" t="s">
        <v>21</v>
      </c>
      <c r="S216" s="70">
        <v>0</v>
      </c>
      <c r="T216" s="62">
        <v>5.0100561931419547E-2</v>
      </c>
      <c r="V216" s="113">
        <v>1.11578814</v>
      </c>
      <c r="W216" s="71">
        <v>2.8747363899999998</v>
      </c>
      <c r="X216" s="71">
        <v>4.4347888699999993</v>
      </c>
      <c r="Y216" s="71">
        <v>5.7814347799999997</v>
      </c>
      <c r="Z216" s="114">
        <v>7.4676628599999999</v>
      </c>
    </row>
    <row r="217" spans="2:26" x14ac:dyDescent="0.35">
      <c r="B217" s="54" t="s">
        <v>346</v>
      </c>
      <c r="C217" s="52" t="s">
        <v>232</v>
      </c>
      <c r="D217" s="52" t="s">
        <v>97</v>
      </c>
      <c r="E217" s="52" t="s">
        <v>21</v>
      </c>
      <c r="F217" s="70">
        <v>4.0392744168855743E-2</v>
      </c>
      <c r="G217" s="70">
        <v>4.5921879825898959E-2</v>
      </c>
      <c r="H217" s="70">
        <v>5.0100465323155284E-2</v>
      </c>
      <c r="I217" s="70">
        <v>5.2707363486517396E-2</v>
      </c>
      <c r="J217" s="62">
        <v>5.6213455346885953E-2</v>
      </c>
      <c r="K217" s="70" t="s">
        <v>21</v>
      </c>
      <c r="L217" s="70">
        <v>4.3070993258989641E-3</v>
      </c>
      <c r="M217" s="70">
        <v>8.4117775231552887E-3</v>
      </c>
      <c r="N217" s="70">
        <v>1.0258976686517398E-2</v>
      </c>
      <c r="O217" s="62">
        <v>1.2266293946885956E-2</v>
      </c>
      <c r="P217" s="54" t="s">
        <v>21</v>
      </c>
      <c r="Q217" s="52" t="s">
        <v>21</v>
      </c>
      <c r="R217" s="93" t="s">
        <v>21</v>
      </c>
      <c r="S217" s="70">
        <v>0</v>
      </c>
      <c r="T217" s="62">
        <v>5.0100465323155284E-2</v>
      </c>
      <c r="V217" s="113">
        <v>1.1157713899999999</v>
      </c>
      <c r="W217" s="71">
        <v>2.8746425100000002</v>
      </c>
      <c r="X217" s="71">
        <v>4.4346742100000007</v>
      </c>
      <c r="Y217" s="71">
        <v>5.7832955999999998</v>
      </c>
      <c r="Z217" s="114">
        <v>7.4622894899999999</v>
      </c>
    </row>
    <row r="218" spans="2:26" x14ac:dyDescent="0.35">
      <c r="B218" s="54" t="s">
        <v>250</v>
      </c>
      <c r="C218" s="52" t="s">
        <v>232</v>
      </c>
      <c r="D218" s="52" t="s">
        <v>43</v>
      </c>
      <c r="E218" s="52" t="s">
        <v>123</v>
      </c>
      <c r="F218" s="70">
        <v>4.0495694633474168E-2</v>
      </c>
      <c r="G218" s="70">
        <v>4.587110372282905E-2</v>
      </c>
      <c r="H218" s="70">
        <v>5.0045716123889382E-2</v>
      </c>
      <c r="I218" s="70">
        <v>5.2991360639825139E-2</v>
      </c>
      <c r="J218" s="62">
        <v>5.6461450286590983E-2</v>
      </c>
      <c r="K218" s="70" t="s">
        <v>21</v>
      </c>
      <c r="L218" s="70">
        <v>4.2603530228290483E-3</v>
      </c>
      <c r="M218" s="70">
        <v>8.3608459238893856E-3</v>
      </c>
      <c r="N218" s="70">
        <v>1.0529508139825141E-2</v>
      </c>
      <c r="O218" s="62">
        <v>1.2505684186590982E-2</v>
      </c>
      <c r="P218" s="54" t="s">
        <v>21</v>
      </c>
      <c r="Q218" s="52" t="s">
        <v>21</v>
      </c>
      <c r="R218" s="93" t="s">
        <v>21</v>
      </c>
      <c r="S218" s="70">
        <v>0</v>
      </c>
      <c r="T218" s="62">
        <v>5.0045716123889382E-2</v>
      </c>
      <c r="V218" s="113">
        <v>1.1155603599999999</v>
      </c>
      <c r="W218" s="71">
        <v>2.8745809499999999</v>
      </c>
      <c r="X218" s="71">
        <v>4.4352677600000003</v>
      </c>
      <c r="Y218" s="71">
        <v>5.78011155</v>
      </c>
      <c r="Z218" s="114">
        <v>7.4514941800000001</v>
      </c>
    </row>
    <row r="219" spans="2:26" x14ac:dyDescent="0.35">
      <c r="B219" s="54" t="s">
        <v>259</v>
      </c>
      <c r="C219" s="52" t="s">
        <v>232</v>
      </c>
      <c r="D219" s="52" t="s">
        <v>31</v>
      </c>
      <c r="E219" s="52" t="s">
        <v>36</v>
      </c>
      <c r="F219" s="70">
        <v>4.0502473173527946E-2</v>
      </c>
      <c r="G219" s="70">
        <v>4.5866777692602952E-2</v>
      </c>
      <c r="H219" s="70">
        <v>4.9997674589582229E-2</v>
      </c>
      <c r="I219" s="70">
        <v>5.2702060932535419E-2</v>
      </c>
      <c r="J219" s="62">
        <v>5.6069762749977818E-2</v>
      </c>
      <c r="K219" s="70" t="s">
        <v>21</v>
      </c>
      <c r="L219" s="70">
        <v>4.2537234926029619E-3</v>
      </c>
      <c r="M219" s="70">
        <v>8.3135106895822382E-3</v>
      </c>
      <c r="N219" s="70">
        <v>1.0253282432535421E-2</v>
      </c>
      <c r="O219" s="62">
        <v>1.2129153549977829E-2</v>
      </c>
      <c r="P219" s="54" t="s">
        <v>547</v>
      </c>
      <c r="Q219" s="52" t="s">
        <v>548</v>
      </c>
      <c r="R219" s="93">
        <v>47660</v>
      </c>
      <c r="S219" s="70">
        <v>4.9130459999999994E-2</v>
      </c>
      <c r="T219" s="62">
        <v>8.672145895822353E-4</v>
      </c>
      <c r="V219" s="113">
        <v>1.1155818499999999</v>
      </c>
      <c r="W219" s="71">
        <v>2.8746624399999998</v>
      </c>
      <c r="X219" s="71">
        <v>4.4358720099999998</v>
      </c>
      <c r="Y219" s="71">
        <v>5.7847780799999997</v>
      </c>
      <c r="Z219" s="114">
        <v>7.4667432900000001</v>
      </c>
    </row>
    <row r="220" spans="2:26" x14ac:dyDescent="0.35">
      <c r="B220" s="54" t="s">
        <v>248</v>
      </c>
      <c r="C220" s="52" t="s">
        <v>232</v>
      </c>
      <c r="D220" s="52" t="s">
        <v>97</v>
      </c>
      <c r="E220" s="52" t="s">
        <v>159</v>
      </c>
      <c r="F220" s="70">
        <v>4.0552371953967679E-2</v>
      </c>
      <c r="G220" s="70">
        <v>4.5886419236084004E-2</v>
      </c>
      <c r="H220" s="70">
        <v>4.9997857393191326E-2</v>
      </c>
      <c r="I220" s="70">
        <v>5.2654085241970322E-2</v>
      </c>
      <c r="J220" s="62">
        <v>5.602025632705266E-2</v>
      </c>
      <c r="K220" s="70" t="s">
        <v>21</v>
      </c>
      <c r="L220" s="70">
        <v>4.2730099360840032E-3</v>
      </c>
      <c r="M220" s="70">
        <v>8.3141175931913339E-3</v>
      </c>
      <c r="N220" s="70">
        <v>1.0208000941970325E-2</v>
      </c>
      <c r="O220" s="62">
        <v>1.208174682705266E-2</v>
      </c>
      <c r="P220" s="54" t="s">
        <v>549</v>
      </c>
      <c r="Q220" s="52" t="s">
        <v>550</v>
      </c>
      <c r="R220" s="93">
        <v>47551</v>
      </c>
      <c r="S220" s="70">
        <v>4.7342129999999996E-2</v>
      </c>
      <c r="T220" s="62">
        <v>2.6557273931913303E-3</v>
      </c>
      <c r="V220" s="113">
        <v>1.1154802099999999</v>
      </c>
      <c r="W220" s="71">
        <v>2.8743605900000002</v>
      </c>
      <c r="X220" s="71">
        <v>4.4355395300000007</v>
      </c>
      <c r="Y220" s="71">
        <v>5.7851286399999999</v>
      </c>
      <c r="Z220" s="114">
        <v>7.4685637200000006</v>
      </c>
    </row>
    <row r="221" spans="2:26" x14ac:dyDescent="0.35">
      <c r="B221" s="54" t="s">
        <v>245</v>
      </c>
      <c r="C221" s="52" t="s">
        <v>232</v>
      </c>
      <c r="D221" s="52" t="s">
        <v>20</v>
      </c>
      <c r="E221" s="52" t="s">
        <v>21</v>
      </c>
      <c r="F221" s="70">
        <v>4.0906456991944937E-2</v>
      </c>
      <c r="G221" s="70">
        <v>4.6398788588617061E-2</v>
      </c>
      <c r="H221" s="70">
        <v>5.0393266805340613E-2</v>
      </c>
      <c r="I221" s="70">
        <v>5.3150132144159846E-2</v>
      </c>
      <c r="J221" s="62">
        <v>5.6348467862028358E-2</v>
      </c>
      <c r="K221" s="70" t="s">
        <v>21</v>
      </c>
      <c r="L221" s="70">
        <v>4.758822188617064E-3</v>
      </c>
      <c r="M221" s="70">
        <v>8.6890928053406161E-3</v>
      </c>
      <c r="N221" s="70">
        <v>1.0679819644159851E-2</v>
      </c>
      <c r="O221" s="62">
        <v>1.2397978062028369E-2</v>
      </c>
      <c r="P221" s="54" t="s">
        <v>246</v>
      </c>
      <c r="Q221" s="52" t="s">
        <v>247</v>
      </c>
      <c r="R221" s="93">
        <v>47543</v>
      </c>
      <c r="S221" s="70">
        <v>4.8450509999999995E-2</v>
      </c>
      <c r="T221" s="62">
        <v>1.9427568053406175E-3</v>
      </c>
      <c r="V221" s="113">
        <v>1.1148339199999999</v>
      </c>
      <c r="W221" s="71">
        <v>2.8704525699999999</v>
      </c>
      <c r="X221" s="71">
        <v>4.4269990999999997</v>
      </c>
      <c r="Y221" s="71">
        <v>5.7690183300000006</v>
      </c>
      <c r="Z221" s="114">
        <v>7.4426139999999998</v>
      </c>
    </row>
    <row r="222" spans="2:26" x14ac:dyDescent="0.35">
      <c r="B222" s="54" t="s">
        <v>350</v>
      </c>
      <c r="C222" s="52" t="s">
        <v>232</v>
      </c>
      <c r="D222" s="52" t="s">
        <v>20</v>
      </c>
      <c r="E222" s="52" t="s">
        <v>21</v>
      </c>
      <c r="F222" s="70">
        <v>4.0534807837018245E-2</v>
      </c>
      <c r="G222" s="70">
        <v>4.5978771859784884E-2</v>
      </c>
      <c r="H222" s="70">
        <v>5.0288688417963121E-2</v>
      </c>
      <c r="I222" s="70">
        <v>5.3053159028575464E-2</v>
      </c>
      <c r="J222" s="62">
        <v>5.589870901160978E-2</v>
      </c>
      <c r="K222" s="70" t="s">
        <v>21</v>
      </c>
      <c r="L222" s="70">
        <v>4.363537459784887E-3</v>
      </c>
      <c r="M222" s="70">
        <v>8.5921038179631246E-3</v>
      </c>
      <c r="N222" s="70">
        <v>1.0589312528575461E-2</v>
      </c>
      <c r="O222" s="62">
        <v>1.197026141160978E-2</v>
      </c>
      <c r="P222" s="54" t="s">
        <v>391</v>
      </c>
      <c r="Q222" s="52" t="s">
        <v>392</v>
      </c>
      <c r="R222" s="93">
        <v>47802</v>
      </c>
      <c r="S222" s="70">
        <v>4.945302E-2</v>
      </c>
      <c r="T222" s="62">
        <v>8.3566841796312019E-4</v>
      </c>
      <c r="V222" s="113">
        <v>1.11549086</v>
      </c>
      <c r="W222" s="71">
        <v>2.8738289899999998</v>
      </c>
      <c r="X222" s="71">
        <v>4.4318529699999996</v>
      </c>
      <c r="Y222" s="71">
        <v>5.7745768499999999</v>
      </c>
      <c r="Z222" s="114">
        <v>7.4577056700000002</v>
      </c>
    </row>
    <row r="223" spans="2:26" x14ac:dyDescent="0.35">
      <c r="B223" s="54" t="s">
        <v>254</v>
      </c>
      <c r="C223" s="52" t="s">
        <v>232</v>
      </c>
      <c r="D223" s="52" t="s">
        <v>255</v>
      </c>
      <c r="E223" s="52" t="s">
        <v>103</v>
      </c>
      <c r="F223" s="70">
        <v>4.0473445205666266E-2</v>
      </c>
      <c r="G223" s="70">
        <v>4.5520418081138443E-2</v>
      </c>
      <c r="H223" s="70">
        <v>4.9570554040510882E-2</v>
      </c>
      <c r="I223" s="70">
        <v>5.2426528182893194E-2</v>
      </c>
      <c r="J223" s="62">
        <v>5.5790583197054773E-2</v>
      </c>
      <c r="K223" s="70" t="s">
        <v>21</v>
      </c>
      <c r="L223" s="70">
        <v>3.9264736811384458E-3</v>
      </c>
      <c r="M223" s="70">
        <v>7.9092264405108918E-3</v>
      </c>
      <c r="N223" s="70">
        <v>9.992442382893197E-3</v>
      </c>
      <c r="O223" s="62">
        <v>1.1863997197054763E-2</v>
      </c>
      <c r="P223" s="54" t="s">
        <v>551</v>
      </c>
      <c r="Q223" s="52" t="s">
        <v>552</v>
      </c>
      <c r="R223" s="93" t="s">
        <v>32</v>
      </c>
      <c r="S223" s="70">
        <v>4.7720830000000006E-2</v>
      </c>
      <c r="T223" s="62">
        <v>1.8497240405108764E-3</v>
      </c>
      <c r="V223" s="113">
        <v>1.1156156400000001</v>
      </c>
      <c r="W223" s="71">
        <v>2.8768520799999999</v>
      </c>
      <c r="X223" s="71">
        <v>4.4429456499999995</v>
      </c>
      <c r="Y223" s="71">
        <v>5.7961337500000001</v>
      </c>
      <c r="Z223" s="114">
        <v>7.4844060299999997</v>
      </c>
    </row>
    <row r="224" spans="2:26" x14ac:dyDescent="0.35">
      <c r="B224" s="54" t="s">
        <v>156</v>
      </c>
      <c r="C224" s="52" t="s">
        <v>232</v>
      </c>
      <c r="D224" s="52" t="s">
        <v>31</v>
      </c>
      <c r="E224" s="52" t="s">
        <v>553</v>
      </c>
      <c r="F224" s="70">
        <v>4.0136518866835322E-2</v>
      </c>
      <c r="G224" s="70">
        <v>4.5393801329322497E-2</v>
      </c>
      <c r="H224" s="70">
        <v>4.9514699461520331E-2</v>
      </c>
      <c r="I224" s="70">
        <v>5.2274685484986629E-2</v>
      </c>
      <c r="J224" s="62">
        <v>5.5634444158814557E-2</v>
      </c>
      <c r="K224" s="70" t="s">
        <v>21</v>
      </c>
      <c r="L224" s="70">
        <v>3.8045348293224957E-3</v>
      </c>
      <c r="M224" s="70">
        <v>7.8550657615203377E-3</v>
      </c>
      <c r="N224" s="70">
        <v>9.8474597849866272E-3</v>
      </c>
      <c r="O224" s="62">
        <v>1.1714079058814553E-2</v>
      </c>
      <c r="P224" s="54" t="s">
        <v>21</v>
      </c>
      <c r="Q224" s="52" t="s">
        <v>21</v>
      </c>
      <c r="R224" s="93" t="s">
        <v>21</v>
      </c>
      <c r="S224" s="70">
        <v>0</v>
      </c>
      <c r="T224" s="62">
        <v>4.9514699461520331E-2</v>
      </c>
      <c r="V224" s="113">
        <v>1.11626658</v>
      </c>
      <c r="W224" s="71">
        <v>2.8787762200000002</v>
      </c>
      <c r="X224" s="71">
        <v>4.4455804500000005</v>
      </c>
      <c r="Y224" s="71">
        <v>5.8007317699999996</v>
      </c>
      <c r="Z224" s="114">
        <v>7.4930482500000011</v>
      </c>
    </row>
    <row r="225" spans="2:26" x14ac:dyDescent="0.35">
      <c r="B225" s="54" t="s">
        <v>148</v>
      </c>
      <c r="C225" s="52" t="s">
        <v>232</v>
      </c>
      <c r="D225" s="52" t="s">
        <v>97</v>
      </c>
      <c r="E225" s="52" t="s">
        <v>345</v>
      </c>
      <c r="F225" s="70">
        <v>4.0027277106368213E-2</v>
      </c>
      <c r="G225" s="70">
        <v>4.5551628183563883E-2</v>
      </c>
      <c r="H225" s="70">
        <v>4.9467397538780426E-2</v>
      </c>
      <c r="I225" s="70">
        <v>5.2324093984184646E-2</v>
      </c>
      <c r="J225" s="62">
        <v>5.5778115864410137E-2</v>
      </c>
      <c r="K225" s="70" t="s">
        <v>21</v>
      </c>
      <c r="L225" s="70">
        <v>3.9553744835638931E-3</v>
      </c>
      <c r="M225" s="70">
        <v>7.8106751387804312E-3</v>
      </c>
      <c r="N225" s="70">
        <v>9.8946625841846488E-3</v>
      </c>
      <c r="O225" s="62">
        <v>1.1851653064410134E-2</v>
      </c>
      <c r="P225" s="54" t="s">
        <v>554</v>
      </c>
      <c r="Q225" s="52" t="s">
        <v>555</v>
      </c>
      <c r="R225" s="93" t="s">
        <v>32</v>
      </c>
      <c r="S225" s="70">
        <v>5.1485160000000002E-2</v>
      </c>
      <c r="T225" s="62">
        <v>-2.0177624612195758E-3</v>
      </c>
      <c r="V225" s="113">
        <v>1.1164566199999999</v>
      </c>
      <c r="W225" s="71">
        <v>2.87812154</v>
      </c>
      <c r="X225" s="71">
        <v>4.4450557000000002</v>
      </c>
      <c r="Y225" s="71">
        <v>5.7997845000000003</v>
      </c>
      <c r="Z225" s="114">
        <v>7.488577170000001</v>
      </c>
    </row>
    <row r="226" spans="2:26" x14ac:dyDescent="0.35">
      <c r="B226" s="54" t="s">
        <v>352</v>
      </c>
      <c r="C226" s="52" t="s">
        <v>232</v>
      </c>
      <c r="D226" s="52" t="s">
        <v>20</v>
      </c>
      <c r="E226" s="52" t="s">
        <v>21</v>
      </c>
      <c r="F226" s="70">
        <v>4.0388006457086116E-2</v>
      </c>
      <c r="G226" s="70">
        <v>4.5863485470741816E-2</v>
      </c>
      <c r="H226" s="70">
        <v>4.997451910185239E-2</v>
      </c>
      <c r="I226" s="70">
        <v>5.3034181898648107E-2</v>
      </c>
      <c r="J226" s="62">
        <v>5.6214496237526883E-2</v>
      </c>
      <c r="K226" s="70" t="s">
        <v>21</v>
      </c>
      <c r="L226" s="70">
        <v>4.2481092707418221E-3</v>
      </c>
      <c r="M226" s="70">
        <v>8.2898318018523875E-3</v>
      </c>
      <c r="N226" s="70">
        <v>1.05681228986481E-2</v>
      </c>
      <c r="O226" s="62">
        <v>1.2270842537526871E-2</v>
      </c>
      <c r="P226" s="54" t="s">
        <v>21</v>
      </c>
      <c r="Q226" s="52" t="s">
        <v>21</v>
      </c>
      <c r="R226" s="93" t="s">
        <v>21</v>
      </c>
      <c r="S226" s="70">
        <v>0</v>
      </c>
      <c r="T226" s="62">
        <v>4.997451910185239E-2</v>
      </c>
      <c r="V226" s="113">
        <v>1.1158321800000002</v>
      </c>
      <c r="W226" s="71">
        <v>2.8757782999999999</v>
      </c>
      <c r="X226" s="71">
        <v>4.4376264999999995</v>
      </c>
      <c r="Y226" s="71">
        <v>5.7808104399999998</v>
      </c>
      <c r="Z226" s="114">
        <v>7.4552133000000005</v>
      </c>
    </row>
    <row r="227" spans="2:26" x14ac:dyDescent="0.35">
      <c r="B227" s="54" t="s">
        <v>373</v>
      </c>
      <c r="C227" s="52" t="s">
        <v>232</v>
      </c>
      <c r="D227" s="52" t="s">
        <v>69</v>
      </c>
      <c r="E227" s="52" t="s">
        <v>21</v>
      </c>
      <c r="F227" s="70">
        <v>4.0168315952279696E-2</v>
      </c>
      <c r="G227" s="70">
        <v>4.5465792600661699E-2</v>
      </c>
      <c r="H227" s="70">
        <v>4.9412292886653456E-2</v>
      </c>
      <c r="I227" s="70">
        <v>5.1834778843887028E-2</v>
      </c>
      <c r="J227" s="62">
        <v>5.45730133966605E-2</v>
      </c>
      <c r="K227" s="70" t="s">
        <v>21</v>
      </c>
      <c r="L227" s="70">
        <v>3.8746874006617073E-3</v>
      </c>
      <c r="M227" s="70">
        <v>7.7589497866534622E-3</v>
      </c>
      <c r="N227" s="70">
        <v>9.4297820438870323E-3</v>
      </c>
      <c r="O227" s="62">
        <v>1.0697741896660493E-2</v>
      </c>
      <c r="P227" s="54" t="s">
        <v>21</v>
      </c>
      <c r="Q227" s="52" t="s">
        <v>21</v>
      </c>
      <c r="R227" s="93" t="s">
        <v>21</v>
      </c>
      <c r="S227" s="70">
        <v>0</v>
      </c>
      <c r="T227" s="62">
        <v>4.9412292886653456E-2</v>
      </c>
      <c r="V227" s="113">
        <v>1.11618281</v>
      </c>
      <c r="W227" s="71">
        <v>2.8781726600000002</v>
      </c>
      <c r="X227" s="71">
        <v>4.44585352</v>
      </c>
      <c r="Y227" s="71">
        <v>5.8073151300000001</v>
      </c>
      <c r="Z227" s="114">
        <v>7.5264751099999998</v>
      </c>
    </row>
    <row r="228" spans="2:26" x14ac:dyDescent="0.35">
      <c r="B228" s="54" t="s">
        <v>374</v>
      </c>
      <c r="C228" s="52" t="s">
        <v>232</v>
      </c>
      <c r="D228" s="52" t="s">
        <v>20</v>
      </c>
      <c r="E228" s="52" t="s">
        <v>556</v>
      </c>
      <c r="F228" s="70">
        <v>3.9952360643442479E-2</v>
      </c>
      <c r="G228" s="70">
        <v>4.4745718554488174E-2</v>
      </c>
      <c r="H228" s="70">
        <v>4.7956510160657044E-2</v>
      </c>
      <c r="I228" s="70">
        <v>5.013315320447298E-2</v>
      </c>
      <c r="J228" s="62">
        <v>5.2583450029144302E-2</v>
      </c>
      <c r="K228" s="70" t="s">
        <v>21</v>
      </c>
      <c r="L228" s="70">
        <v>3.1900264544881731E-3</v>
      </c>
      <c r="M228" s="70">
        <v>6.374317160657051E-3</v>
      </c>
      <c r="N228" s="70">
        <v>7.8078100044729776E-3</v>
      </c>
      <c r="O228" s="62">
        <v>8.7871951291443005E-3</v>
      </c>
      <c r="P228" s="54" t="s">
        <v>21</v>
      </c>
      <c r="Q228" s="52" t="s">
        <v>21</v>
      </c>
      <c r="R228" s="93" t="s">
        <v>21</v>
      </c>
      <c r="S228" s="70">
        <v>0</v>
      </c>
      <c r="T228" s="62">
        <v>4.7956510160657044E-2</v>
      </c>
      <c r="V228" s="113">
        <v>1.11659277</v>
      </c>
      <c r="W228" s="71">
        <v>2.8832853900000002</v>
      </c>
      <c r="X228" s="71">
        <v>4.4669062000000004</v>
      </c>
      <c r="Y228" s="71">
        <v>5.8543816899999994</v>
      </c>
      <c r="Z228" s="114">
        <v>7.6241325799999995</v>
      </c>
    </row>
    <row r="229" spans="2:26" x14ac:dyDescent="0.35">
      <c r="B229" s="54" t="s">
        <v>157</v>
      </c>
      <c r="C229" s="52" t="s">
        <v>232</v>
      </c>
      <c r="D229" s="52" t="s">
        <v>31</v>
      </c>
      <c r="E229" s="52" t="s">
        <v>21</v>
      </c>
      <c r="F229" s="70">
        <v>4.063613950312004E-2</v>
      </c>
      <c r="G229" s="70">
        <v>4.5572254224935139E-2</v>
      </c>
      <c r="H229" s="70">
        <v>4.9370600557314202E-2</v>
      </c>
      <c r="I229" s="70">
        <v>5.1986080495648006E-2</v>
      </c>
      <c r="J229" s="62">
        <v>5.5056588369376817E-2</v>
      </c>
      <c r="K229" s="70" t="s">
        <v>21</v>
      </c>
      <c r="L229" s="70">
        <v>3.9735236249351432E-3</v>
      </c>
      <c r="M229" s="70">
        <v>7.7177543573142019E-3</v>
      </c>
      <c r="N229" s="70">
        <v>9.5720707956480008E-3</v>
      </c>
      <c r="O229" s="62">
        <v>1.115927946937682E-2</v>
      </c>
      <c r="P229" s="54" t="s">
        <v>21</v>
      </c>
      <c r="Q229" s="52" t="s">
        <v>21</v>
      </c>
      <c r="R229" s="93" t="s">
        <v>21</v>
      </c>
      <c r="S229" s="70">
        <v>0</v>
      </c>
      <c r="T229" s="62">
        <v>4.9370600557314202E-2</v>
      </c>
      <c r="V229" s="113">
        <v>1.1153422399999999</v>
      </c>
      <c r="W229" s="71">
        <v>2.8760727699999999</v>
      </c>
      <c r="X229" s="71">
        <v>4.4441503299999994</v>
      </c>
      <c r="Y229" s="71">
        <v>5.8039343499999996</v>
      </c>
      <c r="Z229" s="114">
        <v>7.5113534199999998</v>
      </c>
    </row>
    <row r="230" spans="2:26" x14ac:dyDescent="0.35">
      <c r="B230" s="54" t="s">
        <v>260</v>
      </c>
      <c r="C230" s="52" t="s">
        <v>232</v>
      </c>
      <c r="D230" s="52" t="s">
        <v>43</v>
      </c>
      <c r="E230" s="52" t="s">
        <v>21</v>
      </c>
      <c r="F230" s="70">
        <v>4.0452114935264662E-2</v>
      </c>
      <c r="G230" s="70">
        <v>4.5768058909343455E-2</v>
      </c>
      <c r="H230" s="70">
        <v>4.9322880853423477E-2</v>
      </c>
      <c r="I230" s="70">
        <v>5.1696019894278737E-2</v>
      </c>
      <c r="J230" s="62">
        <v>5.4756627053657893E-2</v>
      </c>
      <c r="K230" s="70" t="s">
        <v>21</v>
      </c>
      <c r="L230" s="70">
        <v>4.1613569093434605E-3</v>
      </c>
      <c r="M230" s="70">
        <v>7.6735937534234818E-3</v>
      </c>
      <c r="N230" s="70">
        <v>9.2968173942787405E-3</v>
      </c>
      <c r="O230" s="62">
        <v>1.0870968153657897E-2</v>
      </c>
      <c r="P230" s="54" t="s">
        <v>21</v>
      </c>
      <c r="Q230" s="52" t="s">
        <v>21</v>
      </c>
      <c r="R230" s="93" t="s">
        <v>21</v>
      </c>
      <c r="S230" s="70">
        <v>0</v>
      </c>
      <c r="T230" s="62">
        <v>4.9322880853423477E-2</v>
      </c>
      <c r="V230" s="113">
        <v>1.1156578100000001</v>
      </c>
      <c r="W230" s="71">
        <v>2.8753949800000003</v>
      </c>
      <c r="X230" s="71">
        <v>4.4434980499999996</v>
      </c>
      <c r="Y230" s="71">
        <v>5.8075029999999996</v>
      </c>
      <c r="Z230" s="114">
        <v>7.5237175700000005</v>
      </c>
    </row>
    <row r="231" spans="2:26" x14ac:dyDescent="0.35">
      <c r="B231" s="54" t="s">
        <v>322</v>
      </c>
      <c r="C231" s="52" t="s">
        <v>232</v>
      </c>
      <c r="D231" s="52" t="s">
        <v>31</v>
      </c>
      <c r="E231" s="52" t="s">
        <v>256</v>
      </c>
      <c r="F231" s="70">
        <v>3.9961227072404425E-2</v>
      </c>
      <c r="G231" s="70">
        <v>4.5231339874261534E-2</v>
      </c>
      <c r="H231" s="70">
        <v>4.9199124586657275E-2</v>
      </c>
      <c r="I231" s="70">
        <v>5.2830913845262659E-2</v>
      </c>
      <c r="J231" s="62">
        <v>5.6212542220663367E-2</v>
      </c>
      <c r="K231" s="70" t="s">
        <v>21</v>
      </c>
      <c r="L231" s="70">
        <v>3.6500269742615337E-3</v>
      </c>
      <c r="M231" s="70">
        <v>7.5551666866572817E-3</v>
      </c>
      <c r="N231" s="70">
        <v>1.0375952345262661E-2</v>
      </c>
      <c r="O231" s="62">
        <v>1.2271285320663367E-2</v>
      </c>
      <c r="P231" s="54" t="s">
        <v>21</v>
      </c>
      <c r="Q231" s="52" t="s">
        <v>21</v>
      </c>
      <c r="R231" s="93" t="s">
        <v>21</v>
      </c>
      <c r="S231" s="70">
        <v>0</v>
      </c>
      <c r="T231" s="62">
        <v>4.9199124586657275E-2</v>
      </c>
      <c r="V231" s="113">
        <v>1.1165964100000001</v>
      </c>
      <c r="W231" s="71">
        <v>2.8803562</v>
      </c>
      <c r="X231" s="71">
        <v>4.4505734800000001</v>
      </c>
      <c r="Y231" s="71">
        <v>5.7986130899999999</v>
      </c>
      <c r="Z231" s="114">
        <v>7.4730468800000001</v>
      </c>
    </row>
    <row r="232" spans="2:26" x14ac:dyDescent="0.35">
      <c r="B232" s="54" t="s">
        <v>365</v>
      </c>
      <c r="C232" s="52" t="s">
        <v>232</v>
      </c>
      <c r="D232" s="52" t="s">
        <v>69</v>
      </c>
      <c r="E232" s="52" t="s">
        <v>21</v>
      </c>
      <c r="F232" s="70">
        <v>4.0553775067274901E-2</v>
      </c>
      <c r="G232" s="70">
        <v>4.5395382584425437E-2</v>
      </c>
      <c r="H232" s="70">
        <v>4.9154484633359287E-2</v>
      </c>
      <c r="I232" s="70">
        <v>5.167678389987896E-2</v>
      </c>
      <c r="J232" s="62">
        <v>5.455245067018135E-2</v>
      </c>
      <c r="K232" s="70" t="s">
        <v>21</v>
      </c>
      <c r="L232" s="70">
        <v>3.8076733844254391E-3</v>
      </c>
      <c r="M232" s="70">
        <v>7.5139196333592929E-3</v>
      </c>
      <c r="N232" s="70">
        <v>9.2790298998789624E-3</v>
      </c>
      <c r="O232" s="62">
        <v>1.0677430770181351E-2</v>
      </c>
      <c r="P232" s="54" t="s">
        <v>21</v>
      </c>
      <c r="Q232" s="52" t="s">
        <v>21</v>
      </c>
      <c r="R232" s="93" t="s">
        <v>21</v>
      </c>
      <c r="S232" s="70">
        <v>0</v>
      </c>
      <c r="T232" s="62">
        <v>4.9154484633359287E-2</v>
      </c>
      <c r="V232" s="113">
        <v>1.1154672799999998</v>
      </c>
      <c r="W232" s="71">
        <v>2.8773690899999997</v>
      </c>
      <c r="X232" s="71">
        <v>4.4478884900000004</v>
      </c>
      <c r="Y232" s="71">
        <v>5.8121380299999998</v>
      </c>
      <c r="Z232" s="114">
        <v>7.532137060000001</v>
      </c>
    </row>
    <row r="233" spans="2:26" x14ac:dyDescent="0.35">
      <c r="B233" s="54" t="s">
        <v>374</v>
      </c>
      <c r="C233" s="52" t="s">
        <v>232</v>
      </c>
      <c r="D233" s="52" t="s">
        <v>20</v>
      </c>
      <c r="E233" s="52" t="s">
        <v>249</v>
      </c>
      <c r="F233" s="70">
        <v>3.9952360643442479E-2</v>
      </c>
      <c r="G233" s="70">
        <v>4.4745718554488174E-2</v>
      </c>
      <c r="H233" s="70">
        <v>4.7956510160657044E-2</v>
      </c>
      <c r="I233" s="70">
        <v>5.013315320447298E-2</v>
      </c>
      <c r="J233" s="62">
        <v>5.2583450029144302E-2</v>
      </c>
      <c r="K233" s="70" t="s">
        <v>21</v>
      </c>
      <c r="L233" s="70">
        <v>3.1900264544881731E-3</v>
      </c>
      <c r="M233" s="70">
        <v>6.374317160657051E-3</v>
      </c>
      <c r="N233" s="70">
        <v>7.8078100044729776E-3</v>
      </c>
      <c r="O233" s="62">
        <v>8.7871951291443005E-3</v>
      </c>
      <c r="P233" s="54" t="s">
        <v>21</v>
      </c>
      <c r="Q233" s="52" t="s">
        <v>21</v>
      </c>
      <c r="R233" s="93" t="s">
        <v>21</v>
      </c>
      <c r="S233" s="70">
        <v>0</v>
      </c>
      <c r="T233" s="62">
        <v>4.7956510160657044E-2</v>
      </c>
      <c r="V233" s="113">
        <v>1.11659277</v>
      </c>
      <c r="W233" s="71">
        <v>2.8832853900000002</v>
      </c>
      <c r="X233" s="71">
        <v>4.4669062000000004</v>
      </c>
      <c r="Y233" s="71">
        <v>5.8543816899999994</v>
      </c>
      <c r="Z233" s="114">
        <v>7.6241325799999995</v>
      </c>
    </row>
    <row r="234" spans="2:26" x14ac:dyDescent="0.35">
      <c r="B234" s="54" t="s">
        <v>357</v>
      </c>
      <c r="C234" s="52" t="s">
        <v>232</v>
      </c>
      <c r="D234" s="52" t="s">
        <v>20</v>
      </c>
      <c r="E234" s="52" t="s">
        <v>58</v>
      </c>
      <c r="F234" s="70">
        <v>4.0878086474821898E-2</v>
      </c>
      <c r="G234" s="70">
        <v>4.6443470177540309E-2</v>
      </c>
      <c r="H234" s="70">
        <v>5.0727327377852433E-2</v>
      </c>
      <c r="I234" s="70">
        <v>5.3561412494646833E-2</v>
      </c>
      <c r="J234" s="62">
        <v>5.6769961990140685E-2</v>
      </c>
      <c r="K234" s="70" t="s">
        <v>21</v>
      </c>
      <c r="L234" s="70">
        <v>4.8003609775403083E-3</v>
      </c>
      <c r="M234" s="70">
        <v>9.0051282778524349E-3</v>
      </c>
      <c r="N234" s="70">
        <v>1.1069076194646839E-2</v>
      </c>
      <c r="O234" s="62">
        <v>1.2799844390140685E-2</v>
      </c>
      <c r="P234" s="54" t="s">
        <v>21</v>
      </c>
      <c r="Q234" s="52" t="s">
        <v>21</v>
      </c>
      <c r="R234" s="93" t="s">
        <v>21</v>
      </c>
      <c r="S234" s="70">
        <v>0</v>
      </c>
      <c r="T234" s="62">
        <v>5.0727327377852433E-2</v>
      </c>
      <c r="V234" s="113">
        <v>1.1148834999999999</v>
      </c>
      <c r="W234" s="71">
        <v>2.8693267599999999</v>
      </c>
      <c r="X234" s="71">
        <v>4.4229312499999995</v>
      </c>
      <c r="Y234" s="71">
        <v>5.7584231399999997</v>
      </c>
      <c r="Z234" s="114">
        <v>7.4203432500000002</v>
      </c>
    </row>
    <row r="235" spans="2:26" x14ac:dyDescent="0.35">
      <c r="B235" s="54" t="s">
        <v>261</v>
      </c>
      <c r="C235" s="52" t="s">
        <v>232</v>
      </c>
      <c r="D235" s="52" t="s">
        <v>62</v>
      </c>
      <c r="E235" s="52" t="s">
        <v>128</v>
      </c>
      <c r="F235" s="70">
        <v>4.0565034634719568E-2</v>
      </c>
      <c r="G235" s="70">
        <v>4.5493816115507499E-2</v>
      </c>
      <c r="H235" s="70">
        <v>4.9054654752125511E-2</v>
      </c>
      <c r="I235" s="70">
        <v>5.1529077952805057E-2</v>
      </c>
      <c r="J235" s="62">
        <v>5.4352924670413041E-2</v>
      </c>
      <c r="K235" s="70" t="s">
        <v>21</v>
      </c>
      <c r="L235" s="70">
        <v>3.9015421155074968E-3</v>
      </c>
      <c r="M235" s="70">
        <v>7.4192224521255137E-3</v>
      </c>
      <c r="N235" s="70">
        <v>9.1383505528050621E-3</v>
      </c>
      <c r="O235" s="62">
        <v>1.0485623870413041E-2</v>
      </c>
      <c r="P235" s="54" t="s">
        <v>557</v>
      </c>
      <c r="Q235" s="52" t="s">
        <v>558</v>
      </c>
      <c r="R235" s="93">
        <v>47649</v>
      </c>
      <c r="S235" s="70">
        <v>4.6382619999999999E-2</v>
      </c>
      <c r="T235" s="62">
        <v>2.6720347521255114E-3</v>
      </c>
      <c r="V235" s="113">
        <v>1.1154407799999999</v>
      </c>
      <c r="W235" s="71">
        <v>2.8767112699999999</v>
      </c>
      <c r="X235" s="71">
        <v>4.4480435800000002</v>
      </c>
      <c r="Y235" s="71">
        <v>5.8146572899999995</v>
      </c>
      <c r="Z235" s="114">
        <v>7.5400619000000004</v>
      </c>
    </row>
    <row r="236" spans="2:26" x14ac:dyDescent="0.35">
      <c r="B236" s="54" t="s">
        <v>370</v>
      </c>
      <c r="C236" s="52" t="s">
        <v>232</v>
      </c>
      <c r="D236" s="52" t="s">
        <v>69</v>
      </c>
      <c r="E236" s="52" t="s">
        <v>21</v>
      </c>
      <c r="F236" s="70">
        <v>4.0017673860684916E-2</v>
      </c>
      <c r="G236" s="70">
        <v>4.5420859013909021E-2</v>
      </c>
      <c r="H236" s="70">
        <v>4.8998129095573287E-2</v>
      </c>
      <c r="I236" s="70">
        <v>5.171582817266749E-2</v>
      </c>
      <c r="J236" s="62">
        <v>5.4828235008097449E-2</v>
      </c>
      <c r="K236" s="70" t="s">
        <v>21</v>
      </c>
      <c r="L236" s="70">
        <v>3.8317965139090249E-3</v>
      </c>
      <c r="M236" s="70">
        <v>7.365179995573283E-3</v>
      </c>
      <c r="N236" s="70">
        <v>9.3161233726674932E-3</v>
      </c>
      <c r="O236" s="62">
        <v>1.0942198808097452E-2</v>
      </c>
      <c r="P236" s="54" t="s">
        <v>401</v>
      </c>
      <c r="Q236" s="52" t="s">
        <v>402</v>
      </c>
      <c r="R236" s="93">
        <v>47802</v>
      </c>
      <c r="S236" s="70">
        <v>5.0250510000000005E-2</v>
      </c>
      <c r="T236" s="62">
        <v>-1.2523809044267184E-3</v>
      </c>
      <c r="V236" s="113">
        <v>1.1164666300000001</v>
      </c>
      <c r="W236" s="71">
        <v>2.87894446</v>
      </c>
      <c r="X236" s="71">
        <v>4.4508135900000001</v>
      </c>
      <c r="Y236" s="71">
        <v>5.8147617299999999</v>
      </c>
      <c r="Z236" s="114">
        <v>7.5275936799999998</v>
      </c>
    </row>
    <row r="237" spans="2:26" x14ac:dyDescent="0.35">
      <c r="B237" s="54" t="s">
        <v>263</v>
      </c>
      <c r="C237" s="52" t="s">
        <v>232</v>
      </c>
      <c r="D237" s="52" t="s">
        <v>31</v>
      </c>
      <c r="E237" s="52" t="s">
        <v>21</v>
      </c>
      <c r="F237" s="70">
        <v>4.0308719342309826E-2</v>
      </c>
      <c r="G237" s="70">
        <v>4.5146071903180998E-2</v>
      </c>
      <c r="H237" s="70">
        <v>4.8988903950737371E-2</v>
      </c>
      <c r="I237" s="70">
        <v>5.1611158072021011E-2</v>
      </c>
      <c r="J237" s="62">
        <v>5.4205312136659946E-2</v>
      </c>
      <c r="K237" s="70" t="s">
        <v>21</v>
      </c>
      <c r="L237" s="70">
        <v>3.5710888031809957E-3</v>
      </c>
      <c r="M237" s="70">
        <v>7.3568233507373682E-3</v>
      </c>
      <c r="N237" s="70">
        <v>9.2170448720210133E-3</v>
      </c>
      <c r="O237" s="62">
        <v>1.0346673536659943E-2</v>
      </c>
      <c r="P237" s="54" t="s">
        <v>21</v>
      </c>
      <c r="Q237" s="52" t="s">
        <v>21</v>
      </c>
      <c r="R237" s="93" t="s">
        <v>21</v>
      </c>
      <c r="S237" s="70">
        <v>0</v>
      </c>
      <c r="T237" s="62">
        <v>4.8988903950737371E-2</v>
      </c>
      <c r="V237" s="113">
        <v>1.11592084</v>
      </c>
      <c r="W237" s="71">
        <v>2.8796980100000003</v>
      </c>
      <c r="X237" s="71">
        <v>4.4522663599999994</v>
      </c>
      <c r="Y237" s="71">
        <v>5.81742895</v>
      </c>
      <c r="Z237" s="114">
        <v>7.5448504500000002</v>
      </c>
    </row>
    <row r="238" spans="2:26" x14ac:dyDescent="0.35">
      <c r="B238" s="54" t="s">
        <v>376</v>
      </c>
      <c r="C238" s="52" t="s">
        <v>232</v>
      </c>
      <c r="D238" s="52" t="s">
        <v>20</v>
      </c>
      <c r="E238" s="52" t="s">
        <v>21</v>
      </c>
      <c r="F238" s="70">
        <v>4.0189635037731597E-2</v>
      </c>
      <c r="G238" s="70">
        <v>4.5194699827122695E-2</v>
      </c>
      <c r="H238" s="70">
        <v>4.9423837279117984E-2</v>
      </c>
      <c r="I238" s="70">
        <v>5.190981447689428E-2</v>
      </c>
      <c r="J238" s="62">
        <v>5.4778772477633408E-2</v>
      </c>
      <c r="K238" s="70" t="s">
        <v>21</v>
      </c>
      <c r="L238" s="70">
        <v>3.6149095271226974E-3</v>
      </c>
      <c r="M238" s="70">
        <v>7.7685704791179838E-3</v>
      </c>
      <c r="N238" s="70">
        <v>9.5013133768942805E-3</v>
      </c>
      <c r="O238" s="62">
        <v>1.0896340077633402E-2</v>
      </c>
      <c r="P238" s="54" t="s">
        <v>405</v>
      </c>
      <c r="Q238" s="52" t="s">
        <v>406</v>
      </c>
      <c r="R238" s="93">
        <v>47825</v>
      </c>
      <c r="S238" s="70">
        <v>4.9944059999999998E-2</v>
      </c>
      <c r="T238" s="62">
        <v>-5.2022272088201454E-4</v>
      </c>
      <c r="V238" s="113">
        <v>1.1161664599999999</v>
      </c>
      <c r="W238" s="71">
        <v>2.8800144599999999</v>
      </c>
      <c r="X238" s="71">
        <v>4.4482446299999996</v>
      </c>
      <c r="Y238" s="71">
        <v>5.8062999299999998</v>
      </c>
      <c r="Z238" s="114">
        <v>7.5185257099999996</v>
      </c>
    </row>
    <row r="239" spans="2:26" x14ac:dyDescent="0.35">
      <c r="B239" s="54" t="s">
        <v>362</v>
      </c>
      <c r="C239" s="52" t="s">
        <v>232</v>
      </c>
      <c r="D239" s="52" t="s">
        <v>20</v>
      </c>
      <c r="E239" s="52" t="s">
        <v>21</v>
      </c>
      <c r="F239" s="70">
        <v>4.021609586550496E-2</v>
      </c>
      <c r="G239" s="70">
        <v>4.5665317606173476E-2</v>
      </c>
      <c r="H239" s="70">
        <v>4.9342729946192966E-2</v>
      </c>
      <c r="I239" s="70">
        <v>5.1592417412995778E-2</v>
      </c>
      <c r="J239" s="62">
        <v>5.4222750780720835E-2</v>
      </c>
      <c r="K239" s="70" t="s">
        <v>21</v>
      </c>
      <c r="L239" s="70">
        <v>4.0612329061734814E-3</v>
      </c>
      <c r="M239" s="70">
        <v>7.6907638461929662E-3</v>
      </c>
      <c r="N239" s="70">
        <v>9.1980568129957883E-3</v>
      </c>
      <c r="O239" s="62">
        <v>1.0364063280720832E-2</v>
      </c>
      <c r="P239" s="54" t="s">
        <v>21</v>
      </c>
      <c r="Q239" s="52" t="s">
        <v>21</v>
      </c>
      <c r="R239" s="93" t="s">
        <v>21</v>
      </c>
      <c r="S239" s="70">
        <v>0</v>
      </c>
      <c r="T239" s="62">
        <v>4.9342729946192966E-2</v>
      </c>
      <c r="V239" s="113">
        <v>1.1161273500000002</v>
      </c>
      <c r="W239" s="71">
        <v>2.8770377900000002</v>
      </c>
      <c r="X239" s="71">
        <v>4.44544271</v>
      </c>
      <c r="Y239" s="71">
        <v>5.8084217000000002</v>
      </c>
      <c r="Z239" s="114">
        <v>7.5304678900000006</v>
      </c>
    </row>
    <row r="240" spans="2:26" x14ac:dyDescent="0.35">
      <c r="B240" s="54" t="s">
        <v>363</v>
      </c>
      <c r="C240" s="52" t="s">
        <v>232</v>
      </c>
      <c r="D240" s="52" t="s">
        <v>20</v>
      </c>
      <c r="E240" s="52" t="s">
        <v>21</v>
      </c>
      <c r="F240" s="70">
        <v>4.0157797072461872E-2</v>
      </c>
      <c r="G240" s="70">
        <v>4.548567726735965E-2</v>
      </c>
      <c r="H240" s="70">
        <v>4.9302842842805367E-2</v>
      </c>
      <c r="I240" s="70">
        <v>5.2024948341587135E-2</v>
      </c>
      <c r="J240" s="62">
        <v>5.5229592368544814E-2</v>
      </c>
      <c r="K240" s="70" t="s">
        <v>21</v>
      </c>
      <c r="L240" s="70">
        <v>3.8922924673596474E-3</v>
      </c>
      <c r="M240" s="70">
        <v>7.6540866428053732E-3</v>
      </c>
      <c r="N240" s="70">
        <v>9.6098548415871447E-3</v>
      </c>
      <c r="O240" s="62">
        <v>1.1327796268544812E-2</v>
      </c>
      <c r="P240" s="54" t="s">
        <v>21</v>
      </c>
      <c r="Q240" s="52" t="s">
        <v>21</v>
      </c>
      <c r="R240" s="93" t="s">
        <v>21</v>
      </c>
      <c r="S240" s="70">
        <v>0</v>
      </c>
      <c r="T240" s="62">
        <v>4.9302842842805367E-2</v>
      </c>
      <c r="V240" s="113">
        <v>1.11621437</v>
      </c>
      <c r="W240" s="71">
        <v>2.8782733</v>
      </c>
      <c r="X240" s="71">
        <v>4.4476317700000001</v>
      </c>
      <c r="Y240" s="71">
        <v>5.8074893200000002</v>
      </c>
      <c r="Z240" s="114">
        <v>7.5084069599999994</v>
      </c>
    </row>
    <row r="241" spans="2:26" x14ac:dyDescent="0.35">
      <c r="B241" s="54" t="s">
        <v>366</v>
      </c>
      <c r="C241" s="52" t="s">
        <v>232</v>
      </c>
      <c r="D241" s="52" t="s">
        <v>20</v>
      </c>
      <c r="E241" s="52" t="s">
        <v>264</v>
      </c>
      <c r="F241" s="70">
        <v>4.0263716478962874E-2</v>
      </c>
      <c r="G241" s="70">
        <v>4.5532684116724731E-2</v>
      </c>
      <c r="H241" s="70">
        <v>4.9288763378153452E-2</v>
      </c>
      <c r="I241" s="70">
        <v>5.202170607283544E-2</v>
      </c>
      <c r="J241" s="62">
        <v>5.5388579550241908E-2</v>
      </c>
      <c r="K241" s="70" t="s">
        <v>21</v>
      </c>
      <c r="L241" s="70">
        <v>3.9359147167247338E-3</v>
      </c>
      <c r="M241" s="70">
        <v>7.6399783781534517E-3</v>
      </c>
      <c r="N241" s="70">
        <v>9.60663887283544E-3</v>
      </c>
      <c r="O241" s="62">
        <v>1.1479557550241909E-2</v>
      </c>
      <c r="P241" s="54" t="s">
        <v>397</v>
      </c>
      <c r="Q241" s="52" t="s">
        <v>398</v>
      </c>
      <c r="R241" s="93">
        <v>47710</v>
      </c>
      <c r="S241" s="70">
        <v>5.0816510000000002E-2</v>
      </c>
      <c r="T241" s="62">
        <v>-1.5277466218465499E-3</v>
      </c>
      <c r="V241" s="113">
        <v>1.11604584</v>
      </c>
      <c r="W241" s="71">
        <v>2.8780508299999998</v>
      </c>
      <c r="X241" s="71">
        <v>4.4472224599999999</v>
      </c>
      <c r="Y241" s="71">
        <v>5.8055640300000002</v>
      </c>
      <c r="Z241" s="114">
        <v>7.5022686099999998</v>
      </c>
    </row>
    <row r="242" spans="2:26" x14ac:dyDescent="0.35">
      <c r="B242" s="54" t="s">
        <v>364</v>
      </c>
      <c r="C242" s="52" t="s">
        <v>232</v>
      </c>
      <c r="D242" s="52" t="s">
        <v>20</v>
      </c>
      <c r="E242" s="52" t="s">
        <v>112</v>
      </c>
      <c r="F242" s="70">
        <v>4.030814651211953E-2</v>
      </c>
      <c r="G242" s="70">
        <v>4.5214777383681813E-2</v>
      </c>
      <c r="H242" s="70">
        <v>4.9274901402321283E-2</v>
      </c>
      <c r="I242" s="70">
        <v>5.1877114291778638E-2</v>
      </c>
      <c r="J242" s="62">
        <v>5.4852604262869559E-2</v>
      </c>
      <c r="K242" s="70" t="s">
        <v>21</v>
      </c>
      <c r="L242" s="70">
        <v>3.6343137836818114E-3</v>
      </c>
      <c r="M242" s="70">
        <v>7.6272771023212808E-3</v>
      </c>
      <c r="N242" s="70">
        <v>9.4698477917786392E-3</v>
      </c>
      <c r="O242" s="62">
        <v>1.0967605462869567E-2</v>
      </c>
      <c r="P242" s="54" t="s">
        <v>395</v>
      </c>
      <c r="Q242" s="52" t="s">
        <v>396</v>
      </c>
      <c r="R242" s="93">
        <v>47708</v>
      </c>
      <c r="S242" s="70">
        <v>4.7764369999999993E-2</v>
      </c>
      <c r="T242" s="62">
        <v>1.5105314023212899E-3</v>
      </c>
      <c r="V242" s="113">
        <v>1.1159643000000001</v>
      </c>
      <c r="W242" s="71">
        <v>2.8791323499999999</v>
      </c>
      <c r="X242" s="71">
        <v>4.4497476699999998</v>
      </c>
      <c r="Y242" s="71">
        <v>5.8096738400000003</v>
      </c>
      <c r="Z242" s="114">
        <v>7.51895939</v>
      </c>
    </row>
    <row r="243" spans="2:26" x14ac:dyDescent="0.35">
      <c r="B243" s="54" t="s">
        <v>355</v>
      </c>
      <c r="C243" s="52" t="s">
        <v>232</v>
      </c>
      <c r="D243" s="52" t="s">
        <v>20</v>
      </c>
      <c r="E243" s="52" t="s">
        <v>21</v>
      </c>
      <c r="F243" s="70">
        <v>4.0019278496309194E-2</v>
      </c>
      <c r="G243" s="70">
        <v>4.5171966091731103E-2</v>
      </c>
      <c r="H243" s="70">
        <v>4.9245439856796913E-2</v>
      </c>
      <c r="I243" s="70">
        <v>5.2365440356982713E-2</v>
      </c>
      <c r="J243" s="62">
        <v>5.5790875667265039E-2</v>
      </c>
      <c r="K243" s="70" t="s">
        <v>21</v>
      </c>
      <c r="L243" s="70">
        <v>3.5959352917311099E-3</v>
      </c>
      <c r="M243" s="70">
        <v>7.6008474567969241E-3</v>
      </c>
      <c r="N243" s="70">
        <v>9.9358085569827143E-3</v>
      </c>
      <c r="O243" s="62">
        <v>1.1868401767265033E-2</v>
      </c>
      <c r="P243" s="54" t="s">
        <v>21</v>
      </c>
      <c r="Q243" s="52" t="s">
        <v>21</v>
      </c>
      <c r="R243" s="93" t="s">
        <v>21</v>
      </c>
      <c r="S243" s="70">
        <v>0</v>
      </c>
      <c r="T243" s="62">
        <v>4.9245439856796913E-2</v>
      </c>
      <c r="V243" s="113">
        <v>1.11646343</v>
      </c>
      <c r="W243" s="71">
        <v>2.8806573100000001</v>
      </c>
      <c r="X243" s="71">
        <v>4.4512644400000001</v>
      </c>
      <c r="Y243" s="71">
        <v>5.80414429</v>
      </c>
      <c r="Z243" s="114">
        <v>7.4895601300000001</v>
      </c>
    </row>
    <row r="244" spans="2:26" x14ac:dyDescent="0.35">
      <c r="B244" s="54" t="s">
        <v>358</v>
      </c>
      <c r="C244" s="52" t="s">
        <v>232</v>
      </c>
      <c r="D244" s="52" t="s">
        <v>20</v>
      </c>
      <c r="E244" s="52" t="s">
        <v>21</v>
      </c>
      <c r="F244" s="70">
        <v>4.0217994298055865E-2</v>
      </c>
      <c r="G244" s="70">
        <v>4.53687655144226E-2</v>
      </c>
      <c r="H244" s="70">
        <v>4.9210722865546806E-2</v>
      </c>
      <c r="I244" s="70">
        <v>5.2412900533902074E-2</v>
      </c>
      <c r="J244" s="62">
        <v>5.5899380512748197E-2</v>
      </c>
      <c r="K244" s="70" t="s">
        <v>21</v>
      </c>
      <c r="L244" s="70">
        <v>3.7802608144226041E-3</v>
      </c>
      <c r="M244" s="70">
        <v>7.565928665546803E-3</v>
      </c>
      <c r="N244" s="70">
        <v>9.9784331339020788E-3</v>
      </c>
      <c r="O244" s="62">
        <v>1.1970386512748187E-2</v>
      </c>
      <c r="P244" s="54" t="s">
        <v>21</v>
      </c>
      <c r="Q244" s="52" t="s">
        <v>21</v>
      </c>
      <c r="R244" s="93" t="s">
        <v>21</v>
      </c>
      <c r="S244" s="70">
        <v>0</v>
      </c>
      <c r="T244" s="62">
        <v>4.9210722865546806E-2</v>
      </c>
      <c r="V244" s="113">
        <v>1.1161176500000001</v>
      </c>
      <c r="W244" s="71">
        <v>2.8791544600000001</v>
      </c>
      <c r="X244" s="71">
        <v>4.4492337900000001</v>
      </c>
      <c r="Y244" s="71">
        <v>5.80347452</v>
      </c>
      <c r="Z244" s="114">
        <v>7.4860091899999999</v>
      </c>
    </row>
    <row r="245" spans="2:26" x14ac:dyDescent="0.35">
      <c r="B245" s="54" t="s">
        <v>262</v>
      </c>
      <c r="C245" s="52" t="s">
        <v>232</v>
      </c>
      <c r="D245" s="52" t="s">
        <v>97</v>
      </c>
      <c r="E245" s="52" t="s">
        <v>21</v>
      </c>
      <c r="F245" s="70">
        <v>4.0152758916265373E-2</v>
      </c>
      <c r="G245" s="70">
        <v>4.5222574771795782E-2</v>
      </c>
      <c r="H245" s="70">
        <v>4.863192888466969E-2</v>
      </c>
      <c r="I245" s="70">
        <v>5.1014145225885571E-2</v>
      </c>
      <c r="J245" s="62">
        <v>5.3493672392765923E-2</v>
      </c>
      <c r="K245" s="70" t="s">
        <v>21</v>
      </c>
      <c r="L245" s="70">
        <v>3.6424280717957829E-3</v>
      </c>
      <c r="M245" s="70">
        <v>7.0163578846696925E-3</v>
      </c>
      <c r="N245" s="70">
        <v>8.6472888258855626E-3</v>
      </c>
      <c r="O245" s="62">
        <v>9.6613137927659184E-3</v>
      </c>
      <c r="P245" s="54" t="s">
        <v>559</v>
      </c>
      <c r="Q245" s="52" t="s">
        <v>560</v>
      </c>
      <c r="R245" s="93">
        <v>47648</v>
      </c>
      <c r="S245" s="70">
        <v>4.6862009999999996E-2</v>
      </c>
      <c r="T245" s="62">
        <v>1.7699188846696939E-3</v>
      </c>
      <c r="V245" s="113">
        <v>1.1162295100000001</v>
      </c>
      <c r="W245" s="71">
        <v>2.87976893</v>
      </c>
      <c r="X245" s="71">
        <v>4.45574314</v>
      </c>
      <c r="Y245" s="71">
        <v>5.8299727099999998</v>
      </c>
      <c r="Z245" s="114">
        <v>7.5767650899999994</v>
      </c>
    </row>
    <row r="246" spans="2:26" x14ac:dyDescent="0.35">
      <c r="B246" s="54" t="s">
        <v>371</v>
      </c>
      <c r="C246" s="52" t="s">
        <v>232</v>
      </c>
      <c r="D246" s="52" t="s">
        <v>31</v>
      </c>
      <c r="E246" s="52" t="s">
        <v>289</v>
      </c>
      <c r="F246" s="70">
        <v>4.0234450284565605E-2</v>
      </c>
      <c r="G246" s="70">
        <v>4.5004244121822905E-2</v>
      </c>
      <c r="H246" s="70">
        <v>4.851946200889809E-2</v>
      </c>
      <c r="I246" s="70">
        <v>5.0904241206041825E-2</v>
      </c>
      <c r="J246" s="62">
        <v>5.3665756783741289E-2</v>
      </c>
      <c r="K246" s="70" t="s">
        <v>21</v>
      </c>
      <c r="L246" s="70">
        <v>3.4361690218229117E-3</v>
      </c>
      <c r="M246" s="70">
        <v>6.9103076088980944E-3</v>
      </c>
      <c r="N246" s="70">
        <v>8.5434215060418289E-3</v>
      </c>
      <c r="O246" s="62">
        <v>9.8267865837412885E-3</v>
      </c>
      <c r="P246" s="54" t="s">
        <v>21</v>
      </c>
      <c r="Q246" s="52" t="s">
        <v>21</v>
      </c>
      <c r="R246" s="93" t="s">
        <v>21</v>
      </c>
      <c r="S246" s="70">
        <v>0</v>
      </c>
      <c r="T246" s="62">
        <v>4.851946200889809E-2</v>
      </c>
      <c r="V246" s="113">
        <v>1.11606169</v>
      </c>
      <c r="W246" s="71">
        <v>2.8808226299999999</v>
      </c>
      <c r="X246" s="71">
        <v>4.4583507899999999</v>
      </c>
      <c r="Y246" s="71">
        <v>5.83410998</v>
      </c>
      <c r="Z246" s="114">
        <v>7.5770499399999993</v>
      </c>
    </row>
    <row r="247" spans="2:26" x14ac:dyDescent="0.35">
      <c r="B247" s="54" t="s">
        <v>147</v>
      </c>
      <c r="C247" s="52" t="s">
        <v>232</v>
      </c>
      <c r="D247" s="52" t="s">
        <v>20</v>
      </c>
      <c r="E247" s="52" t="s">
        <v>21</v>
      </c>
      <c r="F247" s="70">
        <v>3.9837485678806642E-2</v>
      </c>
      <c r="G247" s="70">
        <v>4.458859347716284E-2</v>
      </c>
      <c r="H247" s="70">
        <v>4.847778106233247E-2</v>
      </c>
      <c r="I247" s="70">
        <v>5.1463333379694221E-2</v>
      </c>
      <c r="J247" s="62">
        <v>5.4702248731468374E-2</v>
      </c>
      <c r="K247" s="70" t="s">
        <v>21</v>
      </c>
      <c r="L247" s="70">
        <v>3.0401208771628401E-3</v>
      </c>
      <c r="M247" s="70">
        <v>6.8702763623324781E-3</v>
      </c>
      <c r="N247" s="70">
        <v>9.0769160796942191E-3</v>
      </c>
      <c r="O247" s="62">
        <v>1.0826155731468376E-2</v>
      </c>
      <c r="P247" s="54" t="s">
        <v>561</v>
      </c>
      <c r="Q247" s="52" t="s">
        <v>562</v>
      </c>
      <c r="R247" s="93">
        <v>47515</v>
      </c>
      <c r="S247" s="70">
        <v>5.0047680000000004E-2</v>
      </c>
      <c r="T247" s="62">
        <v>-1.569898937667534E-3</v>
      </c>
      <c r="V247" s="113">
        <v>1.1168151799999999</v>
      </c>
      <c r="W247" s="71">
        <v>2.88493924</v>
      </c>
      <c r="X247" s="71">
        <v>4.4637912499999999</v>
      </c>
      <c r="Y247" s="71">
        <v>5.8302799800000003</v>
      </c>
      <c r="Z247" s="114">
        <v>7.5426231399999999</v>
      </c>
    </row>
    <row r="248" spans="2:26" x14ac:dyDescent="0.35">
      <c r="B248" s="54" t="s">
        <v>372</v>
      </c>
      <c r="C248" s="52" t="s">
        <v>232</v>
      </c>
      <c r="D248" s="52" t="s">
        <v>20</v>
      </c>
      <c r="E248" s="52" t="s">
        <v>21</v>
      </c>
      <c r="F248" s="70">
        <v>4.0171874619371717E-2</v>
      </c>
      <c r="G248" s="70">
        <v>4.5057335985722383E-2</v>
      </c>
      <c r="H248" s="70">
        <v>4.8489945313160386E-2</v>
      </c>
      <c r="I248" s="70">
        <v>5.0712293291067037E-2</v>
      </c>
      <c r="J248" s="62">
        <v>5.3516983666466372E-2</v>
      </c>
      <c r="K248" s="70" t="s">
        <v>21</v>
      </c>
      <c r="L248" s="70">
        <v>3.4855030857223798E-3</v>
      </c>
      <c r="M248" s="70">
        <v>6.8814485131603858E-3</v>
      </c>
      <c r="N248" s="70">
        <v>8.3601080910670408E-3</v>
      </c>
      <c r="O248" s="62">
        <v>9.683800466466377E-3</v>
      </c>
      <c r="P248" s="54" t="s">
        <v>21</v>
      </c>
      <c r="Q248" s="52" t="s">
        <v>21</v>
      </c>
      <c r="R248" s="93" t="s">
        <v>21</v>
      </c>
      <c r="S248" s="70">
        <v>0</v>
      </c>
      <c r="T248" s="62">
        <v>4.8489945313160386E-2</v>
      </c>
      <c r="V248" s="113">
        <v>1.1161985399999999</v>
      </c>
      <c r="W248" s="71">
        <v>2.8807769899999998</v>
      </c>
      <c r="X248" s="71">
        <v>4.4587766100000001</v>
      </c>
      <c r="Y248" s="71">
        <v>5.8367170499999999</v>
      </c>
      <c r="Z248" s="114">
        <v>7.5826226199999995</v>
      </c>
    </row>
    <row r="249" spans="2:26" x14ac:dyDescent="0.35">
      <c r="B249" s="54" t="s">
        <v>369</v>
      </c>
      <c r="C249" s="52" t="s">
        <v>232</v>
      </c>
      <c r="D249" s="52" t="s">
        <v>20</v>
      </c>
      <c r="E249" s="52" t="s">
        <v>256</v>
      </c>
      <c r="F249" s="70">
        <v>3.9833646723779634E-2</v>
      </c>
      <c r="G249" s="70">
        <v>4.4852706775451223E-2</v>
      </c>
      <c r="H249" s="70">
        <v>4.8467932694899525E-2</v>
      </c>
      <c r="I249" s="70">
        <v>5.0991532023523994E-2</v>
      </c>
      <c r="J249" s="62">
        <v>5.3695968495829687E-2</v>
      </c>
      <c r="K249" s="70" t="s">
        <v>21</v>
      </c>
      <c r="L249" s="70">
        <v>3.2904781754512212E-3</v>
      </c>
      <c r="M249" s="70">
        <v>6.8602336948995297E-3</v>
      </c>
      <c r="N249" s="70">
        <v>8.6264360235239982E-3</v>
      </c>
      <c r="O249" s="62">
        <v>9.8576904958296921E-3</v>
      </c>
      <c r="P249" s="54" t="s">
        <v>21</v>
      </c>
      <c r="Q249" s="52" t="s">
        <v>21</v>
      </c>
      <c r="R249" s="93" t="s">
        <v>21</v>
      </c>
      <c r="S249" s="70">
        <v>0</v>
      </c>
      <c r="T249" s="62">
        <v>4.8467932694899525E-2</v>
      </c>
      <c r="V249" s="113">
        <v>1.1168321000000001</v>
      </c>
      <c r="W249" s="71">
        <v>2.8832697</v>
      </c>
      <c r="X249" s="71">
        <v>4.4617756499999999</v>
      </c>
      <c r="Y249" s="71">
        <v>5.8356300399999999</v>
      </c>
      <c r="Z249" s="114">
        <v>7.5760030399999998</v>
      </c>
    </row>
    <row r="250" spans="2:26" x14ac:dyDescent="0.35">
      <c r="B250" s="54" t="s">
        <v>368</v>
      </c>
      <c r="C250" s="52" t="s">
        <v>232</v>
      </c>
      <c r="D250" s="52" t="s">
        <v>20</v>
      </c>
      <c r="E250" s="52" t="s">
        <v>292</v>
      </c>
      <c r="F250" s="70">
        <v>3.9871154294697779E-2</v>
      </c>
      <c r="G250" s="70">
        <v>4.4801442441008997E-2</v>
      </c>
      <c r="H250" s="70">
        <v>4.834857284613283E-2</v>
      </c>
      <c r="I250" s="70">
        <v>5.1127943620039154E-2</v>
      </c>
      <c r="J250" s="62">
        <v>5.4158216682339333E-2</v>
      </c>
      <c r="K250" s="70" t="s">
        <v>21</v>
      </c>
      <c r="L250" s="70">
        <v>3.2413941410090038E-3</v>
      </c>
      <c r="M250" s="70">
        <v>6.7464359461328286E-3</v>
      </c>
      <c r="N250" s="70">
        <v>8.7565203200391552E-3</v>
      </c>
      <c r="O250" s="62">
        <v>1.0306965182339338E-2</v>
      </c>
      <c r="P250" s="54" t="s">
        <v>21</v>
      </c>
      <c r="Q250" s="52" t="s">
        <v>21</v>
      </c>
      <c r="R250" s="93" t="s">
        <v>21</v>
      </c>
      <c r="S250" s="70">
        <v>0</v>
      </c>
      <c r="T250" s="62">
        <v>4.834857284613283E-2</v>
      </c>
      <c r="V250" s="113">
        <v>1.1167644399999999</v>
      </c>
      <c r="W250" s="71">
        <v>2.8835297799999999</v>
      </c>
      <c r="X250" s="71">
        <v>4.4637509099999999</v>
      </c>
      <c r="Y250" s="71">
        <v>5.83504077</v>
      </c>
      <c r="Z250" s="114">
        <v>7.5553523499999997</v>
      </c>
    </row>
    <row r="251" spans="2:26" x14ac:dyDescent="0.35">
      <c r="B251" s="54" t="s">
        <v>266</v>
      </c>
      <c r="C251" s="52" t="s">
        <v>232</v>
      </c>
      <c r="D251" s="52" t="s">
        <v>20</v>
      </c>
      <c r="E251" s="52" t="s">
        <v>21</v>
      </c>
      <c r="F251" s="70">
        <v>4.0299465346016694E-2</v>
      </c>
      <c r="G251" s="70">
        <v>4.4945583259945111E-2</v>
      </c>
      <c r="H251" s="70">
        <v>4.8063934967497515E-2</v>
      </c>
      <c r="I251" s="70">
        <v>5.0219443137369382E-2</v>
      </c>
      <c r="J251" s="62">
        <v>5.2668906804430614E-2</v>
      </c>
      <c r="K251" s="70" t="s">
        <v>21</v>
      </c>
      <c r="L251" s="70">
        <v>3.3775011599451177E-3</v>
      </c>
      <c r="M251" s="70">
        <v>6.4748176674975164E-3</v>
      </c>
      <c r="N251" s="70">
        <v>7.8887975373693811E-3</v>
      </c>
      <c r="O251" s="62">
        <v>8.8676875044306231E-3</v>
      </c>
      <c r="P251" s="54" t="s">
        <v>563</v>
      </c>
      <c r="Q251" s="52" t="s">
        <v>564</v>
      </c>
      <c r="R251" s="93" t="s">
        <v>32</v>
      </c>
      <c r="S251" s="70">
        <v>4.6306550000000002E-2</v>
      </c>
      <c r="T251" s="62">
        <v>1.7573849674975134E-3</v>
      </c>
      <c r="V251" s="113">
        <v>1.1159765800000001</v>
      </c>
      <c r="W251" s="71">
        <v>2.881151</v>
      </c>
      <c r="X251" s="71">
        <v>4.4640274799999995</v>
      </c>
      <c r="Y251" s="71">
        <v>5.8496459600000001</v>
      </c>
      <c r="Z251" s="114">
        <v>7.6176048199999995</v>
      </c>
    </row>
    <row r="252" spans="2:26" x14ac:dyDescent="0.35">
      <c r="B252" s="54" t="s">
        <v>349</v>
      </c>
      <c r="C252" s="52" t="s">
        <v>232</v>
      </c>
      <c r="D252" s="52" t="s">
        <v>20</v>
      </c>
      <c r="E252" s="52" t="s">
        <v>316</v>
      </c>
      <c r="F252" s="70">
        <v>4.2039388593973555E-2</v>
      </c>
      <c r="G252" s="70">
        <v>4.9111695149496364E-2</v>
      </c>
      <c r="H252" s="70">
        <v>5.5876645017041197E-2</v>
      </c>
      <c r="I252" s="70">
        <v>5.894568870509629E-2</v>
      </c>
      <c r="J252" s="62">
        <v>6.2422591051374411E-2</v>
      </c>
      <c r="K252" s="70" t="s">
        <v>21</v>
      </c>
      <c r="L252" s="70">
        <v>7.3270811494963641E-3</v>
      </c>
      <c r="M252" s="70">
        <v>1.386807331704119E-2</v>
      </c>
      <c r="N252" s="70">
        <v>1.6154664105096306E-2</v>
      </c>
      <c r="O252" s="62">
        <v>1.8167046751374389E-2</v>
      </c>
      <c r="P252" s="54" t="s">
        <v>389</v>
      </c>
      <c r="Q252" s="52" t="s">
        <v>390</v>
      </c>
      <c r="R252" s="93">
        <v>47507</v>
      </c>
      <c r="S252" s="70">
        <v>5.5350219999999999E-2</v>
      </c>
      <c r="T252" s="62">
        <v>5.2642501704119882E-4</v>
      </c>
      <c r="V252" s="113">
        <v>1.11271257</v>
      </c>
      <c r="W252" s="71">
        <v>2.8509083400000002</v>
      </c>
      <c r="X252" s="71">
        <v>4.3504426</v>
      </c>
      <c r="Y252" s="71">
        <v>5.6057661200000002</v>
      </c>
      <c r="Z252" s="114">
        <v>7.1332875300000005</v>
      </c>
    </row>
    <row r="253" spans="2:26" x14ac:dyDescent="0.35">
      <c r="B253" s="54" t="s">
        <v>375</v>
      </c>
      <c r="C253" s="52" t="s">
        <v>232</v>
      </c>
      <c r="D253" s="52" t="s">
        <v>20</v>
      </c>
      <c r="E253" s="52" t="s">
        <v>264</v>
      </c>
      <c r="F253" s="70">
        <v>3.9837968803394005E-2</v>
      </c>
      <c r="G253" s="70">
        <v>4.4783352585857659E-2</v>
      </c>
      <c r="H253" s="70">
        <v>4.7947340793096642E-2</v>
      </c>
      <c r="I253" s="70">
        <v>5.0072049505695902E-2</v>
      </c>
      <c r="J253" s="62">
        <v>5.2669949326825699E-2</v>
      </c>
      <c r="K253" s="70" t="s">
        <v>21</v>
      </c>
      <c r="L253" s="70">
        <v>3.2243724858576615E-3</v>
      </c>
      <c r="M253" s="70">
        <v>6.3645884930966425E-3</v>
      </c>
      <c r="N253" s="70">
        <v>7.7489215056959033E-3</v>
      </c>
      <c r="O253" s="62">
        <v>8.874822626825693E-3</v>
      </c>
      <c r="P253" s="54" t="s">
        <v>403</v>
      </c>
      <c r="Q253" s="52" t="s">
        <v>404</v>
      </c>
      <c r="R253" s="93">
        <v>47515</v>
      </c>
      <c r="S253" s="70">
        <v>4.9302640000000002E-2</v>
      </c>
      <c r="T253" s="62">
        <v>-1.3552992069033598E-3</v>
      </c>
      <c r="V253" s="113">
        <v>1.1168275300000001</v>
      </c>
      <c r="W253" s="71">
        <v>2.8835007400000001</v>
      </c>
      <c r="X253" s="71">
        <v>4.4671289600000001</v>
      </c>
      <c r="Y253" s="71">
        <v>5.8548539699999997</v>
      </c>
      <c r="Z253" s="114">
        <v>7.6141894500000005</v>
      </c>
    </row>
    <row r="254" spans="2:26" x14ac:dyDescent="0.35">
      <c r="B254" s="78" t="s">
        <v>160</v>
      </c>
      <c r="C254" s="135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6"/>
      <c r="P254" s="78"/>
      <c r="Q254" s="77"/>
      <c r="R254" s="94"/>
      <c r="S254" s="77"/>
      <c r="T254" s="76"/>
      <c r="V254" s="119"/>
      <c r="W254" s="108"/>
      <c r="X254" s="108"/>
      <c r="Y254" s="108"/>
      <c r="Z254" s="120"/>
    </row>
    <row r="255" spans="2:26" x14ac:dyDescent="0.35">
      <c r="B255" s="55" t="s">
        <v>162</v>
      </c>
      <c r="C255" s="52" t="s">
        <v>232</v>
      </c>
      <c r="D255" s="65" t="s">
        <v>20</v>
      </c>
      <c r="E255" s="65" t="s">
        <v>290</v>
      </c>
      <c r="F255" s="79">
        <v>4.8803728355073912E-2</v>
      </c>
      <c r="G255" s="79">
        <v>6.8438127788749067E-2</v>
      </c>
      <c r="H255" s="79">
        <v>8.6387302234703742E-2</v>
      </c>
      <c r="I255" s="79">
        <v>9.76006459036491E-2</v>
      </c>
      <c r="J255" s="61">
        <v>0.10381105020031886</v>
      </c>
      <c r="K255" s="79">
        <v>6.2614542550739087E-3</v>
      </c>
      <c r="L255" s="79">
        <v>2.5262842488749049E-2</v>
      </c>
      <c r="M255" s="79">
        <v>4.179029883470374E-2</v>
      </c>
      <c r="N255" s="79">
        <v>5.1355711503649107E-2</v>
      </c>
      <c r="O255" s="61">
        <v>5.5994279600318872E-2</v>
      </c>
      <c r="P255" s="55" t="s">
        <v>21</v>
      </c>
      <c r="Q255" s="65" t="s">
        <v>21</v>
      </c>
      <c r="R255" s="99" t="s">
        <v>21</v>
      </c>
      <c r="S255" s="79">
        <v>0</v>
      </c>
      <c r="T255" s="61">
        <v>8.6387302234703742E-2</v>
      </c>
      <c r="V255" s="117">
        <v>1.0974519599999999</v>
      </c>
      <c r="W255" s="60">
        <v>2.7096451199999998</v>
      </c>
      <c r="X255" s="60">
        <v>3.9049817200000003</v>
      </c>
      <c r="Y255" s="60">
        <v>4.6989078400000004</v>
      </c>
      <c r="Z255" s="118">
        <v>5.4683083899999998</v>
      </c>
    </row>
    <row r="256" spans="2:26" x14ac:dyDescent="0.35">
      <c r="B256" s="54" t="s">
        <v>166</v>
      </c>
      <c r="C256" s="52" t="s">
        <v>232</v>
      </c>
      <c r="D256" s="52" t="s">
        <v>167</v>
      </c>
      <c r="E256" s="52" t="s">
        <v>234</v>
      </c>
      <c r="F256" s="70">
        <v>5.6110539438972568E-2</v>
      </c>
      <c r="G256" s="70">
        <v>6.9848285531668539E-2</v>
      </c>
      <c r="H256" s="70">
        <v>7.4442897383012338E-2</v>
      </c>
      <c r="I256" s="70">
        <v>7.6661156641729428E-2</v>
      </c>
      <c r="J256" s="62">
        <v>7.9384905308176268E-2</v>
      </c>
      <c r="K256" s="70">
        <v>1.2777186638972577E-2</v>
      </c>
      <c r="L256" s="70">
        <v>2.6448446531668533E-2</v>
      </c>
      <c r="M256" s="70">
        <v>3.0919771083012325E-2</v>
      </c>
      <c r="N256" s="70">
        <v>3.2434355141729439E-2</v>
      </c>
      <c r="O256" s="62">
        <v>3.3815705808176291E-2</v>
      </c>
      <c r="P256" s="54" t="s">
        <v>21</v>
      </c>
      <c r="Q256" s="52" t="s">
        <v>21</v>
      </c>
      <c r="R256" s="93" t="s">
        <v>21</v>
      </c>
      <c r="S256" s="70">
        <v>0</v>
      </c>
      <c r="T256" s="62">
        <v>7.4442897383012338E-2</v>
      </c>
      <c r="V256" s="113">
        <v>1.08294807</v>
      </c>
      <c r="W256" s="71">
        <v>2.6714828400000004</v>
      </c>
      <c r="X256" s="71">
        <v>3.9731360100000002</v>
      </c>
      <c r="Y256" s="71">
        <v>5.0216936400000005</v>
      </c>
      <c r="Z256" s="114">
        <v>6.2357920199999999</v>
      </c>
    </row>
    <row r="257" spans="2:26" x14ac:dyDescent="0.35">
      <c r="B257" s="54" t="s">
        <v>165</v>
      </c>
      <c r="C257" s="52" t="s">
        <v>232</v>
      </c>
      <c r="D257" s="52" t="s">
        <v>97</v>
      </c>
      <c r="E257" s="52" t="s">
        <v>565</v>
      </c>
      <c r="F257" s="70">
        <v>4.4566842999955662E-2</v>
      </c>
      <c r="G257" s="70">
        <v>5.9066669876029064E-2</v>
      </c>
      <c r="H257" s="70">
        <v>7.1392646586730155E-2</v>
      </c>
      <c r="I257" s="70">
        <v>7.6035645547631023E-2</v>
      </c>
      <c r="J257" s="62">
        <v>8.0584935736327801E-2</v>
      </c>
      <c r="K257" s="70">
        <v>2.3806424999556651E-3</v>
      </c>
      <c r="L257" s="70">
        <v>1.6663542776029064E-2</v>
      </c>
      <c r="M257" s="70">
        <v>2.8241762186730152E-2</v>
      </c>
      <c r="N257" s="70">
        <v>3.197189704763103E-2</v>
      </c>
      <c r="O257" s="62">
        <v>3.5050907336327798E-2</v>
      </c>
      <c r="P257" s="54" t="s">
        <v>21</v>
      </c>
      <c r="Q257" s="52" t="s">
        <v>21</v>
      </c>
      <c r="R257" s="93" t="s">
        <v>21</v>
      </c>
      <c r="S257" s="70">
        <v>0</v>
      </c>
      <c r="T257" s="62">
        <v>7.1392646586730155E-2</v>
      </c>
      <c r="V257" s="113">
        <v>1.10712758</v>
      </c>
      <c r="W257" s="71">
        <v>2.7789521100000001</v>
      </c>
      <c r="X257" s="71">
        <v>4.1144985500000004</v>
      </c>
      <c r="Y257" s="71">
        <v>5.1487028199999996</v>
      </c>
      <c r="Z257" s="114">
        <v>6.3028767099999996</v>
      </c>
    </row>
    <row r="258" spans="2:26" x14ac:dyDescent="0.35">
      <c r="B258" s="54" t="s">
        <v>233</v>
      </c>
      <c r="C258" s="52" t="s">
        <v>232</v>
      </c>
      <c r="D258" s="52" t="s">
        <v>43</v>
      </c>
      <c r="E258" s="52" t="s">
        <v>116</v>
      </c>
      <c r="F258" s="70">
        <v>4.3866541336833875E-2</v>
      </c>
      <c r="G258" s="70">
        <v>5.4789125531088972E-2</v>
      </c>
      <c r="H258" s="70">
        <v>6.6846469705417785E-2</v>
      </c>
      <c r="I258" s="70">
        <v>7.3822460335152301E-2</v>
      </c>
      <c r="J258" s="62">
        <v>7.8867230558054349E-2</v>
      </c>
      <c r="K258" s="70">
        <v>1.7016527368338679E-3</v>
      </c>
      <c r="L258" s="70">
        <v>1.2670492131088975E-2</v>
      </c>
      <c r="M258" s="70">
        <v>2.4056862605417798E-2</v>
      </c>
      <c r="N258" s="70">
        <v>2.9935900935152311E-2</v>
      </c>
      <c r="O258" s="62">
        <v>3.3479526358054366E-2</v>
      </c>
      <c r="P258" s="54" t="s">
        <v>21</v>
      </c>
      <c r="Q258" s="52" t="s">
        <v>21</v>
      </c>
      <c r="R258" s="93" t="s">
        <v>21</v>
      </c>
      <c r="S258" s="70">
        <v>0</v>
      </c>
      <c r="T258" s="62">
        <v>6.6846469705417785E-2</v>
      </c>
      <c r="V258" s="113">
        <v>1.1089853599999999</v>
      </c>
      <c r="W258" s="71">
        <v>2.8114156299999999</v>
      </c>
      <c r="X258" s="71">
        <v>4.1934532200000003</v>
      </c>
      <c r="Y258" s="71">
        <v>5.2531942100000002</v>
      </c>
      <c r="Z258" s="114">
        <v>6.4235689900000006</v>
      </c>
    </row>
    <row r="259" spans="2:26" x14ac:dyDescent="0.35">
      <c r="B259" s="54" t="s">
        <v>161</v>
      </c>
      <c r="C259" s="52" t="s">
        <v>232</v>
      </c>
      <c r="D259" s="52" t="s">
        <v>97</v>
      </c>
      <c r="E259" s="52" t="s">
        <v>566</v>
      </c>
      <c r="F259" s="70">
        <v>4.3034480501980818E-2</v>
      </c>
      <c r="G259" s="70">
        <v>5.3938689418287111E-2</v>
      </c>
      <c r="H259" s="70">
        <v>6.3182735143470073E-2</v>
      </c>
      <c r="I259" s="70">
        <v>6.8826749876510093E-2</v>
      </c>
      <c r="J259" s="62">
        <v>7.3838364113404734E-2</v>
      </c>
      <c r="K259" s="70">
        <v>9.0303790198081706E-4</v>
      </c>
      <c r="L259" s="70">
        <v>1.1868862818287107E-2</v>
      </c>
      <c r="M259" s="70">
        <v>2.0674521143470081E-2</v>
      </c>
      <c r="N259" s="70">
        <v>2.5343791176510103E-2</v>
      </c>
      <c r="O259" s="62">
        <v>2.8836430113404719E-2</v>
      </c>
      <c r="P259" s="54" t="s">
        <v>567</v>
      </c>
      <c r="Q259" s="52" t="s">
        <v>568</v>
      </c>
      <c r="R259" s="93">
        <v>47542</v>
      </c>
      <c r="S259" s="70">
        <v>5.4138719999999994E-2</v>
      </c>
      <c r="T259" s="62">
        <v>9.0440151434700786E-3</v>
      </c>
      <c r="V259" s="113">
        <v>1.1109102100000001</v>
      </c>
      <c r="W259" s="71">
        <v>2.8139274300000001</v>
      </c>
      <c r="X259" s="71">
        <v>4.2340459199999998</v>
      </c>
      <c r="Y259" s="71">
        <v>5.3613146299999999</v>
      </c>
      <c r="Z259" s="114">
        <v>6.6356659499999999</v>
      </c>
    </row>
    <row r="260" spans="2:26" x14ac:dyDescent="0.35">
      <c r="B260" s="54" t="s">
        <v>173</v>
      </c>
      <c r="C260" s="52" t="s">
        <v>232</v>
      </c>
      <c r="D260" s="52" t="s">
        <v>43</v>
      </c>
      <c r="E260" s="52" t="s">
        <v>569</v>
      </c>
      <c r="F260" s="70">
        <v>4.6906579075877655E-2</v>
      </c>
      <c r="G260" s="70">
        <v>5.4140890312507753E-2</v>
      </c>
      <c r="H260" s="70">
        <v>6.0767274764355617E-2</v>
      </c>
      <c r="I260" s="70">
        <v>6.593630022415374E-2</v>
      </c>
      <c r="J260" s="62">
        <v>7.16648237096605E-2</v>
      </c>
      <c r="K260" s="70">
        <v>4.4958009758776576E-3</v>
      </c>
      <c r="L260" s="70">
        <v>1.2047849512507758E-2</v>
      </c>
      <c r="M260" s="70">
        <v>1.8426053164355603E-2</v>
      </c>
      <c r="N260" s="70">
        <v>2.2661413624153744E-2</v>
      </c>
      <c r="O260" s="62">
        <v>2.6803985009660497E-2</v>
      </c>
      <c r="P260" s="54" t="s">
        <v>21</v>
      </c>
      <c r="Q260" s="52" t="s">
        <v>21</v>
      </c>
      <c r="R260" s="93" t="s">
        <v>21</v>
      </c>
      <c r="S260" s="70">
        <v>0</v>
      </c>
      <c r="T260" s="62">
        <v>6.0767274764355617E-2</v>
      </c>
      <c r="V260" s="113">
        <v>1.10200111</v>
      </c>
      <c r="W260" s="71">
        <v>2.80271874</v>
      </c>
      <c r="X260" s="71">
        <v>4.2466644799999997</v>
      </c>
      <c r="Y260" s="71">
        <v>5.4129563200000002</v>
      </c>
      <c r="Z260" s="114">
        <v>6.7372255399999998</v>
      </c>
    </row>
    <row r="261" spans="2:26" x14ac:dyDescent="0.35">
      <c r="B261" s="54" t="s">
        <v>172</v>
      </c>
      <c r="C261" s="52" t="s">
        <v>232</v>
      </c>
      <c r="D261" s="52" t="s">
        <v>43</v>
      </c>
      <c r="E261" s="52" t="s">
        <v>140</v>
      </c>
      <c r="F261" s="70">
        <v>4.3510657630776023E-2</v>
      </c>
      <c r="G261" s="70">
        <v>5.1998448275141704E-2</v>
      </c>
      <c r="H261" s="70">
        <v>6.0556339056342404E-2</v>
      </c>
      <c r="I261" s="70">
        <v>6.6065410318931747E-2</v>
      </c>
      <c r="J261" s="62">
        <v>7.0517482045017621E-2</v>
      </c>
      <c r="K261" s="70">
        <v>1.3660569307760162E-3</v>
      </c>
      <c r="L261" s="70">
        <v>1.00513376751417E-2</v>
      </c>
      <c r="M261" s="70">
        <v>1.8241064156342409E-2</v>
      </c>
      <c r="N261" s="70">
        <v>2.2791548718931735E-2</v>
      </c>
      <c r="O261" s="62">
        <v>2.5754002445017618E-2</v>
      </c>
      <c r="P261" s="54" t="s">
        <v>570</v>
      </c>
      <c r="Q261" s="52" t="s">
        <v>571</v>
      </c>
      <c r="R261" s="93">
        <v>47535</v>
      </c>
      <c r="S261" s="70">
        <v>5.0263519999999999E-2</v>
      </c>
      <c r="T261" s="62">
        <v>1.0292819056342405E-2</v>
      </c>
      <c r="V261" s="113">
        <v>1.1098624099999999</v>
      </c>
      <c r="W261" s="71">
        <v>2.82855005</v>
      </c>
      <c r="X261" s="71">
        <v>4.27588816</v>
      </c>
      <c r="Y261" s="71">
        <v>5.43748626</v>
      </c>
      <c r="Z261" s="114">
        <v>6.7796036000000006</v>
      </c>
    </row>
    <row r="262" spans="2:26" x14ac:dyDescent="0.35">
      <c r="B262" s="54" t="s">
        <v>170</v>
      </c>
      <c r="C262" s="52" t="s">
        <v>232</v>
      </c>
      <c r="D262" s="52" t="s">
        <v>31</v>
      </c>
      <c r="E262" s="52" t="s">
        <v>572</v>
      </c>
      <c r="F262" s="70">
        <v>4.2370864814925857E-2</v>
      </c>
      <c r="G262" s="70">
        <v>5.1002203034234875E-2</v>
      </c>
      <c r="H262" s="70">
        <v>6.0289764151403143E-2</v>
      </c>
      <c r="I262" s="70">
        <v>6.7228481739931067E-2</v>
      </c>
      <c r="J262" s="62">
        <v>7.3308054791868346E-2</v>
      </c>
      <c r="K262" s="70">
        <v>2.8029351492586153E-4</v>
      </c>
      <c r="L262" s="70">
        <v>9.1112728342348809E-3</v>
      </c>
      <c r="M262" s="70">
        <v>1.7992450551403152E-2</v>
      </c>
      <c r="N262" s="70">
        <v>2.3868718539931073E-2</v>
      </c>
      <c r="O262" s="62">
        <v>2.8351193691868337E-2</v>
      </c>
      <c r="P262" s="54" t="s">
        <v>573</v>
      </c>
      <c r="Q262" s="52" t="s">
        <v>574</v>
      </c>
      <c r="R262" s="93">
        <v>47664</v>
      </c>
      <c r="S262" s="70">
        <v>5.2854140000000001E-2</v>
      </c>
      <c r="T262" s="62">
        <v>7.4356241514031418E-3</v>
      </c>
      <c r="V262" s="113">
        <v>1.1120911600000001</v>
      </c>
      <c r="W262" s="71">
        <v>2.8385599099999999</v>
      </c>
      <c r="X262" s="71">
        <v>4.2895756</v>
      </c>
      <c r="Y262" s="71">
        <v>5.4350030299999998</v>
      </c>
      <c r="Z262" s="114">
        <v>6.7119839700000004</v>
      </c>
    </row>
    <row r="263" spans="2:26" x14ac:dyDescent="0.35">
      <c r="B263" s="54" t="s">
        <v>129</v>
      </c>
      <c r="C263" s="52" t="s">
        <v>232</v>
      </c>
      <c r="D263" s="52" t="s">
        <v>62</v>
      </c>
      <c r="E263" s="52" t="s">
        <v>286</v>
      </c>
      <c r="F263" s="70">
        <v>4.3897788239532221E-2</v>
      </c>
      <c r="G263" s="70">
        <v>5.2655763152072828E-2</v>
      </c>
      <c r="H263" s="70">
        <v>5.9639673773351116E-2</v>
      </c>
      <c r="I263" s="70">
        <v>6.4314141756273049E-2</v>
      </c>
      <c r="J263" s="62">
        <v>6.8434264484407897E-2</v>
      </c>
      <c r="K263" s="70">
        <v>1.7294452395322157E-3</v>
      </c>
      <c r="L263" s="70">
        <v>1.0670221452072828E-2</v>
      </c>
      <c r="M263" s="70">
        <v>1.7387693273351122E-2</v>
      </c>
      <c r="N263" s="70">
        <v>2.1165595456273039E-2</v>
      </c>
      <c r="O263" s="62">
        <v>2.3805514484407903E-2</v>
      </c>
      <c r="P263" s="54" t="s">
        <v>21</v>
      </c>
      <c r="Q263" s="52" t="s">
        <v>21</v>
      </c>
      <c r="R263" s="93" t="s">
        <v>21</v>
      </c>
      <c r="S263" s="70">
        <v>0</v>
      </c>
      <c r="T263" s="62">
        <v>5.9639673773351116E-2</v>
      </c>
      <c r="V263" s="113">
        <v>1.1089199599999999</v>
      </c>
      <c r="W263" s="71">
        <v>2.82180724</v>
      </c>
      <c r="X263" s="71">
        <v>4.2775264700000006</v>
      </c>
      <c r="Y263" s="71">
        <v>5.4642224800000001</v>
      </c>
      <c r="Z263" s="114">
        <v>6.8560129200000004</v>
      </c>
    </row>
    <row r="264" spans="2:26" x14ac:dyDescent="0.35">
      <c r="B264" s="54" t="s">
        <v>407</v>
      </c>
      <c r="C264" s="52" t="s">
        <v>232</v>
      </c>
      <c r="D264" s="52" t="s">
        <v>20</v>
      </c>
      <c r="E264" s="52" t="s">
        <v>48</v>
      </c>
      <c r="F264" s="70">
        <v>4.2201483378010718E-2</v>
      </c>
      <c r="G264" s="70">
        <v>5.087903941242336E-2</v>
      </c>
      <c r="H264" s="70">
        <v>5.8024865992901978E-2</v>
      </c>
      <c r="I264" s="70">
        <v>6.344558049989682E-2</v>
      </c>
      <c r="J264" s="62">
        <v>6.6870007742772103E-2</v>
      </c>
      <c r="K264" s="70">
        <v>9.8171178010713137E-5</v>
      </c>
      <c r="L264" s="70">
        <v>8.9858646124233582E-3</v>
      </c>
      <c r="M264" s="70">
        <v>1.5875595792901976E-2</v>
      </c>
      <c r="N264" s="70">
        <v>2.0359092499896835E-2</v>
      </c>
      <c r="O264" s="62">
        <v>2.2354098342772095E-2</v>
      </c>
      <c r="P264" s="54" t="s">
        <v>409</v>
      </c>
      <c r="Q264" s="52" t="s">
        <v>410</v>
      </c>
      <c r="R264" s="93">
        <v>47771</v>
      </c>
      <c r="S264" s="70">
        <v>5.5013949999999999E-2</v>
      </c>
      <c r="T264" s="62">
        <v>3.0109159929019788E-3</v>
      </c>
      <c r="V264" s="113">
        <v>1.1125048399999999</v>
      </c>
      <c r="W264" s="71">
        <v>2.8384929900000002</v>
      </c>
      <c r="X264" s="71">
        <v>4.3135251100000005</v>
      </c>
      <c r="Y264" s="71">
        <v>5.5109064399999994</v>
      </c>
      <c r="Z264" s="114">
        <v>6.9317565799999992</v>
      </c>
    </row>
    <row r="265" spans="2:26" x14ac:dyDescent="0.35">
      <c r="B265" s="54" t="s">
        <v>163</v>
      </c>
      <c r="C265" s="52" t="s">
        <v>232</v>
      </c>
      <c r="D265" s="52" t="s">
        <v>47</v>
      </c>
      <c r="E265" s="52" t="s">
        <v>575</v>
      </c>
      <c r="F265" s="70">
        <v>4.2536878669893641E-2</v>
      </c>
      <c r="G265" s="70">
        <v>4.991724639866349E-2</v>
      </c>
      <c r="H265" s="70">
        <v>5.6734573559077101E-2</v>
      </c>
      <c r="I265" s="70">
        <v>6.2118590485440994E-2</v>
      </c>
      <c r="J265" s="62">
        <v>6.7405649479651344E-2</v>
      </c>
      <c r="K265" s="70">
        <v>4.4291996989363758E-4</v>
      </c>
      <c r="L265" s="70">
        <v>8.0902604986634891E-3</v>
      </c>
      <c r="M265" s="70">
        <v>1.4674301459077107E-2</v>
      </c>
      <c r="N265" s="70">
        <v>1.9124525085440987E-2</v>
      </c>
      <c r="O265" s="62">
        <v>2.2852965479651349E-2</v>
      </c>
      <c r="P265" s="54" t="s">
        <v>21</v>
      </c>
      <c r="Q265" s="52" t="s">
        <v>21</v>
      </c>
      <c r="R265" s="93" t="s">
        <v>21</v>
      </c>
      <c r="S265" s="70">
        <v>0</v>
      </c>
      <c r="T265" s="62">
        <v>5.6734573559077101E-2</v>
      </c>
      <c r="V265" s="113">
        <v>1.1117579900000001</v>
      </c>
      <c r="W265" s="71">
        <v>2.8442908400000002</v>
      </c>
      <c r="X265" s="71">
        <v>4.3324200299999998</v>
      </c>
      <c r="Y265" s="71">
        <v>5.5481906199999997</v>
      </c>
      <c r="Z265" s="114">
        <v>6.9572082899999996</v>
      </c>
    </row>
    <row r="266" spans="2:26" x14ac:dyDescent="0.35">
      <c r="B266" s="54" t="s">
        <v>164</v>
      </c>
      <c r="C266" s="52" t="s">
        <v>232</v>
      </c>
      <c r="D266" s="52" t="s">
        <v>43</v>
      </c>
      <c r="E266" s="52" t="s">
        <v>291</v>
      </c>
      <c r="F266" s="70">
        <v>4.1964680932310011E-2</v>
      </c>
      <c r="G266" s="70">
        <v>4.9489195913964334E-2</v>
      </c>
      <c r="H266" s="70">
        <v>5.6029690799606152E-2</v>
      </c>
      <c r="I266" s="70">
        <v>5.9280153494891581E-2</v>
      </c>
      <c r="J266" s="62">
        <v>6.2090010827991142E-2</v>
      </c>
      <c r="K266" s="70" t="s">
        <v>21</v>
      </c>
      <c r="L266" s="70">
        <v>7.6783009139643355E-3</v>
      </c>
      <c r="M266" s="70">
        <v>1.4007709399606164E-2</v>
      </c>
      <c r="N266" s="70">
        <v>1.6464094594891572E-2</v>
      </c>
      <c r="O266" s="62">
        <v>1.7849574227991147E-2</v>
      </c>
      <c r="P266" s="54" t="s">
        <v>21</v>
      </c>
      <c r="Q266" s="52" t="s">
        <v>21</v>
      </c>
      <c r="R266" s="93" t="s">
        <v>21</v>
      </c>
      <c r="S266" s="70">
        <v>0</v>
      </c>
      <c r="T266" s="62">
        <v>5.6029690799606152E-2</v>
      </c>
      <c r="V266" s="113">
        <v>1.1129296</v>
      </c>
      <c r="W266" s="71">
        <v>2.84880522</v>
      </c>
      <c r="X266" s="71">
        <v>4.3451718799999997</v>
      </c>
      <c r="Y266" s="71">
        <v>5.5973523400000005</v>
      </c>
      <c r="Z266" s="114">
        <v>7.1331270500000006</v>
      </c>
    </row>
    <row r="267" spans="2:26" x14ac:dyDescent="0.35">
      <c r="B267" s="54" t="s">
        <v>168</v>
      </c>
      <c r="C267" s="52" t="s">
        <v>232</v>
      </c>
      <c r="D267" s="52" t="s">
        <v>20</v>
      </c>
      <c r="E267" s="52" t="s">
        <v>408</v>
      </c>
      <c r="F267" s="70">
        <v>4.5925840556176739E-2</v>
      </c>
      <c r="G267" s="70">
        <v>5.6009300660639805E-2</v>
      </c>
      <c r="H267" s="70">
        <v>6.5614648850285603E-2</v>
      </c>
      <c r="I267" s="70">
        <v>7.0634609959192393E-2</v>
      </c>
      <c r="J267" s="62">
        <v>7.56072452411886E-2</v>
      </c>
      <c r="K267" s="70">
        <v>3.6217886561767448E-3</v>
      </c>
      <c r="L267" s="70">
        <v>1.3809386760639804E-2</v>
      </c>
      <c r="M267" s="70">
        <v>2.2925629350285609E-2</v>
      </c>
      <c r="N267" s="70">
        <v>2.7015499059192396E-2</v>
      </c>
      <c r="O267" s="62">
        <v>3.0467805541188608E-2</v>
      </c>
      <c r="P267" s="54" t="s">
        <v>474</v>
      </c>
      <c r="Q267" s="52" t="s">
        <v>475</v>
      </c>
      <c r="R267" s="93">
        <v>47505</v>
      </c>
      <c r="S267" s="70">
        <v>6.150423E-2</v>
      </c>
      <c r="T267" s="62">
        <v>4.1104188502856034E-3</v>
      </c>
      <c r="V267" s="113">
        <v>1.1040500799999999</v>
      </c>
      <c r="W267" s="71">
        <v>2.7930866499999998</v>
      </c>
      <c r="X267" s="71">
        <v>4.1915596500000003</v>
      </c>
      <c r="Y267" s="71">
        <v>5.2861023500000002</v>
      </c>
      <c r="Z267" s="114">
        <v>6.5327139899999995</v>
      </c>
    </row>
    <row r="268" spans="2:26" x14ac:dyDescent="0.35">
      <c r="B268" s="54" t="s">
        <v>168</v>
      </c>
      <c r="C268" s="52" t="s">
        <v>232</v>
      </c>
      <c r="D268" s="52" t="s">
        <v>20</v>
      </c>
      <c r="E268" s="52" t="s">
        <v>576</v>
      </c>
      <c r="F268" s="70">
        <v>4.5925840556176739E-2</v>
      </c>
      <c r="G268" s="70">
        <v>5.6009300660639805E-2</v>
      </c>
      <c r="H268" s="70">
        <v>6.5614648850285603E-2</v>
      </c>
      <c r="I268" s="70">
        <v>7.0634609959192393E-2</v>
      </c>
      <c r="J268" s="62">
        <v>7.56072452411886E-2</v>
      </c>
      <c r="K268" s="70">
        <v>3.6217886561767448E-3</v>
      </c>
      <c r="L268" s="70">
        <v>1.3809386760639804E-2</v>
      </c>
      <c r="M268" s="70">
        <v>2.2925629350285609E-2</v>
      </c>
      <c r="N268" s="70">
        <v>2.7015499059192396E-2</v>
      </c>
      <c r="O268" s="62">
        <v>3.0467805541188608E-2</v>
      </c>
      <c r="P268" s="54" t="s">
        <v>474</v>
      </c>
      <c r="Q268" s="52" t="s">
        <v>475</v>
      </c>
      <c r="R268" s="93">
        <v>47505</v>
      </c>
      <c r="S268" s="70">
        <v>6.150423E-2</v>
      </c>
      <c r="T268" s="62">
        <v>4.1104188502856034E-3</v>
      </c>
      <c r="V268" s="113">
        <v>1.1040500799999999</v>
      </c>
      <c r="W268" s="71">
        <v>2.7930866499999998</v>
      </c>
      <c r="X268" s="71">
        <v>4.1915596500000003</v>
      </c>
      <c r="Y268" s="71">
        <v>5.2861023500000002</v>
      </c>
      <c r="Z268" s="114">
        <v>6.5327139899999995</v>
      </c>
    </row>
    <row r="269" spans="2:26" x14ac:dyDescent="0.35">
      <c r="B269" s="54" t="s">
        <v>117</v>
      </c>
      <c r="C269" s="52" t="s">
        <v>232</v>
      </c>
      <c r="D269" s="52" t="s">
        <v>31</v>
      </c>
      <c r="E269" s="52" t="s">
        <v>123</v>
      </c>
      <c r="F269" s="70">
        <v>4.121453537244061E-2</v>
      </c>
      <c r="G269" s="70">
        <v>4.9440053229824386E-2</v>
      </c>
      <c r="H269" s="70">
        <v>5.3162183014850505E-2</v>
      </c>
      <c r="I269" s="70">
        <v>5.6437511755558729E-2</v>
      </c>
      <c r="J269" s="62">
        <v>5.9345279939015221E-2</v>
      </c>
      <c r="K269" s="70" t="s">
        <v>21</v>
      </c>
      <c r="L269" s="70">
        <v>7.636336529824388E-3</v>
      </c>
      <c r="M269" s="70">
        <v>1.1307639114850509E-2</v>
      </c>
      <c r="N269" s="70">
        <v>1.3788202655558723E-2</v>
      </c>
      <c r="O269" s="62">
        <v>1.5248820439015213E-2</v>
      </c>
      <c r="P269" s="54" t="s">
        <v>21</v>
      </c>
      <c r="Q269" s="52" t="s">
        <v>21</v>
      </c>
      <c r="R269" s="93" t="s">
        <v>21</v>
      </c>
      <c r="S269" s="70">
        <v>0</v>
      </c>
      <c r="T269" s="62">
        <v>5.3162183014850505E-2</v>
      </c>
      <c r="V269" s="113">
        <v>1.1142536000000001</v>
      </c>
      <c r="W269" s="71">
        <v>2.85101643</v>
      </c>
      <c r="X269" s="71">
        <v>4.37692674</v>
      </c>
      <c r="Y269" s="71">
        <v>5.6729129799999995</v>
      </c>
      <c r="Z269" s="114">
        <v>7.2733934099999997</v>
      </c>
    </row>
    <row r="270" spans="2:26" x14ac:dyDescent="0.35">
      <c r="B270" s="54" t="s">
        <v>138</v>
      </c>
      <c r="C270" s="52" t="s">
        <v>232</v>
      </c>
      <c r="D270" s="52" t="s">
        <v>139</v>
      </c>
      <c r="E270" s="52" t="s">
        <v>159</v>
      </c>
      <c r="F270" s="70">
        <v>4.2305041870820889E-2</v>
      </c>
      <c r="G270" s="70">
        <v>4.7686624775560779E-2</v>
      </c>
      <c r="H270" s="70">
        <v>5.2161218666229449E-2</v>
      </c>
      <c r="I270" s="70">
        <v>5.5872850480595426E-2</v>
      </c>
      <c r="J270" s="62">
        <v>6.0332257827769534E-2</v>
      </c>
      <c r="K270" s="70">
        <v>2.2438807082089066E-4</v>
      </c>
      <c r="L270" s="70">
        <v>5.9830482755607872E-3</v>
      </c>
      <c r="M270" s="70">
        <v>1.0366114266229446E-2</v>
      </c>
      <c r="N270" s="70">
        <v>1.3260444780595423E-2</v>
      </c>
      <c r="O270" s="62">
        <v>1.6190692527769536E-2</v>
      </c>
      <c r="P270" s="54" t="s">
        <v>21</v>
      </c>
      <c r="Q270" s="52" t="s">
        <v>21</v>
      </c>
      <c r="R270" s="93" t="s">
        <v>21</v>
      </c>
      <c r="S270" s="70">
        <v>0</v>
      </c>
      <c r="T270" s="62">
        <v>5.2161218666229449E-2</v>
      </c>
      <c r="V270" s="113">
        <v>1.1121755099999999</v>
      </c>
      <c r="W270" s="71">
        <v>2.8575835199999999</v>
      </c>
      <c r="X270" s="71">
        <v>4.3946469000000006</v>
      </c>
      <c r="Y270" s="71">
        <v>5.6993177099999999</v>
      </c>
      <c r="Z270" s="114">
        <v>7.2782172699999998</v>
      </c>
    </row>
    <row r="271" spans="2:26" x14ac:dyDescent="0.35">
      <c r="B271" s="56" t="s">
        <v>169</v>
      </c>
      <c r="C271" s="66" t="s">
        <v>232</v>
      </c>
      <c r="D271" s="66" t="s">
        <v>69</v>
      </c>
      <c r="E271" s="66" t="s">
        <v>110</v>
      </c>
      <c r="F271" s="75">
        <v>4.0679115074269662E-2</v>
      </c>
      <c r="G271" s="75">
        <v>4.6303443885251969E-2</v>
      </c>
      <c r="H271" s="75">
        <v>5.083710625924568E-2</v>
      </c>
      <c r="I271" s="75">
        <v>5.3675130695362935E-2</v>
      </c>
      <c r="J271" s="63">
        <v>5.7663481587870997E-2</v>
      </c>
      <c r="K271" s="75" t="s">
        <v>21</v>
      </c>
      <c r="L271" s="75">
        <v>4.6682647852519764E-3</v>
      </c>
      <c r="M271" s="75">
        <v>9.1097177592456904E-3</v>
      </c>
      <c r="N271" s="75">
        <v>1.117724679536293E-2</v>
      </c>
      <c r="O271" s="63">
        <v>1.3649819487871013E-2</v>
      </c>
      <c r="P271" s="56" t="s">
        <v>21</v>
      </c>
      <c r="Q271" s="66" t="s">
        <v>21</v>
      </c>
      <c r="R271" s="95" t="s">
        <v>21</v>
      </c>
      <c r="S271" s="75">
        <v>0</v>
      </c>
      <c r="T271" s="63">
        <v>5.083710625924568E-2</v>
      </c>
      <c r="V271" s="115">
        <v>1.11524884</v>
      </c>
      <c r="W271" s="107">
        <v>2.8713877800000001</v>
      </c>
      <c r="X271" s="107">
        <v>4.4234812100000003</v>
      </c>
      <c r="Y271" s="107">
        <v>5.7578945499999996</v>
      </c>
      <c r="Z271" s="116">
        <v>7.4009921199999997</v>
      </c>
    </row>
    <row r="272" spans="2:26" x14ac:dyDescent="0.35">
      <c r="P272" s="127"/>
      <c r="Q272" s="127"/>
      <c r="R272" s="44"/>
      <c r="S272" s="127"/>
      <c r="T272" s="127"/>
      <c r="V272" s="71"/>
      <c r="W272" s="71"/>
      <c r="X272" s="71"/>
      <c r="Y272" s="71"/>
      <c r="Z272" s="71"/>
    </row>
    <row r="273" spans="2:26" ht="15.5" x14ac:dyDescent="0.35">
      <c r="B273" s="121" t="s">
        <v>177</v>
      </c>
      <c r="R273" s="93"/>
      <c r="S273" s="70"/>
      <c r="T273" s="70"/>
      <c r="V273" s="71"/>
      <c r="W273" s="71"/>
      <c r="X273" s="71"/>
      <c r="Y273" s="71"/>
      <c r="Z273" s="71"/>
    </row>
    <row r="274" spans="2:26" x14ac:dyDescent="0.35">
      <c r="B274" s="84" t="s">
        <v>5</v>
      </c>
      <c r="C274" s="83" t="s">
        <v>6</v>
      </c>
      <c r="D274" s="83" t="s">
        <v>7</v>
      </c>
      <c r="E274" s="83" t="s">
        <v>8</v>
      </c>
      <c r="F274" s="82" t="s">
        <v>9</v>
      </c>
      <c r="G274" s="81" t="s">
        <v>10</v>
      </c>
      <c r="H274" s="81" t="s">
        <v>11</v>
      </c>
      <c r="I274" s="81" t="s">
        <v>12</v>
      </c>
      <c r="J274" s="80" t="s">
        <v>13</v>
      </c>
      <c r="K274" s="57" t="s">
        <v>9</v>
      </c>
      <c r="L274" s="57" t="s">
        <v>10</v>
      </c>
      <c r="M274" s="57" t="s">
        <v>11</v>
      </c>
      <c r="N274" s="57" t="s">
        <v>12</v>
      </c>
      <c r="O274" s="57" t="s">
        <v>13</v>
      </c>
      <c r="P274" s="69" t="s">
        <v>14</v>
      </c>
      <c r="Q274" s="57" t="s">
        <v>15</v>
      </c>
      <c r="R274" s="57" t="s">
        <v>16</v>
      </c>
      <c r="S274" s="57" t="s">
        <v>413</v>
      </c>
      <c r="T274" s="57" t="s">
        <v>18</v>
      </c>
      <c r="V274" s="109" t="s">
        <v>9</v>
      </c>
      <c r="W274" s="105" t="s">
        <v>10</v>
      </c>
      <c r="X274" s="105" t="s">
        <v>11</v>
      </c>
      <c r="Y274" s="105" t="s">
        <v>12</v>
      </c>
      <c r="Z274" s="110" t="s">
        <v>13</v>
      </c>
    </row>
    <row r="275" spans="2:26" x14ac:dyDescent="0.35">
      <c r="B275" s="55" t="s">
        <v>178</v>
      </c>
      <c r="C275" s="52" t="s">
        <v>232</v>
      </c>
      <c r="D275" s="65" t="s">
        <v>47</v>
      </c>
      <c r="E275" s="65" t="s">
        <v>577</v>
      </c>
      <c r="F275" s="79" t="s">
        <v>21</v>
      </c>
      <c r="G275" s="79">
        <v>4.6795558345201486E-2</v>
      </c>
      <c r="H275" s="79">
        <v>5.046121388799911E-2</v>
      </c>
      <c r="I275" s="79">
        <v>5.3977678578354372E-2</v>
      </c>
      <c r="J275" s="61">
        <v>5.7706526483504397E-2</v>
      </c>
      <c r="K275" s="79" t="s">
        <v>21</v>
      </c>
      <c r="L275" s="79">
        <v>5.1966425452014886E-3</v>
      </c>
      <c r="M275" s="79">
        <v>8.7959512879991174E-3</v>
      </c>
      <c r="N275" s="79">
        <v>1.1541092978354373E-2</v>
      </c>
      <c r="O275" s="79">
        <v>1.3777614283504398E-2</v>
      </c>
      <c r="P275" s="55" t="s">
        <v>578</v>
      </c>
      <c r="Q275" s="65" t="s">
        <v>579</v>
      </c>
      <c r="R275" s="99" t="s">
        <v>32</v>
      </c>
      <c r="S275" s="79">
        <v>4.6937899999999998E-2</v>
      </c>
      <c r="T275" s="62">
        <v>3.5233138879991119E-3</v>
      </c>
      <c r="V275" s="113">
        <v>1.1159426300000002</v>
      </c>
      <c r="W275" s="71">
        <v>2.8771672599999998</v>
      </c>
      <c r="X275" s="71">
        <v>4.4427698699999993</v>
      </c>
      <c r="Y275" s="71">
        <v>5.7956309499999996</v>
      </c>
      <c r="Z275" s="114">
        <v>7.4834233299999999</v>
      </c>
    </row>
    <row r="276" spans="2:26" x14ac:dyDescent="0.35">
      <c r="B276" s="54" t="s">
        <v>269</v>
      </c>
      <c r="C276" s="52" t="s">
        <v>232</v>
      </c>
      <c r="D276" s="52" t="s">
        <v>20</v>
      </c>
      <c r="E276" s="52" t="s">
        <v>580</v>
      </c>
      <c r="F276" s="70" t="s">
        <v>21</v>
      </c>
      <c r="G276" s="70">
        <v>4.7950217571505506E-2</v>
      </c>
      <c r="H276" s="70">
        <v>5.0617753358917356E-2</v>
      </c>
      <c r="I276" s="70">
        <v>5.3270160380451376E-2</v>
      </c>
      <c r="J276" s="62">
        <v>5.5544838699414116E-2</v>
      </c>
      <c r="K276" s="70" t="s">
        <v>21</v>
      </c>
      <c r="L276" s="70">
        <v>6.2973544715055089E-3</v>
      </c>
      <c r="M276" s="70">
        <v>8.946668358917359E-3</v>
      </c>
      <c r="N276" s="70">
        <v>1.0865413780451385E-2</v>
      </c>
      <c r="O276" s="70">
        <v>1.1695648099414122E-2</v>
      </c>
      <c r="P276" s="54" t="s">
        <v>581</v>
      </c>
      <c r="Q276" s="52" t="s">
        <v>582</v>
      </c>
      <c r="R276" s="93" t="s">
        <v>32</v>
      </c>
      <c r="S276" s="70">
        <v>4.4412359999999998E-2</v>
      </c>
      <c r="T276" s="62">
        <v>6.2053933589173577E-3</v>
      </c>
      <c r="V276" s="113">
        <v>1.1146281</v>
      </c>
      <c r="W276" s="71">
        <v>2.86715155</v>
      </c>
      <c r="X276" s="71">
        <v>4.4295484299999996</v>
      </c>
      <c r="Y276" s="71">
        <v>5.7926531699999995</v>
      </c>
      <c r="Z276" s="114">
        <v>7.5326095100000003</v>
      </c>
    </row>
    <row r="277" spans="2:26" x14ac:dyDescent="0.35">
      <c r="B277" s="54" t="s">
        <v>180</v>
      </c>
      <c r="C277" s="52" t="s">
        <v>232</v>
      </c>
      <c r="D277" s="52" t="s">
        <v>69</v>
      </c>
      <c r="E277" s="52" t="s">
        <v>270</v>
      </c>
      <c r="F277" s="70" t="s">
        <v>21</v>
      </c>
      <c r="G277" s="70">
        <v>4.5636650313998398E-2</v>
      </c>
      <c r="H277" s="70">
        <v>4.8568556887843596E-2</v>
      </c>
      <c r="I277" s="70">
        <v>5.1346398871141424E-2</v>
      </c>
      <c r="J277" s="62">
        <v>5.4203650540082401E-2</v>
      </c>
      <c r="K277" s="70" t="s">
        <v>21</v>
      </c>
      <c r="L277" s="70">
        <v>4.0964440139984052E-3</v>
      </c>
      <c r="M277" s="70">
        <v>6.9946049878435957E-3</v>
      </c>
      <c r="N277" s="70">
        <v>9.0272160711414376E-3</v>
      </c>
      <c r="O277" s="70">
        <v>1.0407036540082404E-2</v>
      </c>
      <c r="P277" s="54" t="s">
        <v>583</v>
      </c>
      <c r="Q277" s="52" t="s">
        <v>584</v>
      </c>
      <c r="R277" s="93" t="s">
        <v>32</v>
      </c>
      <c r="S277" s="70">
        <v>4.3802250000000001E-2</v>
      </c>
      <c r="T277" s="62">
        <v>4.7663068878435952E-3</v>
      </c>
      <c r="V277" s="113">
        <v>1.1168216499999999</v>
      </c>
      <c r="W277" s="71">
        <v>2.8855924700000002</v>
      </c>
      <c r="X277" s="71">
        <v>4.47130954</v>
      </c>
      <c r="Y277" s="71">
        <v>5.8602462900000001</v>
      </c>
      <c r="Z277" s="114">
        <v>7.6309377499999993</v>
      </c>
    </row>
    <row r="278" spans="2:26" x14ac:dyDescent="0.35">
      <c r="B278" s="54" t="s">
        <v>181</v>
      </c>
      <c r="C278" s="52" t="s">
        <v>232</v>
      </c>
      <c r="D278" s="52" t="s">
        <v>182</v>
      </c>
      <c r="E278" s="52" t="s">
        <v>321</v>
      </c>
      <c r="F278" s="70" t="s">
        <v>21</v>
      </c>
      <c r="G278" s="70">
        <v>4.6621891651625967E-2</v>
      </c>
      <c r="H278" s="70">
        <v>5.0179944251628569E-2</v>
      </c>
      <c r="I278" s="70">
        <v>5.4171323674892538E-2</v>
      </c>
      <c r="J278" s="62">
        <v>5.8483540933472626E-2</v>
      </c>
      <c r="K278" s="70" t="s">
        <v>21</v>
      </c>
      <c r="L278" s="70">
        <v>5.0329694516259736E-3</v>
      </c>
      <c r="M278" s="70">
        <v>8.529291251628577E-3</v>
      </c>
      <c r="N278" s="70">
        <v>1.1726790274892544E-2</v>
      </c>
      <c r="O278" s="70">
        <v>1.452520453347262E-2</v>
      </c>
      <c r="P278" s="54" t="s">
        <v>585</v>
      </c>
      <c r="Q278" s="52" t="s">
        <v>586</v>
      </c>
      <c r="R278" s="93" t="s">
        <v>32</v>
      </c>
      <c r="S278" s="70">
        <v>5.0479260000000005E-2</v>
      </c>
      <c r="T278" s="62">
        <v>-2.9931574837143565E-4</v>
      </c>
      <c r="V278" s="113">
        <v>1.1168169100000001</v>
      </c>
      <c r="W278" s="71">
        <v>2.8796996699999999</v>
      </c>
      <c r="X278" s="71">
        <v>4.4481254900000007</v>
      </c>
      <c r="Y278" s="71">
        <v>5.7987631300000002</v>
      </c>
      <c r="Z278" s="114">
        <v>7.4679095099999993</v>
      </c>
    </row>
    <row r="279" spans="2:26" x14ac:dyDescent="0.35">
      <c r="B279" s="54" t="s">
        <v>183</v>
      </c>
      <c r="C279" s="52" t="s">
        <v>232</v>
      </c>
      <c r="D279" s="52" t="s">
        <v>53</v>
      </c>
      <c r="E279" s="52" t="s">
        <v>179</v>
      </c>
      <c r="F279" s="70" t="s">
        <v>21</v>
      </c>
      <c r="G279" s="70">
        <v>4.5586053123707213E-2</v>
      </c>
      <c r="H279" s="70">
        <v>4.8459133701344685E-2</v>
      </c>
      <c r="I279" s="70">
        <v>5.1449861052197524E-2</v>
      </c>
      <c r="J279" s="62">
        <v>5.4418152219226142E-2</v>
      </c>
      <c r="K279" s="70" t="s">
        <v>21</v>
      </c>
      <c r="L279" s="70">
        <v>4.0471536237072182E-3</v>
      </c>
      <c r="M279" s="70">
        <v>6.889438701344691E-3</v>
      </c>
      <c r="N279" s="70">
        <v>9.1257361521975278E-3</v>
      </c>
      <c r="O279" s="70">
        <v>1.0614421519226137E-2</v>
      </c>
      <c r="P279" s="54" t="s">
        <v>587</v>
      </c>
      <c r="Q279" s="52" t="s">
        <v>588</v>
      </c>
      <c r="R279" s="93" t="s">
        <v>32</v>
      </c>
      <c r="S279" s="70">
        <v>4.4573549999999997E-2</v>
      </c>
      <c r="T279" s="62">
        <v>3.8855837013446887E-3</v>
      </c>
      <c r="V279" s="113">
        <v>1.1172391500000001</v>
      </c>
      <c r="W279" s="71">
        <v>2.8866245099999999</v>
      </c>
      <c r="X279" s="71">
        <v>4.4734349700000005</v>
      </c>
      <c r="Y279" s="71">
        <v>5.8611783399999995</v>
      </c>
      <c r="Z279" s="114">
        <v>7.6261889299999996</v>
      </c>
    </row>
    <row r="280" spans="2:26" x14ac:dyDescent="0.35">
      <c r="B280" s="54" t="s">
        <v>184</v>
      </c>
      <c r="C280" s="52" t="s">
        <v>232</v>
      </c>
      <c r="D280" s="52" t="s">
        <v>31</v>
      </c>
      <c r="E280" s="52" t="s">
        <v>589</v>
      </c>
      <c r="F280" s="70" t="s">
        <v>21</v>
      </c>
      <c r="G280" s="70">
        <v>4.6315321150171174E-2</v>
      </c>
      <c r="H280" s="70">
        <v>4.9689796051363949E-2</v>
      </c>
      <c r="I280" s="70">
        <v>5.2994244857831767E-2</v>
      </c>
      <c r="J280" s="62">
        <v>5.6434312480838175E-2</v>
      </c>
      <c r="K280" s="70" t="s">
        <v>21</v>
      </c>
      <c r="L280" s="70">
        <v>4.7414761501711842E-3</v>
      </c>
      <c r="M280" s="70">
        <v>8.0627312513639506E-3</v>
      </c>
      <c r="N280" s="70">
        <v>1.0603077257831765E-2</v>
      </c>
      <c r="O280" s="70">
        <v>1.2556139080838177E-2</v>
      </c>
      <c r="P280" s="54" t="s">
        <v>590</v>
      </c>
      <c r="Q280" s="52" t="s">
        <v>591</v>
      </c>
      <c r="R280" s="93" t="s">
        <v>32</v>
      </c>
      <c r="S280" s="70">
        <v>4.6072920000000003E-2</v>
      </c>
      <c r="T280" s="62">
        <v>3.6168760513639459E-3</v>
      </c>
      <c r="V280" s="113">
        <v>1.11647311</v>
      </c>
      <c r="W280" s="71">
        <v>2.88093412</v>
      </c>
      <c r="X280" s="71">
        <v>4.4546778400000004</v>
      </c>
      <c r="Y280" s="71">
        <v>5.82097043</v>
      </c>
      <c r="Z280" s="114">
        <v>7.5382846000000008</v>
      </c>
    </row>
    <row r="281" spans="2:26" x14ac:dyDescent="0.35">
      <c r="B281" s="56" t="s">
        <v>185</v>
      </c>
      <c r="C281" s="66" t="s">
        <v>232</v>
      </c>
      <c r="D281" s="66" t="s">
        <v>139</v>
      </c>
      <c r="E281" s="66" t="s">
        <v>592</v>
      </c>
      <c r="F281" s="75" t="s">
        <v>21</v>
      </c>
      <c r="G281" s="75">
        <v>4.5581362507510159E-2</v>
      </c>
      <c r="H281" s="75">
        <v>4.8296105413955556E-2</v>
      </c>
      <c r="I281" s="75">
        <v>5.1713900596602594E-2</v>
      </c>
      <c r="J281" s="63">
        <v>5.4745935859046427E-2</v>
      </c>
      <c r="K281" s="75" t="s">
        <v>21</v>
      </c>
      <c r="L281" s="75">
        <v>4.0420039075101622E-3</v>
      </c>
      <c r="M281" s="75">
        <v>6.733338413955567E-3</v>
      </c>
      <c r="N281" s="75">
        <v>9.3779697966025893E-3</v>
      </c>
      <c r="O281" s="75">
        <v>1.0931856359046425E-2</v>
      </c>
      <c r="P281" s="56" t="s">
        <v>593</v>
      </c>
      <c r="Q281" s="66" t="s">
        <v>594</v>
      </c>
      <c r="R281" s="95" t="s">
        <v>32</v>
      </c>
      <c r="S281" s="75">
        <v>4.3243900000000002E-2</v>
      </c>
      <c r="T281" s="63">
        <v>5.0522054139555544E-3</v>
      </c>
      <c r="V281" s="115">
        <v>1.11737303</v>
      </c>
      <c r="W281" s="107">
        <v>2.8868886300000001</v>
      </c>
      <c r="X281" s="107">
        <v>4.4752746000000005</v>
      </c>
      <c r="Y281" s="107">
        <v>5.8599806699999997</v>
      </c>
      <c r="Z281" s="116">
        <v>7.6158855299999999</v>
      </c>
    </row>
    <row r="282" spans="2:26" x14ac:dyDescent="0.35">
      <c r="V282" s="71"/>
      <c r="W282" s="71"/>
      <c r="X282" s="71"/>
      <c r="Y282" s="71"/>
      <c r="Z282" s="71"/>
    </row>
    <row r="283" spans="2:26" ht="15.5" x14ac:dyDescent="0.35">
      <c r="B283" s="121" t="s">
        <v>186</v>
      </c>
      <c r="R283" s="93"/>
      <c r="S283" s="70"/>
      <c r="T283" s="70"/>
      <c r="V283" s="71"/>
      <c r="W283" s="71"/>
      <c r="X283" s="71"/>
      <c r="Y283" s="71"/>
      <c r="Z283" s="71"/>
    </row>
    <row r="284" spans="2:26" x14ac:dyDescent="0.35">
      <c r="B284" s="84" t="s">
        <v>5</v>
      </c>
      <c r="C284" s="83" t="s">
        <v>6</v>
      </c>
      <c r="D284" s="83" t="s">
        <v>7</v>
      </c>
      <c r="E284" s="83" t="s">
        <v>8</v>
      </c>
      <c r="F284" s="82" t="s">
        <v>9</v>
      </c>
      <c r="G284" s="81" t="s">
        <v>10</v>
      </c>
      <c r="H284" s="81" t="s">
        <v>11</v>
      </c>
      <c r="I284" s="81" t="s">
        <v>12</v>
      </c>
      <c r="J284" s="80" t="s">
        <v>13</v>
      </c>
      <c r="K284" s="57" t="s">
        <v>9</v>
      </c>
      <c r="L284" s="57" t="s">
        <v>10</v>
      </c>
      <c r="M284" s="57" t="s">
        <v>11</v>
      </c>
      <c r="N284" s="57" t="s">
        <v>12</v>
      </c>
      <c r="O284" s="57" t="s">
        <v>13</v>
      </c>
      <c r="P284" s="69" t="s">
        <v>14</v>
      </c>
      <c r="Q284" s="57" t="s">
        <v>15</v>
      </c>
      <c r="R284" s="57" t="s">
        <v>16</v>
      </c>
      <c r="S284" s="57" t="s">
        <v>413</v>
      </c>
      <c r="T284" s="57" t="s">
        <v>18</v>
      </c>
      <c r="V284" s="109" t="s">
        <v>9</v>
      </c>
      <c r="W284" s="105" t="s">
        <v>10</v>
      </c>
      <c r="X284" s="105" t="s">
        <v>11</v>
      </c>
      <c r="Y284" s="105" t="s">
        <v>12</v>
      </c>
      <c r="Z284" s="110" t="s">
        <v>13</v>
      </c>
    </row>
    <row r="285" spans="2:26" x14ac:dyDescent="0.35">
      <c r="B285" s="56" t="s">
        <v>296</v>
      </c>
      <c r="C285" s="66"/>
      <c r="D285" s="68"/>
      <c r="E285" s="68"/>
      <c r="F285" s="102" t="s">
        <v>21</v>
      </c>
      <c r="G285" s="102"/>
      <c r="H285" s="102">
        <v>5.8409282045284124E-2</v>
      </c>
      <c r="I285" s="102" t="s">
        <v>21</v>
      </c>
      <c r="J285" s="103" t="s">
        <v>21</v>
      </c>
      <c r="K285" s="79" t="s">
        <v>21</v>
      </c>
      <c r="L285" s="79"/>
      <c r="M285" s="79">
        <v>1.6404966645284128E-2</v>
      </c>
      <c r="N285" s="79" t="s">
        <v>21</v>
      </c>
      <c r="O285" s="79" t="s">
        <v>21</v>
      </c>
      <c r="P285" s="55"/>
      <c r="Q285" s="68"/>
      <c r="R285" s="104"/>
      <c r="S285" s="102"/>
      <c r="T285" s="103"/>
      <c r="V285" s="113">
        <v>1.10019523</v>
      </c>
      <c r="W285" s="71">
        <v>2.8060168600000002</v>
      </c>
      <c r="X285" s="71">
        <v>4.3052513299999999</v>
      </c>
      <c r="Y285" s="71">
        <v>5.6006880800000003</v>
      </c>
      <c r="Z285" s="114">
        <v>7.2355197100000002</v>
      </c>
    </row>
    <row r="286" spans="2:26" x14ac:dyDescent="0.35">
      <c r="B286" s="54" t="s">
        <v>187</v>
      </c>
      <c r="C286" s="52" t="s">
        <v>232</v>
      </c>
      <c r="D286" s="65" t="s">
        <v>188</v>
      </c>
      <c r="E286" s="65" t="s">
        <v>271</v>
      </c>
      <c r="F286" s="79" t="s">
        <v>21</v>
      </c>
      <c r="G286" s="79">
        <v>4.5804870205662256E-2</v>
      </c>
      <c r="H286" s="79">
        <v>4.9745253706086033E-2</v>
      </c>
      <c r="I286" s="79" t="s">
        <v>21</v>
      </c>
      <c r="J286" s="61" t="s">
        <v>21</v>
      </c>
      <c r="K286" s="79" t="s">
        <v>21</v>
      </c>
      <c r="L286" s="79">
        <v>4.2694282056622637E-3</v>
      </c>
      <c r="M286" s="79">
        <v>8.163242406086034E-3</v>
      </c>
      <c r="N286" s="79" t="s">
        <v>21</v>
      </c>
      <c r="O286" s="79" t="s">
        <v>21</v>
      </c>
      <c r="P286" s="55" t="s">
        <v>21</v>
      </c>
      <c r="Q286" s="65" t="s">
        <v>21</v>
      </c>
      <c r="R286" s="99" t="s">
        <v>21</v>
      </c>
      <c r="S286" s="79">
        <v>0</v>
      </c>
      <c r="T286" s="62">
        <v>4.9745253706086033E-2</v>
      </c>
      <c r="V286" s="113">
        <v>1.1170822299999998</v>
      </c>
      <c r="W286" s="71">
        <v>2.8872531000000001</v>
      </c>
      <c r="X286" s="71">
        <v>4.473217</v>
      </c>
      <c r="Y286" s="71">
        <v>5.8566530800000001</v>
      </c>
      <c r="Z286" s="114">
        <v>7.6145425899999992</v>
      </c>
    </row>
    <row r="287" spans="2:26" x14ac:dyDescent="0.35">
      <c r="B287" s="54" t="s">
        <v>189</v>
      </c>
      <c r="C287" s="52" t="s">
        <v>232</v>
      </c>
      <c r="D287" s="52" t="s">
        <v>190</v>
      </c>
      <c r="E287" s="52" t="s">
        <v>595</v>
      </c>
      <c r="F287" s="70" t="s">
        <v>21</v>
      </c>
      <c r="G287" s="70">
        <v>4.8813966500152205E-2</v>
      </c>
      <c r="H287" s="70">
        <v>5.3680822888204582E-2</v>
      </c>
      <c r="I287" s="70" t="s">
        <v>21</v>
      </c>
      <c r="J287" s="62" t="s">
        <v>21</v>
      </c>
      <c r="K287" s="70" t="s">
        <v>21</v>
      </c>
      <c r="L287" s="70">
        <v>7.1294920001522032E-3</v>
      </c>
      <c r="M287" s="70">
        <v>1.1907333788204577E-2</v>
      </c>
      <c r="N287" s="70" t="s">
        <v>21</v>
      </c>
      <c r="O287" s="70" t="s">
        <v>21</v>
      </c>
      <c r="P287" s="54" t="s">
        <v>596</v>
      </c>
      <c r="Q287" s="52" t="s">
        <v>597</v>
      </c>
      <c r="R287" s="93" t="s">
        <v>32</v>
      </c>
      <c r="S287" s="70">
        <v>5.2231940000000004E-2</v>
      </c>
      <c r="T287" s="70">
        <v>1.4488828882045779E-3</v>
      </c>
      <c r="V287" s="113">
        <v>1.1126280100000001</v>
      </c>
      <c r="W287" s="71">
        <v>2.8637009299999998</v>
      </c>
      <c r="X287" s="71">
        <v>4.4113463499999996</v>
      </c>
      <c r="Y287" s="71">
        <v>5.7432099000000001</v>
      </c>
      <c r="Z287" s="114">
        <v>7.40116453</v>
      </c>
    </row>
    <row r="288" spans="2:26" x14ac:dyDescent="0.35">
      <c r="B288" s="54" t="s">
        <v>192</v>
      </c>
      <c r="C288" s="52" t="s">
        <v>232</v>
      </c>
      <c r="D288" s="52" t="s">
        <v>193</v>
      </c>
      <c r="E288" s="52" t="s">
        <v>292</v>
      </c>
      <c r="F288" s="70" t="s">
        <v>21</v>
      </c>
      <c r="G288" s="70">
        <v>4.5857804611015809E-2</v>
      </c>
      <c r="H288" s="70">
        <v>4.9785828659851289E-2</v>
      </c>
      <c r="I288" s="70" t="s">
        <v>21</v>
      </c>
      <c r="J288" s="62" t="s">
        <v>21</v>
      </c>
      <c r="K288" s="70" t="s">
        <v>21</v>
      </c>
      <c r="L288" s="70">
        <v>4.3207740110158162E-3</v>
      </c>
      <c r="M288" s="70">
        <v>8.2025605598512862E-3</v>
      </c>
      <c r="N288" s="70" t="s">
        <v>21</v>
      </c>
      <c r="O288" s="70" t="s">
        <v>21</v>
      </c>
      <c r="P288" s="54" t="s">
        <v>598</v>
      </c>
      <c r="Q288" s="52" t="s">
        <v>599</v>
      </c>
      <c r="R288" s="93" t="s">
        <v>32</v>
      </c>
      <c r="S288" s="70">
        <v>5.0045149999999997E-2</v>
      </c>
      <c r="T288" s="70">
        <v>-2.5932134014870767E-4</v>
      </c>
      <c r="V288" s="113">
        <v>1.1167513299999998</v>
      </c>
      <c r="W288" s="71">
        <v>2.8864498900000002</v>
      </c>
      <c r="X288" s="71">
        <v>4.4721445399999995</v>
      </c>
      <c r="Y288" s="71">
        <v>5.8565360499999999</v>
      </c>
      <c r="Z288" s="114">
        <v>7.6020212100000002</v>
      </c>
    </row>
    <row r="289" spans="2:26" x14ac:dyDescent="0.35">
      <c r="B289" s="54" t="s">
        <v>194</v>
      </c>
      <c r="C289" s="52" t="s">
        <v>232</v>
      </c>
      <c r="D289" s="52" t="s">
        <v>195</v>
      </c>
      <c r="E289" s="52" t="s">
        <v>600</v>
      </c>
      <c r="F289" s="70" t="s">
        <v>21</v>
      </c>
      <c r="G289" s="70">
        <v>5.2086383915884243E-2</v>
      </c>
      <c r="H289" s="70">
        <v>6.0509838560108678E-2</v>
      </c>
      <c r="I289" s="70" t="s">
        <v>21</v>
      </c>
      <c r="J289" s="62" t="s">
        <v>21</v>
      </c>
      <c r="K289" s="70" t="s">
        <v>21</v>
      </c>
      <c r="L289" s="70">
        <v>1.021825781588424E-2</v>
      </c>
      <c r="M289" s="70">
        <v>1.8344026160108686E-2</v>
      </c>
      <c r="N289" s="70" t="s">
        <v>21</v>
      </c>
      <c r="O289" s="70" t="s">
        <v>21</v>
      </c>
      <c r="P289" s="54" t="s">
        <v>601</v>
      </c>
      <c r="Q289" s="52" t="s">
        <v>602</v>
      </c>
      <c r="R289" s="93" t="s">
        <v>32</v>
      </c>
      <c r="S289" s="70">
        <v>5.966689E-2</v>
      </c>
      <c r="T289" s="70">
        <v>8.429485601086778E-4</v>
      </c>
      <c r="V289" s="113">
        <v>1.1126833600000001</v>
      </c>
      <c r="W289" s="71">
        <v>2.84754079</v>
      </c>
      <c r="X289" s="71">
        <v>4.3296821400000001</v>
      </c>
      <c r="Y289" s="71">
        <v>5.5421246899999996</v>
      </c>
      <c r="Z289" s="114">
        <v>6.9353074400000008</v>
      </c>
    </row>
    <row r="290" spans="2:26" x14ac:dyDescent="0.35">
      <c r="B290" s="54" t="s">
        <v>196</v>
      </c>
      <c r="C290" s="52" t="s">
        <v>232</v>
      </c>
      <c r="D290" s="52" t="s">
        <v>197</v>
      </c>
      <c r="E290" s="52" t="s">
        <v>55</v>
      </c>
      <c r="F290" s="70" t="s">
        <v>21</v>
      </c>
      <c r="G290" s="70">
        <v>5.0946928026356912E-2</v>
      </c>
      <c r="H290" s="70">
        <v>5.6994720281687533E-2</v>
      </c>
      <c r="I290" s="70" t="s">
        <v>21</v>
      </c>
      <c r="J290" s="62" t="s">
        <v>21</v>
      </c>
      <c r="K290" s="70" t="s">
        <v>21</v>
      </c>
      <c r="L290" s="70">
        <v>9.159827426356907E-3</v>
      </c>
      <c r="M290" s="70">
        <v>1.5051357381687541E-2</v>
      </c>
      <c r="N290" s="70" t="s">
        <v>21</v>
      </c>
      <c r="O290" s="70" t="s">
        <v>21</v>
      </c>
      <c r="P290" s="54" t="s">
        <v>603</v>
      </c>
      <c r="Q290" s="52" t="s">
        <v>604</v>
      </c>
      <c r="R290" s="93">
        <v>47586</v>
      </c>
      <c r="S290" s="70">
        <v>5.565374E-2</v>
      </c>
      <c r="T290" s="70">
        <v>1.340980281687533E-3</v>
      </c>
      <c r="V290" s="113">
        <v>1.1121930900000001</v>
      </c>
      <c r="W290" s="71">
        <v>2.8517177</v>
      </c>
      <c r="X290" s="71">
        <v>4.3673873399999996</v>
      </c>
      <c r="Y290" s="71">
        <v>5.6375621899999997</v>
      </c>
      <c r="Z290" s="114">
        <v>7.1560450799999993</v>
      </c>
    </row>
    <row r="291" spans="2:26" x14ac:dyDescent="0.35">
      <c r="B291" s="54" t="s">
        <v>198</v>
      </c>
      <c r="C291" s="52" t="s">
        <v>232</v>
      </c>
      <c r="D291" s="52" t="s">
        <v>199</v>
      </c>
      <c r="E291" s="52" t="s">
        <v>293</v>
      </c>
      <c r="F291" s="70" t="s">
        <v>21</v>
      </c>
      <c r="G291" s="70">
        <v>5.2989948150497602E-2</v>
      </c>
      <c r="H291" s="70">
        <v>6.027414963200723E-2</v>
      </c>
      <c r="I291" s="70" t="s">
        <v>21</v>
      </c>
      <c r="J291" s="62" t="s">
        <v>21</v>
      </c>
      <c r="K291" s="70" t="s">
        <v>21</v>
      </c>
      <c r="L291" s="70">
        <v>1.1096185350497606E-2</v>
      </c>
      <c r="M291" s="70">
        <v>1.8143084832007224E-2</v>
      </c>
      <c r="N291" s="70" t="s">
        <v>21</v>
      </c>
      <c r="O291" s="70" t="s">
        <v>21</v>
      </c>
      <c r="P291" s="54" t="s">
        <v>605</v>
      </c>
      <c r="Q291" s="52" t="s">
        <v>606</v>
      </c>
      <c r="R291" s="93" t="s">
        <v>32</v>
      </c>
      <c r="S291" s="70">
        <v>5.5374130000000001E-2</v>
      </c>
      <c r="T291" s="70">
        <v>4.9000196320072298E-3</v>
      </c>
      <c r="V291" s="113">
        <v>1.11077552</v>
      </c>
      <c r="W291" s="71">
        <v>2.8387255499999999</v>
      </c>
      <c r="X291" s="71">
        <v>4.3236323200000006</v>
      </c>
      <c r="Y291" s="71">
        <v>5.5434921900000003</v>
      </c>
      <c r="Z291" s="114">
        <v>6.9604580700000005</v>
      </c>
    </row>
    <row r="292" spans="2:26" x14ac:dyDescent="0.35">
      <c r="B292" s="54" t="s">
        <v>200</v>
      </c>
      <c r="C292" s="52" t="s">
        <v>232</v>
      </c>
      <c r="D292" s="52" t="s">
        <v>201</v>
      </c>
      <c r="E292" s="52" t="s">
        <v>179</v>
      </c>
      <c r="F292" s="70" t="s">
        <v>21</v>
      </c>
      <c r="G292" s="70">
        <v>4.9699251052252182E-2</v>
      </c>
      <c r="H292" s="70">
        <v>5.4983268610473202E-2</v>
      </c>
      <c r="I292" s="70" t="s">
        <v>21</v>
      </c>
      <c r="J292" s="62" t="s">
        <v>21</v>
      </c>
      <c r="K292" s="70" t="s">
        <v>21</v>
      </c>
      <c r="L292" s="70">
        <v>7.9664473522521786E-3</v>
      </c>
      <c r="M292" s="70">
        <v>1.3137262910473202E-2</v>
      </c>
      <c r="N292" s="70" t="s">
        <v>21</v>
      </c>
      <c r="O292" s="70" t="s">
        <v>21</v>
      </c>
      <c r="P292" s="54" t="s">
        <v>607</v>
      </c>
      <c r="Q292" s="52" t="s">
        <v>608</v>
      </c>
      <c r="R292" s="93" t="s">
        <v>32</v>
      </c>
      <c r="S292" s="70">
        <v>5.2256499999999992E-3</v>
      </c>
      <c r="T292" s="70">
        <v>4.9757618610473203E-2</v>
      </c>
      <c r="V292" s="113">
        <v>1.1126756</v>
      </c>
      <c r="W292" s="71">
        <v>2.8582362799999999</v>
      </c>
      <c r="X292" s="71">
        <v>4.3911398100000003</v>
      </c>
      <c r="Y292" s="71">
        <v>5.69360278</v>
      </c>
      <c r="Z292" s="114">
        <v>7.2921544599999999</v>
      </c>
    </row>
    <row r="293" spans="2:26" x14ac:dyDescent="0.35">
      <c r="B293" s="54" t="s">
        <v>202</v>
      </c>
      <c r="C293" s="52" t="s">
        <v>232</v>
      </c>
      <c r="D293" s="52" t="s">
        <v>203</v>
      </c>
      <c r="E293" s="52" t="s">
        <v>609</v>
      </c>
      <c r="F293" s="70" t="s">
        <v>21</v>
      </c>
      <c r="G293" s="70">
        <v>5.949038252170355E-2</v>
      </c>
      <c r="H293" s="70">
        <v>6.8847022983981723E-2</v>
      </c>
      <c r="I293" s="70" t="s">
        <v>21</v>
      </c>
      <c r="J293" s="62" t="s">
        <v>21</v>
      </c>
      <c r="K293" s="70" t="s">
        <v>21</v>
      </c>
      <c r="L293" s="70">
        <v>1.7194655621703563E-2</v>
      </c>
      <c r="M293" s="70">
        <v>2.6121821683981711E-2</v>
      </c>
      <c r="N293" s="70" t="s">
        <v>21</v>
      </c>
      <c r="O293" s="70" t="s">
        <v>21</v>
      </c>
      <c r="P293" s="54" t="s">
        <v>21</v>
      </c>
      <c r="Q293" s="52" t="s">
        <v>21</v>
      </c>
      <c r="R293" s="93" t="s">
        <v>21</v>
      </c>
      <c r="S293" s="70">
        <v>0</v>
      </c>
      <c r="T293" s="70">
        <v>6.8847022983981723E-2</v>
      </c>
      <c r="V293" s="113">
        <v>1.10421839</v>
      </c>
      <c r="W293" s="71">
        <v>2.7911344099999997</v>
      </c>
      <c r="X293" s="71">
        <v>4.1970552300000001</v>
      </c>
      <c r="Y293" s="71">
        <v>5.3052859799999998</v>
      </c>
      <c r="Z293" s="114">
        <v>6.5381945200000002</v>
      </c>
    </row>
    <row r="294" spans="2:26" x14ac:dyDescent="0.35">
      <c r="B294" s="54" t="s">
        <v>204</v>
      </c>
      <c r="C294" s="52" t="s">
        <v>232</v>
      </c>
      <c r="D294" s="52" t="s">
        <v>205</v>
      </c>
      <c r="E294" s="52" t="s">
        <v>191</v>
      </c>
      <c r="F294" s="70" t="s">
        <v>21</v>
      </c>
      <c r="G294" s="70">
        <v>4.8419854899413618E-2</v>
      </c>
      <c r="H294" s="70">
        <v>5.2836525381657382E-2</v>
      </c>
      <c r="I294" s="70" t="s">
        <v>21</v>
      </c>
      <c r="J294" s="62" t="s">
        <v>21</v>
      </c>
      <c r="K294" s="70" t="s">
        <v>21</v>
      </c>
      <c r="L294" s="70">
        <v>6.7580600994136203E-3</v>
      </c>
      <c r="M294" s="70">
        <v>1.1107100181657382E-2</v>
      </c>
      <c r="N294" s="70" t="s">
        <v>21</v>
      </c>
      <c r="O294" s="70" t="s">
        <v>21</v>
      </c>
      <c r="P294" s="54" t="s">
        <v>610</v>
      </c>
      <c r="Q294" s="52" t="s">
        <v>611</v>
      </c>
      <c r="R294" s="93" t="s">
        <v>32</v>
      </c>
      <c r="S294" s="70">
        <v>4.8356960000000004E-2</v>
      </c>
      <c r="T294" s="70">
        <v>4.4795653816573772E-3</v>
      </c>
      <c r="V294" s="113">
        <v>1.1139334000000001</v>
      </c>
      <c r="W294" s="71">
        <v>2.8678208600000001</v>
      </c>
      <c r="X294" s="71">
        <v>4.4231500500000003</v>
      </c>
      <c r="Y294" s="71">
        <v>5.7620533199999997</v>
      </c>
      <c r="Z294" s="114">
        <v>7.4340842</v>
      </c>
    </row>
    <row r="295" spans="2:26" x14ac:dyDescent="0.35">
      <c r="B295" s="54" t="s">
        <v>206</v>
      </c>
      <c r="C295" s="52" t="s">
        <v>232</v>
      </c>
      <c r="D295" s="52" t="s">
        <v>207</v>
      </c>
      <c r="E295" s="52" t="s">
        <v>179</v>
      </c>
      <c r="F295" s="70" t="s">
        <v>21</v>
      </c>
      <c r="G295" s="70">
        <v>5.2320805862350057E-2</v>
      </c>
      <c r="H295" s="70">
        <v>5.9035616372334565E-2</v>
      </c>
      <c r="I295" s="70" t="s">
        <v>21</v>
      </c>
      <c r="J295" s="62" t="s">
        <v>21</v>
      </c>
      <c r="K295" s="70" t="s">
        <v>21</v>
      </c>
      <c r="L295" s="70">
        <v>1.0457151162350053E-2</v>
      </c>
      <c r="M295" s="70">
        <v>1.6972089272334567E-2</v>
      </c>
      <c r="N295" s="70" t="s">
        <v>21</v>
      </c>
      <c r="O295" s="70" t="s">
        <v>21</v>
      </c>
      <c r="P295" s="54" t="s">
        <v>21</v>
      </c>
      <c r="Q295" s="52" t="s">
        <v>21</v>
      </c>
      <c r="R295" s="93" t="s">
        <v>21</v>
      </c>
      <c r="S295" s="70">
        <v>0</v>
      </c>
      <c r="T295" s="70">
        <v>5.9035616372334565E-2</v>
      </c>
      <c r="V295" s="113">
        <v>1.11062225</v>
      </c>
      <c r="W295" s="71">
        <v>2.8411403500000003</v>
      </c>
      <c r="X295" s="71">
        <v>4.3370843099999998</v>
      </c>
      <c r="Y295" s="71">
        <v>5.5778352699999996</v>
      </c>
      <c r="Z295" s="114">
        <v>7.0393781600000001</v>
      </c>
    </row>
    <row r="296" spans="2:26" x14ac:dyDescent="0.35">
      <c r="B296" s="54" t="s">
        <v>411</v>
      </c>
      <c r="C296" s="52" t="s">
        <v>232</v>
      </c>
      <c r="D296" s="52" t="s">
        <v>411</v>
      </c>
      <c r="E296" s="52" t="s">
        <v>612</v>
      </c>
      <c r="F296" s="70" t="s">
        <v>21</v>
      </c>
      <c r="G296" s="70">
        <v>7.6202053187788277E-2</v>
      </c>
      <c r="H296" s="70">
        <v>8.4961903769629393E-2</v>
      </c>
      <c r="I296" s="70" t="s">
        <v>21</v>
      </c>
      <c r="J296" s="62" t="s">
        <v>21</v>
      </c>
      <c r="K296" s="70" t="s">
        <v>21</v>
      </c>
      <c r="L296" s="70">
        <v>3.2613433087788267E-2</v>
      </c>
      <c r="M296" s="70">
        <v>4.0832736069629422E-2</v>
      </c>
      <c r="N296" s="70" t="s">
        <v>21</v>
      </c>
      <c r="O296" s="70" t="s">
        <v>21</v>
      </c>
      <c r="P296" s="54" t="s">
        <v>613</v>
      </c>
      <c r="Q296" s="52" t="s">
        <v>614</v>
      </c>
      <c r="R296" s="93" t="s">
        <v>32</v>
      </c>
      <c r="S296" s="70">
        <v>7.9607960000000005E-2</v>
      </c>
      <c r="T296" s="70">
        <v>5.3539437696293879E-3</v>
      </c>
      <c r="V296" s="113">
        <v>1.07276167</v>
      </c>
      <c r="W296" s="71">
        <v>2.65287037</v>
      </c>
      <c r="X296" s="71">
        <v>3.9118684200000002</v>
      </c>
      <c r="Y296" s="71">
        <v>4.8808228699999994</v>
      </c>
      <c r="Z296" s="114">
        <v>5.9361757400000004</v>
      </c>
    </row>
    <row r="297" spans="2:26" x14ac:dyDescent="0.35">
      <c r="B297" s="54" t="s">
        <v>208</v>
      </c>
      <c r="C297" s="52" t="s">
        <v>232</v>
      </c>
      <c r="D297" s="52" t="s">
        <v>208</v>
      </c>
      <c r="E297" s="52" t="s">
        <v>615</v>
      </c>
      <c r="F297" s="70" t="s">
        <v>21</v>
      </c>
      <c r="G297" s="70">
        <v>5.0005334921359251E-2</v>
      </c>
      <c r="H297" s="70">
        <v>5.4688468280889579E-2</v>
      </c>
      <c r="I297" s="70" t="s">
        <v>21</v>
      </c>
      <c r="J297" s="62" t="s">
        <v>21</v>
      </c>
      <c r="K297" s="70" t="s">
        <v>21</v>
      </c>
      <c r="L297" s="70">
        <v>8.2679176213592519E-3</v>
      </c>
      <c r="M297" s="70">
        <v>1.2867992480889569E-2</v>
      </c>
      <c r="N297" s="70" t="s">
        <v>21</v>
      </c>
      <c r="O297" s="70" t="s">
        <v>21</v>
      </c>
      <c r="P297" s="54" t="s">
        <v>616</v>
      </c>
      <c r="Q297" s="52" t="s">
        <v>617</v>
      </c>
      <c r="R297" s="93" t="s">
        <v>32</v>
      </c>
      <c r="S297" s="70">
        <v>5.335049E-2</v>
      </c>
      <c r="T297" s="70">
        <v>1.337978280889579E-3</v>
      </c>
      <c r="V297" s="113">
        <v>1.1127185499999999</v>
      </c>
      <c r="W297" s="71">
        <v>2.8575709800000002</v>
      </c>
      <c r="X297" s="71">
        <v>4.3938582500000001</v>
      </c>
      <c r="Y297" s="71">
        <v>5.71199222</v>
      </c>
      <c r="Z297" s="114">
        <v>7.3528092700000007</v>
      </c>
    </row>
    <row r="298" spans="2:26" x14ac:dyDescent="0.35">
      <c r="B298" s="54" t="s">
        <v>209</v>
      </c>
      <c r="C298" s="52" t="s">
        <v>232</v>
      </c>
      <c r="D298" s="52" t="s">
        <v>209</v>
      </c>
      <c r="E298" s="52" t="s">
        <v>618</v>
      </c>
      <c r="F298" s="70" t="s">
        <v>21</v>
      </c>
      <c r="G298" s="70">
        <v>5.6984055873098585E-2</v>
      </c>
      <c r="H298" s="70">
        <v>6.4510261174194977E-2</v>
      </c>
      <c r="I298" s="70" t="s">
        <v>21</v>
      </c>
      <c r="J298" s="62" t="s">
        <v>21</v>
      </c>
      <c r="K298" s="70" t="s">
        <v>21</v>
      </c>
      <c r="L298" s="70">
        <v>1.4726993373098591E-2</v>
      </c>
      <c r="M298" s="70">
        <v>2.1960526574194988E-2</v>
      </c>
      <c r="N298" s="70" t="s">
        <v>21</v>
      </c>
      <c r="O298" s="70" t="s">
        <v>21</v>
      </c>
      <c r="P298" s="54" t="s">
        <v>619</v>
      </c>
      <c r="Q298" s="52" t="s">
        <v>620</v>
      </c>
      <c r="R298" s="93" t="s">
        <v>32</v>
      </c>
      <c r="S298" s="70">
        <v>7.663064E-2</v>
      </c>
      <c r="T298" s="70">
        <v>-1.2120378825805023E-2</v>
      </c>
      <c r="V298" s="113">
        <v>1.10342736</v>
      </c>
      <c r="W298" s="71">
        <v>2.7947044000000001</v>
      </c>
      <c r="X298" s="71">
        <v>4.2214230499999994</v>
      </c>
      <c r="Y298" s="71">
        <v>5.3829149699999999</v>
      </c>
      <c r="Z298" s="114">
        <v>6.7475377899999991</v>
      </c>
    </row>
    <row r="299" spans="2:26" x14ac:dyDescent="0.35">
      <c r="B299" s="54" t="s">
        <v>210</v>
      </c>
      <c r="C299" s="52" t="s">
        <v>232</v>
      </c>
      <c r="D299" s="52" t="s">
        <v>210</v>
      </c>
      <c r="E299" s="52" t="s">
        <v>572</v>
      </c>
      <c r="F299" s="70" t="s">
        <v>21</v>
      </c>
      <c r="G299" s="70">
        <v>6.7748313756467171E-2</v>
      </c>
      <c r="H299" s="70">
        <v>7.8431544029129718E-2</v>
      </c>
      <c r="I299" s="70" t="s">
        <v>21</v>
      </c>
      <c r="J299" s="62" t="s">
        <v>21</v>
      </c>
      <c r="K299" s="70" t="s">
        <v>21</v>
      </c>
      <c r="L299" s="70">
        <v>2.4850554656467187E-2</v>
      </c>
      <c r="M299" s="70">
        <v>3.492002032912972E-2</v>
      </c>
      <c r="N299" s="70" t="s">
        <v>21</v>
      </c>
      <c r="O299" s="70" t="s">
        <v>21</v>
      </c>
      <c r="P299" s="54" t="s">
        <v>621</v>
      </c>
      <c r="Q299" s="52" t="s">
        <v>622</v>
      </c>
      <c r="R299" s="93" t="s">
        <v>32</v>
      </c>
      <c r="S299" s="70">
        <v>7.1748179999999995E-2</v>
      </c>
      <c r="T299" s="70">
        <v>6.6833640291297236E-3</v>
      </c>
      <c r="V299" s="113">
        <v>1.0918923</v>
      </c>
      <c r="W299" s="71">
        <v>2.7292808700000002</v>
      </c>
      <c r="X299" s="71">
        <v>4.04916082</v>
      </c>
      <c r="Y299" s="71">
        <v>5.0759551399999996</v>
      </c>
      <c r="Z299" s="114">
        <v>6.2118927400000006</v>
      </c>
    </row>
    <row r="300" spans="2:26" x14ac:dyDescent="0.35">
      <c r="B300" s="54" t="s">
        <v>211</v>
      </c>
      <c r="C300" s="52" t="s">
        <v>232</v>
      </c>
      <c r="D300" s="52" t="s">
        <v>211</v>
      </c>
      <c r="E300" s="52" t="s">
        <v>623</v>
      </c>
      <c r="F300" s="70" t="s">
        <v>21</v>
      </c>
      <c r="G300" s="70">
        <v>6.5175843661767818E-2</v>
      </c>
      <c r="H300" s="70">
        <v>7.4521612470209761E-2</v>
      </c>
      <c r="I300" s="70" t="s">
        <v>21</v>
      </c>
      <c r="J300" s="62" t="s">
        <v>21</v>
      </c>
      <c r="K300" s="70" t="s">
        <v>21</v>
      </c>
      <c r="L300" s="70">
        <v>2.2447407561767815E-2</v>
      </c>
      <c r="M300" s="70">
        <v>3.131605887020978E-2</v>
      </c>
      <c r="N300" s="70" t="s">
        <v>21</v>
      </c>
      <c r="O300" s="70" t="s">
        <v>21</v>
      </c>
      <c r="P300" s="54" t="s">
        <v>624</v>
      </c>
      <c r="Q300" s="52" t="s">
        <v>625</v>
      </c>
      <c r="R300" s="93" t="s">
        <v>32</v>
      </c>
      <c r="S300" s="70">
        <v>6.7925739999999998E-2</v>
      </c>
      <c r="T300" s="70">
        <v>6.5958724702097626E-3</v>
      </c>
      <c r="V300" s="113">
        <v>1.0965050699999999</v>
      </c>
      <c r="W300" s="71">
        <v>2.7469613399999999</v>
      </c>
      <c r="X300" s="71">
        <v>4.09775694</v>
      </c>
      <c r="Y300" s="71">
        <v>5.1568502399999998</v>
      </c>
      <c r="Z300" s="114">
        <v>6.3328594399999991</v>
      </c>
    </row>
    <row r="301" spans="2:26" x14ac:dyDescent="0.35">
      <c r="B301" s="54" t="s">
        <v>272</v>
      </c>
      <c r="C301" s="52" t="s">
        <v>232</v>
      </c>
      <c r="D301" s="52" t="s">
        <v>272</v>
      </c>
      <c r="E301" s="52" t="s">
        <v>286</v>
      </c>
      <c r="F301" s="70" t="s">
        <v>21</v>
      </c>
      <c r="G301" s="70">
        <v>4.8242945014039015E-2</v>
      </c>
      <c r="H301" s="70">
        <v>5.4070699379610399E-2</v>
      </c>
      <c r="I301" s="70" t="s">
        <v>21</v>
      </c>
      <c r="J301" s="62" t="s">
        <v>21</v>
      </c>
      <c r="K301" s="70" t="s">
        <v>21</v>
      </c>
      <c r="L301" s="70">
        <v>6.5950223140390143E-3</v>
      </c>
      <c r="M301" s="70">
        <v>1.22839959796104E-2</v>
      </c>
      <c r="N301" s="70" t="s">
        <v>21</v>
      </c>
      <c r="O301" s="70" t="s">
        <v>21</v>
      </c>
      <c r="P301" s="54" t="s">
        <v>21</v>
      </c>
      <c r="Q301" s="52" t="s">
        <v>21</v>
      </c>
      <c r="R301" s="93" t="s">
        <v>21</v>
      </c>
      <c r="S301" s="70">
        <v>0</v>
      </c>
      <c r="T301" s="70">
        <v>5.4070699379610399E-2</v>
      </c>
      <c r="V301" s="113">
        <v>1.11479236</v>
      </c>
      <c r="W301" s="71">
        <v>2.8705687000000002</v>
      </c>
      <c r="X301" s="71">
        <v>4.4160010200000004</v>
      </c>
      <c r="Y301" s="71">
        <v>5.7224869900000002</v>
      </c>
      <c r="Z301" s="114">
        <v>7.3379865200000003</v>
      </c>
    </row>
    <row r="302" spans="2:26" x14ac:dyDescent="0.35">
      <c r="B302" s="54" t="s">
        <v>273</v>
      </c>
      <c r="C302" s="52" t="s">
        <v>232</v>
      </c>
      <c r="D302" s="52" t="s">
        <v>273</v>
      </c>
      <c r="E302" s="52" t="s">
        <v>274</v>
      </c>
      <c r="F302" s="70" t="s">
        <v>21</v>
      </c>
      <c r="G302" s="70">
        <v>5.1852298665227406E-2</v>
      </c>
      <c r="H302" s="70">
        <v>5.7854448143239208E-2</v>
      </c>
      <c r="I302" s="70" t="s">
        <v>21</v>
      </c>
      <c r="J302" s="62" t="s">
        <v>21</v>
      </c>
      <c r="K302" s="70" t="s">
        <v>21</v>
      </c>
      <c r="L302" s="70">
        <v>1.0009411265227416E-2</v>
      </c>
      <c r="M302" s="70">
        <v>1.5857066143239194E-2</v>
      </c>
      <c r="N302" s="70" t="s">
        <v>21</v>
      </c>
      <c r="O302" s="70" t="s">
        <v>21</v>
      </c>
      <c r="P302" s="54" t="s">
        <v>626</v>
      </c>
      <c r="Q302" s="52" t="s">
        <v>627</v>
      </c>
      <c r="R302" s="93" t="s">
        <v>32</v>
      </c>
      <c r="S302" s="70">
        <v>5.6366820000000005E-2</v>
      </c>
      <c r="T302" s="70">
        <v>1.487628143239203E-3</v>
      </c>
      <c r="V302" s="113">
        <v>1.1130802200000001</v>
      </c>
      <c r="W302" s="71">
        <v>2.8490028000000001</v>
      </c>
      <c r="X302" s="71">
        <v>4.3553693999999998</v>
      </c>
      <c r="Y302" s="71">
        <v>5.6206626699999997</v>
      </c>
      <c r="Z302" s="114">
        <v>7.1587212499999993</v>
      </c>
    </row>
    <row r="303" spans="2:26" x14ac:dyDescent="0.35">
      <c r="B303" s="137" t="s">
        <v>277</v>
      </c>
      <c r="C303" s="138" t="s">
        <v>232</v>
      </c>
      <c r="D303" s="138" t="s">
        <v>277</v>
      </c>
      <c r="E303" s="138" t="s">
        <v>278</v>
      </c>
      <c r="F303" s="140" t="s">
        <v>21</v>
      </c>
      <c r="G303" s="140">
        <v>4.8369576353350305E-2</v>
      </c>
      <c r="H303" s="140">
        <v>5.3097567099197593E-2</v>
      </c>
      <c r="I303" s="140" t="s">
        <v>21</v>
      </c>
      <c r="J303" s="141" t="s">
        <v>21</v>
      </c>
      <c r="K303" s="140" t="s">
        <v>21</v>
      </c>
      <c r="L303" s="140">
        <v>6.7118885533503092E-3</v>
      </c>
      <c r="M303" s="140">
        <v>1.1356509399197584E-2</v>
      </c>
      <c r="N303" s="140" t="s">
        <v>21</v>
      </c>
      <c r="O303" s="140" t="s">
        <v>21</v>
      </c>
      <c r="P303" s="137" t="s">
        <v>628</v>
      </c>
      <c r="Q303" s="138" t="s">
        <v>629</v>
      </c>
      <c r="R303" s="142" t="s">
        <v>32</v>
      </c>
      <c r="S303" s="140">
        <v>4.7467670000000003E-2</v>
      </c>
      <c r="T303" s="140">
        <v>5.6298970991975894E-3</v>
      </c>
      <c r="V303" s="143">
        <v>1.1149088</v>
      </c>
      <c r="W303" s="144">
        <v>2.8695074899999997</v>
      </c>
      <c r="X303" s="144">
        <v>4.4219810499999994</v>
      </c>
      <c r="Y303" s="144">
        <v>5.7579867499999997</v>
      </c>
      <c r="Z303" s="145">
        <v>7.4253850699999999</v>
      </c>
    </row>
    <row r="304" spans="2:26" x14ac:dyDescent="0.35">
      <c r="B304" s="137" t="s">
        <v>279</v>
      </c>
      <c r="C304" s="138" t="s">
        <v>232</v>
      </c>
      <c r="D304" s="138" t="s">
        <v>279</v>
      </c>
      <c r="E304" s="138" t="s">
        <v>48</v>
      </c>
      <c r="F304" s="140" t="s">
        <v>21</v>
      </c>
      <c r="G304" s="140">
        <v>5.5447606470627533E-2</v>
      </c>
      <c r="H304" s="140">
        <v>6.266319152671844E-2</v>
      </c>
      <c r="I304" s="140" t="s">
        <v>21</v>
      </c>
      <c r="J304" s="141" t="s">
        <v>21</v>
      </c>
      <c r="K304" s="140" t="s">
        <v>21</v>
      </c>
      <c r="L304" s="140">
        <v>1.3408212170627537E-2</v>
      </c>
      <c r="M304" s="140">
        <v>2.0371308626718442E-2</v>
      </c>
      <c r="N304" s="140" t="s">
        <v>21</v>
      </c>
      <c r="O304" s="140" t="s">
        <v>21</v>
      </c>
      <c r="P304" s="137" t="s">
        <v>630</v>
      </c>
      <c r="Q304" s="138" t="s">
        <v>631</v>
      </c>
      <c r="R304" s="142" t="s">
        <v>32</v>
      </c>
      <c r="S304" s="140">
        <v>5.9674189999999995E-2</v>
      </c>
      <c r="T304" s="140">
        <v>2.9890015267184447E-3</v>
      </c>
      <c r="V304" s="143">
        <v>1.1081750299999999</v>
      </c>
      <c r="W304" s="144">
        <v>2.8191926199999999</v>
      </c>
      <c r="X304" s="144">
        <v>4.2797320700000006</v>
      </c>
      <c r="Y304" s="144">
        <v>5.4796973399999995</v>
      </c>
      <c r="Z304" s="145">
        <v>6.8724345399999995</v>
      </c>
    </row>
    <row r="305" spans="2:26" x14ac:dyDescent="0.35">
      <c r="B305" s="146" t="s">
        <v>275</v>
      </c>
      <c r="C305" s="147" t="s">
        <v>232</v>
      </c>
      <c r="D305" s="147" t="s">
        <v>276</v>
      </c>
      <c r="E305" s="147" t="s">
        <v>123</v>
      </c>
      <c r="F305" s="149" t="s">
        <v>21</v>
      </c>
      <c r="G305" s="149">
        <v>5.189892004266683E-2</v>
      </c>
      <c r="H305" s="149">
        <v>5.7059429604955761E-2</v>
      </c>
      <c r="I305" s="149" t="s">
        <v>21</v>
      </c>
      <c r="J305" s="150" t="s">
        <v>21</v>
      </c>
      <c r="K305" s="149" t="s">
        <v>21</v>
      </c>
      <c r="L305" s="149">
        <v>1.0026950842666832E-2</v>
      </c>
      <c r="M305" s="149">
        <v>1.5056254204955757E-2</v>
      </c>
      <c r="N305" s="149" t="s">
        <v>21</v>
      </c>
      <c r="O305" s="149" t="s">
        <v>21</v>
      </c>
      <c r="P305" s="146" t="s">
        <v>632</v>
      </c>
      <c r="Q305" s="147" t="s">
        <v>633</v>
      </c>
      <c r="R305" s="151" t="s">
        <v>32</v>
      </c>
      <c r="S305" s="149">
        <v>5.2727969999999999E-2</v>
      </c>
      <c r="T305" s="149">
        <v>4.3314596049557619E-3</v>
      </c>
      <c r="V305" s="152">
        <v>1.1089850000000001</v>
      </c>
      <c r="W305" s="153">
        <v>2.83322969</v>
      </c>
      <c r="X305" s="153">
        <v>4.32920617</v>
      </c>
      <c r="Y305" s="153">
        <v>5.5873766800000002</v>
      </c>
      <c r="Z305" s="154">
        <v>7.0887000899999997</v>
      </c>
    </row>
    <row r="306" spans="2:26" x14ac:dyDescent="0.35">
      <c r="B306" s="54" t="s">
        <v>212</v>
      </c>
      <c r="C306" s="52" t="s">
        <v>232</v>
      </c>
      <c r="D306" s="52" t="s">
        <v>199</v>
      </c>
      <c r="E306" s="52" t="s">
        <v>293</v>
      </c>
      <c r="F306" s="70" t="s">
        <v>21</v>
      </c>
      <c r="G306" s="70">
        <v>5.2383783514108627E-2</v>
      </c>
      <c r="H306" s="70">
        <v>6.0497316797169021E-2</v>
      </c>
      <c r="I306" s="70" t="s">
        <v>21</v>
      </c>
      <c r="J306" s="62" t="s">
        <v>21</v>
      </c>
      <c r="K306" s="70" t="s">
        <v>21</v>
      </c>
      <c r="L306" s="70">
        <v>1.0481556014108632E-2</v>
      </c>
      <c r="M306" s="70">
        <v>1.8308854097169015E-2</v>
      </c>
      <c r="N306" s="70" t="s">
        <v>21</v>
      </c>
      <c r="O306" s="70" t="s">
        <v>21</v>
      </c>
      <c r="P306" s="54" t="s">
        <v>634</v>
      </c>
      <c r="Q306" s="52" t="s">
        <v>635</v>
      </c>
      <c r="R306" s="93" t="s">
        <v>32</v>
      </c>
      <c r="S306" s="70">
        <v>5.7093790000000005E-2</v>
      </c>
      <c r="T306" s="70">
        <v>3.4035267971690153E-3</v>
      </c>
      <c r="V306" s="113">
        <v>1.11222256</v>
      </c>
      <c r="W306" s="71">
        <v>2.8410347999999996</v>
      </c>
      <c r="X306" s="71">
        <v>4.3184405000000003</v>
      </c>
      <c r="Y306" s="71">
        <v>5.5254024199999998</v>
      </c>
      <c r="Z306" s="114">
        <v>6.9271733899999992</v>
      </c>
    </row>
    <row r="307" spans="2:26" x14ac:dyDescent="0.35">
      <c r="B307" s="54" t="s">
        <v>213</v>
      </c>
      <c r="C307" s="52" t="s">
        <v>232</v>
      </c>
      <c r="D307" s="52" t="s">
        <v>197</v>
      </c>
      <c r="E307" s="52" t="s">
        <v>636</v>
      </c>
      <c r="F307" s="70" t="s">
        <v>21</v>
      </c>
      <c r="G307" s="70">
        <v>6.8095655858603249E-2</v>
      </c>
      <c r="H307" s="70">
        <v>7.6236618490337624E-2</v>
      </c>
      <c r="I307" s="70" t="s">
        <v>21</v>
      </c>
      <c r="J307" s="62" t="s">
        <v>21</v>
      </c>
      <c r="K307" s="70" t="s">
        <v>21</v>
      </c>
      <c r="L307" s="70">
        <v>2.5149598658603264E-2</v>
      </c>
      <c r="M307" s="70">
        <v>3.2876698390337626E-2</v>
      </c>
      <c r="N307" s="70" t="s">
        <v>21</v>
      </c>
      <c r="O307" s="70" t="s">
        <v>21</v>
      </c>
      <c r="P307" s="54" t="s">
        <v>21</v>
      </c>
      <c r="Q307" s="52" t="s">
        <v>21</v>
      </c>
      <c r="R307" s="93" t="s">
        <v>21</v>
      </c>
      <c r="S307" s="70">
        <v>0</v>
      </c>
      <c r="T307" s="70">
        <v>7.6236618490337624E-2</v>
      </c>
      <c r="V307" s="113">
        <v>1.0863690500000001</v>
      </c>
      <c r="W307" s="71">
        <v>2.7133751699999999</v>
      </c>
      <c r="X307" s="71">
        <v>4.0479975699999997</v>
      </c>
      <c r="Y307" s="71">
        <v>5.0859491200000004</v>
      </c>
      <c r="Z307" s="114">
        <v>6.2359438599999999</v>
      </c>
    </row>
    <row r="308" spans="2:26" x14ac:dyDescent="0.35">
      <c r="B308" s="54" t="s">
        <v>280</v>
      </c>
      <c r="C308" s="52" t="s">
        <v>232</v>
      </c>
      <c r="D308" s="52" t="s">
        <v>199</v>
      </c>
      <c r="E308" s="52" t="s">
        <v>133</v>
      </c>
      <c r="F308" s="70" t="s">
        <v>21</v>
      </c>
      <c r="G308" s="70"/>
      <c r="H308" s="70">
        <v>5.0543060022567123E-2</v>
      </c>
      <c r="I308" s="70" t="s">
        <v>21</v>
      </c>
      <c r="J308" s="62" t="s">
        <v>21</v>
      </c>
      <c r="K308" s="70" t="s">
        <v>21</v>
      </c>
      <c r="L308" s="70"/>
      <c r="M308" s="70">
        <v>8.7903568225671351E-3</v>
      </c>
      <c r="N308" s="70" t="s">
        <v>21</v>
      </c>
      <c r="O308" s="70" t="s">
        <v>21</v>
      </c>
      <c r="P308" s="54" t="s">
        <v>294</v>
      </c>
      <c r="Q308" s="52" t="s">
        <v>295</v>
      </c>
      <c r="R308" s="93">
        <v>47581</v>
      </c>
      <c r="S308" s="70">
        <v>5.4140430000000003E-2</v>
      </c>
      <c r="T308" s="70">
        <v>-3.5973699774328807E-3</v>
      </c>
      <c r="V308" s="113">
        <v>1.1126429</v>
      </c>
      <c r="W308" s="71">
        <v>2.8642298999999998</v>
      </c>
      <c r="X308" s="71">
        <v>4.4134812300000004</v>
      </c>
      <c r="Y308" s="71">
        <v>5.7442840100000003</v>
      </c>
      <c r="Z308" s="114">
        <v>7.3800636899999992</v>
      </c>
    </row>
    <row r="309" spans="2:26" x14ac:dyDescent="0.35">
      <c r="B309" s="54" t="s">
        <v>281</v>
      </c>
      <c r="C309" s="52" t="s">
        <v>232</v>
      </c>
      <c r="D309" s="52" t="s">
        <v>195</v>
      </c>
      <c r="E309" s="52" t="s">
        <v>637</v>
      </c>
      <c r="F309" s="70" t="s">
        <v>21</v>
      </c>
      <c r="G309" s="70"/>
      <c r="H309" s="70">
        <v>7.7772801252693688E-2</v>
      </c>
      <c r="I309" s="70" t="s">
        <v>21</v>
      </c>
      <c r="J309" s="62" t="s">
        <v>21</v>
      </c>
      <c r="K309" s="70" t="s">
        <v>21</v>
      </c>
      <c r="L309" s="70"/>
      <c r="M309" s="70">
        <v>3.4259484052693676E-2</v>
      </c>
      <c r="N309" s="70" t="s">
        <v>21</v>
      </c>
      <c r="O309" s="70" t="s">
        <v>21</v>
      </c>
      <c r="P309" s="54" t="s">
        <v>21</v>
      </c>
      <c r="Q309" s="52" t="s">
        <v>21</v>
      </c>
      <c r="R309" s="93" t="s">
        <v>21</v>
      </c>
      <c r="S309" s="70">
        <v>0</v>
      </c>
      <c r="T309" s="70">
        <v>7.7772801252693688E-2</v>
      </c>
      <c r="V309" s="113">
        <v>1.08236811</v>
      </c>
      <c r="W309" s="71">
        <v>2.68306851</v>
      </c>
      <c r="X309" s="71">
        <v>3.9961063300000004</v>
      </c>
      <c r="Y309" s="71">
        <v>5.0559113</v>
      </c>
      <c r="Z309" s="114">
        <v>6.2892350099999996</v>
      </c>
    </row>
    <row r="310" spans="2:26" x14ac:dyDescent="0.35">
      <c r="B310" s="54" t="s">
        <v>282</v>
      </c>
      <c r="C310" s="52" t="s">
        <v>232</v>
      </c>
      <c r="D310" s="52" t="s">
        <v>195</v>
      </c>
      <c r="E310" s="52" t="s">
        <v>638</v>
      </c>
      <c r="F310" s="70" t="s">
        <v>21</v>
      </c>
      <c r="G310" s="70"/>
      <c r="H310" s="70">
        <v>7.9971920240486397E-2</v>
      </c>
      <c r="I310" s="70" t="s">
        <v>21</v>
      </c>
      <c r="J310" s="62" t="s">
        <v>21</v>
      </c>
      <c r="K310" s="70" t="s">
        <v>21</v>
      </c>
      <c r="L310" s="70"/>
      <c r="M310" s="70">
        <v>3.6725088040486388E-2</v>
      </c>
      <c r="N310" s="70" t="s">
        <v>21</v>
      </c>
      <c r="O310" s="70" t="s">
        <v>21</v>
      </c>
      <c r="P310" s="54" t="s">
        <v>21</v>
      </c>
      <c r="Q310" s="52" t="s">
        <v>21</v>
      </c>
      <c r="R310" s="93" t="s">
        <v>21</v>
      </c>
      <c r="S310" s="70">
        <v>0</v>
      </c>
      <c r="T310" s="70">
        <v>7.9971920240486397E-2</v>
      </c>
      <c r="V310" s="113">
        <v>1.08828714</v>
      </c>
      <c r="W310" s="71">
        <v>2.7246271399999999</v>
      </c>
      <c r="X310" s="71">
        <v>4.0674886200000007</v>
      </c>
      <c r="Y310" s="71">
        <v>5.1223805900000006</v>
      </c>
      <c r="Z310" s="114">
        <v>6.273471680000001</v>
      </c>
    </row>
    <row r="311" spans="2:26" x14ac:dyDescent="0.35">
      <c r="B311" s="56" t="s">
        <v>283</v>
      </c>
      <c r="C311" s="52" t="s">
        <v>232</v>
      </c>
      <c r="D311" s="66" t="s">
        <v>195</v>
      </c>
      <c r="E311" s="66" t="s">
        <v>268</v>
      </c>
      <c r="F311" s="75" t="s">
        <v>21</v>
      </c>
      <c r="G311" s="75"/>
      <c r="H311" s="75">
        <v>8.4962843186727408E-2</v>
      </c>
      <c r="I311" s="75" t="s">
        <v>21</v>
      </c>
      <c r="J311" s="63" t="s">
        <v>21</v>
      </c>
      <c r="K311" s="75" t="s">
        <v>21</v>
      </c>
      <c r="L311" s="75"/>
      <c r="M311" s="75">
        <v>4.0404896686727435E-2</v>
      </c>
      <c r="N311" s="75" t="s">
        <v>21</v>
      </c>
      <c r="O311" s="75" t="s">
        <v>21</v>
      </c>
      <c r="P311" s="56" t="s">
        <v>639</v>
      </c>
      <c r="Q311" s="66" t="s">
        <v>640</v>
      </c>
      <c r="R311" s="95">
        <v>47560</v>
      </c>
      <c r="S311" s="75">
        <v>8.1144130000000009E-2</v>
      </c>
      <c r="T311" s="75">
        <v>3.8187131867273988E-3</v>
      </c>
      <c r="V311" s="115">
        <v>1.0769631900000001</v>
      </c>
      <c r="W311" s="107">
        <v>2.6325210100000001</v>
      </c>
      <c r="X311" s="107">
        <v>3.8559366599999998</v>
      </c>
      <c r="Y311" s="107">
        <v>4.7989794799999999</v>
      </c>
      <c r="Z311" s="116">
        <v>5.7793536200000002</v>
      </c>
    </row>
    <row r="312" spans="2:26" x14ac:dyDescent="0.35"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V312" s="65"/>
      <c r="W312" s="65"/>
      <c r="X312" s="65"/>
      <c r="Y312" s="65"/>
      <c r="Z312" s="65"/>
    </row>
    <row r="313" spans="2:26" ht="15.5" x14ac:dyDescent="0.35">
      <c r="B313" s="121" t="s">
        <v>284</v>
      </c>
    </row>
    <row r="314" spans="2:26" x14ac:dyDescent="0.35">
      <c r="B314" s="84" t="s">
        <v>5</v>
      </c>
      <c r="C314" s="83" t="s">
        <v>6</v>
      </c>
      <c r="D314" s="83" t="s">
        <v>7</v>
      </c>
      <c r="E314" s="83" t="s">
        <v>8</v>
      </c>
      <c r="F314" s="82" t="s">
        <v>9</v>
      </c>
      <c r="G314" s="81" t="s">
        <v>10</v>
      </c>
      <c r="H314" s="81" t="s">
        <v>11</v>
      </c>
      <c r="I314" s="81" t="s">
        <v>12</v>
      </c>
      <c r="J314" s="80" t="s">
        <v>13</v>
      </c>
      <c r="K314" s="81" t="s">
        <v>9</v>
      </c>
      <c r="L314" s="81" t="s">
        <v>10</v>
      </c>
      <c r="M314" s="81" t="s">
        <v>11</v>
      </c>
      <c r="N314" s="81" t="s">
        <v>12</v>
      </c>
      <c r="O314" s="81" t="s">
        <v>13</v>
      </c>
      <c r="P314" s="82" t="s">
        <v>14</v>
      </c>
      <c r="Q314" s="81" t="s">
        <v>15</v>
      </c>
      <c r="R314" s="81" t="s">
        <v>16</v>
      </c>
      <c r="S314" s="81" t="s">
        <v>413</v>
      </c>
      <c r="T314" s="81" t="s">
        <v>18</v>
      </c>
      <c r="V314" s="109" t="s">
        <v>9</v>
      </c>
      <c r="W314" s="105" t="s">
        <v>10</v>
      </c>
      <c r="X314" s="105" t="s">
        <v>11</v>
      </c>
      <c r="Y314" s="105" t="s">
        <v>12</v>
      </c>
      <c r="Z314" s="110" t="s">
        <v>13</v>
      </c>
    </row>
    <row r="315" spans="2:26" x14ac:dyDescent="0.35">
      <c r="B315" s="54" t="s">
        <v>641</v>
      </c>
      <c r="C315" s="52" t="s">
        <v>232</v>
      </c>
      <c r="D315" s="52" t="s">
        <v>642</v>
      </c>
      <c r="E315" s="52" t="s">
        <v>643</v>
      </c>
      <c r="F315" s="70">
        <v>4.1933634021335674E-2</v>
      </c>
      <c r="G315" s="70">
        <v>4.818481957221922E-2</v>
      </c>
      <c r="H315" s="70">
        <v>5.3671632738638522E-2</v>
      </c>
      <c r="I315" s="70">
        <v>5.61711657542045E-2</v>
      </c>
      <c r="J315" s="62">
        <v>5.8870562469636872E-2</v>
      </c>
      <c r="K315" s="70" t="s">
        <v>21</v>
      </c>
      <c r="L315" s="70">
        <v>6.4557398722192207E-3</v>
      </c>
      <c r="M315" s="70">
        <v>1.1793922638638517E-2</v>
      </c>
      <c r="N315" s="70">
        <v>1.3542610354204506E-2</v>
      </c>
      <c r="O315" s="70">
        <v>1.4801115469636885E-2</v>
      </c>
      <c r="P315" s="54" t="s">
        <v>644</v>
      </c>
      <c r="Q315" s="52" t="s">
        <v>645</v>
      </c>
      <c r="R315" s="93">
        <v>47545</v>
      </c>
      <c r="S315" s="70">
        <v>4.7164900000000003E-2</v>
      </c>
      <c r="T315" s="70">
        <v>6.5067327386385196E-3</v>
      </c>
      <c r="V315" s="113">
        <v>1.11284611</v>
      </c>
      <c r="W315" s="71">
        <v>2.8557701299999998</v>
      </c>
      <c r="X315" s="71">
        <v>4.3768816500000005</v>
      </c>
      <c r="Y315" s="71">
        <v>5.6738899600000003</v>
      </c>
      <c r="Z315" s="114">
        <v>7.2864986600000003</v>
      </c>
    </row>
    <row r="316" spans="2:26" x14ac:dyDescent="0.35">
      <c r="B316" s="54" t="s">
        <v>646</v>
      </c>
      <c r="C316" s="52" t="e">
        <v>#N/A</v>
      </c>
      <c r="D316" s="52" t="s">
        <v>647</v>
      </c>
      <c r="E316" s="52" t="s">
        <v>264</v>
      </c>
      <c r="F316" s="70">
        <v>4.2790914915747394E-2</v>
      </c>
      <c r="G316" s="70">
        <v>4.8797415711755839E-2</v>
      </c>
      <c r="H316" s="70">
        <v>5.3996516875951223E-2</v>
      </c>
      <c r="I316" s="70">
        <v>5.6339992800278196E-2</v>
      </c>
      <c r="J316" s="62">
        <v>5.9088257788641116E-2</v>
      </c>
      <c r="K316" s="70">
        <v>6.9675411574740033E-4</v>
      </c>
      <c r="L316" s="70">
        <v>7.0379447117558357E-3</v>
      </c>
      <c r="M316" s="70">
        <v>1.2102215775951219E-2</v>
      </c>
      <c r="N316" s="70">
        <v>1.3702274300278209E-2</v>
      </c>
      <c r="O316" s="70">
        <v>1.5005921088641109E-2</v>
      </c>
      <c r="P316" s="54" t="s">
        <v>21</v>
      </c>
      <c r="Q316" s="52" t="s">
        <v>21</v>
      </c>
      <c r="R316" s="93" t="s">
        <v>21</v>
      </c>
      <c r="S316" s="70">
        <v>0</v>
      </c>
      <c r="T316" s="70">
        <v>5.3996516875951223E-2</v>
      </c>
      <c r="V316" s="113">
        <v>1.11122104</v>
      </c>
      <c r="W316" s="71">
        <v>2.84896678</v>
      </c>
      <c r="X316" s="71">
        <v>4.3659014899999997</v>
      </c>
      <c r="Y316" s="71">
        <v>5.6616237200000006</v>
      </c>
      <c r="Z316" s="114">
        <v>7.2706305499999999</v>
      </c>
    </row>
    <row r="317" spans="2:26" x14ac:dyDescent="0.35">
      <c r="B317" s="54" t="s">
        <v>287</v>
      </c>
      <c r="C317" s="52" t="s">
        <v>232</v>
      </c>
      <c r="D317" s="52" t="s">
        <v>285</v>
      </c>
      <c r="E317" s="52" t="s">
        <v>179</v>
      </c>
      <c r="F317" s="70">
        <v>4.0905931921650845E-2</v>
      </c>
      <c r="G317" s="70">
        <v>4.6805229197076748E-2</v>
      </c>
      <c r="H317" s="70">
        <v>5.145709625552395E-2</v>
      </c>
      <c r="I317" s="70">
        <v>5.4343880175786376E-2</v>
      </c>
      <c r="J317" s="62">
        <v>5.7384845517706062E-2</v>
      </c>
      <c r="K317" s="70" t="s">
        <v>21</v>
      </c>
      <c r="L317" s="70">
        <v>5.1429029970767523E-3</v>
      </c>
      <c r="M317" s="70">
        <v>9.6961336555239485E-3</v>
      </c>
      <c r="N317" s="70">
        <v>1.1811657275786376E-2</v>
      </c>
      <c r="O317" s="70">
        <v>1.3388975517706061E-2</v>
      </c>
      <c r="P317" s="54" t="s">
        <v>648</v>
      </c>
      <c r="Q317" s="52" t="s">
        <v>649</v>
      </c>
      <c r="R317" s="93" t="s">
        <v>32</v>
      </c>
      <c r="S317" s="70">
        <v>4.8115079999999998E-2</v>
      </c>
      <c r="T317" s="70">
        <v>3.3420162555239524E-3</v>
      </c>
      <c r="V317" s="113">
        <v>1.114827</v>
      </c>
      <c r="W317" s="71">
        <v>2.8684347700000004</v>
      </c>
      <c r="X317" s="71">
        <v>4.41497019</v>
      </c>
      <c r="Y317" s="71">
        <v>5.7371103100000003</v>
      </c>
      <c r="Z317" s="114">
        <v>7.38141917</v>
      </c>
    </row>
    <row r="318" spans="2:26" x14ac:dyDescent="0.35">
      <c r="B318" s="54" t="s">
        <v>650</v>
      </c>
      <c r="C318" s="52" t="s">
        <v>232</v>
      </c>
      <c r="D318" s="52" t="s">
        <v>642</v>
      </c>
      <c r="E318" s="52" t="s">
        <v>651</v>
      </c>
      <c r="F318" s="70">
        <v>4.254182193937394E-2</v>
      </c>
      <c r="G318" s="70">
        <v>5.0026765728498547E-2</v>
      </c>
      <c r="H318" s="70">
        <v>5.5409293476159013E-2</v>
      </c>
      <c r="I318" s="70">
        <v>5.8726744089919597E-2</v>
      </c>
      <c r="J318" s="62">
        <v>6.2727957018527569E-2</v>
      </c>
      <c r="K318" s="70">
        <v>4.4797663937394452E-4</v>
      </c>
      <c r="L318" s="70">
        <v>8.1937656284985453E-3</v>
      </c>
      <c r="M318" s="70">
        <v>1.3429369976159011E-2</v>
      </c>
      <c r="N318" s="70">
        <v>1.5946987689919607E-2</v>
      </c>
      <c r="O318" s="70">
        <v>1.8452089318527577E-2</v>
      </c>
      <c r="P318" s="54" t="s">
        <v>652</v>
      </c>
      <c r="Q318" s="52" t="s">
        <v>653</v>
      </c>
      <c r="R318" s="93">
        <v>47651</v>
      </c>
      <c r="S318" s="70">
        <v>4.898243E-2</v>
      </c>
      <c r="T318" s="70">
        <v>6.4268634761590129E-3</v>
      </c>
      <c r="V318" s="113">
        <v>1.1117469</v>
      </c>
      <c r="W318" s="71">
        <v>2.8432738099999999</v>
      </c>
      <c r="X318" s="71">
        <v>4.3443884000000006</v>
      </c>
      <c r="Y318" s="71">
        <v>5.6072298499999995</v>
      </c>
      <c r="Z318" s="114">
        <v>7.1282709999999998</v>
      </c>
    </row>
    <row r="319" spans="2:26" x14ac:dyDescent="0.35">
      <c r="B319" s="54" t="s">
        <v>654</v>
      </c>
      <c r="C319" s="52" t="s">
        <v>232</v>
      </c>
      <c r="D319" s="52" t="s">
        <v>642</v>
      </c>
      <c r="E319" s="52" t="s">
        <v>643</v>
      </c>
      <c r="F319" s="70">
        <v>4.3181860110152889E-2</v>
      </c>
      <c r="G319" s="70">
        <v>5.0271487469848414E-2</v>
      </c>
      <c r="H319" s="70">
        <v>5.5835831124385782E-2</v>
      </c>
      <c r="I319" s="70">
        <v>5.8457368460059216E-2</v>
      </c>
      <c r="J319" s="62">
        <v>6.1801842187535733E-2</v>
      </c>
      <c r="K319" s="70">
        <v>1.0677499101528912E-3</v>
      </c>
      <c r="L319" s="70">
        <v>8.4294439698484047E-3</v>
      </c>
      <c r="M319" s="70">
        <v>1.3834085424385778E-2</v>
      </c>
      <c r="N319" s="70">
        <v>1.5696131060059217E-2</v>
      </c>
      <c r="O319" s="70">
        <v>1.7575098287535732E-2</v>
      </c>
      <c r="P319" s="54" t="s">
        <v>655</v>
      </c>
      <c r="Q319" s="52" t="s">
        <v>656</v>
      </c>
      <c r="R319" s="93">
        <v>47599</v>
      </c>
      <c r="S319" s="70">
        <v>4.8121830000000004E-2</v>
      </c>
      <c r="T319" s="70">
        <v>7.7140011243857776E-3</v>
      </c>
      <c r="V319" s="113">
        <v>1.1105033600000001</v>
      </c>
      <c r="W319" s="71">
        <v>2.8388244</v>
      </c>
      <c r="X319" s="71">
        <v>4.33555855</v>
      </c>
      <c r="Y319" s="71">
        <v>5.6016621099999995</v>
      </c>
      <c r="Z319" s="114">
        <v>7.1483188899999996</v>
      </c>
    </row>
    <row r="320" spans="2:26" x14ac:dyDescent="0.35">
      <c r="B320" s="56" t="s">
        <v>657</v>
      </c>
      <c r="C320" s="66" t="s">
        <v>232</v>
      </c>
      <c r="D320" s="66" t="s">
        <v>642</v>
      </c>
      <c r="E320" s="66" t="s">
        <v>658</v>
      </c>
      <c r="F320" s="75">
        <v>4.3406891343857237E-2</v>
      </c>
      <c r="G320" s="75">
        <v>5.1044089548315331E-2</v>
      </c>
      <c r="H320" s="75">
        <v>5.6278234153264002E-2</v>
      </c>
      <c r="I320" s="75">
        <v>5.9094044856431424E-2</v>
      </c>
      <c r="J320" s="63">
        <v>6.2312791805344228E-2</v>
      </c>
      <c r="K320" s="75">
        <v>1.2866950438572278E-3</v>
      </c>
      <c r="L320" s="75">
        <v>9.1609070483153268E-3</v>
      </c>
      <c r="M320" s="75">
        <v>1.4251442953264002E-2</v>
      </c>
      <c r="N320" s="75">
        <v>1.6294878556431427E-2</v>
      </c>
      <c r="O320" s="75">
        <v>1.805849950534421E-2</v>
      </c>
      <c r="P320" s="56" t="s">
        <v>659</v>
      </c>
      <c r="Q320" s="66" t="s">
        <v>660</v>
      </c>
      <c r="R320" s="95">
        <v>47490</v>
      </c>
      <c r="S320" s="75">
        <v>4.8636660000000005E-2</v>
      </c>
      <c r="T320" s="75">
        <v>7.6415741532639969E-3</v>
      </c>
      <c r="V320" s="115">
        <v>1.1099827600000001</v>
      </c>
      <c r="W320" s="107">
        <v>2.8331554799999998</v>
      </c>
      <c r="X320" s="107">
        <v>4.3239289799999998</v>
      </c>
      <c r="Y320" s="107">
        <v>5.5819819600000002</v>
      </c>
      <c r="Z320" s="116">
        <v>7.1161868799999999</v>
      </c>
    </row>
  </sheetData>
  <mergeCells count="6">
    <mergeCell ref="V14:Z14"/>
    <mergeCell ref="F3:J3"/>
    <mergeCell ref="K3:O3"/>
    <mergeCell ref="F4:J4"/>
    <mergeCell ref="K4:O4"/>
    <mergeCell ref="V5:Z5"/>
  </mergeCells>
  <conditionalFormatting sqref="F26">
    <cfRule type="colorScale" priority="43">
      <colorScale>
        <cfvo type="min"/>
        <cfvo type="max"/>
        <color rgb="FFFFEF9C"/>
        <color rgb="FF63BE7B"/>
      </colorScale>
    </cfRule>
  </conditionalFormatting>
  <conditionalFormatting sqref="F7:J12">
    <cfRule type="colorScale" priority="47">
      <colorScale>
        <cfvo type="min"/>
        <cfvo type="max"/>
        <color rgb="FFFFEF9C"/>
        <color rgb="FF63BE7B"/>
      </colorScale>
    </cfRule>
  </conditionalFormatting>
  <conditionalFormatting sqref="F16:J21">
    <cfRule type="colorScale" priority="34">
      <colorScale>
        <cfvo type="min"/>
        <cfvo type="max"/>
        <color rgb="FFFFEF9C"/>
        <color rgb="FF63BE7B"/>
      </colorScale>
    </cfRule>
  </conditionalFormatting>
  <conditionalFormatting sqref="F26:J105">
    <cfRule type="colorScale" priority="71">
      <colorScale>
        <cfvo type="min"/>
        <cfvo type="max"/>
        <color rgb="FFFFEF9C"/>
        <color rgb="FF63BE7B"/>
      </colorScale>
    </cfRule>
  </conditionalFormatting>
  <conditionalFormatting sqref="F40:J48">
    <cfRule type="cellIs" dxfId="9" priority="45" operator="lessThan">
      <formula>0</formula>
    </cfRule>
  </conditionalFormatting>
  <conditionalFormatting sqref="F46:J46">
    <cfRule type="colorScale" priority="44">
      <colorScale>
        <cfvo type="min"/>
        <cfvo type="max"/>
        <color rgb="FFFFEF9C"/>
        <color rgb="FF63BE7B"/>
      </colorScale>
    </cfRule>
  </conditionalFormatting>
  <conditionalFormatting sqref="F50:J55 F57:J60 F62:J66 F68:J70 F72:J73 F75:J93 F110:J129 F131:J133 F138:J253 F255:J271 F315:J320">
    <cfRule type="cellIs" dxfId="8" priority="48" operator="lessThan">
      <formula>0</formula>
    </cfRule>
  </conditionalFormatting>
  <conditionalFormatting sqref="F57:J60 F47:J48 F27:J34 G26:J26 F36:J38 F40:J45 F50:J55 F75:J93 F62:J66 F68:J70 F95:J105 F72:J73">
    <cfRule type="colorScale" priority="50">
      <colorScale>
        <cfvo type="min"/>
        <cfvo type="max"/>
        <color rgb="FFFFEF9C"/>
        <color rgb="FF63BE7B"/>
      </colorScale>
    </cfRule>
  </conditionalFormatting>
  <conditionalFormatting sqref="F57:J60 F50:J55 F26:J34 F36:J38 F40:J48 F75:J93 F62:J66 F68:J70 F95:J105 F72:J73">
    <cfRule type="colorScale" priority="51">
      <colorScale>
        <cfvo type="min"/>
        <cfvo type="max"/>
        <color rgb="FFFFEF9C"/>
        <color rgb="FF63BE7B"/>
      </colorScale>
    </cfRule>
  </conditionalFormatting>
  <conditionalFormatting sqref="F110:J129">
    <cfRule type="colorScale" priority="49">
      <colorScale>
        <cfvo type="min"/>
        <cfvo type="max"/>
        <color rgb="FFFFEF9C"/>
        <color rgb="FF63BE7B"/>
      </colorScale>
    </cfRule>
  </conditionalFormatting>
  <conditionalFormatting sqref="F131:J133 F110:J129">
    <cfRule type="colorScale" priority="53">
      <colorScale>
        <cfvo type="min"/>
        <cfvo type="max"/>
        <color rgb="FFFFEF9C"/>
        <color rgb="FF63BE7B"/>
      </colorScale>
    </cfRule>
  </conditionalFormatting>
  <conditionalFormatting sqref="F131:J133">
    <cfRule type="colorScale" priority="52">
      <colorScale>
        <cfvo type="min"/>
        <cfvo type="max"/>
        <color rgb="FFFFEF9C"/>
        <color rgb="FF63BE7B"/>
      </colorScale>
    </cfRule>
  </conditionalFormatting>
  <conditionalFormatting sqref="F138:J253">
    <cfRule type="colorScale" priority="69">
      <colorScale>
        <cfvo type="min"/>
        <cfvo type="max"/>
        <color rgb="FFFFEF9C"/>
        <color rgb="FF63BE7B"/>
      </colorScale>
    </cfRule>
  </conditionalFormatting>
  <conditionalFormatting sqref="F255:J271">
    <cfRule type="colorScale" priority="73">
      <colorScale>
        <cfvo type="min"/>
        <cfvo type="max"/>
        <color rgb="FFFFEF9C"/>
        <color rgb="FF63BE7B"/>
      </colorScale>
    </cfRule>
  </conditionalFormatting>
  <conditionalFormatting sqref="F275:J281">
    <cfRule type="colorScale" priority="42">
      <colorScale>
        <cfvo type="min"/>
        <cfvo type="max"/>
        <color rgb="FFFFEF9C"/>
        <color rgb="FF63BE7B"/>
      </colorScale>
    </cfRule>
    <cfRule type="cellIs" dxfId="7" priority="41" operator="lessThan">
      <formula>0</formula>
    </cfRule>
  </conditionalFormatting>
  <conditionalFormatting sqref="F285:J294">
    <cfRule type="colorScale" priority="54">
      <colorScale>
        <cfvo type="min"/>
        <cfvo type="max"/>
        <color rgb="FFFFEF9C"/>
        <color rgb="FF63BE7B"/>
      </colorScale>
    </cfRule>
  </conditionalFormatting>
  <conditionalFormatting sqref="F285:J311">
    <cfRule type="cellIs" dxfId="6" priority="31" operator="lessThan">
      <formula>0</formula>
    </cfRule>
  </conditionalFormatting>
  <conditionalFormatting sqref="F295:J298">
    <cfRule type="colorScale" priority="55">
      <colorScale>
        <cfvo type="min"/>
        <cfvo type="max"/>
        <color rgb="FFFFEF9C"/>
        <color rgb="FF63BE7B"/>
      </colorScale>
    </cfRule>
  </conditionalFormatting>
  <conditionalFormatting sqref="F299:J305">
    <cfRule type="colorScale" priority="40">
      <colorScale>
        <cfvo type="min"/>
        <cfvo type="max"/>
        <color rgb="FFFFEF9C"/>
        <color rgb="FF63BE7B"/>
      </colorScale>
    </cfRule>
  </conditionalFormatting>
  <conditionalFormatting sqref="F306:J306">
    <cfRule type="colorScale" priority="32">
      <colorScale>
        <cfvo type="min"/>
        <cfvo type="max"/>
        <color rgb="FFFFEF9C"/>
        <color rgb="FF63BE7B"/>
      </colorScale>
    </cfRule>
  </conditionalFormatting>
  <conditionalFormatting sqref="F307:J310">
    <cfRule type="colorScale" priority="38">
      <colorScale>
        <cfvo type="min"/>
        <cfvo type="max"/>
        <color rgb="FFFFEF9C"/>
        <color rgb="FF63BE7B"/>
      </colorScale>
    </cfRule>
  </conditionalFormatting>
  <conditionalFormatting sqref="F311:J311">
    <cfRule type="colorScale" priority="36">
      <colorScale>
        <cfvo type="min"/>
        <cfvo type="max"/>
        <color rgb="FFFFEF9C"/>
        <color rgb="FF63BE7B"/>
      </colorScale>
    </cfRule>
  </conditionalFormatting>
  <conditionalFormatting sqref="F315:J320">
    <cfRule type="colorScale" priority="57">
      <colorScale>
        <cfvo type="min"/>
        <cfvo type="max"/>
        <color rgb="FFFFEF9C"/>
        <color rgb="FF63BE7B"/>
      </colorScale>
    </cfRule>
  </conditionalFormatting>
  <conditionalFormatting sqref="G285:H311">
    <cfRule type="colorScale" priority="56">
      <colorScale>
        <cfvo type="min"/>
        <cfvo type="max"/>
        <color rgb="FFFFEF9C"/>
        <color rgb="FF63BE7B"/>
      </colorScale>
    </cfRule>
  </conditionalFormatting>
  <conditionalFormatting sqref="G315:H320">
    <cfRule type="colorScale" priority="58">
      <colorScale>
        <cfvo type="min"/>
        <cfvo type="max"/>
        <color rgb="FFFFEF9C"/>
        <color rgb="FF63BE7B"/>
      </colorScale>
    </cfRule>
  </conditionalFormatting>
  <conditionalFormatting sqref="G26:J26 F27:J34 F36:J38 F95:J107">
    <cfRule type="cellIs" dxfId="5" priority="46" operator="lessThan">
      <formula>0</formula>
    </cfRule>
  </conditionalFormatting>
  <conditionalFormatting sqref="K7:O12">
    <cfRule type="colorScale" priority="65">
      <colorScale>
        <cfvo type="min"/>
        <cfvo type="max"/>
        <color theme="0"/>
        <color theme="8" tint="0.39997558519241921"/>
      </colorScale>
    </cfRule>
  </conditionalFormatting>
  <conditionalFormatting sqref="K16:O21">
    <cfRule type="colorScale" priority="59">
      <colorScale>
        <cfvo type="min"/>
        <cfvo type="max"/>
        <color theme="0"/>
        <color theme="8" tint="0.39997558519241921"/>
      </colorScale>
    </cfRule>
  </conditionalFormatting>
  <conditionalFormatting sqref="K26:O105">
    <cfRule type="colorScale" priority="70">
      <colorScale>
        <cfvo type="min"/>
        <cfvo type="max"/>
        <color theme="0"/>
        <color theme="8" tint="0.39997558519241921"/>
      </colorScale>
    </cfRule>
  </conditionalFormatting>
  <conditionalFormatting sqref="K110:O133">
    <cfRule type="colorScale" priority="64">
      <colorScale>
        <cfvo type="min"/>
        <cfvo type="max"/>
        <color theme="0"/>
        <color theme="8" tint="0.39997558519241921"/>
      </colorScale>
    </cfRule>
  </conditionalFormatting>
  <conditionalFormatting sqref="K138:O253">
    <cfRule type="colorScale" priority="68">
      <colorScale>
        <cfvo type="min"/>
        <cfvo type="max"/>
        <color theme="0"/>
        <color theme="8" tint="0.39997558519241921"/>
      </colorScale>
    </cfRule>
  </conditionalFormatting>
  <conditionalFormatting sqref="K255:O271">
    <cfRule type="colorScale" priority="72">
      <colorScale>
        <cfvo type="min"/>
        <cfvo type="max"/>
        <color theme="0"/>
        <color theme="8" tint="0.39997558519241921"/>
      </colorScale>
    </cfRule>
  </conditionalFormatting>
  <conditionalFormatting sqref="K275:O281">
    <cfRule type="colorScale" priority="63">
      <colorScale>
        <cfvo type="min"/>
        <cfvo type="max"/>
        <color theme="0"/>
        <color theme="8" tint="0.39997558519241921"/>
      </colorScale>
    </cfRule>
  </conditionalFormatting>
  <conditionalFormatting sqref="K285:O298">
    <cfRule type="colorScale" priority="66">
      <colorScale>
        <cfvo type="min"/>
        <cfvo type="max"/>
        <color theme="0"/>
        <color theme="8" tint="0.39997558519241921"/>
      </colorScale>
    </cfRule>
  </conditionalFormatting>
  <conditionalFormatting sqref="K299:O305">
    <cfRule type="colorScale" priority="62">
      <colorScale>
        <cfvo type="min"/>
        <cfvo type="max"/>
        <color theme="0"/>
        <color theme="8" tint="0.39997558519241921"/>
      </colorScale>
    </cfRule>
  </conditionalFormatting>
  <conditionalFormatting sqref="K306:O306">
    <cfRule type="colorScale" priority="33">
      <colorScale>
        <cfvo type="min"/>
        <cfvo type="max"/>
        <color theme="0"/>
        <color theme="8" tint="0.39997558519241921"/>
      </colorScale>
    </cfRule>
  </conditionalFormatting>
  <conditionalFormatting sqref="K307:O310">
    <cfRule type="colorScale" priority="61">
      <colorScale>
        <cfvo type="min"/>
        <cfvo type="max"/>
        <color theme="0"/>
        <color theme="8" tint="0.39997558519241921"/>
      </colorScale>
    </cfRule>
  </conditionalFormatting>
  <conditionalFormatting sqref="K311:O311">
    <cfRule type="colorScale" priority="60">
      <colorScale>
        <cfvo type="min"/>
        <cfvo type="max"/>
        <color theme="0"/>
        <color theme="8" tint="0.39997558519241921"/>
      </colorScale>
    </cfRule>
  </conditionalFormatting>
  <conditionalFormatting sqref="K315:O320">
    <cfRule type="colorScale" priority="67">
      <colorScale>
        <cfvo type="min"/>
        <cfvo type="max"/>
        <color theme="0"/>
        <color theme="8" tint="0.39997558519241921"/>
      </colorScale>
    </cfRule>
  </conditionalFormatting>
  <conditionalFormatting sqref="T26:T105">
    <cfRule type="colorScale" priority="28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09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10:T133">
    <cfRule type="colorScale" priority="5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11:T129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0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1:T133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4:T135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7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8:T271">
    <cfRule type="colorScale" priority="30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39:T253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54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55:T271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7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73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75:T281">
    <cfRule type="colorScale" priority="4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283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86:T311">
    <cfRule type="colorScale" priority="3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287:T294 T285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87:T311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95:T298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99:T305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0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07:T310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1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15:T320">
    <cfRule type="colorScale" priority="26">
      <colorScale>
        <cfvo type="min"/>
        <cfvo type="num" val="0"/>
        <cfvo type="max"/>
        <color theme="5" tint="0.59999389629810485"/>
        <color theme="0"/>
        <color rgb="FF06D053"/>
      </colorScale>
    </cfRule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  <headerFooter>
    <oddFooter>&amp;C&amp;1#&amp;"Calibri"&amp;10&amp;K000000 For internal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929A8-251B-4640-8DC6-0DD632E33053}">
  <sheetPr codeName="Sheet04"/>
  <dimension ref="B3:Z320"/>
  <sheetViews>
    <sheetView showGridLines="0" zoomScale="85" zoomScaleNormal="85" workbookViewId="0">
      <selection sqref="A1:XFD1048576"/>
    </sheetView>
  </sheetViews>
  <sheetFormatPr defaultColWidth="9.1796875" defaultRowHeight="14.5" x14ac:dyDescent="0.35"/>
  <cols>
    <col min="1" max="1" width="9.1796875" style="52"/>
    <col min="2" max="2" width="88.08984375" style="52" bestFit="1" customWidth="1"/>
    <col min="3" max="3" width="15" style="52" bestFit="1" customWidth="1"/>
    <col min="4" max="4" width="21.36328125" style="52" bestFit="1" customWidth="1"/>
    <col min="5" max="5" width="18.08984375" style="52" bestFit="1" customWidth="1"/>
    <col min="6" max="15" width="6.1796875" style="52" bestFit="1" customWidth="1"/>
    <col min="16" max="16" width="15.08984375" style="52" bestFit="1" customWidth="1"/>
    <col min="17" max="17" width="22.7265625" style="52" bestFit="1" customWidth="1"/>
    <col min="18" max="18" width="13.1796875" style="52" bestFit="1" customWidth="1"/>
    <col min="19" max="19" width="9" style="52" bestFit="1" customWidth="1"/>
    <col min="20" max="20" width="19.08984375" style="52" bestFit="1" customWidth="1"/>
    <col min="21" max="21" width="9.1796875" style="52"/>
    <col min="22" max="31" width="4.7265625" style="52" bestFit="1" customWidth="1"/>
    <col min="32" max="16384" width="9.1796875" style="52"/>
  </cols>
  <sheetData>
    <row r="3" spans="2:26" x14ac:dyDescent="0.35">
      <c r="F3" s="158" t="s">
        <v>220</v>
      </c>
      <c r="G3" s="159"/>
      <c r="H3" s="159"/>
      <c r="I3" s="159"/>
      <c r="J3" s="160"/>
      <c r="K3" s="158" t="s">
        <v>662</v>
      </c>
      <c r="L3" s="159"/>
      <c r="M3" s="159"/>
      <c r="N3" s="159"/>
      <c r="O3" s="160"/>
    </row>
    <row r="4" spans="2:26" x14ac:dyDescent="0.35">
      <c r="F4" s="155" t="s">
        <v>1</v>
      </c>
      <c r="G4" s="156"/>
      <c r="H4" s="156"/>
      <c r="I4" s="156"/>
      <c r="J4" s="157"/>
      <c r="K4" s="155" t="s">
        <v>2</v>
      </c>
      <c r="L4" s="156"/>
      <c r="M4" s="156"/>
      <c r="N4" s="156"/>
      <c r="O4" s="157"/>
    </row>
    <row r="5" spans="2:26" ht="15.5" x14ac:dyDescent="0.35">
      <c r="B5" s="121" t="s">
        <v>222</v>
      </c>
      <c r="C5" s="122"/>
      <c r="D5" s="122"/>
      <c r="E5" s="122"/>
      <c r="F5" s="125"/>
      <c r="G5" s="125"/>
      <c r="H5" s="125"/>
      <c r="I5" s="125"/>
      <c r="J5" s="125"/>
      <c r="K5" s="125"/>
      <c r="L5" s="125"/>
      <c r="M5" s="125"/>
      <c r="N5" s="125"/>
      <c r="O5" s="125"/>
      <c r="Q5" s="125"/>
      <c r="R5" s="125"/>
      <c r="V5" s="155" t="s">
        <v>414</v>
      </c>
      <c r="W5" s="156"/>
      <c r="X5" s="156"/>
      <c r="Y5" s="156"/>
      <c r="Z5" s="157"/>
    </row>
    <row r="6" spans="2:26" x14ac:dyDescent="0.35">
      <c r="B6" s="84" t="s">
        <v>5</v>
      </c>
      <c r="C6" s="83" t="s">
        <v>6</v>
      </c>
      <c r="D6" s="83" t="s">
        <v>7</v>
      </c>
      <c r="E6" s="83" t="s">
        <v>8</v>
      </c>
      <c r="F6" s="82" t="s">
        <v>9</v>
      </c>
      <c r="G6" s="81" t="s">
        <v>10</v>
      </c>
      <c r="H6" s="81" t="s">
        <v>11</v>
      </c>
      <c r="I6" s="81" t="s">
        <v>12</v>
      </c>
      <c r="J6" s="80" t="s">
        <v>13</v>
      </c>
      <c r="K6" s="82" t="s">
        <v>9</v>
      </c>
      <c r="L6" s="81" t="s">
        <v>10</v>
      </c>
      <c r="M6" s="81" t="s">
        <v>11</v>
      </c>
      <c r="N6" s="81" t="s">
        <v>12</v>
      </c>
      <c r="O6" s="80" t="s">
        <v>13</v>
      </c>
      <c r="P6" s="69" t="s">
        <v>14</v>
      </c>
      <c r="Q6" s="57" t="s">
        <v>15</v>
      </c>
      <c r="R6" s="57" t="s">
        <v>16</v>
      </c>
      <c r="S6" s="57" t="s">
        <v>415</v>
      </c>
      <c r="T6" s="57" t="s">
        <v>18</v>
      </c>
      <c r="V6" s="109" t="s">
        <v>9</v>
      </c>
      <c r="W6" s="105" t="s">
        <v>10</v>
      </c>
      <c r="X6" s="105" t="s">
        <v>11</v>
      </c>
      <c r="Y6" s="105" t="s">
        <v>12</v>
      </c>
      <c r="Z6" s="110" t="s">
        <v>13</v>
      </c>
    </row>
    <row r="7" spans="2:26" x14ac:dyDescent="0.35">
      <c r="B7" s="55" t="s">
        <v>19</v>
      </c>
      <c r="C7" s="123"/>
      <c r="D7" s="11" t="s">
        <v>20</v>
      </c>
      <c r="E7" s="123"/>
      <c r="F7" s="74"/>
      <c r="G7" s="79">
        <v>6.7618971649720406E-3</v>
      </c>
      <c r="H7" s="79">
        <v>1.193866335109571E-2</v>
      </c>
      <c r="I7" s="79">
        <v>1.5934843623679591E-2</v>
      </c>
      <c r="J7" s="61">
        <v>2.0230036507482375E-2</v>
      </c>
      <c r="K7" s="79"/>
      <c r="L7" s="79">
        <v>3.6927050649720405E-3</v>
      </c>
      <c r="M7" s="79">
        <v>7.857061051095713E-3</v>
      </c>
      <c r="N7" s="79">
        <v>1.0963342123679592E-2</v>
      </c>
      <c r="O7" s="79">
        <v>1.3986794507482376E-2</v>
      </c>
      <c r="P7" s="15"/>
      <c r="Q7" s="132"/>
      <c r="R7" s="132"/>
      <c r="S7" s="132"/>
      <c r="T7" s="16"/>
      <c r="V7" s="17">
        <v>1.1061159300000001</v>
      </c>
      <c r="W7" s="18">
        <v>2.8302728199999998</v>
      </c>
      <c r="X7" s="18">
        <v>4.3449563400000004</v>
      </c>
      <c r="Y7" s="18">
        <v>5.6384222400000006</v>
      </c>
      <c r="Z7" s="19">
        <v>7.2208129499999991</v>
      </c>
    </row>
    <row r="8" spans="2:26" x14ac:dyDescent="0.35">
      <c r="B8" s="54" t="s">
        <v>22</v>
      </c>
      <c r="C8" s="122"/>
      <c r="D8" s="20" t="s">
        <v>23</v>
      </c>
      <c r="E8" s="122"/>
      <c r="F8" s="72" t="s">
        <v>21</v>
      </c>
      <c r="G8" s="70">
        <v>7.1529071403110241E-3</v>
      </c>
      <c r="H8" s="70">
        <v>1.2639198748078544E-2</v>
      </c>
      <c r="I8" s="70">
        <v>1.6617116756018759E-2</v>
      </c>
      <c r="J8" s="62">
        <v>2.0831625411073862E-2</v>
      </c>
      <c r="K8" s="70" t="s">
        <v>21</v>
      </c>
      <c r="L8" s="70">
        <v>4.1041056403110232E-3</v>
      </c>
      <c r="M8" s="70">
        <v>8.5840667480785449E-3</v>
      </c>
      <c r="N8" s="70">
        <v>1.1666198356018759E-2</v>
      </c>
      <c r="O8" s="70">
        <v>1.4606359011073863E-2</v>
      </c>
      <c r="P8" s="24"/>
      <c r="Q8" s="25"/>
      <c r="R8" s="25"/>
      <c r="S8" s="25"/>
      <c r="T8" s="26"/>
      <c r="V8" s="27">
        <v>1.11048426</v>
      </c>
      <c r="W8" s="28">
        <v>2.8341026299999998</v>
      </c>
      <c r="X8" s="28">
        <v>4.34092755</v>
      </c>
      <c r="Y8" s="28">
        <v>5.6239557599999994</v>
      </c>
      <c r="Z8" s="29">
        <v>7.1902701699999998</v>
      </c>
    </row>
    <row r="9" spans="2:26" x14ac:dyDescent="0.35">
      <c r="B9" s="55" t="s">
        <v>24</v>
      </c>
      <c r="C9" s="123"/>
      <c r="D9" s="11" t="s">
        <v>20</v>
      </c>
      <c r="E9" s="123"/>
      <c r="F9" s="74">
        <v>2.1569259282863018E-2</v>
      </c>
      <c r="G9" s="79">
        <v>3.1222543472491662E-2</v>
      </c>
      <c r="H9" s="79">
        <v>3.888043381441951E-2</v>
      </c>
      <c r="I9" s="79"/>
      <c r="J9" s="61"/>
      <c r="K9" s="79">
        <v>1.9825960382863016E-2</v>
      </c>
      <c r="L9" s="79">
        <v>2.7972821472491666E-2</v>
      </c>
      <c r="M9" s="79">
        <v>3.4429986114419511E-2</v>
      </c>
      <c r="N9" s="79"/>
      <c r="O9" s="79"/>
      <c r="P9" s="15"/>
      <c r="Q9" s="132"/>
      <c r="R9" s="132"/>
      <c r="S9" s="132"/>
      <c r="T9" s="16"/>
      <c r="V9" s="17">
        <v>1.0741208</v>
      </c>
      <c r="W9" s="18">
        <v>2.6408010599999998</v>
      </c>
      <c r="X9" s="18">
        <v>3.90691678</v>
      </c>
      <c r="Y9" s="18">
        <v>4.9208103899999998</v>
      </c>
      <c r="Z9" s="19">
        <v>6.0873401600000001</v>
      </c>
    </row>
    <row r="10" spans="2:26" x14ac:dyDescent="0.35">
      <c r="B10" s="56" t="s">
        <v>25</v>
      </c>
      <c r="C10" s="124"/>
      <c r="D10" s="20" t="s">
        <v>23</v>
      </c>
      <c r="E10" s="124"/>
      <c r="F10" s="73">
        <v>9.662557196216311E-3</v>
      </c>
      <c r="G10" s="75">
        <v>2.6780020682469749E-2</v>
      </c>
      <c r="H10" s="75">
        <v>3.8906041531710206E-2</v>
      </c>
      <c r="I10" s="75">
        <v>4.3936494542845567E-2</v>
      </c>
      <c r="J10" s="63">
        <v>4.9039673211994005E-2</v>
      </c>
      <c r="K10" s="75">
        <v>8.1163437962163115E-3</v>
      </c>
      <c r="L10" s="75">
        <v>2.3619024582469748E-2</v>
      </c>
      <c r="M10" s="75">
        <v>3.4320137631710199E-2</v>
      </c>
      <c r="N10" s="75">
        <v>3.8322779442845567E-2</v>
      </c>
      <c r="O10" s="75">
        <v>4.210223381199401E-2</v>
      </c>
      <c r="P10" s="33"/>
      <c r="Q10" s="133"/>
      <c r="R10" s="133"/>
      <c r="S10" s="133"/>
      <c r="T10" s="34"/>
      <c r="V10" s="27">
        <v>1.06649072</v>
      </c>
      <c r="W10" s="28">
        <v>2.6373209799999997</v>
      </c>
      <c r="X10" s="28">
        <v>3.8608107699999996</v>
      </c>
      <c r="Y10" s="28">
        <v>4.7863380199999996</v>
      </c>
      <c r="Z10" s="29">
        <v>5.7654233999999995</v>
      </c>
    </row>
    <row r="11" spans="2:26" x14ac:dyDescent="0.35">
      <c r="B11" s="54" t="s">
        <v>26</v>
      </c>
      <c r="C11" s="122"/>
      <c r="D11" s="11" t="s">
        <v>23</v>
      </c>
      <c r="E11" s="122"/>
      <c r="F11" s="72" t="s">
        <v>21</v>
      </c>
      <c r="G11" s="70">
        <v>7.2736177498775485E-3</v>
      </c>
      <c r="H11" s="70">
        <v>1.2945183653926041E-2</v>
      </c>
      <c r="I11" s="70"/>
      <c r="J11" s="62"/>
      <c r="K11" s="70" t="s">
        <v>21</v>
      </c>
      <c r="L11" s="70">
        <v>4.2331618498775495E-3</v>
      </c>
      <c r="M11" s="70">
        <v>8.9035199539260444E-3</v>
      </c>
      <c r="N11" s="70"/>
      <c r="O11" s="70"/>
      <c r="P11" s="24"/>
      <c r="Q11" s="25"/>
      <c r="R11" s="25"/>
      <c r="S11" s="25"/>
      <c r="T11" s="26"/>
      <c r="V11" s="17">
        <v>1.0996098399999998</v>
      </c>
      <c r="W11" s="18">
        <v>2.79800526</v>
      </c>
      <c r="X11" s="18">
        <v>4.2957257699999998</v>
      </c>
      <c r="Y11" s="18">
        <v>5.5471071099999998</v>
      </c>
      <c r="Z11" s="19">
        <v>7.0322650200000005</v>
      </c>
    </row>
    <row r="12" spans="2:26" x14ac:dyDescent="0.35">
      <c r="B12" s="56" t="s">
        <v>27</v>
      </c>
      <c r="C12" s="124"/>
      <c r="D12" s="35" t="s">
        <v>23</v>
      </c>
      <c r="E12" s="124"/>
      <c r="F12" s="73"/>
      <c r="G12" s="75">
        <v>9.9363049633363152E-3</v>
      </c>
      <c r="H12" s="75">
        <v>1.7769094803533593E-2</v>
      </c>
      <c r="I12" s="75"/>
      <c r="J12" s="63">
        <v>3.3917959109384666E-2</v>
      </c>
      <c r="K12" s="75"/>
      <c r="L12" s="75">
        <v>7.0032947633363162E-3</v>
      </c>
      <c r="M12" s="75">
        <v>1.3824703903533589E-2</v>
      </c>
      <c r="N12" s="75"/>
      <c r="O12" s="75">
        <v>2.7685407409384667E-2</v>
      </c>
      <c r="P12" s="33"/>
      <c r="Q12" s="133"/>
      <c r="R12" s="133"/>
      <c r="S12" s="133"/>
      <c r="T12" s="34"/>
      <c r="V12" s="36">
        <v>1.0959612400000001</v>
      </c>
      <c r="W12" s="37">
        <v>2.7800110400000002</v>
      </c>
      <c r="X12" s="37">
        <v>4.2557482700000007</v>
      </c>
      <c r="Y12" s="37">
        <v>5.4659683000000001</v>
      </c>
      <c r="Z12" s="38">
        <v>6.8624176300000004</v>
      </c>
    </row>
    <row r="13" spans="2:26" x14ac:dyDescent="0.35">
      <c r="C13" s="122"/>
      <c r="D13" s="122"/>
      <c r="E13" s="122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V13" s="40"/>
      <c r="W13" s="40"/>
      <c r="X13" s="40"/>
      <c r="Y13" s="40"/>
      <c r="Z13" s="40"/>
    </row>
    <row r="14" spans="2:26" ht="15.5" x14ac:dyDescent="0.35">
      <c r="B14" s="121" t="s">
        <v>223</v>
      </c>
      <c r="C14" s="122"/>
      <c r="D14" s="122"/>
      <c r="E14" s="122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Q14" s="125"/>
      <c r="R14" s="125"/>
      <c r="V14" s="155" t="s">
        <v>414</v>
      </c>
      <c r="W14" s="156"/>
      <c r="X14" s="156"/>
      <c r="Y14" s="156"/>
      <c r="Z14" s="157"/>
    </row>
    <row r="15" spans="2:26" x14ac:dyDescent="0.35">
      <c r="B15" s="84" t="s">
        <v>5</v>
      </c>
      <c r="C15" s="83" t="s">
        <v>6</v>
      </c>
      <c r="D15" s="83" t="s">
        <v>7</v>
      </c>
      <c r="E15" s="83" t="s">
        <v>8</v>
      </c>
      <c r="F15" s="82" t="s">
        <v>9</v>
      </c>
      <c r="G15" s="81" t="s">
        <v>10</v>
      </c>
      <c r="H15" s="81" t="s">
        <v>11</v>
      </c>
      <c r="I15" s="81" t="s">
        <v>12</v>
      </c>
      <c r="J15" s="80" t="s">
        <v>13</v>
      </c>
      <c r="K15" s="82" t="s">
        <v>9</v>
      </c>
      <c r="L15" s="81" t="s">
        <v>10</v>
      </c>
      <c r="M15" s="81" t="s">
        <v>11</v>
      </c>
      <c r="N15" s="81" t="s">
        <v>12</v>
      </c>
      <c r="O15" s="80" t="s">
        <v>13</v>
      </c>
      <c r="P15" s="69" t="s">
        <v>14</v>
      </c>
      <c r="Q15" s="57" t="s">
        <v>15</v>
      </c>
      <c r="R15" s="57" t="s">
        <v>16</v>
      </c>
      <c r="S15" s="57" t="s">
        <v>415</v>
      </c>
      <c r="T15" s="57" t="s">
        <v>18</v>
      </c>
      <c r="V15" s="109" t="s">
        <v>9</v>
      </c>
      <c r="W15" s="105" t="s">
        <v>10</v>
      </c>
      <c r="X15" s="105" t="s">
        <v>11</v>
      </c>
      <c r="Y15" s="105" t="s">
        <v>12</v>
      </c>
      <c r="Z15" s="110" t="s">
        <v>13</v>
      </c>
    </row>
    <row r="16" spans="2:26" x14ac:dyDescent="0.35">
      <c r="B16" s="55" t="s">
        <v>19</v>
      </c>
      <c r="C16" s="123"/>
      <c r="D16" s="11" t="s">
        <v>20</v>
      </c>
      <c r="E16" s="123"/>
      <c r="F16" s="74"/>
      <c r="G16" s="79">
        <v>9.4106603155356162E-3</v>
      </c>
      <c r="H16" s="79">
        <v>1.5597605712310877E-2</v>
      </c>
      <c r="I16" s="79">
        <v>2.0439300770366736E-2</v>
      </c>
      <c r="J16" s="61">
        <v>2.5572770481860591E-2</v>
      </c>
      <c r="K16" s="79"/>
      <c r="L16" s="79">
        <v>6.4654899155356139E-3</v>
      </c>
      <c r="M16" s="79">
        <v>1.1644438712310873E-2</v>
      </c>
      <c r="N16" s="79">
        <v>1.5579149770366736E-2</v>
      </c>
      <c r="O16" s="79">
        <v>1.9420582381860594E-2</v>
      </c>
      <c r="P16" s="15"/>
      <c r="Q16" s="132"/>
      <c r="R16" s="132"/>
      <c r="S16" s="132"/>
      <c r="T16" s="16"/>
      <c r="V16" s="17">
        <v>1.1061159300000001</v>
      </c>
      <c r="W16" s="18">
        <v>2.8302728199999998</v>
      </c>
      <c r="X16" s="18">
        <v>4.3449563400000004</v>
      </c>
      <c r="Y16" s="18">
        <v>5.6384222400000006</v>
      </c>
      <c r="Z16" s="19">
        <v>7.2208129499999991</v>
      </c>
    </row>
    <row r="17" spans="2:26" x14ac:dyDescent="0.35">
      <c r="B17" s="54" t="s">
        <v>22</v>
      </c>
      <c r="C17" s="122"/>
      <c r="D17" s="20" t="s">
        <v>23</v>
      </c>
      <c r="E17" s="122"/>
      <c r="F17" s="72" t="s">
        <v>21</v>
      </c>
      <c r="G17" s="70">
        <v>9.9565595229192064E-3</v>
      </c>
      <c r="H17" s="70">
        <v>1.6604154094782914E-2</v>
      </c>
      <c r="I17" s="70">
        <v>2.1424565210382031E-2</v>
      </c>
      <c r="J17" s="62">
        <v>2.6441520791310753E-2</v>
      </c>
      <c r="K17" s="70" t="s">
        <v>21</v>
      </c>
      <c r="L17" s="70">
        <v>7.0290209229192085E-3</v>
      </c>
      <c r="M17" s="70">
        <v>1.2668309694782913E-2</v>
      </c>
      <c r="N17" s="70">
        <v>1.657324511038203E-2</v>
      </c>
      <c r="O17" s="70">
        <v>2.0294594691310758E-2</v>
      </c>
      <c r="P17" s="24"/>
      <c r="Q17" s="25"/>
      <c r="R17" s="25"/>
      <c r="S17" s="25"/>
      <c r="T17" s="26"/>
      <c r="V17" s="27">
        <v>1.11048426</v>
      </c>
      <c r="W17" s="28">
        <v>2.8341026299999998</v>
      </c>
      <c r="X17" s="28">
        <v>4.34092755</v>
      </c>
      <c r="Y17" s="28">
        <v>5.6239557599999994</v>
      </c>
      <c r="Z17" s="29">
        <v>7.1902701699999998</v>
      </c>
    </row>
    <row r="18" spans="2:26" x14ac:dyDescent="0.35">
      <c r="B18" s="55" t="s">
        <v>24</v>
      </c>
      <c r="C18" s="123"/>
      <c r="D18" s="11" t="s">
        <v>20</v>
      </c>
      <c r="E18" s="123"/>
      <c r="F18" s="74">
        <v>2.7819164042057289E-2</v>
      </c>
      <c r="G18" s="79">
        <v>3.9357452575721208E-2</v>
      </c>
      <c r="H18" s="79">
        <v>4.8183408043670682E-2</v>
      </c>
      <c r="I18" s="79"/>
      <c r="J18" s="61"/>
      <c r="K18" s="79">
        <v>2.5931235842057285E-2</v>
      </c>
      <c r="L18" s="79">
        <v>3.5894437675721209E-2</v>
      </c>
      <c r="M18" s="79">
        <v>4.3429870643670682E-2</v>
      </c>
      <c r="N18" s="79"/>
      <c r="O18" s="79"/>
      <c r="P18" s="15"/>
      <c r="Q18" s="132"/>
      <c r="R18" s="132"/>
      <c r="S18" s="132"/>
      <c r="T18" s="16"/>
      <c r="V18" s="17">
        <v>1.0741208</v>
      </c>
      <c r="W18" s="18">
        <v>2.6408010599999998</v>
      </c>
      <c r="X18" s="18">
        <v>3.90691678</v>
      </c>
      <c r="Y18" s="18">
        <v>4.9208103899999998</v>
      </c>
      <c r="Z18" s="19">
        <v>6.0873401600000001</v>
      </c>
    </row>
    <row r="19" spans="2:26" x14ac:dyDescent="0.35">
      <c r="B19" s="56" t="s">
        <v>25</v>
      </c>
      <c r="C19" s="124"/>
      <c r="D19" s="20" t="s">
        <v>23</v>
      </c>
      <c r="E19" s="124"/>
      <c r="F19" s="73">
        <v>1.4385003826189279E-2</v>
      </c>
      <c r="G19" s="75">
        <v>3.6546712612506228E-2</v>
      </c>
      <c r="H19" s="75">
        <v>5.1938463384366688E-2</v>
      </c>
      <c r="I19" s="75">
        <v>5.7956433253561659E-2</v>
      </c>
      <c r="J19" s="63">
        <v>6.3811476423277669E-2</v>
      </c>
      <c r="K19" s="75">
        <v>1.2787271926189279E-2</v>
      </c>
      <c r="L19" s="75">
        <v>3.3122171812506228E-2</v>
      </c>
      <c r="M19" s="75">
        <v>4.679524198436668E-2</v>
      </c>
      <c r="N19" s="75">
        <v>5.1675325353561653E-2</v>
      </c>
      <c r="O19" s="75">
        <v>5.6095951023277663E-2</v>
      </c>
      <c r="P19" s="33"/>
      <c r="Q19" s="133"/>
      <c r="R19" s="133"/>
      <c r="S19" s="133"/>
      <c r="T19" s="34"/>
      <c r="V19" s="27">
        <v>1.06649072</v>
      </c>
      <c r="W19" s="28">
        <v>2.6373209799999997</v>
      </c>
      <c r="X19" s="28">
        <v>3.8608107699999996</v>
      </c>
      <c r="Y19" s="28">
        <v>4.7863380199999996</v>
      </c>
      <c r="Z19" s="29">
        <v>5.7654233999999995</v>
      </c>
    </row>
    <row r="20" spans="2:26" x14ac:dyDescent="0.35">
      <c r="B20" s="54" t="s">
        <v>26</v>
      </c>
      <c r="C20" s="122"/>
      <c r="D20" s="11" t="s">
        <v>23</v>
      </c>
      <c r="E20" s="122"/>
      <c r="F20" s="72" t="s">
        <v>21</v>
      </c>
      <c r="G20" s="70">
        <v>1.0157733694953069E-2</v>
      </c>
      <c r="H20" s="70">
        <v>1.7078914030516288E-2</v>
      </c>
      <c r="I20" s="70"/>
      <c r="J20" s="62"/>
      <c r="K20" s="70" t="s">
        <v>21</v>
      </c>
      <c r="L20" s="70">
        <v>7.2384871949530694E-3</v>
      </c>
      <c r="M20" s="70">
        <v>1.3151352530516292E-2</v>
      </c>
      <c r="N20" s="70"/>
      <c r="O20" s="70"/>
      <c r="P20" s="24"/>
      <c r="Q20" s="25"/>
      <c r="R20" s="25"/>
      <c r="S20" s="25"/>
      <c r="T20" s="26"/>
      <c r="V20" s="17">
        <v>1.0996098399999998</v>
      </c>
      <c r="W20" s="18">
        <v>2.79800526</v>
      </c>
      <c r="X20" s="18">
        <v>4.2957257699999998</v>
      </c>
      <c r="Y20" s="18">
        <v>5.5471071099999998</v>
      </c>
      <c r="Z20" s="19">
        <v>7.0322650200000005</v>
      </c>
    </row>
    <row r="21" spans="2:26" x14ac:dyDescent="0.35">
      <c r="B21" s="56" t="s">
        <v>27</v>
      </c>
      <c r="C21" s="124"/>
      <c r="D21" s="35" t="s">
        <v>23</v>
      </c>
      <c r="E21" s="124"/>
      <c r="F21" s="73"/>
      <c r="G21" s="75">
        <v>1.1983410665334013E-2</v>
      </c>
      <c r="H21" s="75">
        <v>2.0609423310661783E-2</v>
      </c>
      <c r="I21" s="75"/>
      <c r="J21" s="63">
        <v>3.8548273866823565E-2</v>
      </c>
      <c r="K21" s="75"/>
      <c r="L21" s="75">
        <v>9.0967551653340119E-3</v>
      </c>
      <c r="M21" s="75">
        <v>1.6695054410661776E-2</v>
      </c>
      <c r="N21" s="75"/>
      <c r="O21" s="75">
        <v>3.2258728166823562E-2</v>
      </c>
      <c r="P21" s="33"/>
      <c r="Q21" s="133"/>
      <c r="R21" s="133"/>
      <c r="S21" s="133"/>
      <c r="T21" s="34"/>
      <c r="V21" s="36">
        <v>1.0959612400000001</v>
      </c>
      <c r="W21" s="37">
        <v>2.7800110400000002</v>
      </c>
      <c r="X21" s="37">
        <v>4.2557482700000007</v>
      </c>
      <c r="Y21" s="37">
        <v>5.4659683000000001</v>
      </c>
      <c r="Z21" s="38">
        <v>6.8624176300000004</v>
      </c>
    </row>
    <row r="22" spans="2:26" x14ac:dyDescent="0.35">
      <c r="C22" s="122"/>
      <c r="D22" s="122"/>
      <c r="E22" s="122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V22" s="40"/>
      <c r="W22" s="40"/>
      <c r="X22" s="40"/>
      <c r="Y22" s="40"/>
      <c r="Z22" s="40"/>
    </row>
    <row r="23" spans="2:26" ht="15.5" x14ac:dyDescent="0.35">
      <c r="B23" s="121" t="s">
        <v>28</v>
      </c>
      <c r="C23" s="122"/>
      <c r="D23" s="122"/>
      <c r="E23" s="122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V23" s="40"/>
      <c r="W23" s="40"/>
      <c r="X23" s="40"/>
      <c r="Y23" s="40"/>
      <c r="Z23" s="40"/>
    </row>
    <row r="24" spans="2:26" x14ac:dyDescent="0.35">
      <c r="B24" s="84" t="s">
        <v>5</v>
      </c>
      <c r="C24" s="83" t="s">
        <v>6</v>
      </c>
      <c r="D24" s="83" t="s">
        <v>7</v>
      </c>
      <c r="E24" s="83" t="s">
        <v>8</v>
      </c>
      <c r="F24" s="82" t="s">
        <v>9</v>
      </c>
      <c r="G24" s="81" t="s">
        <v>10</v>
      </c>
      <c r="H24" s="81" t="s">
        <v>11</v>
      </c>
      <c r="I24" s="81" t="s">
        <v>12</v>
      </c>
      <c r="J24" s="80" t="s">
        <v>13</v>
      </c>
      <c r="K24" s="82" t="s">
        <v>9</v>
      </c>
      <c r="L24" s="81" t="s">
        <v>10</v>
      </c>
      <c r="M24" s="81" t="s">
        <v>11</v>
      </c>
      <c r="N24" s="81" t="s">
        <v>12</v>
      </c>
      <c r="O24" s="80" t="s">
        <v>13</v>
      </c>
      <c r="P24" s="69" t="s">
        <v>14</v>
      </c>
      <c r="Q24" s="57" t="s">
        <v>15</v>
      </c>
      <c r="R24" s="57" t="s">
        <v>16</v>
      </c>
      <c r="S24" s="57" t="s">
        <v>415</v>
      </c>
      <c r="T24" s="57" t="s">
        <v>18</v>
      </c>
      <c r="V24" s="109" t="s">
        <v>9</v>
      </c>
      <c r="W24" s="105" t="s">
        <v>10</v>
      </c>
      <c r="X24" s="105" t="s">
        <v>11</v>
      </c>
      <c r="Y24" s="105" t="s">
        <v>12</v>
      </c>
      <c r="Z24" s="110" t="s">
        <v>13</v>
      </c>
    </row>
    <row r="25" spans="2:26" x14ac:dyDescent="0.35">
      <c r="B25" s="78" t="s">
        <v>416</v>
      </c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8"/>
      <c r="Q25" s="77"/>
      <c r="R25" s="77"/>
      <c r="S25" s="77"/>
      <c r="T25" s="76"/>
      <c r="V25" s="111"/>
      <c r="W25" s="106"/>
      <c r="X25" s="106"/>
      <c r="Y25" s="106"/>
      <c r="Z25" s="112"/>
    </row>
    <row r="26" spans="2:26" x14ac:dyDescent="0.35">
      <c r="B26" s="55" t="s">
        <v>29</v>
      </c>
      <c r="C26" s="52" t="s">
        <v>30</v>
      </c>
      <c r="D26" s="52" t="s">
        <v>31</v>
      </c>
      <c r="E26" s="52" t="s">
        <v>417</v>
      </c>
      <c r="F26" s="74" t="s">
        <v>21</v>
      </c>
      <c r="G26" s="70">
        <v>4.7650219797250367E-3</v>
      </c>
      <c r="H26" s="70">
        <v>1.006529366840072E-2</v>
      </c>
      <c r="I26" s="70">
        <v>1.3146215906002895E-2</v>
      </c>
      <c r="J26" s="62">
        <v>1.6206054962981626E-2</v>
      </c>
      <c r="K26" s="70" t="s">
        <v>21</v>
      </c>
      <c r="L26" s="70">
        <v>1.6165740797250347E-3</v>
      </c>
      <c r="M26" s="70">
        <v>5.8986167684007195E-3</v>
      </c>
      <c r="N26" s="70">
        <v>8.0872692060028929E-3</v>
      </c>
      <c r="O26" s="70">
        <v>9.8555892629816275E-3</v>
      </c>
      <c r="P26" s="54" t="s">
        <v>418</v>
      </c>
      <c r="Q26" s="52" t="s">
        <v>419</v>
      </c>
      <c r="R26" s="93" t="s">
        <v>32</v>
      </c>
      <c r="S26" s="70">
        <v>1.5061150000000001E-2</v>
      </c>
      <c r="T26" s="62">
        <v>-4.9958563315992809E-3</v>
      </c>
      <c r="V26" s="113">
        <v>1.11043102</v>
      </c>
      <c r="W26" s="71">
        <v>2.8453996699999999</v>
      </c>
      <c r="X26" s="71">
        <v>4.3812186899999999</v>
      </c>
      <c r="Y26" s="71">
        <v>5.7088300900000002</v>
      </c>
      <c r="Z26" s="114">
        <v>7.3675040600000008</v>
      </c>
    </row>
    <row r="27" spans="2:26" x14ac:dyDescent="0.35">
      <c r="B27" s="54" t="s">
        <v>29</v>
      </c>
      <c r="C27" s="52" t="s">
        <v>33</v>
      </c>
      <c r="D27" s="52" t="s">
        <v>31</v>
      </c>
      <c r="E27" s="52" t="s">
        <v>34</v>
      </c>
      <c r="F27" s="72" t="s">
        <v>21</v>
      </c>
      <c r="G27" s="70">
        <v>6.4347932690579498E-3</v>
      </c>
      <c r="H27" s="70">
        <v>1.2953172297367997E-2</v>
      </c>
      <c r="I27" s="70">
        <v>1.6833643168096147E-2</v>
      </c>
      <c r="J27" s="62">
        <v>2.0267156658137202E-2</v>
      </c>
      <c r="K27" s="70" t="s">
        <v>21</v>
      </c>
      <c r="L27" s="70">
        <v>3.3939416690579507E-3</v>
      </c>
      <c r="M27" s="70">
        <v>8.9120218973679985E-3</v>
      </c>
      <c r="N27" s="70">
        <v>1.1899410168096151E-2</v>
      </c>
      <c r="O27" s="70">
        <v>1.4056293558137204E-2</v>
      </c>
      <c r="P27" s="54" t="s">
        <v>21</v>
      </c>
      <c r="Q27" s="52" t="s">
        <v>21</v>
      </c>
      <c r="R27" s="93" t="s">
        <v>21</v>
      </c>
      <c r="S27" s="70">
        <v>0</v>
      </c>
      <c r="T27" s="62">
        <v>1.2953172297367997E-2</v>
      </c>
      <c r="V27" s="113">
        <v>1.1097879399999999</v>
      </c>
      <c r="W27" s="71">
        <v>2.8336119200000001</v>
      </c>
      <c r="X27" s="71">
        <v>4.3367113999999995</v>
      </c>
      <c r="Y27" s="71">
        <v>5.6083161500000003</v>
      </c>
      <c r="Z27" s="114">
        <v>7.1581412600000007</v>
      </c>
    </row>
    <row r="28" spans="2:26" x14ac:dyDescent="0.35">
      <c r="B28" s="56" t="s">
        <v>29</v>
      </c>
      <c r="C28" s="66" t="s">
        <v>35</v>
      </c>
      <c r="D28" s="66" t="s">
        <v>31</v>
      </c>
      <c r="E28" s="66" t="s">
        <v>338</v>
      </c>
      <c r="F28" s="73" t="s">
        <v>21</v>
      </c>
      <c r="G28" s="75">
        <v>8.7256570889818683E-3</v>
      </c>
      <c r="H28" s="75">
        <v>1.6747747579868934E-2</v>
      </c>
      <c r="I28" s="75">
        <v>2.1763112609833872E-2</v>
      </c>
      <c r="J28" s="63">
        <v>2.6299344885056374E-2</v>
      </c>
      <c r="K28" s="70" t="s">
        <v>21</v>
      </c>
      <c r="L28" s="70">
        <v>5.7792673889818695E-3</v>
      </c>
      <c r="M28" s="70">
        <v>1.2791604979868934E-2</v>
      </c>
      <c r="N28" s="70">
        <v>1.6888943309833874E-2</v>
      </c>
      <c r="O28" s="70">
        <v>2.0137525085056375E-2</v>
      </c>
      <c r="P28" s="54" t="s">
        <v>21</v>
      </c>
      <c r="Q28" s="52" t="s">
        <v>21</v>
      </c>
      <c r="R28" s="93" t="s">
        <v>21</v>
      </c>
      <c r="S28" s="70">
        <v>0</v>
      </c>
      <c r="T28" s="62">
        <v>1.6747747579868934E-2</v>
      </c>
      <c r="V28" s="115">
        <v>1.10963246</v>
      </c>
      <c r="W28" s="107">
        <v>2.8294203699999998</v>
      </c>
      <c r="X28" s="107">
        <v>4.3208325600000004</v>
      </c>
      <c r="Y28" s="107">
        <v>5.5720105699999998</v>
      </c>
      <c r="Z28" s="116">
        <v>7.07750857</v>
      </c>
    </row>
    <row r="29" spans="2:26" x14ac:dyDescent="0.35">
      <c r="B29" s="54" t="s">
        <v>37</v>
      </c>
      <c r="C29" s="52" t="s">
        <v>30</v>
      </c>
      <c r="D29" s="52" t="s">
        <v>31</v>
      </c>
      <c r="E29" s="52" t="s">
        <v>338</v>
      </c>
      <c r="F29" s="72" t="s">
        <v>21</v>
      </c>
      <c r="G29" s="70">
        <v>5.6180672759115653E-3</v>
      </c>
      <c r="H29" s="70">
        <v>1.0633612706321956E-2</v>
      </c>
      <c r="I29" s="70">
        <v>1.3746342399817375E-2</v>
      </c>
      <c r="J29" s="62">
        <v>1.6752130066103533E-2</v>
      </c>
      <c r="K29" s="70" t="s">
        <v>21</v>
      </c>
      <c r="L29" s="70">
        <v>2.5311980759115658E-3</v>
      </c>
      <c r="M29" s="70">
        <v>6.5006268063219595E-3</v>
      </c>
      <c r="N29" s="70">
        <v>8.7168339998173801E-3</v>
      </c>
      <c r="O29" s="70">
        <v>1.0428224466103534E-2</v>
      </c>
      <c r="P29" s="55" t="s">
        <v>21</v>
      </c>
      <c r="Q29" s="65" t="s">
        <v>21</v>
      </c>
      <c r="R29" s="99" t="s">
        <v>21</v>
      </c>
      <c r="S29" s="79">
        <v>0</v>
      </c>
      <c r="T29" s="61">
        <v>1.0633612706321956E-2</v>
      </c>
      <c r="V29" s="113">
        <v>1.1095418399999999</v>
      </c>
      <c r="W29" s="71">
        <v>2.8383096800000001</v>
      </c>
      <c r="X29" s="71">
        <v>4.3661945500000003</v>
      </c>
      <c r="Y29" s="71">
        <v>5.6843327700000001</v>
      </c>
      <c r="Z29" s="114">
        <v>7.3274710399999998</v>
      </c>
    </row>
    <row r="30" spans="2:26" x14ac:dyDescent="0.35">
      <c r="B30" s="54" t="s">
        <v>37</v>
      </c>
      <c r="C30" s="52" t="s">
        <v>33</v>
      </c>
      <c r="D30" s="52" t="s">
        <v>31</v>
      </c>
      <c r="E30" s="52" t="s">
        <v>38</v>
      </c>
      <c r="F30" s="72" t="s">
        <v>21</v>
      </c>
      <c r="G30" s="70">
        <v>6.5463191448089323E-3</v>
      </c>
      <c r="H30" s="70">
        <v>1.2987747602799915E-2</v>
      </c>
      <c r="I30" s="70">
        <v>1.6772135306500256E-2</v>
      </c>
      <c r="J30" s="62">
        <v>2.0311261195768735E-2</v>
      </c>
      <c r="K30" s="70" t="s">
        <v>21</v>
      </c>
      <c r="L30" s="70">
        <v>3.5116422448089307E-3</v>
      </c>
      <c r="M30" s="70">
        <v>8.9478744027999164E-3</v>
      </c>
      <c r="N30" s="70">
        <v>1.1836954106500257E-2</v>
      </c>
      <c r="O30" s="70">
        <v>1.4099888895768735E-2</v>
      </c>
      <c r="P30" s="54" t="s">
        <v>21</v>
      </c>
      <c r="Q30" s="52" t="s">
        <v>21</v>
      </c>
      <c r="R30" s="93" t="s">
        <v>21</v>
      </c>
      <c r="S30" s="70">
        <v>0</v>
      </c>
      <c r="T30" s="62">
        <v>1.2987747602799915E-2</v>
      </c>
      <c r="V30" s="113">
        <v>1.1089810900000001</v>
      </c>
      <c r="W30" s="71">
        <v>2.8313806800000001</v>
      </c>
      <c r="X30" s="71">
        <v>4.33379973</v>
      </c>
      <c r="Y30" s="71">
        <v>5.6060647599999998</v>
      </c>
      <c r="Z30" s="114">
        <v>7.15558184</v>
      </c>
    </row>
    <row r="31" spans="2:26" x14ac:dyDescent="0.35">
      <c r="B31" s="56" t="s">
        <v>37</v>
      </c>
      <c r="C31" s="66" t="s">
        <v>35</v>
      </c>
      <c r="D31" s="66" t="s">
        <v>31</v>
      </c>
      <c r="E31" s="66" t="s">
        <v>39</v>
      </c>
      <c r="F31" s="73" t="s">
        <v>21</v>
      </c>
      <c r="G31" s="75">
        <v>8.8812238345245646E-3</v>
      </c>
      <c r="H31" s="75">
        <v>1.6831633669181324E-2</v>
      </c>
      <c r="I31" s="75">
        <v>2.1751491522060361E-2</v>
      </c>
      <c r="J31" s="63">
        <v>2.6388646194416214E-2</v>
      </c>
      <c r="K31" s="75" t="s">
        <v>21</v>
      </c>
      <c r="L31" s="75">
        <v>5.9406568345245631E-3</v>
      </c>
      <c r="M31" s="75">
        <v>1.2877753269181327E-2</v>
      </c>
      <c r="N31" s="75">
        <v>1.6878748022060359E-2</v>
      </c>
      <c r="O31" s="75">
        <v>2.0226973594416213E-2</v>
      </c>
      <c r="P31" s="56" t="s">
        <v>21</v>
      </c>
      <c r="Q31" s="66" t="s">
        <v>21</v>
      </c>
      <c r="R31" s="95" t="s">
        <v>21</v>
      </c>
      <c r="S31" s="75">
        <v>0</v>
      </c>
      <c r="T31" s="63">
        <v>1.6831633669181324E-2</v>
      </c>
      <c r="V31" s="115">
        <v>1.1095149</v>
      </c>
      <c r="W31" s="107">
        <v>2.82844739</v>
      </c>
      <c r="X31" s="107">
        <v>4.3188688099999997</v>
      </c>
      <c r="Y31" s="107">
        <v>5.5699351500000001</v>
      </c>
      <c r="Z31" s="116">
        <v>7.0742697300000001</v>
      </c>
    </row>
    <row r="32" spans="2:26" x14ac:dyDescent="0.35">
      <c r="B32" s="54" t="s">
        <v>40</v>
      </c>
      <c r="C32" s="52" t="s">
        <v>30</v>
      </c>
      <c r="D32" s="52" t="s">
        <v>31</v>
      </c>
      <c r="E32" s="52" t="s">
        <v>21</v>
      </c>
      <c r="F32" s="72" t="s">
        <v>21</v>
      </c>
      <c r="G32" s="70">
        <v>5.6944760553264079E-3</v>
      </c>
      <c r="H32" s="70">
        <v>1.0980139647695196E-2</v>
      </c>
      <c r="I32" s="70">
        <v>1.447720772322348E-2</v>
      </c>
      <c r="J32" s="62">
        <v>1.7967940324651009E-2</v>
      </c>
      <c r="K32" s="70" t="s">
        <v>21</v>
      </c>
      <c r="L32" s="70">
        <v>2.612649555326408E-3</v>
      </c>
      <c r="M32" s="70">
        <v>6.8642486476951986E-3</v>
      </c>
      <c r="N32" s="70">
        <v>9.4764029232234839E-3</v>
      </c>
      <c r="O32" s="70">
        <v>1.1690482024651009E-2</v>
      </c>
      <c r="P32" s="54" t="s">
        <v>21</v>
      </c>
      <c r="Q32" s="52" t="s">
        <v>21</v>
      </c>
      <c r="R32" s="93" t="s">
        <v>21</v>
      </c>
      <c r="S32" s="70">
        <v>0</v>
      </c>
      <c r="T32" s="62">
        <v>1.0980139647695196E-2</v>
      </c>
      <c r="V32" s="113">
        <v>1.10884972</v>
      </c>
      <c r="W32" s="71">
        <v>2.8365230599999998</v>
      </c>
      <c r="X32" s="71">
        <v>4.3607806599999996</v>
      </c>
      <c r="Y32" s="71">
        <v>5.6684513499999998</v>
      </c>
      <c r="Z32" s="114">
        <v>7.2812855800000005</v>
      </c>
    </row>
    <row r="33" spans="2:26" x14ac:dyDescent="0.35">
      <c r="B33" s="54" t="s">
        <v>40</v>
      </c>
      <c r="C33" s="52" t="s">
        <v>33</v>
      </c>
      <c r="D33" s="52" t="s">
        <v>31</v>
      </c>
      <c r="E33" s="52" t="s">
        <v>41</v>
      </c>
      <c r="F33" s="72" t="s">
        <v>21</v>
      </c>
      <c r="G33" s="70">
        <v>7.3263267526221445E-3</v>
      </c>
      <c r="H33" s="70">
        <v>1.4274065545368525E-2</v>
      </c>
      <c r="I33" s="70">
        <v>1.8582592436990956E-2</v>
      </c>
      <c r="J33" s="62">
        <v>2.247375217048235E-2</v>
      </c>
      <c r="K33" s="70" t="s">
        <v>21</v>
      </c>
      <c r="L33" s="70">
        <v>4.3254772526221449E-3</v>
      </c>
      <c r="M33" s="70">
        <v>1.0264023345368523E-2</v>
      </c>
      <c r="N33" s="70">
        <v>1.3670603036990954E-2</v>
      </c>
      <c r="O33" s="70">
        <v>1.6289206670482351E-2</v>
      </c>
      <c r="P33" s="54" t="s">
        <v>420</v>
      </c>
      <c r="Q33" s="52" t="s">
        <v>421</v>
      </c>
      <c r="R33" s="93">
        <v>47729</v>
      </c>
      <c r="S33" s="70">
        <v>1.1991209999999999E-2</v>
      </c>
      <c r="T33" s="62">
        <v>2.2828555453685267E-3</v>
      </c>
      <c r="V33" s="113">
        <v>1.1083197899999999</v>
      </c>
      <c r="W33" s="71">
        <v>2.8252333699999999</v>
      </c>
      <c r="X33" s="71">
        <v>4.3131804099999993</v>
      </c>
      <c r="Y33" s="71">
        <v>5.5590164699999995</v>
      </c>
      <c r="Z33" s="114">
        <v>7.0538344799999999</v>
      </c>
    </row>
    <row r="34" spans="2:26" x14ac:dyDescent="0.35">
      <c r="B34" s="56" t="s">
        <v>40</v>
      </c>
      <c r="C34" s="66" t="s">
        <v>35</v>
      </c>
      <c r="D34" s="66" t="s">
        <v>31</v>
      </c>
      <c r="E34" s="66" t="s">
        <v>21</v>
      </c>
      <c r="F34" s="73" t="s">
        <v>21</v>
      </c>
      <c r="G34" s="75">
        <v>9.7928544906001995E-3</v>
      </c>
      <c r="H34" s="75">
        <v>1.8470706160054653E-2</v>
      </c>
      <c r="I34" s="75">
        <v>2.4227884802826293E-2</v>
      </c>
      <c r="J34" s="63">
        <v>2.938615043756387E-2</v>
      </c>
      <c r="K34" s="70" t="s">
        <v>21</v>
      </c>
      <c r="L34" s="70">
        <v>6.8733764906001998E-3</v>
      </c>
      <c r="M34" s="70">
        <v>1.4525590460054656E-2</v>
      </c>
      <c r="N34" s="70">
        <v>1.9343960502826295E-2</v>
      </c>
      <c r="O34" s="70">
        <v>2.3205034437563873E-2</v>
      </c>
      <c r="P34" s="54" t="s">
        <v>21</v>
      </c>
      <c r="Q34" s="52" t="s">
        <v>21</v>
      </c>
      <c r="R34" s="93" t="s">
        <v>21</v>
      </c>
      <c r="S34" s="70"/>
      <c r="T34" s="62"/>
      <c r="V34" s="115">
        <v>1.1090115899999999</v>
      </c>
      <c r="W34" s="107">
        <v>2.82324091</v>
      </c>
      <c r="X34" s="107">
        <v>4.2998083200000004</v>
      </c>
      <c r="Y34" s="107">
        <v>5.5244038900000003</v>
      </c>
      <c r="Z34" s="116">
        <v>6.9735812699999995</v>
      </c>
    </row>
    <row r="35" spans="2:26" x14ac:dyDescent="0.35">
      <c r="B35" s="78" t="s">
        <v>422</v>
      </c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8"/>
      <c r="Q35" s="77"/>
      <c r="R35" s="94"/>
      <c r="S35" s="77"/>
      <c r="T35" s="76"/>
      <c r="V35" s="111"/>
      <c r="W35" s="106"/>
      <c r="X35" s="106"/>
      <c r="Y35" s="106"/>
      <c r="Z35" s="112"/>
    </row>
    <row r="36" spans="2:26" x14ac:dyDescent="0.35">
      <c r="B36" s="54" t="s">
        <v>42</v>
      </c>
      <c r="C36" s="52" t="s">
        <v>30</v>
      </c>
      <c r="D36" s="52" t="s">
        <v>43</v>
      </c>
      <c r="E36" s="52" t="s">
        <v>423</v>
      </c>
      <c r="F36" s="72" t="s">
        <v>21</v>
      </c>
      <c r="G36" s="70">
        <v>5.6229712324389683E-3</v>
      </c>
      <c r="H36" s="70">
        <v>1.1245837269282693E-2</v>
      </c>
      <c r="I36" s="70">
        <v>1.4673542226401647E-2</v>
      </c>
      <c r="J36" s="62">
        <v>1.7906447653274295E-2</v>
      </c>
      <c r="K36" s="70" t="s">
        <v>21</v>
      </c>
      <c r="L36" s="70">
        <v>2.5363495324389673E-3</v>
      </c>
      <c r="M36" s="70">
        <v>7.1419631692826949E-3</v>
      </c>
      <c r="N36" s="70">
        <v>9.6807578264016484E-3</v>
      </c>
      <c r="O36" s="70">
        <v>1.1629693353274295E-2</v>
      </c>
      <c r="P36" s="54" t="s">
        <v>424</v>
      </c>
      <c r="Q36" s="52" t="s">
        <v>425</v>
      </c>
      <c r="R36" s="93" t="s">
        <v>32</v>
      </c>
      <c r="S36" s="70">
        <v>1.0255220000000001E-2</v>
      </c>
      <c r="T36" s="62">
        <v>9.9061726928269256E-4</v>
      </c>
      <c r="V36" s="113">
        <v>1.1093638699999999</v>
      </c>
      <c r="W36" s="71">
        <v>2.8379474899999999</v>
      </c>
      <c r="X36" s="71">
        <v>4.3598256500000003</v>
      </c>
      <c r="Y36" s="71">
        <v>5.6641049399999996</v>
      </c>
      <c r="Z36" s="114">
        <v>7.2766864900000003</v>
      </c>
    </row>
    <row r="37" spans="2:26" x14ac:dyDescent="0.35">
      <c r="B37" s="54" t="s">
        <v>42</v>
      </c>
      <c r="C37" s="52" t="s">
        <v>33</v>
      </c>
      <c r="D37" s="52" t="s">
        <v>43</v>
      </c>
      <c r="E37" s="52" t="s">
        <v>426</v>
      </c>
      <c r="F37" s="72" t="s">
        <v>21</v>
      </c>
      <c r="G37" s="70">
        <v>7.4636999715468506E-3</v>
      </c>
      <c r="H37" s="70">
        <v>1.4430800832378991E-2</v>
      </c>
      <c r="I37" s="70">
        <v>1.8972539530562993E-2</v>
      </c>
      <c r="J37" s="62">
        <v>2.2801679052375404E-2</v>
      </c>
      <c r="K37" s="70" t="s">
        <v>21</v>
      </c>
      <c r="L37" s="70">
        <v>4.4685445715468494E-3</v>
      </c>
      <c r="M37" s="70">
        <v>1.0424878032378992E-2</v>
      </c>
      <c r="N37" s="70">
        <v>1.4064129030562993E-2</v>
      </c>
      <c r="O37" s="70">
        <v>1.6621640752375405E-2</v>
      </c>
      <c r="P37" s="54" t="s">
        <v>427</v>
      </c>
      <c r="Q37" s="52" t="s">
        <v>428</v>
      </c>
      <c r="R37" s="93" t="s">
        <v>32</v>
      </c>
      <c r="S37" s="70">
        <v>1.4112990000000001E-2</v>
      </c>
      <c r="T37" s="62">
        <v>3.1781083237899035E-4</v>
      </c>
      <c r="V37" s="113">
        <v>1.10954325</v>
      </c>
      <c r="W37" s="71">
        <v>2.8266416799999998</v>
      </c>
      <c r="X37" s="71">
        <v>4.3127058599999994</v>
      </c>
      <c r="Y37" s="71">
        <v>5.5532183699999997</v>
      </c>
      <c r="Z37" s="114">
        <v>7.0388597900000001</v>
      </c>
    </row>
    <row r="38" spans="2:26" x14ac:dyDescent="0.35">
      <c r="B38" s="54" t="s">
        <v>42</v>
      </c>
      <c r="C38" s="52" t="s">
        <v>35</v>
      </c>
      <c r="D38" s="52" t="s">
        <v>43</v>
      </c>
      <c r="E38" s="52" t="s">
        <v>429</v>
      </c>
      <c r="F38" s="72" t="s">
        <v>21</v>
      </c>
      <c r="G38" s="70">
        <v>1.0636445856678249E-2</v>
      </c>
      <c r="H38" s="70">
        <v>1.9817016853044454E-2</v>
      </c>
      <c r="I38" s="70">
        <v>2.5737048936724866E-2</v>
      </c>
      <c r="J38" s="62">
        <v>3.1432994079464177E-2</v>
      </c>
      <c r="K38" s="70" t="s">
        <v>21</v>
      </c>
      <c r="L38" s="70">
        <v>7.7310998566782491E-3</v>
      </c>
      <c r="M38" s="70">
        <v>1.5870931753044454E-2</v>
      </c>
      <c r="N38" s="70">
        <v>2.0838088536724864E-2</v>
      </c>
      <c r="O38" s="70">
        <v>2.5223958879464166E-2</v>
      </c>
      <c r="P38" s="54" t="s">
        <v>21</v>
      </c>
      <c r="Q38" s="52" t="s">
        <v>21</v>
      </c>
      <c r="R38" s="93" t="s">
        <v>21</v>
      </c>
      <c r="S38" s="70">
        <v>0</v>
      </c>
      <c r="T38" s="62">
        <v>1.9817016853044454E-2</v>
      </c>
      <c r="V38" s="113">
        <v>1.1085451200000001</v>
      </c>
      <c r="W38" s="71">
        <v>2.8184375899999998</v>
      </c>
      <c r="X38" s="71">
        <v>4.2835405499999997</v>
      </c>
      <c r="Y38" s="71">
        <v>5.4915049500000004</v>
      </c>
      <c r="Z38" s="114">
        <v>6.9051581200000003</v>
      </c>
    </row>
    <row r="39" spans="2:26" x14ac:dyDescent="0.35">
      <c r="B39" s="78" t="s">
        <v>45</v>
      </c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8"/>
      <c r="Q39" s="77"/>
      <c r="R39" s="94"/>
      <c r="S39" s="77"/>
      <c r="T39" s="76"/>
      <c r="V39" s="111"/>
      <c r="W39" s="106"/>
      <c r="X39" s="106"/>
      <c r="Y39" s="106"/>
      <c r="Z39" s="112"/>
    </row>
    <row r="40" spans="2:26" x14ac:dyDescent="0.35">
      <c r="B40" s="55" t="s">
        <v>46</v>
      </c>
      <c r="C40" s="65" t="s">
        <v>30</v>
      </c>
      <c r="D40" s="65" t="s">
        <v>47</v>
      </c>
      <c r="E40" s="65" t="s">
        <v>430</v>
      </c>
      <c r="F40" s="74" t="s">
        <v>21</v>
      </c>
      <c r="G40" s="79">
        <v>5.376322906065871E-3</v>
      </c>
      <c r="H40" s="79">
        <v>1.0913313023313425E-2</v>
      </c>
      <c r="I40" s="79">
        <v>1.4703422216538873E-2</v>
      </c>
      <c r="J40" s="61">
        <v>1.8376264648817729E-2</v>
      </c>
      <c r="K40" s="70" t="s">
        <v>21</v>
      </c>
      <c r="L40" s="70">
        <v>2.2729530060658712E-3</v>
      </c>
      <c r="M40" s="70">
        <v>6.7936942233134253E-3</v>
      </c>
      <c r="N40" s="70">
        <v>9.7104187165388666E-3</v>
      </c>
      <c r="O40" s="70">
        <v>1.2113273248817728E-2</v>
      </c>
      <c r="P40" s="54" t="s">
        <v>431</v>
      </c>
      <c r="Q40" s="52" t="s">
        <v>432</v>
      </c>
      <c r="R40" s="93" t="s">
        <v>32</v>
      </c>
      <c r="S40" s="70">
        <v>6.7610499999999994E-3</v>
      </c>
      <c r="T40" s="62">
        <v>4.1522630233134256E-3</v>
      </c>
      <c r="V40" s="117">
        <v>1.1105376499999999</v>
      </c>
      <c r="W40" s="60">
        <v>2.84172512</v>
      </c>
      <c r="X40" s="60">
        <v>4.3675768900000005</v>
      </c>
      <c r="Y40" s="60">
        <v>5.6725720100000006</v>
      </c>
      <c r="Z40" s="118">
        <v>7.27520773</v>
      </c>
    </row>
    <row r="41" spans="2:26" x14ac:dyDescent="0.35">
      <c r="B41" s="54" t="s">
        <v>46</v>
      </c>
      <c r="C41" s="52" t="s">
        <v>33</v>
      </c>
      <c r="D41" s="52" t="s">
        <v>47</v>
      </c>
      <c r="E41" s="52" t="s">
        <v>433</v>
      </c>
      <c r="F41" s="72" t="s">
        <v>21</v>
      </c>
      <c r="G41" s="70">
        <v>7.1430978841457264E-3</v>
      </c>
      <c r="H41" s="70">
        <v>1.4241103152752609E-2</v>
      </c>
      <c r="I41" s="70">
        <v>1.8545663318238509E-2</v>
      </c>
      <c r="J41" s="62">
        <v>2.2140412101679805E-2</v>
      </c>
      <c r="K41" s="70" t="s">
        <v>21</v>
      </c>
      <c r="L41" s="70">
        <v>4.1345771841457268E-3</v>
      </c>
      <c r="M41" s="70">
        <v>1.0230331252752611E-2</v>
      </c>
      <c r="N41" s="70">
        <v>1.3633849918238508E-2</v>
      </c>
      <c r="O41" s="70">
        <v>1.5955973301679808E-2</v>
      </c>
      <c r="P41" s="54" t="s">
        <v>21</v>
      </c>
      <c r="Q41" s="52" t="s">
        <v>21</v>
      </c>
      <c r="R41" s="93" t="s">
        <v>21</v>
      </c>
      <c r="S41" s="70">
        <v>0</v>
      </c>
      <c r="T41" s="62">
        <v>1.4241103152752609E-2</v>
      </c>
      <c r="V41" s="113">
        <v>1.1092487599999998</v>
      </c>
      <c r="W41" s="71">
        <v>2.8281324100000003</v>
      </c>
      <c r="X41" s="71">
        <v>4.3169025799999998</v>
      </c>
      <c r="Y41" s="71">
        <v>5.5632470000000005</v>
      </c>
      <c r="Z41" s="114">
        <v>7.0646227199999991</v>
      </c>
    </row>
    <row r="42" spans="2:26" x14ac:dyDescent="0.35">
      <c r="B42" s="56" t="s">
        <v>46</v>
      </c>
      <c r="C42" s="66" t="s">
        <v>35</v>
      </c>
      <c r="D42" s="66" t="s">
        <v>47</v>
      </c>
      <c r="E42" s="66" t="s">
        <v>21</v>
      </c>
      <c r="F42" s="73" t="s">
        <v>21</v>
      </c>
      <c r="G42" s="75">
        <v>9.79746508432041E-3</v>
      </c>
      <c r="H42" s="75">
        <v>1.8677913032345735E-2</v>
      </c>
      <c r="I42" s="75">
        <v>2.4239666564512076E-2</v>
      </c>
      <c r="J42" s="63">
        <v>2.9408086597071947E-2</v>
      </c>
      <c r="K42" s="70" t="s">
        <v>21</v>
      </c>
      <c r="L42" s="70">
        <v>6.8763985843204103E-3</v>
      </c>
      <c r="M42" s="70">
        <v>1.4731519532345737E-2</v>
      </c>
      <c r="N42" s="70">
        <v>1.9354785664512073E-2</v>
      </c>
      <c r="O42" s="70">
        <v>2.3225440597071947E-2</v>
      </c>
      <c r="P42" s="54" t="s">
        <v>21</v>
      </c>
      <c r="Q42" s="52" t="s">
        <v>21</v>
      </c>
      <c r="R42" s="93" t="s">
        <v>21</v>
      </c>
      <c r="S42" s="70">
        <v>0</v>
      </c>
      <c r="T42" s="62">
        <v>1.8677913032345735E-2</v>
      </c>
      <c r="V42" s="115">
        <v>1.1090434600000001</v>
      </c>
      <c r="W42" s="107">
        <v>2.8233031200000003</v>
      </c>
      <c r="X42" s="107">
        <v>4.2984048499999998</v>
      </c>
      <c r="Y42" s="107">
        <v>5.5224694900000006</v>
      </c>
      <c r="Z42" s="116">
        <v>6.9715148600000001</v>
      </c>
    </row>
    <row r="43" spans="2:26" x14ac:dyDescent="0.35">
      <c r="B43" s="54" t="s">
        <v>49</v>
      </c>
      <c r="C43" s="52" t="s">
        <v>30</v>
      </c>
      <c r="D43" s="52" t="s">
        <v>47</v>
      </c>
      <c r="E43" s="52" t="s">
        <v>356</v>
      </c>
      <c r="F43" s="72" t="s">
        <v>21</v>
      </c>
      <c r="G43" s="70">
        <v>4.7746282727118387E-3</v>
      </c>
      <c r="H43" s="70">
        <v>1.0225895976046954E-2</v>
      </c>
      <c r="I43" s="70">
        <v>1.3446374284328929E-2</v>
      </c>
      <c r="J43" s="62">
        <v>1.730613293467068E-2</v>
      </c>
      <c r="K43" s="70" t="s">
        <v>21</v>
      </c>
      <c r="L43" s="70">
        <v>1.6265913727118394E-3</v>
      </c>
      <c r="M43" s="70">
        <v>6.0686218760469535E-3</v>
      </c>
      <c r="N43" s="70">
        <v>8.4022822843289255E-3</v>
      </c>
      <c r="O43" s="70">
        <v>1.1001204734670682E-2</v>
      </c>
      <c r="P43" s="55" t="s">
        <v>434</v>
      </c>
      <c r="Q43" s="65" t="s">
        <v>435</v>
      </c>
      <c r="R43" s="99" t="s">
        <v>32</v>
      </c>
      <c r="S43" s="79">
        <v>9.2997800000000005E-3</v>
      </c>
      <c r="T43" s="61">
        <v>9.2611597604695325E-4</v>
      </c>
      <c r="V43" s="113">
        <v>1.1109242800000001</v>
      </c>
      <c r="W43" s="71">
        <v>2.8462740899999996</v>
      </c>
      <c r="X43" s="71">
        <v>4.3805183400000001</v>
      </c>
      <c r="Y43" s="71">
        <v>5.7037563800000006</v>
      </c>
      <c r="Z43" s="114">
        <v>7.3377266999999993</v>
      </c>
    </row>
    <row r="44" spans="2:26" x14ac:dyDescent="0.35">
      <c r="B44" s="54" t="s">
        <v>49</v>
      </c>
      <c r="C44" s="52" t="s">
        <v>33</v>
      </c>
      <c r="D44" s="52" t="s">
        <v>47</v>
      </c>
      <c r="E44" s="52" t="s">
        <v>274</v>
      </c>
      <c r="F44" s="72" t="s">
        <v>21</v>
      </c>
      <c r="G44" s="70">
        <v>6.6521087980232398E-3</v>
      </c>
      <c r="H44" s="70">
        <v>1.3350830989608427E-2</v>
      </c>
      <c r="I44" s="70">
        <v>1.7407084078877897E-2</v>
      </c>
      <c r="J44" s="62">
        <v>2.1369481573409843E-2</v>
      </c>
      <c r="K44" s="70" t="s">
        <v>21</v>
      </c>
      <c r="L44" s="70">
        <v>3.6224747980232413E-3</v>
      </c>
      <c r="M44" s="70">
        <v>9.3212570896084347E-3</v>
      </c>
      <c r="N44" s="70">
        <v>1.2483116578877896E-2</v>
      </c>
      <c r="O44" s="70">
        <v>1.5174198573409844E-2</v>
      </c>
      <c r="P44" s="54" t="s">
        <v>436</v>
      </c>
      <c r="Q44" s="52" t="s">
        <v>437</v>
      </c>
      <c r="R44" s="93" t="s">
        <v>32</v>
      </c>
      <c r="S44" s="70">
        <v>1.3710979999999999E-2</v>
      </c>
      <c r="T44" s="62">
        <v>-3.6014901039157186E-4</v>
      </c>
      <c r="V44" s="113">
        <v>1.1100973199999999</v>
      </c>
      <c r="W44" s="71">
        <v>2.83280121</v>
      </c>
      <c r="X44" s="71">
        <v>4.3314350799999994</v>
      </c>
      <c r="Y44" s="71">
        <v>5.5946016299999997</v>
      </c>
      <c r="Z44" s="114">
        <v>7.11873135</v>
      </c>
    </row>
    <row r="45" spans="2:26" x14ac:dyDescent="0.35">
      <c r="B45" s="56" t="s">
        <v>49</v>
      </c>
      <c r="C45" s="66" t="s">
        <v>35</v>
      </c>
      <c r="D45" s="66" t="s">
        <v>47</v>
      </c>
      <c r="E45" s="66" t="s">
        <v>21</v>
      </c>
      <c r="F45" s="73" t="s">
        <v>21</v>
      </c>
      <c r="G45" s="75">
        <v>8.9738628681286705E-3</v>
      </c>
      <c r="H45" s="75">
        <v>1.733054462778328E-2</v>
      </c>
      <c r="I45" s="75">
        <v>2.3108800514956826E-2</v>
      </c>
      <c r="J45" s="63">
        <v>2.8186962293704845E-2</v>
      </c>
      <c r="K45" s="75" t="s">
        <v>21</v>
      </c>
      <c r="L45" s="75">
        <v>6.0337900681286718E-3</v>
      </c>
      <c r="M45" s="75">
        <v>1.337869042778328E-2</v>
      </c>
      <c r="N45" s="75">
        <v>1.8229858814956826E-2</v>
      </c>
      <c r="O45" s="75">
        <v>2.2015376693704843E-2</v>
      </c>
      <c r="P45" s="56" t="s">
        <v>21</v>
      </c>
      <c r="Q45" s="66" t="s">
        <v>21</v>
      </c>
      <c r="R45" s="95" t="s">
        <v>21</v>
      </c>
      <c r="S45" s="75">
        <v>0</v>
      </c>
      <c r="T45" s="63">
        <v>1.733054462778328E-2</v>
      </c>
      <c r="V45" s="115">
        <v>1.1094874100000001</v>
      </c>
      <c r="W45" s="107">
        <v>2.82799098</v>
      </c>
      <c r="X45" s="107">
        <v>4.3146197800000001</v>
      </c>
      <c r="Y45" s="107">
        <v>5.5520282600000002</v>
      </c>
      <c r="Z45" s="116">
        <v>7.0233104300000004</v>
      </c>
    </row>
    <row r="46" spans="2:26" x14ac:dyDescent="0.35">
      <c r="B46" s="55" t="s">
        <v>50</v>
      </c>
      <c r="C46" s="65" t="s">
        <v>30</v>
      </c>
      <c r="D46" s="65" t="s">
        <v>47</v>
      </c>
      <c r="E46" s="65" t="s">
        <v>179</v>
      </c>
      <c r="F46" s="74" t="s">
        <v>21</v>
      </c>
      <c r="G46" s="79">
        <v>4.847644840629349E-3</v>
      </c>
      <c r="H46" s="79">
        <v>1.0532912516338679E-2</v>
      </c>
      <c r="I46" s="79">
        <v>1.4036210965472621E-2</v>
      </c>
      <c r="J46" s="61">
        <v>1.7673562248585725E-2</v>
      </c>
      <c r="K46" s="70" t="s">
        <v>21</v>
      </c>
      <c r="L46" s="70">
        <v>1.7054010406293459E-3</v>
      </c>
      <c r="M46" s="70">
        <v>6.3929586163386821E-3</v>
      </c>
      <c r="N46" s="70">
        <v>9.0183811654726172E-3</v>
      </c>
      <c r="O46" s="70">
        <v>1.1386347148585729E-2</v>
      </c>
      <c r="P46" s="54" t="s">
        <v>438</v>
      </c>
      <c r="Q46" s="52" t="s">
        <v>439</v>
      </c>
      <c r="R46" s="93" t="s">
        <v>32</v>
      </c>
      <c r="S46" s="70">
        <v>8.2695300000000006E-3</v>
      </c>
      <c r="T46" s="62">
        <v>2.263382516338678E-3</v>
      </c>
      <c r="V46" s="117">
        <v>1.1112368100000001</v>
      </c>
      <c r="W46" s="60">
        <v>2.8463955100000002</v>
      </c>
      <c r="X46" s="60">
        <v>4.3774240399999993</v>
      </c>
      <c r="Y46" s="60">
        <v>5.69208742</v>
      </c>
      <c r="Z46" s="118">
        <v>7.3138954600000003</v>
      </c>
    </row>
    <row r="47" spans="2:26" x14ac:dyDescent="0.35">
      <c r="B47" s="54" t="s">
        <v>50</v>
      </c>
      <c r="C47" s="52" t="s">
        <v>33</v>
      </c>
      <c r="D47" s="52" t="s">
        <v>47</v>
      </c>
      <c r="E47" s="52" t="s">
        <v>133</v>
      </c>
      <c r="F47" s="72" t="s">
        <v>21</v>
      </c>
      <c r="G47" s="70">
        <v>6.8574750781405245E-3</v>
      </c>
      <c r="H47" s="70">
        <v>1.3749283458630787E-2</v>
      </c>
      <c r="I47" s="70">
        <v>1.817739009771005E-2</v>
      </c>
      <c r="J47" s="62">
        <v>2.1774892497809603E-2</v>
      </c>
      <c r="K47" s="70" t="s">
        <v>21</v>
      </c>
      <c r="L47" s="70">
        <v>3.8366744781405228E-3</v>
      </c>
      <c r="M47" s="70">
        <v>9.7284778586307873E-3</v>
      </c>
      <c r="N47" s="70">
        <v>1.3261557397710049E-2</v>
      </c>
      <c r="O47" s="70">
        <v>1.5587024397809601E-2</v>
      </c>
      <c r="P47" s="54" t="s">
        <v>440</v>
      </c>
      <c r="Q47" s="52" t="s">
        <v>441</v>
      </c>
      <c r="R47" s="93" t="s">
        <v>32</v>
      </c>
      <c r="S47" s="70">
        <v>8.9405400000000003E-3</v>
      </c>
      <c r="T47" s="62">
        <v>4.8087434586307869E-3</v>
      </c>
      <c r="V47" s="113">
        <v>1.1096997799999999</v>
      </c>
      <c r="W47" s="71">
        <v>2.8307782000000001</v>
      </c>
      <c r="X47" s="71">
        <v>4.3250523800000007</v>
      </c>
      <c r="Y47" s="71">
        <v>5.5774435900000006</v>
      </c>
      <c r="Z47" s="114">
        <v>7.0881592699999993</v>
      </c>
    </row>
    <row r="48" spans="2:26" x14ac:dyDescent="0.35">
      <c r="B48" s="56" t="s">
        <v>50</v>
      </c>
      <c r="C48" s="66" t="s">
        <v>35</v>
      </c>
      <c r="D48" s="66" t="s">
        <v>47</v>
      </c>
      <c r="E48" s="66" t="s">
        <v>21</v>
      </c>
      <c r="F48" s="73" t="s">
        <v>21</v>
      </c>
      <c r="G48" s="75">
        <v>9.7374840491900143E-3</v>
      </c>
      <c r="H48" s="75">
        <v>1.8578390611082622E-2</v>
      </c>
      <c r="I48" s="75">
        <v>2.4329683429346043E-2</v>
      </c>
      <c r="J48" s="63">
        <v>2.9389085389935208E-2</v>
      </c>
      <c r="K48" s="70" t="s">
        <v>21</v>
      </c>
      <c r="L48" s="70">
        <v>6.8152794491900155E-3</v>
      </c>
      <c r="M48" s="70">
        <v>1.4631883711082623E-2</v>
      </c>
      <c r="N48" s="70">
        <v>1.9443694529346044E-2</v>
      </c>
      <c r="O48" s="70">
        <v>2.3207347989935206E-2</v>
      </c>
      <c r="P48" s="54" t="s">
        <v>21</v>
      </c>
      <c r="Q48" s="52" t="s">
        <v>21</v>
      </c>
      <c r="R48" s="93" t="s">
        <v>21</v>
      </c>
      <c r="S48" s="70"/>
      <c r="T48" s="62"/>
      <c r="V48" s="115">
        <v>1.1090072399999999</v>
      </c>
      <c r="W48" s="107">
        <v>2.82351537</v>
      </c>
      <c r="X48" s="107">
        <v>4.29945924</v>
      </c>
      <c r="Y48" s="107">
        <v>5.5229099399999999</v>
      </c>
      <c r="Z48" s="116">
        <v>6.97161221</v>
      </c>
    </row>
    <row r="49" spans="2:26" x14ac:dyDescent="0.35">
      <c r="B49" s="78" t="s">
        <v>51</v>
      </c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8"/>
      <c r="Q49" s="77"/>
      <c r="R49" s="94"/>
      <c r="S49" s="77"/>
      <c r="T49" s="76"/>
      <c r="V49" s="111"/>
      <c r="W49" s="106"/>
      <c r="X49" s="106"/>
      <c r="Y49" s="106"/>
      <c r="Z49" s="112"/>
    </row>
    <row r="50" spans="2:26" x14ac:dyDescent="0.35">
      <c r="B50" s="55" t="s">
        <v>52</v>
      </c>
      <c r="C50" s="65" t="s">
        <v>30</v>
      </c>
      <c r="D50" s="65" t="s">
        <v>53</v>
      </c>
      <c r="E50" s="65" t="s">
        <v>57</v>
      </c>
      <c r="F50" s="74" t="s">
        <v>21</v>
      </c>
      <c r="G50" s="79">
        <v>5.5065167890240609E-3</v>
      </c>
      <c r="H50" s="79">
        <v>1.0635173673019613E-2</v>
      </c>
      <c r="I50" s="79">
        <v>1.3847801741248618E-2</v>
      </c>
      <c r="J50" s="61">
        <v>1.7153670767216422E-2</v>
      </c>
      <c r="K50" s="70" t="s">
        <v>21</v>
      </c>
      <c r="L50" s="70">
        <v>2.412405689024059E-3</v>
      </c>
      <c r="M50" s="70">
        <v>6.5017064730196151E-3</v>
      </c>
      <c r="N50" s="70">
        <v>8.8220630412486206E-3</v>
      </c>
      <c r="O50" s="70">
        <v>1.0845145467216419E-2</v>
      </c>
      <c r="P50" s="54" t="s">
        <v>442</v>
      </c>
      <c r="Q50" s="52" t="s">
        <v>443</v>
      </c>
      <c r="R50" s="93" t="s">
        <v>32</v>
      </c>
      <c r="S50" s="70">
        <v>7.8179600000000005E-3</v>
      </c>
      <c r="T50" s="62">
        <v>2.817213673019613E-3</v>
      </c>
      <c r="V50" s="117">
        <v>1.10920953</v>
      </c>
      <c r="W50" s="60">
        <v>2.83839598</v>
      </c>
      <c r="X50" s="60">
        <v>4.3665662100000002</v>
      </c>
      <c r="Y50" s="60">
        <v>5.6833902600000004</v>
      </c>
      <c r="Z50" s="118">
        <v>7.3175604199999995</v>
      </c>
    </row>
    <row r="51" spans="2:26" x14ac:dyDescent="0.35">
      <c r="B51" s="54" t="s">
        <v>52</v>
      </c>
      <c r="C51" s="52" t="s">
        <v>33</v>
      </c>
      <c r="D51" s="52" t="s">
        <v>53</v>
      </c>
      <c r="E51" s="52" t="s">
        <v>58</v>
      </c>
      <c r="F51" s="72" t="s">
        <v>21</v>
      </c>
      <c r="G51" s="70">
        <v>6.890056082479226E-3</v>
      </c>
      <c r="H51" s="70">
        <v>1.3632540086585689E-2</v>
      </c>
      <c r="I51" s="70">
        <v>1.7581023280481434E-2</v>
      </c>
      <c r="J51" s="62">
        <v>2.1201954695154266E-2</v>
      </c>
      <c r="K51" s="70" t="s">
        <v>21</v>
      </c>
      <c r="L51" s="70">
        <v>3.870973682479224E-3</v>
      </c>
      <c r="M51" s="70">
        <v>9.6087287865856894E-3</v>
      </c>
      <c r="N51" s="70">
        <v>1.2658553480481435E-2</v>
      </c>
      <c r="O51" s="70">
        <v>1.5004751795154266E-2</v>
      </c>
      <c r="P51" s="54" t="s">
        <v>444</v>
      </c>
      <c r="Q51" s="52" t="s">
        <v>445</v>
      </c>
      <c r="R51" s="93" t="s">
        <v>32</v>
      </c>
      <c r="S51" s="70">
        <v>9.6272400000000004E-3</v>
      </c>
      <c r="T51" s="62">
        <v>4.0053000865856881E-3</v>
      </c>
      <c r="V51" s="113">
        <v>1.10844561</v>
      </c>
      <c r="W51" s="71">
        <v>2.8282210499999998</v>
      </c>
      <c r="X51" s="71">
        <v>4.32351025</v>
      </c>
      <c r="Y51" s="71">
        <v>5.5837106900000002</v>
      </c>
      <c r="Z51" s="114">
        <v>7.1101627499999998</v>
      </c>
    </row>
    <row r="52" spans="2:26" x14ac:dyDescent="0.35">
      <c r="B52" s="56" t="s">
        <v>52</v>
      </c>
      <c r="C52" s="66" t="s">
        <v>35</v>
      </c>
      <c r="D52" s="66" t="s">
        <v>53</v>
      </c>
      <c r="E52" s="66" t="s">
        <v>351</v>
      </c>
      <c r="F52" s="73" t="s">
        <v>21</v>
      </c>
      <c r="G52" s="75">
        <v>9.8041049409589402E-3</v>
      </c>
      <c r="H52" s="75">
        <v>1.8477974318084386E-2</v>
      </c>
      <c r="I52" s="75">
        <v>2.4233455684698427E-2</v>
      </c>
      <c r="J52" s="63">
        <v>2.9009917443641651E-2</v>
      </c>
      <c r="K52" s="70" t="s">
        <v>21</v>
      </c>
      <c r="L52" s="70">
        <v>6.8834035409589406E-3</v>
      </c>
      <c r="M52" s="70">
        <v>1.4531526818084386E-2</v>
      </c>
      <c r="N52" s="70">
        <v>1.9348202484698429E-2</v>
      </c>
      <c r="O52" s="70">
        <v>2.2832864043641654E-2</v>
      </c>
      <c r="P52" s="54" t="s">
        <v>21</v>
      </c>
      <c r="Q52" s="52" t="s">
        <v>21</v>
      </c>
      <c r="R52" s="93" t="s">
        <v>21</v>
      </c>
      <c r="S52" s="70">
        <v>0</v>
      </c>
      <c r="T52" s="62">
        <v>1.8477974318084386E-2</v>
      </c>
      <c r="V52" s="115">
        <v>1.10896996</v>
      </c>
      <c r="W52" s="107">
        <v>2.82313188</v>
      </c>
      <c r="X52" s="107">
        <v>4.2996863799999998</v>
      </c>
      <c r="Y52" s="107">
        <v>5.5242707500000003</v>
      </c>
      <c r="Z52" s="116">
        <v>6.9788281300000001</v>
      </c>
    </row>
    <row r="53" spans="2:26" x14ac:dyDescent="0.35">
      <c r="B53" s="54" t="s">
        <v>56</v>
      </c>
      <c r="C53" s="52" t="s">
        <v>30</v>
      </c>
      <c r="D53" s="52" t="s">
        <v>53</v>
      </c>
      <c r="E53" s="52" t="s">
        <v>446</v>
      </c>
      <c r="F53" s="72" t="s">
        <v>21</v>
      </c>
      <c r="G53" s="70">
        <v>5.4657597644504913E-3</v>
      </c>
      <c r="H53" s="70">
        <v>1.0645148037877153E-2</v>
      </c>
      <c r="I53" s="70">
        <v>1.4055058872095884E-2</v>
      </c>
      <c r="J53" s="62">
        <v>1.7147735727214841E-2</v>
      </c>
      <c r="K53" s="70" t="s">
        <v>21</v>
      </c>
      <c r="L53" s="70">
        <v>2.3687374644504921E-3</v>
      </c>
      <c r="M53" s="70">
        <v>6.5123093378771507E-3</v>
      </c>
      <c r="N53" s="70">
        <v>9.0378084720958863E-3</v>
      </c>
      <c r="O53" s="70">
        <v>1.084155122721484E-2</v>
      </c>
      <c r="P53" s="55" t="s">
        <v>447</v>
      </c>
      <c r="Q53" s="65" t="s">
        <v>448</v>
      </c>
      <c r="R53" s="99" t="s">
        <v>32</v>
      </c>
      <c r="S53" s="79">
        <v>1.4803569999999999E-2</v>
      </c>
      <c r="T53" s="61">
        <v>-4.1584219621228456E-3</v>
      </c>
      <c r="V53" s="113">
        <v>1.10988693</v>
      </c>
      <c r="W53" s="71">
        <v>2.83992917</v>
      </c>
      <c r="X53" s="71">
        <v>4.3681367599999996</v>
      </c>
      <c r="Y53" s="71">
        <v>5.6822903399999998</v>
      </c>
      <c r="Z53" s="114">
        <v>7.31482016</v>
      </c>
    </row>
    <row r="54" spans="2:26" x14ac:dyDescent="0.35">
      <c r="B54" s="54" t="s">
        <v>56</v>
      </c>
      <c r="C54" s="52" t="s">
        <v>33</v>
      </c>
      <c r="D54" s="52" t="s">
        <v>53</v>
      </c>
      <c r="E54" s="52" t="s">
        <v>449</v>
      </c>
      <c r="F54" s="72" t="s">
        <v>21</v>
      </c>
      <c r="G54" s="70">
        <v>6.772823799612273E-3</v>
      </c>
      <c r="H54" s="70">
        <v>1.3334654354874336E-2</v>
      </c>
      <c r="I54" s="70">
        <v>1.7150989629948245E-2</v>
      </c>
      <c r="J54" s="62">
        <v>2.0683298823689054E-2</v>
      </c>
      <c r="K54" s="70" t="s">
        <v>21</v>
      </c>
      <c r="L54" s="70">
        <v>3.7483409996122742E-3</v>
      </c>
      <c r="M54" s="70">
        <v>9.3035962548743342E-3</v>
      </c>
      <c r="N54" s="70">
        <v>1.2222104329948242E-2</v>
      </c>
      <c r="O54" s="70">
        <v>1.4478224023689056E-2</v>
      </c>
      <c r="P54" s="54" t="s">
        <v>450</v>
      </c>
      <c r="Q54" s="52" t="s">
        <v>451</v>
      </c>
      <c r="R54" s="93" t="s">
        <v>32</v>
      </c>
      <c r="S54" s="70">
        <v>1.0695420000000001E-2</v>
      </c>
      <c r="T54" s="62">
        <v>2.6392343548743355E-3</v>
      </c>
      <c r="V54" s="113">
        <v>1.10860413</v>
      </c>
      <c r="W54" s="71">
        <v>2.8292603199999999</v>
      </c>
      <c r="X54" s="71">
        <v>4.3277508100000004</v>
      </c>
      <c r="Y54" s="71">
        <v>5.5942480200000002</v>
      </c>
      <c r="Z54" s="114">
        <v>7.1339035900000001</v>
      </c>
    </row>
    <row r="55" spans="2:26" x14ac:dyDescent="0.35">
      <c r="B55" s="54" t="s">
        <v>56</v>
      </c>
      <c r="C55" s="52" t="s">
        <v>35</v>
      </c>
      <c r="D55" s="52" t="s">
        <v>53</v>
      </c>
      <c r="E55" s="52" t="s">
        <v>54</v>
      </c>
      <c r="F55" s="72" t="s">
        <v>21</v>
      </c>
      <c r="G55" s="70">
        <v>9.023912289723466E-3</v>
      </c>
      <c r="H55" s="70">
        <v>1.722786964353511E-2</v>
      </c>
      <c r="I55" s="70">
        <v>2.2719896643011318E-2</v>
      </c>
      <c r="J55" s="62">
        <v>2.7618996828926563E-2</v>
      </c>
      <c r="K55" s="70" t="s">
        <v>21</v>
      </c>
      <c r="L55" s="70">
        <v>6.0856656897234672E-3</v>
      </c>
      <c r="M55" s="70">
        <v>1.3275868843535113E-2</v>
      </c>
      <c r="N55" s="70">
        <v>1.7843362543011318E-2</v>
      </c>
      <c r="O55" s="70">
        <v>2.1451495128926561E-2</v>
      </c>
      <c r="P55" s="56" t="s">
        <v>452</v>
      </c>
      <c r="Q55" s="66" t="s">
        <v>453</v>
      </c>
      <c r="R55" s="95" t="s">
        <v>32</v>
      </c>
      <c r="S55" s="75">
        <v>1.426287E-2</v>
      </c>
      <c r="T55" s="63">
        <v>2.96499964353511E-3</v>
      </c>
      <c r="V55" s="113">
        <v>1.10944687</v>
      </c>
      <c r="W55" s="71">
        <v>2.8276726600000002</v>
      </c>
      <c r="X55" s="71">
        <v>4.3149447600000004</v>
      </c>
      <c r="Y55" s="71">
        <v>5.5561870100000004</v>
      </c>
      <c r="Z55" s="114">
        <v>7.03772077</v>
      </c>
    </row>
    <row r="56" spans="2:26" x14ac:dyDescent="0.35">
      <c r="B56" s="78" t="s">
        <v>59</v>
      </c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8"/>
      <c r="Q56" s="77"/>
      <c r="R56" s="94"/>
      <c r="S56" s="77"/>
      <c r="T56" s="76"/>
      <c r="V56" s="111"/>
      <c r="W56" s="106"/>
      <c r="X56" s="106"/>
      <c r="Y56" s="106"/>
      <c r="Z56" s="112"/>
    </row>
    <row r="57" spans="2:26" x14ac:dyDescent="0.35">
      <c r="B57" s="55" t="s">
        <v>60</v>
      </c>
      <c r="C57" s="65" t="s">
        <v>61</v>
      </c>
      <c r="D57" s="65" t="s">
        <v>62</v>
      </c>
      <c r="E57" s="65" t="s">
        <v>179</v>
      </c>
      <c r="F57" s="74" t="s">
        <v>21</v>
      </c>
      <c r="G57" s="79">
        <v>5.8145138461493436E-3</v>
      </c>
      <c r="H57" s="79">
        <v>1.112209293755869E-2</v>
      </c>
      <c r="I57" s="79">
        <v>1.4162656254498581E-2</v>
      </c>
      <c r="J57" s="61">
        <v>1.7418949277050202E-2</v>
      </c>
      <c r="K57" s="70" t="s">
        <v>21</v>
      </c>
      <c r="L57" s="70">
        <v>2.7403608461493436E-3</v>
      </c>
      <c r="M57" s="70">
        <v>7.0131454375586917E-3</v>
      </c>
      <c r="N57" s="70">
        <v>9.1514772544985818E-3</v>
      </c>
      <c r="O57" s="70">
        <v>1.1121806477050203E-2</v>
      </c>
      <c r="P57" s="54" t="s">
        <v>454</v>
      </c>
      <c r="Q57" s="52" t="s">
        <v>455</v>
      </c>
      <c r="R57" s="93" t="s">
        <v>32</v>
      </c>
      <c r="S57" s="70">
        <v>0</v>
      </c>
      <c r="T57" s="62">
        <v>1.112209293755869E-2</v>
      </c>
      <c r="V57" s="117">
        <v>1.1084212099999999</v>
      </c>
      <c r="W57" s="60">
        <v>2.83495119</v>
      </c>
      <c r="X57" s="60">
        <v>4.3574668499999998</v>
      </c>
      <c r="Y57" s="60">
        <v>5.6686516300000003</v>
      </c>
      <c r="Z57" s="118">
        <v>7.2952288300000001</v>
      </c>
    </row>
    <row r="58" spans="2:26" x14ac:dyDescent="0.35">
      <c r="B58" s="56" t="s">
        <v>60</v>
      </c>
      <c r="C58" s="66" t="s">
        <v>63</v>
      </c>
      <c r="D58" s="66" t="s">
        <v>62</v>
      </c>
      <c r="E58" s="66" t="s">
        <v>21</v>
      </c>
      <c r="F58" s="73">
        <v>3.9645562837902718E-4</v>
      </c>
      <c r="G58" s="75">
        <v>9.0260224197499447E-3</v>
      </c>
      <c r="H58" s="75">
        <v>1.5864882148322667E-2</v>
      </c>
      <c r="I58" s="75">
        <v>1.9996115581930672E-2</v>
      </c>
      <c r="J58" s="63">
        <v>2.3496265912965109E-2</v>
      </c>
      <c r="K58" s="70" t="s">
        <v>21</v>
      </c>
      <c r="L58" s="70">
        <v>6.0911899197499467E-3</v>
      </c>
      <c r="M58" s="70">
        <v>1.1901056448322667E-2</v>
      </c>
      <c r="N58" s="70">
        <v>1.511841048193067E-2</v>
      </c>
      <c r="O58" s="70">
        <v>1.732869501296511E-2</v>
      </c>
      <c r="P58" s="54" t="s">
        <v>21</v>
      </c>
      <c r="Q58" s="52" t="s">
        <v>21</v>
      </c>
      <c r="R58" s="93" t="s">
        <v>21</v>
      </c>
      <c r="S58" s="70">
        <v>0</v>
      </c>
      <c r="T58" s="62">
        <v>1.5864882148322667E-2</v>
      </c>
      <c r="V58" s="115">
        <v>1.10703212</v>
      </c>
      <c r="W58" s="107">
        <v>2.8233439200000001</v>
      </c>
      <c r="X58" s="107">
        <v>4.3204094300000007</v>
      </c>
      <c r="Y58" s="107">
        <v>5.5901705499999998</v>
      </c>
      <c r="Z58" s="116">
        <v>7.1461837299999997</v>
      </c>
    </row>
    <row r="59" spans="2:26" x14ac:dyDescent="0.35">
      <c r="B59" s="55" t="s">
        <v>64</v>
      </c>
      <c r="C59" s="65" t="s">
        <v>65</v>
      </c>
      <c r="D59" s="65" t="s">
        <v>62</v>
      </c>
      <c r="E59" s="65" t="s">
        <v>179</v>
      </c>
      <c r="F59" s="74" t="s">
        <v>21</v>
      </c>
      <c r="G59" s="79">
        <v>6.0796243520442605E-3</v>
      </c>
      <c r="H59" s="79">
        <v>1.2408446315395534E-2</v>
      </c>
      <c r="I59" s="79">
        <v>1.5969714614086191E-2</v>
      </c>
      <c r="J59" s="61">
        <v>1.9124273665815442E-2</v>
      </c>
      <c r="K59" s="79" t="s">
        <v>21</v>
      </c>
      <c r="L59" s="79">
        <v>3.0197430520442596E-3</v>
      </c>
      <c r="M59" s="79">
        <v>8.3499708153955358E-3</v>
      </c>
      <c r="N59" s="79">
        <v>1.1017064114086192E-2</v>
      </c>
      <c r="O59" s="79">
        <v>1.2888183665815442E-2</v>
      </c>
      <c r="P59" s="55" t="s">
        <v>21</v>
      </c>
      <c r="Q59" s="65" t="s">
        <v>21</v>
      </c>
      <c r="R59" s="99" t="s">
        <v>21</v>
      </c>
      <c r="S59" s="79">
        <v>0</v>
      </c>
      <c r="T59" s="61">
        <v>1.2408446315395534E-2</v>
      </c>
      <c r="V59" s="117">
        <v>1.10981785</v>
      </c>
      <c r="W59" s="60">
        <v>2.8359190299999999</v>
      </c>
      <c r="X59" s="60">
        <v>4.3452668799999996</v>
      </c>
      <c r="Y59" s="60">
        <v>5.6294197600000002</v>
      </c>
      <c r="Z59" s="118">
        <v>7.2081384400000008</v>
      </c>
    </row>
    <row r="60" spans="2:26" x14ac:dyDescent="0.35">
      <c r="B60" s="56" t="s">
        <v>64</v>
      </c>
      <c r="C60" s="66" t="s">
        <v>66</v>
      </c>
      <c r="D60" s="66" t="s">
        <v>62</v>
      </c>
      <c r="E60" s="66" t="s">
        <v>21</v>
      </c>
      <c r="F60" s="73" t="s">
        <v>21</v>
      </c>
      <c r="G60" s="75">
        <v>8.5891309876473271E-3</v>
      </c>
      <c r="H60" s="75">
        <v>1.6546100280982044E-2</v>
      </c>
      <c r="I60" s="75">
        <v>2.0590060770025724E-2</v>
      </c>
      <c r="J60" s="63">
        <v>2.4968090339475606E-2</v>
      </c>
      <c r="K60" s="75" t="s">
        <v>21</v>
      </c>
      <c r="L60" s="75">
        <v>5.6395984876473296E-3</v>
      </c>
      <c r="M60" s="75">
        <v>1.2588375480982046E-2</v>
      </c>
      <c r="N60" s="75">
        <v>1.5715915970025723E-2</v>
      </c>
      <c r="O60" s="75">
        <v>1.8805454439475604E-2</v>
      </c>
      <c r="P60" s="56" t="s">
        <v>21</v>
      </c>
      <c r="Q60" s="66" t="s">
        <v>21</v>
      </c>
      <c r="R60" s="95" t="s">
        <v>21</v>
      </c>
      <c r="S60" s="75"/>
      <c r="T60" s="63"/>
      <c r="V60" s="115">
        <v>1.10924848</v>
      </c>
      <c r="W60" s="107">
        <v>2.82933799</v>
      </c>
      <c r="X60" s="107">
        <v>4.3224754499999998</v>
      </c>
      <c r="Y60" s="107">
        <v>5.5849847699999993</v>
      </c>
      <c r="Z60" s="116">
        <v>7.1163637900000003</v>
      </c>
    </row>
    <row r="61" spans="2:26" x14ac:dyDescent="0.35">
      <c r="B61" s="78" t="s">
        <v>226</v>
      </c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8"/>
      <c r="Q61" s="77"/>
      <c r="R61" s="94"/>
      <c r="S61" s="77"/>
      <c r="T61" s="76"/>
      <c r="V61" s="111"/>
      <c r="W61" s="106"/>
      <c r="X61" s="106"/>
      <c r="Y61" s="106"/>
      <c r="Z61" s="112"/>
    </row>
    <row r="62" spans="2:26" x14ac:dyDescent="0.35">
      <c r="B62" s="55" t="s">
        <v>227</v>
      </c>
      <c r="C62" s="65" t="s">
        <v>61</v>
      </c>
      <c r="D62" s="65" t="s">
        <v>97</v>
      </c>
      <c r="E62" s="65" t="s">
        <v>21</v>
      </c>
      <c r="F62" s="74" t="s">
        <v>21</v>
      </c>
      <c r="G62" s="79">
        <v>4.1095526580470967E-3</v>
      </c>
      <c r="H62" s="79">
        <v>8.8769623876239108E-3</v>
      </c>
      <c r="I62" s="79">
        <v>1.1558920272184629E-2</v>
      </c>
      <c r="J62" s="61">
        <v>1.3982455301438173E-2</v>
      </c>
      <c r="K62" s="70" t="s">
        <v>21</v>
      </c>
      <c r="L62" s="70">
        <v>9.0226775804709992E-4</v>
      </c>
      <c r="M62" s="70">
        <v>4.6267006876239102E-3</v>
      </c>
      <c r="N62" s="70">
        <v>6.4011048721846304E-3</v>
      </c>
      <c r="O62" s="70">
        <v>7.4914069014381732E-3</v>
      </c>
      <c r="P62" s="54" t="s">
        <v>21</v>
      </c>
      <c r="Q62" s="52" t="s">
        <v>21</v>
      </c>
      <c r="R62" s="93" t="s">
        <v>21</v>
      </c>
      <c r="S62" s="70"/>
      <c r="T62" s="62"/>
      <c r="V62" s="117">
        <v>1.1114587899999999</v>
      </c>
      <c r="W62" s="60">
        <v>2.8515228100000001</v>
      </c>
      <c r="X62" s="60">
        <v>4.4009446099999998</v>
      </c>
      <c r="Y62" s="60">
        <v>5.7530780500000001</v>
      </c>
      <c r="Z62" s="118">
        <v>7.4703025800000002</v>
      </c>
    </row>
    <row r="63" spans="2:26" x14ac:dyDescent="0.35">
      <c r="B63" s="56" t="s">
        <v>227</v>
      </c>
      <c r="C63" s="66" t="s">
        <v>63</v>
      </c>
      <c r="D63" s="66" t="s">
        <v>97</v>
      </c>
      <c r="E63" s="66" t="s">
        <v>21</v>
      </c>
      <c r="F63" s="73" t="s">
        <v>21</v>
      </c>
      <c r="G63" s="75">
        <v>6.8225141116102749E-3</v>
      </c>
      <c r="H63" s="75">
        <v>1.3005429574177737E-2</v>
      </c>
      <c r="I63" s="75">
        <v>1.6860037208870648E-2</v>
      </c>
      <c r="J63" s="63">
        <v>1.9934315009835675E-2</v>
      </c>
      <c r="K63" s="70" t="s">
        <v>21</v>
      </c>
      <c r="L63" s="70">
        <v>3.8060851116102725E-3</v>
      </c>
      <c r="M63" s="70">
        <v>8.9766338741777418E-3</v>
      </c>
      <c r="N63" s="70">
        <v>1.1937038508870648E-2</v>
      </c>
      <c r="O63" s="70">
        <v>1.3712789609835675E-2</v>
      </c>
      <c r="P63" s="54" t="s">
        <v>21</v>
      </c>
      <c r="Q63" s="52" t="s">
        <v>21</v>
      </c>
      <c r="R63" s="93" t="s">
        <v>21</v>
      </c>
      <c r="S63" s="70"/>
      <c r="T63" s="62"/>
      <c r="V63" s="115">
        <v>1.10998277</v>
      </c>
      <c r="W63" s="107">
        <v>2.8390301299999998</v>
      </c>
      <c r="X63" s="107">
        <v>4.3609758699999999</v>
      </c>
      <c r="Y63" s="107">
        <v>5.6667946100000002</v>
      </c>
      <c r="Z63" s="114">
        <v>7.2921972000000004</v>
      </c>
    </row>
    <row r="64" spans="2:26" x14ac:dyDescent="0.35">
      <c r="B64" s="55" t="s">
        <v>228</v>
      </c>
      <c r="C64" s="65" t="s">
        <v>65</v>
      </c>
      <c r="D64" s="65" t="s">
        <v>97</v>
      </c>
      <c r="E64" s="65" t="s">
        <v>21</v>
      </c>
      <c r="F64" s="74" t="s">
        <v>21</v>
      </c>
      <c r="G64" s="79">
        <v>6.0842720080142966E-3</v>
      </c>
      <c r="H64" s="79">
        <v>1.2460418420407139E-2</v>
      </c>
      <c r="I64" s="79">
        <v>1.5968404655772407E-2</v>
      </c>
      <c r="J64" s="61">
        <v>1.9523015208309503E-2</v>
      </c>
      <c r="K64" s="79" t="s">
        <v>21</v>
      </c>
      <c r="L64" s="79">
        <v>3.0247965080142979E-3</v>
      </c>
      <c r="M64" s="79">
        <v>8.403912520407144E-3</v>
      </c>
      <c r="N64" s="79">
        <v>1.101629805577241E-2</v>
      </c>
      <c r="O64" s="79">
        <v>1.3294494108309501E-2</v>
      </c>
      <c r="P64" s="55" t="s">
        <v>21</v>
      </c>
      <c r="Q64" s="65" t="s">
        <v>21</v>
      </c>
      <c r="R64" s="99" t="s">
        <v>21</v>
      </c>
      <c r="S64" s="79">
        <v>0</v>
      </c>
      <c r="T64" s="61">
        <v>1.2460418420407139E-2</v>
      </c>
      <c r="V64" s="117">
        <v>1.11004952</v>
      </c>
      <c r="W64" s="60">
        <v>2.83631879</v>
      </c>
      <c r="X64" s="60">
        <v>4.3451400100000006</v>
      </c>
      <c r="Y64" s="60">
        <v>5.6291261299999995</v>
      </c>
      <c r="Z64" s="118">
        <v>7.2000116099999998</v>
      </c>
    </row>
    <row r="65" spans="2:26" x14ac:dyDescent="0.35">
      <c r="B65" s="56" t="s">
        <v>228</v>
      </c>
      <c r="C65" s="66" t="s">
        <v>66</v>
      </c>
      <c r="D65" s="66" t="s">
        <v>97</v>
      </c>
      <c r="E65" s="66" t="s">
        <v>21</v>
      </c>
      <c r="F65" s="73" t="s">
        <v>21</v>
      </c>
      <c r="G65" s="75">
        <v>9.1401467169568689E-3</v>
      </c>
      <c r="H65" s="75">
        <v>1.7417917415012724E-2</v>
      </c>
      <c r="I65" s="75">
        <v>2.2517988074070995E-2</v>
      </c>
      <c r="J65" s="63">
        <v>2.6849581678562995E-2</v>
      </c>
      <c r="K65" s="75" t="s">
        <v>21</v>
      </c>
      <c r="L65" s="75">
        <v>6.2052255169568696E-3</v>
      </c>
      <c r="M65" s="75">
        <v>1.3467573815012724E-2</v>
      </c>
      <c r="N65" s="75">
        <v>1.7643261074070993E-2</v>
      </c>
      <c r="O65" s="75">
        <v>2.0687741778562991E-2</v>
      </c>
      <c r="P65" s="56" t="s">
        <v>21</v>
      </c>
      <c r="Q65" s="66" t="s">
        <v>21</v>
      </c>
      <c r="R65" s="95" t="s">
        <v>21</v>
      </c>
      <c r="S65" s="75">
        <v>0</v>
      </c>
      <c r="T65" s="63">
        <v>1.7417917415012724E-2</v>
      </c>
      <c r="V65" s="113">
        <v>1.1093690999999999</v>
      </c>
      <c r="W65" s="71">
        <v>2.8269767299999997</v>
      </c>
      <c r="X65" s="71">
        <v>4.3126008999999996</v>
      </c>
      <c r="Y65" s="107">
        <v>5.5552735800000006</v>
      </c>
      <c r="Z65" s="116">
        <v>7.0491719800000006</v>
      </c>
    </row>
    <row r="66" spans="2:26" x14ac:dyDescent="0.35">
      <c r="B66" s="56" t="s">
        <v>306</v>
      </c>
      <c r="C66" s="66" t="s">
        <v>61</v>
      </c>
      <c r="D66" s="66" t="s">
        <v>97</v>
      </c>
      <c r="E66" s="66" t="s">
        <v>21</v>
      </c>
      <c r="F66" s="73" t="s">
        <v>21</v>
      </c>
      <c r="G66" s="75">
        <v>3.9225319288413787E-3</v>
      </c>
      <c r="H66" s="75">
        <v>8.6849745069161911E-3</v>
      </c>
      <c r="I66" s="75">
        <v>1.1475569859644891E-2</v>
      </c>
      <c r="J66" s="63">
        <v>1.4206260747561678E-2</v>
      </c>
      <c r="K66" s="75" t="s">
        <v>21</v>
      </c>
      <c r="L66" s="75">
        <v>6.9642932884137658E-4</v>
      </c>
      <c r="M66" s="75">
        <v>4.418808706916192E-3</v>
      </c>
      <c r="N66" s="75">
        <v>6.3109266596448887E-3</v>
      </c>
      <c r="O66" s="75">
        <v>7.7299972475616766E-3</v>
      </c>
      <c r="P66" s="56" t="s">
        <v>21</v>
      </c>
      <c r="Q66" s="66" t="s">
        <v>21</v>
      </c>
      <c r="R66" s="95" t="s">
        <v>21</v>
      </c>
      <c r="S66" s="75">
        <v>0</v>
      </c>
      <c r="T66" s="63">
        <v>8.6849745069161911E-3</v>
      </c>
      <c r="V66" s="117">
        <v>1.11194927</v>
      </c>
      <c r="W66" s="60">
        <v>2.8536390099999998</v>
      </c>
      <c r="X66" s="60">
        <v>4.4054945200000004</v>
      </c>
      <c r="Y66" s="60">
        <v>5.7593668100000004</v>
      </c>
      <c r="Z66" s="118">
        <v>7.4725737099999998</v>
      </c>
    </row>
    <row r="67" spans="2:26" x14ac:dyDescent="0.35">
      <c r="B67" s="78" t="s">
        <v>301</v>
      </c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8"/>
      <c r="Q67" s="77"/>
      <c r="R67" s="94"/>
      <c r="S67" s="77"/>
      <c r="T67" s="76"/>
      <c r="V67" s="111"/>
      <c r="W67" s="106"/>
      <c r="X67" s="106"/>
      <c r="Y67" s="106"/>
      <c r="Z67" s="112"/>
    </row>
    <row r="68" spans="2:26" x14ac:dyDescent="0.35">
      <c r="B68" s="55" t="s">
        <v>303</v>
      </c>
      <c r="C68" s="65" t="s">
        <v>30</v>
      </c>
      <c r="D68" s="65" t="s">
        <v>304</v>
      </c>
      <c r="E68" s="65" t="s">
        <v>21</v>
      </c>
      <c r="F68" s="74" t="s">
        <v>21</v>
      </c>
      <c r="G68" s="79">
        <v>4.5166209780436234E-3</v>
      </c>
      <c r="H68" s="79">
        <v>9.4726931515534511E-3</v>
      </c>
      <c r="I68" s="79">
        <v>1.2784117671860688E-2</v>
      </c>
      <c r="J68" s="61">
        <v>1.6047247764320371E-2</v>
      </c>
      <c r="K68" s="70" t="s">
        <v>21</v>
      </c>
      <c r="L68" s="70">
        <v>1.3468442780436235E-3</v>
      </c>
      <c r="M68" s="70">
        <v>5.2675525515534505E-3</v>
      </c>
      <c r="N68" s="70">
        <v>7.7039227718606901E-3</v>
      </c>
      <c r="O68" s="70">
        <v>9.6864255643203702E-3</v>
      </c>
      <c r="P68" s="54" t="s">
        <v>21</v>
      </c>
      <c r="Q68" s="52" t="s">
        <v>21</v>
      </c>
      <c r="R68" s="93" t="s">
        <v>21</v>
      </c>
      <c r="S68" s="70">
        <v>0</v>
      </c>
      <c r="T68" s="62">
        <v>9.4726931515534511E-3</v>
      </c>
      <c r="V68" s="117">
        <v>1.1112823599999999</v>
      </c>
      <c r="W68" s="60">
        <v>2.84859273</v>
      </c>
      <c r="X68" s="60">
        <v>4.3909862899999998</v>
      </c>
      <c r="Y68" s="60">
        <v>5.7252908700000003</v>
      </c>
      <c r="Z68" s="118">
        <v>7.3899103400000001</v>
      </c>
    </row>
    <row r="69" spans="2:26" x14ac:dyDescent="0.35">
      <c r="B69" s="54" t="s">
        <v>303</v>
      </c>
      <c r="C69" s="66" t="s">
        <v>35</v>
      </c>
      <c r="D69" s="52" t="s">
        <v>304</v>
      </c>
      <c r="E69" s="52" t="s">
        <v>21</v>
      </c>
      <c r="F69" s="72" t="s">
        <v>21</v>
      </c>
      <c r="G69" s="70">
        <v>9.7455865064777613E-3</v>
      </c>
      <c r="H69" s="70">
        <v>1.8382816290098445E-2</v>
      </c>
      <c r="I69" s="70">
        <v>2.385027421834085E-2</v>
      </c>
      <c r="J69" s="62">
        <v>2.7773995574774613E-2</v>
      </c>
      <c r="K69" s="70" t="s">
        <v>21</v>
      </c>
      <c r="L69" s="70">
        <v>6.8235479064777619E-3</v>
      </c>
      <c r="M69" s="70">
        <v>1.4436014790098442E-2</v>
      </c>
      <c r="N69" s="70">
        <v>1.8968200918340852E-2</v>
      </c>
      <c r="O69" s="70">
        <v>2.1609499474774606E-2</v>
      </c>
      <c r="P69" s="54" t="s">
        <v>21</v>
      </c>
      <c r="Q69" s="52" t="s">
        <v>21</v>
      </c>
      <c r="R69" s="93" t="s">
        <v>21</v>
      </c>
      <c r="S69" s="70">
        <v>0</v>
      </c>
      <c r="T69" s="62">
        <v>1.8382816290098445E-2</v>
      </c>
      <c r="V69" s="113">
        <v>1.10900836</v>
      </c>
      <c r="W69" s="71">
        <v>2.8234794700000001</v>
      </c>
      <c r="X69" s="71">
        <v>4.3008532700000002</v>
      </c>
      <c r="Y69" s="71">
        <v>5.5291671899999999</v>
      </c>
      <c r="Z69" s="114">
        <v>7.00332972</v>
      </c>
    </row>
    <row r="70" spans="2:26" x14ac:dyDescent="0.35">
      <c r="B70" s="56" t="s">
        <v>303</v>
      </c>
      <c r="C70" s="52" t="s">
        <v>33</v>
      </c>
      <c r="D70" s="66" t="s">
        <v>304</v>
      </c>
      <c r="E70" s="53" t="s">
        <v>21</v>
      </c>
      <c r="F70" s="73" t="s">
        <v>21</v>
      </c>
      <c r="G70" s="75">
        <v>6.7279212214562357E-3</v>
      </c>
      <c r="H70" s="75">
        <v>1.3347803403848928E-2</v>
      </c>
      <c r="I70" s="75">
        <v>1.7356230746665351E-2</v>
      </c>
      <c r="J70" s="63">
        <v>2.0976755776625833E-2</v>
      </c>
      <c r="K70" s="70" t="s">
        <v>21</v>
      </c>
      <c r="L70" s="70">
        <v>3.7016681214562348E-3</v>
      </c>
      <c r="M70" s="70">
        <v>9.3180647038489314E-3</v>
      </c>
      <c r="N70" s="70">
        <v>1.2431350846665348E-2</v>
      </c>
      <c r="O70" s="70">
        <v>1.4777700076625837E-2</v>
      </c>
      <c r="P70" s="54" t="s">
        <v>21</v>
      </c>
      <c r="Q70" s="52" t="s">
        <v>21</v>
      </c>
      <c r="R70" s="93" t="s">
        <v>21</v>
      </c>
      <c r="S70" s="70">
        <v>0</v>
      </c>
      <c r="T70" s="62">
        <v>1.3347803403848928E-2</v>
      </c>
      <c r="V70" s="115">
        <v>1.10994723</v>
      </c>
      <c r="W70" s="107">
        <v>2.8320466200000003</v>
      </c>
      <c r="X70" s="107">
        <v>4.3305218999999999</v>
      </c>
      <c r="Y70" s="107">
        <v>5.5943672299999996</v>
      </c>
      <c r="Z70" s="114">
        <v>7.1265925499999998</v>
      </c>
    </row>
    <row r="71" spans="2:26" x14ac:dyDescent="0.35">
      <c r="B71" s="78" t="s">
        <v>302</v>
      </c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8"/>
      <c r="Q71" s="77"/>
      <c r="R71" s="94"/>
      <c r="S71" s="77"/>
      <c r="T71" s="76"/>
      <c r="V71" s="111"/>
      <c r="W71" s="106"/>
      <c r="X71" s="106"/>
      <c r="Y71" s="106"/>
      <c r="Z71" s="112"/>
    </row>
    <row r="72" spans="2:26" x14ac:dyDescent="0.35">
      <c r="B72" s="55" t="s">
        <v>305</v>
      </c>
      <c r="C72" s="65" t="s">
        <v>30</v>
      </c>
      <c r="D72" s="65" t="s">
        <v>131</v>
      </c>
      <c r="E72" s="65" t="s">
        <v>21</v>
      </c>
      <c r="F72" s="74" t="s">
        <v>21</v>
      </c>
      <c r="G72" s="79">
        <v>4.5220334229446662E-3</v>
      </c>
      <c r="H72" s="79">
        <v>9.521325103152397E-3</v>
      </c>
      <c r="I72" s="79">
        <v>1.2578042322145806E-2</v>
      </c>
      <c r="J72" s="61">
        <v>1.5390891404302548E-2</v>
      </c>
      <c r="K72" s="79" t="s">
        <v>21</v>
      </c>
      <c r="L72" s="79">
        <v>1.3528341229446664E-3</v>
      </c>
      <c r="M72" s="79">
        <v>5.3194818031523962E-3</v>
      </c>
      <c r="N72" s="79">
        <v>7.4870665221458046E-3</v>
      </c>
      <c r="O72" s="79">
        <v>8.9960405043025479E-3</v>
      </c>
      <c r="P72" s="55" t="s">
        <v>21</v>
      </c>
      <c r="Q72" s="65" t="s">
        <v>21</v>
      </c>
      <c r="R72" s="99" t="s">
        <v>21</v>
      </c>
      <c r="S72" s="79">
        <v>0</v>
      </c>
      <c r="T72" s="61">
        <v>9.521325103152397E-3</v>
      </c>
      <c r="V72" s="117">
        <v>1.11110796</v>
      </c>
      <c r="W72" s="60">
        <v>2.84822811</v>
      </c>
      <c r="X72" s="60">
        <v>4.3901165399999993</v>
      </c>
      <c r="Y72" s="60">
        <v>5.7268928099999998</v>
      </c>
      <c r="Z72" s="118">
        <v>7.4066965900000001</v>
      </c>
    </row>
    <row r="73" spans="2:26" x14ac:dyDescent="0.35">
      <c r="B73" s="56" t="s">
        <v>305</v>
      </c>
      <c r="C73" s="66" t="s">
        <v>35</v>
      </c>
      <c r="D73" s="66" t="s">
        <v>131</v>
      </c>
      <c r="E73" s="66" t="s">
        <v>21</v>
      </c>
      <c r="F73" s="73" t="s">
        <v>21</v>
      </c>
      <c r="G73" s="75">
        <v>9.7511605083358717E-3</v>
      </c>
      <c r="H73" s="75">
        <v>1.8386329796178776E-2</v>
      </c>
      <c r="I73" s="75">
        <v>2.3852918686618721E-2</v>
      </c>
      <c r="J73" s="63">
        <v>2.8160137090734484E-2</v>
      </c>
      <c r="K73" s="75" t="s">
        <v>21</v>
      </c>
      <c r="L73" s="75">
        <v>6.8285875083358705E-3</v>
      </c>
      <c r="M73" s="75">
        <v>1.4438948796178776E-2</v>
      </c>
      <c r="N73" s="75">
        <v>1.8970277686618721E-2</v>
      </c>
      <c r="O73" s="75">
        <v>2.1990982990734487E-2</v>
      </c>
      <c r="P73" s="56" t="s">
        <v>21</v>
      </c>
      <c r="Q73" s="66" t="s">
        <v>21</v>
      </c>
      <c r="R73" s="95" t="s">
        <v>21</v>
      </c>
      <c r="S73" s="75">
        <v>0</v>
      </c>
      <c r="T73" s="63">
        <v>1.8386329796178776E-2</v>
      </c>
      <c r="V73" s="113">
        <v>1.10901479</v>
      </c>
      <c r="W73" s="71">
        <v>2.8234745499999998</v>
      </c>
      <c r="X73" s="71">
        <v>4.3008395400000001</v>
      </c>
      <c r="Y73" s="107">
        <v>5.5291458100000002</v>
      </c>
      <c r="Z73" s="116">
        <v>6.9978351400000003</v>
      </c>
    </row>
    <row r="74" spans="2:26" x14ac:dyDescent="0.35">
      <c r="B74" s="78" t="s">
        <v>67</v>
      </c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8"/>
      <c r="Q74" s="77"/>
      <c r="R74" s="94"/>
      <c r="S74" s="77"/>
      <c r="T74" s="76"/>
      <c r="V74" s="111"/>
      <c r="W74" s="106"/>
      <c r="X74" s="106"/>
      <c r="Y74" s="106"/>
      <c r="Z74" s="112"/>
    </row>
    <row r="75" spans="2:26" x14ac:dyDescent="0.35">
      <c r="B75" s="55" t="s">
        <v>68</v>
      </c>
      <c r="C75" s="65" t="s">
        <v>61</v>
      </c>
      <c r="D75" s="65" t="s">
        <v>69</v>
      </c>
      <c r="E75" s="65" t="s">
        <v>21</v>
      </c>
      <c r="F75" s="74" t="s">
        <v>21</v>
      </c>
      <c r="G75" s="79">
        <v>7.1418976982096597E-3</v>
      </c>
      <c r="H75" s="79">
        <v>1.2886937822359178E-2</v>
      </c>
      <c r="I75" s="79">
        <v>1.6147968816729662E-2</v>
      </c>
      <c r="J75" s="61">
        <v>1.9322243567540885E-2</v>
      </c>
      <c r="K75" s="79" t="s">
        <v>21</v>
      </c>
      <c r="L75" s="79">
        <v>4.134132498209658E-3</v>
      </c>
      <c r="M75" s="79">
        <v>8.8443186223591819E-3</v>
      </c>
      <c r="N75" s="79">
        <v>1.1199327316729662E-2</v>
      </c>
      <c r="O75" s="79">
        <v>1.3087242867540887E-2</v>
      </c>
      <c r="P75" s="55" t="s">
        <v>21</v>
      </c>
      <c r="Q75" s="65" t="s">
        <v>21</v>
      </c>
      <c r="R75" s="99" t="s">
        <v>21</v>
      </c>
      <c r="S75" s="79">
        <v>0</v>
      </c>
      <c r="T75" s="61">
        <v>1.2886937822359178E-2</v>
      </c>
      <c r="V75" s="117">
        <v>1.10637074</v>
      </c>
      <c r="W75" s="60">
        <v>2.8227413800000001</v>
      </c>
      <c r="X75" s="60">
        <v>4.3245248600000004</v>
      </c>
      <c r="Y75" s="60">
        <v>5.60509871</v>
      </c>
      <c r="Z75" s="118">
        <v>7.1792928699999994</v>
      </c>
    </row>
    <row r="76" spans="2:26" x14ac:dyDescent="0.35">
      <c r="B76" s="56" t="s">
        <v>68</v>
      </c>
      <c r="C76" s="66" t="s">
        <v>63</v>
      </c>
      <c r="D76" s="66" t="s">
        <v>69</v>
      </c>
      <c r="E76" s="66" t="s">
        <v>81</v>
      </c>
      <c r="F76" s="73">
        <v>1.1986801269405715E-3</v>
      </c>
      <c r="G76" s="75">
        <v>9.6850378056268852E-3</v>
      </c>
      <c r="H76" s="75">
        <v>1.6269161919100543E-2</v>
      </c>
      <c r="I76" s="75">
        <v>1.9989227394765136E-2</v>
      </c>
      <c r="J76" s="63">
        <v>2.3179057771614241E-2</v>
      </c>
      <c r="K76" s="75" t="s">
        <v>21</v>
      </c>
      <c r="L76" s="75">
        <v>6.7635344056268835E-3</v>
      </c>
      <c r="M76" s="75">
        <v>1.2308572319100547E-2</v>
      </c>
      <c r="N76" s="75">
        <v>1.5109940694765137E-2</v>
      </c>
      <c r="O76" s="75">
        <v>1.7006842171614241E-2</v>
      </c>
      <c r="P76" s="56" t="s">
        <v>21</v>
      </c>
      <c r="Q76" s="66" t="s">
        <v>21</v>
      </c>
      <c r="R76" s="95" t="s">
        <v>21</v>
      </c>
      <c r="S76" s="75">
        <v>0</v>
      </c>
      <c r="T76" s="63">
        <v>1.6269161919100543E-2</v>
      </c>
      <c r="V76" s="115">
        <v>1.1056031200000001</v>
      </c>
      <c r="W76" s="107">
        <v>2.81745395</v>
      </c>
      <c r="X76" s="107">
        <v>4.3106718000000006</v>
      </c>
      <c r="Y76" s="107">
        <v>5.5797575899999998</v>
      </c>
      <c r="Z76" s="116">
        <v>7.1410974399999994</v>
      </c>
    </row>
    <row r="77" spans="2:26" x14ac:dyDescent="0.35">
      <c r="B77" s="55" t="s">
        <v>70</v>
      </c>
      <c r="C77" s="65" t="s">
        <v>65</v>
      </c>
      <c r="D77" s="65" t="s">
        <v>69</v>
      </c>
      <c r="E77" s="65" t="s">
        <v>229</v>
      </c>
      <c r="F77" s="74" t="s">
        <v>21</v>
      </c>
      <c r="G77" s="79">
        <v>7.8173938619700376E-3</v>
      </c>
      <c r="H77" s="79">
        <v>1.3770343434706617E-2</v>
      </c>
      <c r="I77" s="79">
        <v>1.753524294901377E-2</v>
      </c>
      <c r="J77" s="61">
        <v>2.0977617628969478E-2</v>
      </c>
      <c r="K77" s="70" t="s">
        <v>21</v>
      </c>
      <c r="L77" s="70">
        <v>4.835082061970036E-3</v>
      </c>
      <c r="M77" s="70">
        <v>9.750955134706616E-3</v>
      </c>
      <c r="N77" s="70">
        <v>1.261152954901377E-2</v>
      </c>
      <c r="O77" s="70">
        <v>1.4774880328969479E-2</v>
      </c>
      <c r="P77" s="54" t="s">
        <v>456</v>
      </c>
      <c r="Q77" s="52" t="s">
        <v>457</v>
      </c>
      <c r="R77" s="93">
        <v>47371</v>
      </c>
      <c r="S77" s="70">
        <v>1.0949869999999999E-2</v>
      </c>
      <c r="T77" s="62">
        <v>2.8204734347066183E-3</v>
      </c>
      <c r="V77" s="117">
        <v>1.1058614099999999</v>
      </c>
      <c r="W77" s="60">
        <v>2.8175357299999999</v>
      </c>
      <c r="X77" s="60">
        <v>4.3089870399999999</v>
      </c>
      <c r="Y77" s="60">
        <v>5.56955504</v>
      </c>
      <c r="Z77" s="118">
        <v>7.1013000599999998</v>
      </c>
    </row>
    <row r="78" spans="2:26" x14ac:dyDescent="0.35">
      <c r="B78" s="54" t="s">
        <v>70</v>
      </c>
      <c r="C78" s="52" t="s">
        <v>66</v>
      </c>
      <c r="D78" s="52" t="s">
        <v>69</v>
      </c>
      <c r="E78" s="52" t="s">
        <v>81</v>
      </c>
      <c r="F78" s="72">
        <v>1.2161339669990974E-3</v>
      </c>
      <c r="G78" s="70">
        <v>1.0792812786008743E-2</v>
      </c>
      <c r="H78" s="70">
        <v>1.8808737341816151E-2</v>
      </c>
      <c r="I78" s="70">
        <v>2.4193699643873565E-2</v>
      </c>
      <c r="J78" s="62">
        <v>2.8319318204737765E-2</v>
      </c>
      <c r="K78" s="70" t="s">
        <v>21</v>
      </c>
      <c r="L78" s="70">
        <v>7.8892997860087431E-3</v>
      </c>
      <c r="M78" s="70">
        <v>1.4862463841816153E-2</v>
      </c>
      <c r="N78" s="70">
        <v>1.9307410543873568E-2</v>
      </c>
      <c r="O78" s="70">
        <v>2.2146602804737764E-2</v>
      </c>
      <c r="P78" s="54" t="s">
        <v>21</v>
      </c>
      <c r="Q78" s="52" t="s">
        <v>21</v>
      </c>
      <c r="R78" s="93" t="s">
        <v>21</v>
      </c>
      <c r="S78" s="70">
        <v>0</v>
      </c>
      <c r="T78" s="62">
        <v>1.8808737341816151E-2</v>
      </c>
      <c r="V78" s="115">
        <v>1.1056250599999999</v>
      </c>
      <c r="W78" s="107">
        <v>2.8123171499999997</v>
      </c>
      <c r="X78" s="107">
        <v>4.2845837800000002</v>
      </c>
      <c r="Y78" s="107">
        <v>5.5091348999999994</v>
      </c>
      <c r="Z78" s="116">
        <v>6.9746012299999993</v>
      </c>
    </row>
    <row r="79" spans="2:26" x14ac:dyDescent="0.35">
      <c r="B79" s="55" t="s">
        <v>71</v>
      </c>
      <c r="C79" s="65" t="s">
        <v>61</v>
      </c>
      <c r="D79" s="65" t="s">
        <v>69</v>
      </c>
      <c r="E79" s="65" t="s">
        <v>21</v>
      </c>
      <c r="F79" s="74" t="s">
        <v>21</v>
      </c>
      <c r="G79" s="79">
        <v>4.9858520065438703E-3</v>
      </c>
      <c r="H79" s="79">
        <v>9.7382188730154549E-3</v>
      </c>
      <c r="I79" s="79">
        <v>1.2642520571815603E-2</v>
      </c>
      <c r="J79" s="61">
        <v>1.5363176646598751E-2</v>
      </c>
      <c r="K79" s="79" t="s">
        <v>21</v>
      </c>
      <c r="L79" s="79">
        <v>1.8552188065438704E-3</v>
      </c>
      <c r="M79" s="79">
        <v>5.5521002730154548E-3</v>
      </c>
      <c r="N79" s="79">
        <v>7.5561334718156053E-3</v>
      </c>
      <c r="O79" s="79">
        <v>8.9664139465987468E-3</v>
      </c>
      <c r="P79" s="55" t="s">
        <v>21</v>
      </c>
      <c r="Q79" s="65" t="s">
        <v>21</v>
      </c>
      <c r="R79" s="99" t="s">
        <v>21</v>
      </c>
      <c r="S79" s="79">
        <v>0</v>
      </c>
      <c r="T79" s="61">
        <v>9.7382188730154549E-3</v>
      </c>
      <c r="V79" s="117">
        <v>1.1097979099999999</v>
      </c>
      <c r="W79" s="60">
        <v>2.84279343</v>
      </c>
      <c r="X79" s="60">
        <v>4.3811820799999994</v>
      </c>
      <c r="Y79" s="60">
        <v>5.7163921599999998</v>
      </c>
      <c r="Z79" s="118">
        <v>7.3964060799999993</v>
      </c>
    </row>
    <row r="80" spans="2:26" x14ac:dyDescent="0.35">
      <c r="B80" s="56" t="s">
        <v>71</v>
      </c>
      <c r="C80" s="66" t="s">
        <v>63</v>
      </c>
      <c r="D80" s="66" t="s">
        <v>69</v>
      </c>
      <c r="E80" s="66" t="s">
        <v>21</v>
      </c>
      <c r="F80" s="73" t="s">
        <v>21</v>
      </c>
      <c r="G80" s="75">
        <v>7.4152954766774359E-3</v>
      </c>
      <c r="H80" s="75">
        <v>1.3007309974719541E-2</v>
      </c>
      <c r="I80" s="75">
        <v>1.6505077819226961E-2</v>
      </c>
      <c r="J80" s="63">
        <v>1.9429502174495641E-2</v>
      </c>
      <c r="K80" s="75" t="s">
        <v>21</v>
      </c>
      <c r="L80" s="75">
        <v>4.4258205766774354E-3</v>
      </c>
      <c r="M80" s="75">
        <v>8.9791190747195403E-3</v>
      </c>
      <c r="N80" s="75">
        <v>1.1573934919226963E-2</v>
      </c>
      <c r="O80" s="75">
        <v>1.3193675674495644E-2</v>
      </c>
      <c r="P80" s="56" t="s">
        <v>21</v>
      </c>
      <c r="Q80" s="66" t="s">
        <v>21</v>
      </c>
      <c r="R80" s="95" t="s">
        <v>21</v>
      </c>
      <c r="S80" s="75">
        <v>0</v>
      </c>
      <c r="T80" s="63">
        <v>1.3007309974719541E-2</v>
      </c>
      <c r="V80" s="115">
        <v>1.1085961</v>
      </c>
      <c r="W80" s="107">
        <v>2.8338574400000001</v>
      </c>
      <c r="X80" s="107">
        <v>4.3551785000000001</v>
      </c>
      <c r="Y80" s="107">
        <v>5.6644309799999997</v>
      </c>
      <c r="Z80" s="116">
        <v>7.2997627700000001</v>
      </c>
    </row>
    <row r="81" spans="2:26" x14ac:dyDescent="0.35">
      <c r="B81" s="54" t="s">
        <v>72</v>
      </c>
      <c r="C81" s="52" t="s">
        <v>65</v>
      </c>
      <c r="D81" s="52" t="s">
        <v>69</v>
      </c>
      <c r="E81" s="52" t="s">
        <v>34</v>
      </c>
      <c r="F81" s="72" t="s">
        <v>21</v>
      </c>
      <c r="G81" s="70">
        <v>5.6774577603306486E-3</v>
      </c>
      <c r="H81" s="70">
        <v>1.1763899508648642E-2</v>
      </c>
      <c r="I81" s="70">
        <v>1.5258126753280456E-2</v>
      </c>
      <c r="J81" s="62">
        <v>1.8876053332213219E-2</v>
      </c>
      <c r="K81" s="70" t="s">
        <v>21</v>
      </c>
      <c r="L81" s="70">
        <v>2.5938297603306454E-3</v>
      </c>
      <c r="M81" s="70">
        <v>7.6817077086486435E-3</v>
      </c>
      <c r="N81" s="70">
        <v>1.0285418853280454E-2</v>
      </c>
      <c r="O81" s="70">
        <v>1.262920793221322E-2</v>
      </c>
      <c r="P81" s="54" t="s">
        <v>21</v>
      </c>
      <c r="Q81" s="52" t="s">
        <v>21</v>
      </c>
      <c r="R81" s="93" t="s">
        <v>21</v>
      </c>
      <c r="S81" s="70">
        <v>0</v>
      </c>
      <c r="T81" s="62">
        <v>1.1763899508648642E-2</v>
      </c>
      <c r="V81" s="117">
        <v>1.1100627199999999</v>
      </c>
      <c r="W81" s="60">
        <v>2.8389235099999999</v>
      </c>
      <c r="X81" s="60">
        <v>4.3556295</v>
      </c>
      <c r="Y81" s="60">
        <v>5.6507980800000004</v>
      </c>
      <c r="Z81" s="118">
        <v>7.2396202699999996</v>
      </c>
    </row>
    <row r="82" spans="2:26" x14ac:dyDescent="0.35">
      <c r="B82" s="56" t="s">
        <v>72</v>
      </c>
      <c r="C82" s="66" t="s">
        <v>66</v>
      </c>
      <c r="D82" s="66" t="s">
        <v>69</v>
      </c>
      <c r="E82" s="66" t="s">
        <v>36</v>
      </c>
      <c r="F82" s="73" t="s">
        <v>21</v>
      </c>
      <c r="G82" s="75">
        <v>8.7656036942572284E-3</v>
      </c>
      <c r="H82" s="75">
        <v>1.6643229773901709E-2</v>
      </c>
      <c r="I82" s="75">
        <v>2.1614683671360109E-2</v>
      </c>
      <c r="J82" s="63">
        <v>2.5622342634639333E-2</v>
      </c>
      <c r="K82" s="75" t="s">
        <v>21</v>
      </c>
      <c r="L82" s="75">
        <v>5.821119794257229E-3</v>
      </c>
      <c r="M82" s="75">
        <v>1.2686846173901712E-2</v>
      </c>
      <c r="N82" s="75">
        <v>1.6741084471360107E-2</v>
      </c>
      <c r="O82" s="75">
        <v>1.9463620834639331E-2</v>
      </c>
      <c r="P82" s="56" t="s">
        <v>21</v>
      </c>
      <c r="Q82" s="66" t="s">
        <v>21</v>
      </c>
      <c r="R82" s="95" t="s">
        <v>21</v>
      </c>
      <c r="S82" s="75">
        <v>0</v>
      </c>
      <c r="T82" s="63">
        <v>1.6643229773901709E-2</v>
      </c>
      <c r="V82" s="115">
        <v>1.1095622199999999</v>
      </c>
      <c r="W82" s="107">
        <v>2.8290901100000001</v>
      </c>
      <c r="X82" s="107">
        <v>4.3211671300000001</v>
      </c>
      <c r="Y82" s="107">
        <v>5.5739569800000002</v>
      </c>
      <c r="Z82" s="116">
        <v>7.0899993600000002</v>
      </c>
    </row>
    <row r="83" spans="2:26" x14ac:dyDescent="0.35">
      <c r="B83" s="56" t="s">
        <v>74</v>
      </c>
      <c r="C83" s="66" t="s">
        <v>61</v>
      </c>
      <c r="D83" s="66" t="s">
        <v>69</v>
      </c>
      <c r="E83" s="66" t="s">
        <v>312</v>
      </c>
      <c r="F83" s="73" t="s">
        <v>21</v>
      </c>
      <c r="G83" s="75">
        <v>6.4452237995794893E-3</v>
      </c>
      <c r="H83" s="75">
        <v>1.211753709122595E-2</v>
      </c>
      <c r="I83" s="75">
        <v>1.5608263320795054E-2</v>
      </c>
      <c r="J83" s="63">
        <v>1.8880320048563791E-2</v>
      </c>
      <c r="K83" s="75" t="s">
        <v>21</v>
      </c>
      <c r="L83" s="75">
        <v>3.4056863995794895E-3</v>
      </c>
      <c r="M83" s="75">
        <v>8.0500121912259557E-3</v>
      </c>
      <c r="N83" s="75">
        <v>1.0645464220795056E-2</v>
      </c>
      <c r="O83" s="75">
        <v>1.2634382548563786E-2</v>
      </c>
      <c r="P83" s="56" t="s">
        <v>21</v>
      </c>
      <c r="Q83" s="66" t="s">
        <v>21</v>
      </c>
      <c r="R83" s="95" t="s">
        <v>21</v>
      </c>
      <c r="S83" s="75">
        <v>0</v>
      </c>
      <c r="T83" s="63">
        <v>1.211753709122595E-2</v>
      </c>
      <c r="V83" s="117">
        <v>1.10822775</v>
      </c>
      <c r="W83" s="60">
        <v>2.8306059599999998</v>
      </c>
      <c r="X83" s="60">
        <v>4.3417309900000003</v>
      </c>
      <c r="Y83" s="60">
        <v>5.63144578</v>
      </c>
      <c r="Z83" s="118">
        <v>7.2178638800000003</v>
      </c>
    </row>
    <row r="84" spans="2:26" x14ac:dyDescent="0.35">
      <c r="B84" s="54" t="s">
        <v>76</v>
      </c>
      <c r="C84" s="52" t="s">
        <v>65</v>
      </c>
      <c r="D84" s="52" t="s">
        <v>69</v>
      </c>
      <c r="E84" s="52" t="s">
        <v>34</v>
      </c>
      <c r="F84" s="72" t="s">
        <v>21</v>
      </c>
      <c r="G84" s="70">
        <v>6.8279982155399523E-3</v>
      </c>
      <c r="H84" s="70">
        <v>1.3526557824373396E-2</v>
      </c>
      <c r="I84" s="70">
        <v>1.7284997811454386E-2</v>
      </c>
      <c r="J84" s="62">
        <v>2.0718558155538927E-2</v>
      </c>
      <c r="K84" s="70" t="s">
        <v>21</v>
      </c>
      <c r="L84" s="70">
        <v>3.806745415539953E-3</v>
      </c>
      <c r="M84" s="70">
        <v>9.5005694243733944E-3</v>
      </c>
      <c r="N84" s="70">
        <v>1.2358928711454387E-2</v>
      </c>
      <c r="O84" s="70">
        <v>1.4515028855538929E-2</v>
      </c>
      <c r="P84" s="54" t="s">
        <v>21</v>
      </c>
      <c r="Q84" s="52" t="s">
        <v>21</v>
      </c>
      <c r="R84" s="93" t="s">
        <v>21</v>
      </c>
      <c r="S84" s="70">
        <v>0</v>
      </c>
      <c r="T84" s="62">
        <v>1.3526557824373396E-2</v>
      </c>
      <c r="V84" s="117">
        <v>1.1081504400000002</v>
      </c>
      <c r="W84" s="60">
        <v>2.8280445899999997</v>
      </c>
      <c r="X84" s="60">
        <v>4.3244797699999999</v>
      </c>
      <c r="Y84" s="60">
        <v>5.5886629799999996</v>
      </c>
      <c r="Z84" s="118">
        <v>7.1267094899999996</v>
      </c>
    </row>
    <row r="85" spans="2:26" x14ac:dyDescent="0.35">
      <c r="B85" s="56" t="s">
        <v>76</v>
      </c>
      <c r="C85" s="66" t="s">
        <v>66</v>
      </c>
      <c r="D85" s="66" t="s">
        <v>69</v>
      </c>
      <c r="E85" s="66" t="s">
        <v>21</v>
      </c>
      <c r="F85" s="73" t="s">
        <v>21</v>
      </c>
      <c r="G85" s="75">
        <v>1.0067675338543317E-2</v>
      </c>
      <c r="H85" s="75">
        <v>1.8937519348712163E-2</v>
      </c>
      <c r="I85" s="75">
        <v>2.4109688543882239E-2</v>
      </c>
      <c r="J85" s="63">
        <v>2.7942580436896639E-2</v>
      </c>
      <c r="K85" s="75" t="s">
        <v>21</v>
      </c>
      <c r="L85" s="75">
        <v>7.154514038543322E-3</v>
      </c>
      <c r="M85" s="75">
        <v>1.4993518648712165E-2</v>
      </c>
      <c r="N85" s="75">
        <v>1.9228309643882238E-2</v>
      </c>
      <c r="O85" s="75">
        <v>2.1778334836896632E-2</v>
      </c>
      <c r="P85" s="56" t="s">
        <v>21</v>
      </c>
      <c r="Q85" s="66" t="s">
        <v>21</v>
      </c>
      <c r="R85" s="95" t="s">
        <v>21</v>
      </c>
      <c r="S85" s="75">
        <v>0</v>
      </c>
      <c r="T85" s="63">
        <v>1.8937519348712163E-2</v>
      </c>
      <c r="V85" s="115">
        <v>1.10806644</v>
      </c>
      <c r="W85" s="107">
        <v>2.8201902899999998</v>
      </c>
      <c r="X85" s="107">
        <v>4.2927616999999998</v>
      </c>
      <c r="Y85" s="107">
        <v>5.5174210199999996</v>
      </c>
      <c r="Z85" s="116">
        <v>6.98823638</v>
      </c>
    </row>
    <row r="86" spans="2:26" x14ac:dyDescent="0.35">
      <c r="B86" s="54" t="s">
        <v>77</v>
      </c>
      <c r="C86" s="52" t="s">
        <v>61</v>
      </c>
      <c r="D86" s="52" t="s">
        <v>69</v>
      </c>
      <c r="E86" s="52" t="s">
        <v>21</v>
      </c>
      <c r="F86" s="72" t="s">
        <v>21</v>
      </c>
      <c r="G86" s="70">
        <v>5.2491636991857677E-3</v>
      </c>
      <c r="H86" s="70">
        <v>1.0138086706538539E-2</v>
      </c>
      <c r="I86" s="70">
        <v>1.3274832150968379E-2</v>
      </c>
      <c r="J86" s="62">
        <v>1.5980487176525459E-2</v>
      </c>
      <c r="K86" s="70" t="s">
        <v>21</v>
      </c>
      <c r="L86" s="70">
        <v>2.1374941991857722E-3</v>
      </c>
      <c r="M86" s="70">
        <v>5.9768434065385363E-3</v>
      </c>
      <c r="N86" s="70">
        <v>8.2219715509683784E-3</v>
      </c>
      <c r="O86" s="70">
        <v>9.6199110765254562E-3</v>
      </c>
      <c r="P86" s="54" t="s">
        <v>21</v>
      </c>
      <c r="Q86" s="52" t="s">
        <v>21</v>
      </c>
      <c r="R86" s="93" t="s">
        <v>21</v>
      </c>
      <c r="S86" s="70">
        <v>0</v>
      </c>
      <c r="T86" s="62">
        <v>1.0138086706538539E-2</v>
      </c>
      <c r="V86" s="117">
        <v>1.1096289100000001</v>
      </c>
      <c r="W86" s="60">
        <v>2.8408150600000002</v>
      </c>
      <c r="X86" s="60">
        <v>4.3745732000000004</v>
      </c>
      <c r="Y86" s="60">
        <v>5.70036889</v>
      </c>
      <c r="Z86" s="118">
        <v>7.3627136800000006</v>
      </c>
    </row>
    <row r="87" spans="2:26" x14ac:dyDescent="0.35">
      <c r="B87" s="56" t="s">
        <v>77</v>
      </c>
      <c r="C87" s="66" t="s">
        <v>63</v>
      </c>
      <c r="D87" s="66" t="s">
        <v>69</v>
      </c>
      <c r="E87" s="66" t="s">
        <v>21</v>
      </c>
      <c r="F87" s="73" t="s">
        <v>21</v>
      </c>
      <c r="G87" s="75">
        <v>7.8894024460087128E-3</v>
      </c>
      <c r="H87" s="75">
        <v>1.36649869579781E-2</v>
      </c>
      <c r="I87" s="75">
        <v>1.6805557346338259E-2</v>
      </c>
      <c r="J87" s="63">
        <v>1.9571330809926273E-2</v>
      </c>
      <c r="K87" s="75" t="s">
        <v>21</v>
      </c>
      <c r="L87" s="75">
        <v>4.9178992460087141E-3</v>
      </c>
      <c r="M87" s="75">
        <v>9.6561395579781023E-3</v>
      </c>
      <c r="N87" s="75">
        <v>1.1882604446338256E-2</v>
      </c>
      <c r="O87" s="75">
        <v>1.3339546609926272E-2</v>
      </c>
      <c r="P87" s="56" t="s">
        <v>21</v>
      </c>
      <c r="Q87" s="66" t="s">
        <v>21</v>
      </c>
      <c r="R87" s="95" t="s">
        <v>21</v>
      </c>
      <c r="S87" s="75">
        <v>0</v>
      </c>
      <c r="T87" s="63">
        <v>1.36649869579781E-2</v>
      </c>
      <c r="V87" s="115">
        <v>1.10812266</v>
      </c>
      <c r="W87" s="107">
        <v>2.8307067099999998</v>
      </c>
      <c r="X87" s="107">
        <v>4.3459394800000002</v>
      </c>
      <c r="Y87" s="107">
        <v>5.6508253899999996</v>
      </c>
      <c r="Z87" s="116">
        <v>7.2826874200000002</v>
      </c>
    </row>
    <row r="88" spans="2:26" x14ac:dyDescent="0.35">
      <c r="B88" s="54" t="s">
        <v>78</v>
      </c>
      <c r="C88" s="52" t="s">
        <v>65</v>
      </c>
      <c r="D88" s="52" t="s">
        <v>69</v>
      </c>
      <c r="E88" s="52" t="s">
        <v>79</v>
      </c>
      <c r="F88" s="72" t="s">
        <v>21</v>
      </c>
      <c r="G88" s="70">
        <v>6.2791007962926665E-3</v>
      </c>
      <c r="H88" s="70">
        <v>1.2749554196235989E-2</v>
      </c>
      <c r="I88" s="70">
        <v>1.6443758614310553E-2</v>
      </c>
      <c r="J88" s="62">
        <v>1.9987990708361953E-2</v>
      </c>
      <c r="K88" s="70" t="s">
        <v>21</v>
      </c>
      <c r="L88" s="70">
        <v>3.2307489962926659E-3</v>
      </c>
      <c r="M88" s="70">
        <v>8.7025599962359881E-3</v>
      </c>
      <c r="N88" s="70">
        <v>1.1502362014310555E-2</v>
      </c>
      <c r="O88" s="70">
        <v>1.3770453008361955E-2</v>
      </c>
      <c r="P88" s="54" t="s">
        <v>21</v>
      </c>
      <c r="Q88" s="52" t="s">
        <v>21</v>
      </c>
      <c r="R88" s="93" t="s">
        <v>21</v>
      </c>
      <c r="S88" s="70">
        <v>0</v>
      </c>
      <c r="T88" s="62">
        <v>1.2749554196235989E-2</v>
      </c>
      <c r="V88" s="117">
        <v>1.10953729</v>
      </c>
      <c r="W88" s="60">
        <v>2.8341121600000001</v>
      </c>
      <c r="X88" s="60">
        <v>4.33956125</v>
      </c>
      <c r="Y88" s="60">
        <v>5.6166474800000001</v>
      </c>
      <c r="Z88" s="118">
        <v>7.1748198599999995</v>
      </c>
    </row>
    <row r="89" spans="2:26" x14ac:dyDescent="0.35">
      <c r="B89" s="56" t="s">
        <v>78</v>
      </c>
      <c r="C89" s="66" t="s">
        <v>66</v>
      </c>
      <c r="D89" s="66" t="s">
        <v>69</v>
      </c>
      <c r="E89" s="66" t="s">
        <v>133</v>
      </c>
      <c r="F89" s="73" t="s">
        <v>21</v>
      </c>
      <c r="G89" s="75">
        <v>9.7916905529299401E-3</v>
      </c>
      <c r="H89" s="75">
        <v>1.8671678780631487E-2</v>
      </c>
      <c r="I89" s="75">
        <v>2.3842076734067331E-2</v>
      </c>
      <c r="J89" s="63">
        <v>2.8058015144115524E-2</v>
      </c>
      <c r="K89" s="75" t="s">
        <v>21</v>
      </c>
      <c r="L89" s="75">
        <v>6.8709458529299453E-3</v>
      </c>
      <c r="M89" s="75">
        <v>1.4725602080631488E-2</v>
      </c>
      <c r="N89" s="75">
        <v>1.8961125634067329E-2</v>
      </c>
      <c r="O89" s="75">
        <v>2.1890513644115525E-2</v>
      </c>
      <c r="P89" s="56" t="s">
        <v>21</v>
      </c>
      <c r="Q89" s="66" t="s">
        <v>21</v>
      </c>
      <c r="R89" s="95" t="s">
        <v>21</v>
      </c>
      <c r="S89" s="75">
        <v>0</v>
      </c>
      <c r="T89" s="63">
        <v>1.8671678780631487E-2</v>
      </c>
      <c r="V89" s="115">
        <v>1.10889419</v>
      </c>
      <c r="W89" s="107">
        <v>2.8230468599999998</v>
      </c>
      <c r="X89" s="107">
        <v>4.2981855200000005</v>
      </c>
      <c r="Y89" s="107">
        <v>5.5258980500000003</v>
      </c>
      <c r="Z89" s="116">
        <v>6.9963004699999995</v>
      </c>
    </row>
    <row r="90" spans="2:26" x14ac:dyDescent="0.35">
      <c r="B90" s="54" t="s">
        <v>80</v>
      </c>
      <c r="C90" s="52" t="s">
        <v>61</v>
      </c>
      <c r="D90" s="52" t="s">
        <v>69</v>
      </c>
      <c r="E90" s="52" t="s">
        <v>21</v>
      </c>
      <c r="F90" s="72" t="s">
        <v>21</v>
      </c>
      <c r="G90" s="70">
        <v>5.1413145623907773E-3</v>
      </c>
      <c r="H90" s="70">
        <v>1.0863349202561837E-2</v>
      </c>
      <c r="I90" s="70">
        <v>1.3903645588658146E-2</v>
      </c>
      <c r="J90" s="62">
        <v>1.7002391849253937E-2</v>
      </c>
      <c r="K90" s="70" t="s">
        <v>21</v>
      </c>
      <c r="L90" s="70">
        <v>2.0220814623907826E-3</v>
      </c>
      <c r="M90" s="70">
        <v>6.7410166025618388E-3</v>
      </c>
      <c r="N90" s="70">
        <v>8.882210588658148E-3</v>
      </c>
      <c r="O90" s="70">
        <v>1.0690952149253939E-2</v>
      </c>
      <c r="P90" s="54" t="s">
        <v>21</v>
      </c>
      <c r="Q90" s="52" t="s">
        <v>21</v>
      </c>
      <c r="R90" s="93" t="s">
        <v>21</v>
      </c>
      <c r="S90" s="70">
        <v>0</v>
      </c>
      <c r="T90" s="62">
        <v>1.0863349202561837E-2</v>
      </c>
      <c r="V90" s="117">
        <v>1.11019158</v>
      </c>
      <c r="W90" s="60">
        <v>2.84254775</v>
      </c>
      <c r="X90" s="60">
        <v>4.3694682299999998</v>
      </c>
      <c r="Y90" s="60">
        <v>5.6847078699999996</v>
      </c>
      <c r="Z90" s="118">
        <v>7.3214180799999999</v>
      </c>
    </row>
    <row r="91" spans="2:26" x14ac:dyDescent="0.35">
      <c r="B91" s="54" t="s">
        <v>80</v>
      </c>
      <c r="C91" s="52" t="s">
        <v>63</v>
      </c>
      <c r="D91" s="52" t="s">
        <v>69</v>
      </c>
      <c r="E91" s="52" t="s">
        <v>36</v>
      </c>
      <c r="F91" s="72" t="s">
        <v>21</v>
      </c>
      <c r="G91" s="70">
        <v>7.7939966991463321E-3</v>
      </c>
      <c r="H91" s="70">
        <v>1.3683100858224134E-2</v>
      </c>
      <c r="I91" s="70">
        <v>1.7536304171782684E-2</v>
      </c>
      <c r="J91" s="62">
        <v>2.1018642912226781E-2</v>
      </c>
      <c r="K91" s="70" t="s">
        <v>21</v>
      </c>
      <c r="L91" s="70">
        <v>4.8188511991463304E-3</v>
      </c>
      <c r="M91" s="70">
        <v>9.6741620582241339E-3</v>
      </c>
      <c r="N91" s="70">
        <v>1.2626651571782683E-2</v>
      </c>
      <c r="O91" s="70">
        <v>1.4817081812226782E-2</v>
      </c>
      <c r="P91" s="54" t="s">
        <v>21</v>
      </c>
      <c r="Q91" s="52" t="s">
        <v>21</v>
      </c>
      <c r="R91" s="93" t="s">
        <v>21</v>
      </c>
      <c r="S91" s="70">
        <v>0</v>
      </c>
      <c r="T91" s="62">
        <v>1.3683100858224134E-2</v>
      </c>
      <c r="V91" s="115">
        <v>1.1084732099999999</v>
      </c>
      <c r="W91" s="107">
        <v>2.8315330199999997</v>
      </c>
      <c r="X91" s="107">
        <v>4.3475858999999994</v>
      </c>
      <c r="Y91" s="107">
        <v>5.6455002299999997</v>
      </c>
      <c r="Z91" s="116">
        <v>7.2512090499999999</v>
      </c>
    </row>
    <row r="92" spans="2:26" x14ac:dyDescent="0.35">
      <c r="B92" s="55" t="s">
        <v>82</v>
      </c>
      <c r="C92" s="65" t="s">
        <v>65</v>
      </c>
      <c r="D92" s="65" t="s">
        <v>69</v>
      </c>
      <c r="E92" s="65" t="s">
        <v>34</v>
      </c>
      <c r="F92" s="74" t="s">
        <v>21</v>
      </c>
      <c r="G92" s="79">
        <v>6.7649705491548756E-3</v>
      </c>
      <c r="H92" s="79">
        <v>1.3538586213245236E-2</v>
      </c>
      <c r="I92" s="79">
        <v>1.7292582621092498E-2</v>
      </c>
      <c r="J92" s="61">
        <v>2.077283246040363E-2</v>
      </c>
      <c r="K92" s="79" t="s">
        <v>21</v>
      </c>
      <c r="L92" s="79">
        <v>3.7404678491548748E-3</v>
      </c>
      <c r="M92" s="79">
        <v>9.5128406132452409E-3</v>
      </c>
      <c r="N92" s="79">
        <v>1.2366955521092498E-2</v>
      </c>
      <c r="O92" s="79">
        <v>1.4570442060403631E-2</v>
      </c>
      <c r="P92" s="55" t="s">
        <v>21</v>
      </c>
      <c r="Q92" s="65" t="s">
        <v>21</v>
      </c>
      <c r="R92" s="99" t="s">
        <v>21</v>
      </c>
      <c r="S92" s="79">
        <v>0</v>
      </c>
      <c r="T92" s="61">
        <v>1.3538586213245236E-2</v>
      </c>
      <c r="V92" s="113">
        <v>1.10888772</v>
      </c>
      <c r="W92" s="71">
        <v>2.8298308400000001</v>
      </c>
      <c r="X92" s="71">
        <v>4.3263467899999997</v>
      </c>
      <c r="Y92" s="71">
        <v>5.5903903699999997</v>
      </c>
      <c r="Z92" s="114">
        <v>7.1272991999999995</v>
      </c>
    </row>
    <row r="93" spans="2:26" x14ac:dyDescent="0.35">
      <c r="B93" s="56" t="s">
        <v>82</v>
      </c>
      <c r="C93" s="66" t="s">
        <v>66</v>
      </c>
      <c r="D93" s="66" t="s">
        <v>69</v>
      </c>
      <c r="E93" s="66" t="s">
        <v>21</v>
      </c>
      <c r="F93" s="73" t="s">
        <v>21</v>
      </c>
      <c r="G93" s="75">
        <v>1.0154762061221179E-2</v>
      </c>
      <c r="H93" s="75">
        <v>1.9048414157824489E-2</v>
      </c>
      <c r="I93" s="75">
        <v>2.4310601621673065E-2</v>
      </c>
      <c r="J93" s="63">
        <v>2.8520957150267968E-2</v>
      </c>
      <c r="K93" s="75" t="s">
        <v>21</v>
      </c>
      <c r="L93" s="75">
        <v>7.2416747612211833E-3</v>
      </c>
      <c r="M93" s="75">
        <v>1.5103442057824488E-2</v>
      </c>
      <c r="N93" s="75">
        <v>1.9426761621673064E-2</v>
      </c>
      <c r="O93" s="75">
        <v>2.2350539750267982E-2</v>
      </c>
      <c r="P93" s="56" t="s">
        <v>21</v>
      </c>
      <c r="Q93" s="66" t="s">
        <v>21</v>
      </c>
      <c r="R93" s="95" t="s">
        <v>21</v>
      </c>
      <c r="S93" s="75">
        <v>0</v>
      </c>
      <c r="T93" s="63">
        <v>1.9048414157824489E-2</v>
      </c>
      <c r="V93" s="113">
        <v>1.10873906</v>
      </c>
      <c r="W93" s="71">
        <v>2.8210480900000001</v>
      </c>
      <c r="X93" s="71">
        <v>4.2926971299999996</v>
      </c>
      <c r="Y93" s="71">
        <v>5.5153136499999995</v>
      </c>
      <c r="Z93" s="114">
        <v>6.9769508800000004</v>
      </c>
    </row>
    <row r="94" spans="2:26" x14ac:dyDescent="0.35">
      <c r="B94" s="78" t="s">
        <v>458</v>
      </c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8"/>
      <c r="Q94" s="77"/>
      <c r="R94" s="94"/>
      <c r="S94" s="77"/>
      <c r="T94" s="76"/>
      <c r="V94" s="111"/>
      <c r="W94" s="106"/>
      <c r="X94" s="106"/>
      <c r="Y94" s="106"/>
      <c r="Z94" s="112"/>
    </row>
    <row r="95" spans="2:26" x14ac:dyDescent="0.35">
      <c r="B95" s="54" t="s">
        <v>84</v>
      </c>
      <c r="C95" s="52" t="s">
        <v>85</v>
      </c>
      <c r="D95" s="52" t="s">
        <v>20</v>
      </c>
      <c r="E95" s="52" t="s">
        <v>459</v>
      </c>
      <c r="F95" s="72" t="s">
        <v>21</v>
      </c>
      <c r="G95" s="70">
        <v>7.0834676570217135E-3</v>
      </c>
      <c r="H95" s="70">
        <v>1.2475655126455151E-2</v>
      </c>
      <c r="I95" s="70">
        <v>1.5679898821998446E-2</v>
      </c>
      <c r="J95" s="62">
        <v>1.8594217645291369E-2</v>
      </c>
      <c r="K95" s="70" t="s">
        <v>21</v>
      </c>
      <c r="L95" s="70">
        <v>4.0733391570217129E-3</v>
      </c>
      <c r="M95" s="70">
        <v>8.4203307264551549E-3</v>
      </c>
      <c r="N95" s="70">
        <v>1.0719538921998447E-2</v>
      </c>
      <c r="O95" s="70">
        <v>1.2341034745291368E-2</v>
      </c>
      <c r="P95" s="54" t="s">
        <v>21</v>
      </c>
      <c r="Q95" s="52" t="s">
        <v>21</v>
      </c>
      <c r="R95" s="93" t="s">
        <v>21</v>
      </c>
      <c r="S95" s="70">
        <v>0</v>
      </c>
      <c r="T95" s="62">
        <v>1.2475655126455151E-2</v>
      </c>
      <c r="V95" s="113">
        <v>1.1064750300000001</v>
      </c>
      <c r="W95" s="71">
        <v>2.8232229000000002</v>
      </c>
      <c r="X95" s="71">
        <v>4.3298275500000001</v>
      </c>
      <c r="Y95" s="71">
        <v>5.6167675499999996</v>
      </c>
      <c r="Z95" s="114">
        <v>7.2076628000000005</v>
      </c>
    </row>
    <row r="96" spans="2:26" x14ac:dyDescent="0.35">
      <c r="B96" s="54" t="s">
        <v>86</v>
      </c>
      <c r="C96" s="52" t="s">
        <v>85</v>
      </c>
      <c r="D96" s="52" t="s">
        <v>20</v>
      </c>
      <c r="E96" s="52" t="s">
        <v>459</v>
      </c>
      <c r="F96" s="72" t="s">
        <v>21</v>
      </c>
      <c r="G96" s="70">
        <v>7.2449871066343199E-3</v>
      </c>
      <c r="H96" s="70">
        <v>1.2580023903063942E-2</v>
      </c>
      <c r="I96" s="70">
        <v>1.5784794061956878E-2</v>
      </c>
      <c r="J96" s="62">
        <v>1.8788937869593545E-2</v>
      </c>
      <c r="K96" s="70" t="s">
        <v>21</v>
      </c>
      <c r="L96" s="70">
        <v>4.2410896066343217E-3</v>
      </c>
      <c r="M96" s="70">
        <v>8.5282221030639465E-3</v>
      </c>
      <c r="N96" s="70">
        <v>1.0827841661956878E-2</v>
      </c>
      <c r="O96" s="70">
        <v>1.2541036269593544E-2</v>
      </c>
      <c r="P96" s="54" t="s">
        <v>21</v>
      </c>
      <c r="Q96" s="52" t="s">
        <v>21</v>
      </c>
      <c r="R96" s="93" t="s">
        <v>21</v>
      </c>
      <c r="S96" s="70">
        <v>0</v>
      </c>
      <c r="T96" s="62">
        <v>1.2580023903063942E-2</v>
      </c>
      <c r="V96" s="113">
        <v>1.10635214</v>
      </c>
      <c r="W96" s="71">
        <v>2.8228106400000001</v>
      </c>
      <c r="X96" s="71">
        <v>4.32816782</v>
      </c>
      <c r="Y96" s="71">
        <v>5.6127236499999995</v>
      </c>
      <c r="Z96" s="114">
        <v>7.1991589199999995</v>
      </c>
    </row>
    <row r="97" spans="2:26" x14ac:dyDescent="0.35">
      <c r="B97" s="54" t="s">
        <v>87</v>
      </c>
      <c r="C97" s="52" t="s">
        <v>85</v>
      </c>
      <c r="D97" s="52" t="s">
        <v>20</v>
      </c>
      <c r="E97" s="52" t="s">
        <v>88</v>
      </c>
      <c r="F97" s="72" t="s">
        <v>21</v>
      </c>
      <c r="G97" s="70">
        <v>7.0942493382518054E-3</v>
      </c>
      <c r="H97" s="70">
        <v>1.2740155572929483E-2</v>
      </c>
      <c r="I97" s="70">
        <v>1.5677115644338786E-2</v>
      </c>
      <c r="J97" s="62">
        <v>1.864808661058508E-2</v>
      </c>
      <c r="K97" s="70" t="s">
        <v>21</v>
      </c>
      <c r="L97" s="70">
        <v>4.0847742382518031E-3</v>
      </c>
      <c r="M97" s="70">
        <v>8.6927797729294872E-3</v>
      </c>
      <c r="N97" s="70">
        <v>1.0716629044338784E-2</v>
      </c>
      <c r="O97" s="70">
        <v>1.2395381110585081E-2</v>
      </c>
      <c r="P97" s="54" t="s">
        <v>21</v>
      </c>
      <c r="Q97" s="52" t="s">
        <v>21</v>
      </c>
      <c r="R97" s="93" t="s">
        <v>21</v>
      </c>
      <c r="S97" s="70">
        <v>0</v>
      </c>
      <c r="T97" s="62">
        <v>1.2740155572929483E-2</v>
      </c>
      <c r="V97" s="113">
        <v>1.1065838700000001</v>
      </c>
      <c r="W97" s="71">
        <v>2.8231535700000001</v>
      </c>
      <c r="X97" s="71">
        <v>4.3276968099999999</v>
      </c>
      <c r="Y97" s="71">
        <v>5.6162946600000003</v>
      </c>
      <c r="Z97" s="114">
        <v>7.2070654999999997</v>
      </c>
    </row>
    <row r="98" spans="2:26" x14ac:dyDescent="0.35">
      <c r="B98" s="54" t="s">
        <v>89</v>
      </c>
      <c r="C98" s="52" t="s">
        <v>85</v>
      </c>
      <c r="D98" s="52" t="s">
        <v>20</v>
      </c>
      <c r="E98" s="52" t="s">
        <v>312</v>
      </c>
      <c r="F98" s="72" t="s">
        <v>21</v>
      </c>
      <c r="G98" s="70">
        <v>5.6949119367202122E-3</v>
      </c>
      <c r="H98" s="70">
        <v>1.0702359506823383E-2</v>
      </c>
      <c r="I98" s="70">
        <v>1.3840215177271017E-2</v>
      </c>
      <c r="J98" s="62">
        <v>1.6782315556537298E-2</v>
      </c>
      <c r="K98" s="70" t="s">
        <v>21</v>
      </c>
      <c r="L98" s="70">
        <v>2.6129964367202149E-3</v>
      </c>
      <c r="M98" s="70">
        <v>6.5723558068233844E-3</v>
      </c>
      <c r="N98" s="70">
        <v>8.8143633772710221E-3</v>
      </c>
      <c r="O98" s="70">
        <v>1.04594654565373E-2</v>
      </c>
      <c r="P98" s="54" t="s">
        <v>21</v>
      </c>
      <c r="Q98" s="52" t="s">
        <v>21</v>
      </c>
      <c r="R98" s="93" t="s">
        <v>21</v>
      </c>
      <c r="S98" s="70">
        <v>0</v>
      </c>
      <c r="T98" s="62">
        <v>1.0702359506823383E-2</v>
      </c>
      <c r="V98" s="113">
        <v>1.10893139</v>
      </c>
      <c r="W98" s="71">
        <v>2.8364501100000004</v>
      </c>
      <c r="X98" s="71">
        <v>4.36407889</v>
      </c>
      <c r="Y98" s="71">
        <v>5.6804253500000002</v>
      </c>
      <c r="Z98" s="114">
        <v>7.3225265200000003</v>
      </c>
    </row>
    <row r="99" spans="2:26" x14ac:dyDescent="0.35">
      <c r="B99" s="54" t="s">
        <v>90</v>
      </c>
      <c r="C99" s="52" t="s">
        <v>85</v>
      </c>
      <c r="D99" s="52" t="s">
        <v>20</v>
      </c>
      <c r="E99" s="52" t="s">
        <v>75</v>
      </c>
      <c r="F99" s="72" t="s">
        <v>21</v>
      </c>
      <c r="G99" s="70">
        <v>7.3940185358544281E-3</v>
      </c>
      <c r="H99" s="70">
        <v>1.2920569396980703E-2</v>
      </c>
      <c r="I99" s="70">
        <v>1.6212094882321382E-2</v>
      </c>
      <c r="J99" s="62">
        <v>1.9010818655279073E-2</v>
      </c>
      <c r="K99" s="70" t="s">
        <v>21</v>
      </c>
      <c r="L99" s="70">
        <v>4.3953699358544283E-3</v>
      </c>
      <c r="M99" s="70">
        <v>8.878772396980707E-3</v>
      </c>
      <c r="N99" s="70">
        <v>1.1264895182321384E-2</v>
      </c>
      <c r="O99" s="70">
        <v>1.2770702455279073E-2</v>
      </c>
      <c r="P99" s="54" t="s">
        <v>21</v>
      </c>
      <c r="Q99" s="52" t="s">
        <v>21</v>
      </c>
      <c r="R99" s="93" t="s">
        <v>21</v>
      </c>
      <c r="S99" s="70">
        <v>0</v>
      </c>
      <c r="T99" s="62">
        <v>1.2920569396980703E-2</v>
      </c>
      <c r="V99" s="113">
        <v>1.10652357</v>
      </c>
      <c r="W99" s="71">
        <v>2.82179468</v>
      </c>
      <c r="X99" s="71">
        <v>4.3230857299999998</v>
      </c>
      <c r="Y99" s="71">
        <v>5.6019742599999995</v>
      </c>
      <c r="Z99" s="114">
        <v>7.1809356199999996</v>
      </c>
    </row>
    <row r="100" spans="2:26" x14ac:dyDescent="0.35">
      <c r="B100" s="54" t="s">
        <v>91</v>
      </c>
      <c r="C100" s="52" t="s">
        <v>85</v>
      </c>
      <c r="D100" s="52" t="s">
        <v>20</v>
      </c>
      <c r="E100" s="52" t="s">
        <v>92</v>
      </c>
      <c r="F100" s="72" t="s">
        <v>21</v>
      </c>
      <c r="G100" s="70">
        <v>6.415148945470045E-3</v>
      </c>
      <c r="H100" s="70">
        <v>1.1998820888568351E-2</v>
      </c>
      <c r="I100" s="70">
        <v>1.5081214510774113E-2</v>
      </c>
      <c r="J100" s="62">
        <v>1.8027433432272203E-2</v>
      </c>
      <c r="K100" s="70" t="s">
        <v>21</v>
      </c>
      <c r="L100" s="70">
        <v>3.3734910454700441E-3</v>
      </c>
      <c r="M100" s="70">
        <v>7.9259274885683552E-3</v>
      </c>
      <c r="N100" s="70">
        <v>1.0104152410774114E-2</v>
      </c>
      <c r="O100" s="70">
        <v>1.1756887832272203E-2</v>
      </c>
      <c r="P100" s="54" t="s">
        <v>21</v>
      </c>
      <c r="Q100" s="52" t="s">
        <v>21</v>
      </c>
      <c r="R100" s="93" t="s">
        <v>21</v>
      </c>
      <c r="S100" s="70">
        <v>0</v>
      </c>
      <c r="T100" s="62">
        <v>1.1998820888568351E-2</v>
      </c>
      <c r="V100" s="113">
        <v>1.10772205</v>
      </c>
      <c r="W100" s="71">
        <v>2.83002698</v>
      </c>
      <c r="X100" s="71">
        <v>4.3429724199999997</v>
      </c>
      <c r="Y100" s="71">
        <v>5.6380107300000004</v>
      </c>
      <c r="Z100" s="114">
        <v>7.2439253900000002</v>
      </c>
    </row>
    <row r="101" spans="2:26" x14ac:dyDescent="0.35">
      <c r="B101" s="54" t="s">
        <v>307</v>
      </c>
      <c r="C101" s="52" t="s">
        <v>85</v>
      </c>
      <c r="D101" s="52" t="s">
        <v>20</v>
      </c>
      <c r="E101" s="52" t="s">
        <v>313</v>
      </c>
      <c r="F101" s="72" t="s">
        <v>21</v>
      </c>
      <c r="G101" s="70">
        <v>5.2407283527377063E-3</v>
      </c>
      <c r="H101" s="70">
        <v>1.0717596347104588E-2</v>
      </c>
      <c r="I101" s="70">
        <v>1.3829902715256914E-2</v>
      </c>
      <c r="J101" s="62">
        <v>1.6797754809428592E-2</v>
      </c>
      <c r="K101" s="70" t="s">
        <v>21</v>
      </c>
      <c r="L101" s="70">
        <v>2.1273930527377074E-3</v>
      </c>
      <c r="M101" s="70">
        <v>6.5872266471045937E-3</v>
      </c>
      <c r="N101" s="70">
        <v>8.8046307152569152E-3</v>
      </c>
      <c r="O101" s="70">
        <v>1.047981460942859E-2</v>
      </c>
      <c r="P101" s="54" t="s">
        <v>21</v>
      </c>
      <c r="Q101" s="52" t="s">
        <v>21</v>
      </c>
      <c r="R101" s="93" t="s">
        <v>21</v>
      </c>
      <c r="S101" s="70">
        <v>0</v>
      </c>
      <c r="T101" s="62">
        <v>1.0717596347104588E-2</v>
      </c>
      <c r="V101" s="113">
        <v>1.1108068500000001</v>
      </c>
      <c r="W101" s="71">
        <v>2.8432588000000001</v>
      </c>
      <c r="X101" s="71">
        <v>4.3721919400000004</v>
      </c>
      <c r="Y101" s="71">
        <v>5.6881433900000005</v>
      </c>
      <c r="Z101" s="114">
        <v>7.3264153799999994</v>
      </c>
    </row>
    <row r="102" spans="2:26" x14ac:dyDescent="0.35">
      <c r="B102" s="54" t="s">
        <v>308</v>
      </c>
      <c r="C102" s="52" t="s">
        <v>85</v>
      </c>
      <c r="D102" s="52" t="s">
        <v>20</v>
      </c>
      <c r="E102" s="52" t="s">
        <v>73</v>
      </c>
      <c r="F102" s="72" t="s">
        <v>21</v>
      </c>
      <c r="G102" s="70">
        <v>8.1268962786463991E-3</v>
      </c>
      <c r="H102" s="70">
        <v>1.5266814484349219E-2</v>
      </c>
      <c r="I102" s="70">
        <v>1.8870139491009182E-2</v>
      </c>
      <c r="J102" s="62">
        <v>2.2565378779168935E-2</v>
      </c>
      <c r="K102" s="70" t="s">
        <v>21</v>
      </c>
      <c r="L102" s="70">
        <v>5.1529730786463966E-3</v>
      </c>
      <c r="M102" s="70">
        <v>1.1271319784349218E-2</v>
      </c>
      <c r="N102" s="70">
        <v>1.3963132391009183E-2</v>
      </c>
      <c r="O102" s="70">
        <v>1.6385464579168937E-2</v>
      </c>
      <c r="P102" s="54" t="s">
        <v>21</v>
      </c>
      <c r="Q102" s="52" t="s">
        <v>21</v>
      </c>
      <c r="R102" s="93" t="s">
        <v>21</v>
      </c>
      <c r="S102" s="70">
        <v>0</v>
      </c>
      <c r="T102" s="62">
        <v>1.5266814484349219E-2</v>
      </c>
      <c r="V102" s="113">
        <v>1.1070386300000001</v>
      </c>
      <c r="W102" s="71">
        <v>2.81823348</v>
      </c>
      <c r="X102" s="71">
        <v>4.29514263</v>
      </c>
      <c r="Y102" s="71">
        <v>5.5324902400000004</v>
      </c>
      <c r="Z102" s="114">
        <v>7.0173599700000002</v>
      </c>
    </row>
    <row r="103" spans="2:26" x14ac:dyDescent="0.35">
      <c r="B103" s="54" t="s">
        <v>309</v>
      </c>
      <c r="C103" s="52" t="s">
        <v>85</v>
      </c>
      <c r="D103" s="52" t="s">
        <v>20</v>
      </c>
      <c r="E103" s="52" t="s">
        <v>48</v>
      </c>
      <c r="F103" s="72">
        <v>1.3102220544226372E-3</v>
      </c>
      <c r="G103" s="70">
        <v>1.3526102773420142E-2</v>
      </c>
      <c r="H103" s="70">
        <v>2.3048813821526574E-2</v>
      </c>
      <c r="I103" s="70">
        <v>2.9008458819341536E-2</v>
      </c>
      <c r="J103" s="62">
        <v>3.266324149562528E-2</v>
      </c>
      <c r="K103" s="70" t="s">
        <v>21</v>
      </c>
      <c r="L103" s="70">
        <v>1.0608484073420143E-2</v>
      </c>
      <c r="M103" s="70">
        <v>1.9008258321526573E-2</v>
      </c>
      <c r="N103" s="70">
        <v>2.396618971934153E-2</v>
      </c>
      <c r="O103" s="70">
        <v>2.6359742095625284E-2</v>
      </c>
      <c r="P103" s="54" t="s">
        <v>21</v>
      </c>
      <c r="Q103" s="52" t="s">
        <v>21</v>
      </c>
      <c r="R103" s="93" t="s">
        <v>21</v>
      </c>
      <c r="S103" s="70">
        <v>0</v>
      </c>
      <c r="T103" s="62">
        <v>2.3048813821526574E-2</v>
      </c>
      <c r="V103" s="113">
        <v>1.10252642</v>
      </c>
      <c r="W103" s="71">
        <v>2.7750128799999998</v>
      </c>
      <c r="X103" s="71">
        <v>4.1650688200000001</v>
      </c>
      <c r="Y103" s="71">
        <v>5.2613227199999999</v>
      </c>
      <c r="Z103" s="114">
        <v>6.5183625899999997</v>
      </c>
    </row>
    <row r="104" spans="2:26" x14ac:dyDescent="0.35">
      <c r="B104" s="54" t="s">
        <v>310</v>
      </c>
      <c r="C104" s="52" t="s">
        <v>85</v>
      </c>
      <c r="D104" s="52" t="s">
        <v>20</v>
      </c>
      <c r="E104" s="52" t="s">
        <v>159</v>
      </c>
      <c r="F104" s="72" t="s">
        <v>21</v>
      </c>
      <c r="G104" s="70">
        <v>5.5908502584925707E-3</v>
      </c>
      <c r="H104" s="70">
        <v>1.1176555952610549E-2</v>
      </c>
      <c r="I104" s="70">
        <v>1.5379130616442921E-2</v>
      </c>
      <c r="J104" s="62">
        <v>1.7896286241730539E-2</v>
      </c>
      <c r="K104" s="70" t="s">
        <v>21</v>
      </c>
      <c r="L104" s="70">
        <v>2.5016579584925705E-3</v>
      </c>
      <c r="M104" s="70">
        <v>7.0698397526105499E-3</v>
      </c>
      <c r="N104" s="70">
        <v>1.0407897916442923E-2</v>
      </c>
      <c r="O104" s="70">
        <v>1.1627556941730535E-2</v>
      </c>
      <c r="P104" s="54" t="s">
        <v>314</v>
      </c>
      <c r="Q104" s="52" t="s">
        <v>315</v>
      </c>
      <c r="R104" s="93">
        <v>47788</v>
      </c>
      <c r="S104" s="70">
        <v>9.3131099999999994E-3</v>
      </c>
      <c r="T104" s="62">
        <v>1.8634459526105495E-3</v>
      </c>
      <c r="V104" s="113">
        <v>1.1105943999999999</v>
      </c>
      <c r="W104" s="71">
        <v>2.8403734199999997</v>
      </c>
      <c r="X104" s="71">
        <v>4.36293577</v>
      </c>
      <c r="Y104" s="71">
        <v>5.6568611200000003</v>
      </c>
      <c r="Z104" s="114">
        <v>7.2625489099999996</v>
      </c>
    </row>
    <row r="105" spans="2:26" x14ac:dyDescent="0.35">
      <c r="B105" s="56" t="s">
        <v>311</v>
      </c>
      <c r="C105" s="52" t="s">
        <v>85</v>
      </c>
      <c r="D105" s="66" t="s">
        <v>20</v>
      </c>
      <c r="E105" s="66" t="s">
        <v>274</v>
      </c>
      <c r="F105" s="73" t="s">
        <v>21</v>
      </c>
      <c r="G105" s="75">
        <v>7.0958770521147158E-3</v>
      </c>
      <c r="H105" s="75">
        <v>1.43134067251902E-2</v>
      </c>
      <c r="I105" s="75">
        <v>1.8884381009852326E-2</v>
      </c>
      <c r="J105" s="63">
        <v>2.2679705369866208E-2</v>
      </c>
      <c r="K105" s="75" t="s">
        <v>21</v>
      </c>
      <c r="L105" s="75">
        <v>4.0857460521147131E-3</v>
      </c>
      <c r="M105" s="75">
        <v>1.0303763525190204E-2</v>
      </c>
      <c r="N105" s="75">
        <v>1.3975185309852327E-2</v>
      </c>
      <c r="O105" s="75">
        <v>1.6500759169866208E-2</v>
      </c>
      <c r="P105" s="56" t="s">
        <v>21</v>
      </c>
      <c r="Q105" s="66" t="s">
        <v>21</v>
      </c>
      <c r="R105" s="95" t="s">
        <v>21</v>
      </c>
      <c r="S105" s="75">
        <v>0</v>
      </c>
      <c r="T105" s="63">
        <v>1.43134067251902E-2</v>
      </c>
      <c r="V105" s="115">
        <v>1.10872013</v>
      </c>
      <c r="W105" s="107">
        <v>2.8274426299999997</v>
      </c>
      <c r="X105" s="107">
        <v>4.3156876099999995</v>
      </c>
      <c r="Y105" s="107">
        <v>5.5557805900000004</v>
      </c>
      <c r="Z105" s="116">
        <v>7.0412939999999997</v>
      </c>
    </row>
    <row r="106" spans="2:26" x14ac:dyDescent="0.35">
      <c r="B106" s="52" t="s">
        <v>21</v>
      </c>
      <c r="C106" s="52" t="s">
        <v>21</v>
      </c>
      <c r="E106" s="52" t="s">
        <v>21</v>
      </c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R106" s="93"/>
      <c r="V106" s="71"/>
      <c r="W106" s="71"/>
      <c r="X106" s="71"/>
      <c r="Y106" s="71"/>
      <c r="Z106" s="71"/>
    </row>
    <row r="107" spans="2:26" ht="15.5" x14ac:dyDescent="0.35">
      <c r="B107" s="121" t="s">
        <v>93</v>
      </c>
      <c r="C107" s="52" t="s">
        <v>21</v>
      </c>
      <c r="E107" s="52" t="s">
        <v>21</v>
      </c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R107" s="93"/>
      <c r="V107" s="71"/>
      <c r="W107" s="71"/>
      <c r="X107" s="71"/>
      <c r="Y107" s="71"/>
      <c r="Z107" s="71"/>
    </row>
    <row r="108" spans="2:26" x14ac:dyDescent="0.35">
      <c r="B108" s="84" t="s">
        <v>5</v>
      </c>
      <c r="C108" s="83" t="s">
        <v>6</v>
      </c>
      <c r="D108" s="83" t="s">
        <v>7</v>
      </c>
      <c r="E108" s="83" t="s">
        <v>8</v>
      </c>
      <c r="F108" s="82" t="s">
        <v>9</v>
      </c>
      <c r="G108" s="81" t="s">
        <v>10</v>
      </c>
      <c r="H108" s="81" t="s">
        <v>11</v>
      </c>
      <c r="I108" s="81" t="s">
        <v>12</v>
      </c>
      <c r="J108" s="80" t="s">
        <v>13</v>
      </c>
      <c r="K108" s="57" t="s">
        <v>9</v>
      </c>
      <c r="L108" s="57" t="s">
        <v>10</v>
      </c>
      <c r="M108" s="57" t="s">
        <v>11</v>
      </c>
      <c r="N108" s="57" t="s">
        <v>12</v>
      </c>
      <c r="O108" s="57" t="s">
        <v>13</v>
      </c>
      <c r="P108" s="69" t="s">
        <v>14</v>
      </c>
      <c r="Q108" s="57" t="s">
        <v>15</v>
      </c>
      <c r="R108" s="57" t="s">
        <v>16</v>
      </c>
      <c r="S108" s="57" t="s">
        <v>415</v>
      </c>
      <c r="T108" s="57" t="s">
        <v>18</v>
      </c>
      <c r="V108" s="109" t="s">
        <v>9</v>
      </c>
      <c r="W108" s="105" t="s">
        <v>10</v>
      </c>
      <c r="X108" s="105" t="s">
        <v>11</v>
      </c>
      <c r="Y108" s="105" t="s">
        <v>12</v>
      </c>
      <c r="Z108" s="110" t="s">
        <v>13</v>
      </c>
    </row>
    <row r="109" spans="2:26" x14ac:dyDescent="0.35">
      <c r="B109" s="78" t="s">
        <v>94</v>
      </c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8"/>
      <c r="Q109" s="77"/>
      <c r="R109" s="94"/>
      <c r="S109" s="77"/>
      <c r="T109" s="76"/>
      <c r="V109" s="111"/>
      <c r="W109" s="106"/>
      <c r="X109" s="106"/>
      <c r="Y109" s="106"/>
      <c r="Z109" s="112"/>
    </row>
    <row r="110" spans="2:26" x14ac:dyDescent="0.35">
      <c r="B110" s="55" t="s">
        <v>95</v>
      </c>
      <c r="C110" s="65" t="s">
        <v>85</v>
      </c>
      <c r="D110" s="65" t="s">
        <v>43</v>
      </c>
      <c r="E110" s="65" t="s">
        <v>230</v>
      </c>
      <c r="F110" s="74" t="s">
        <v>21</v>
      </c>
      <c r="G110" s="79">
        <v>5.3107675996402603E-3</v>
      </c>
      <c r="H110" s="79">
        <v>1.1122538478637284E-2</v>
      </c>
      <c r="I110" s="79">
        <v>1.4197245445810778E-2</v>
      </c>
      <c r="J110" s="61">
        <v>1.7034511431831569E-2</v>
      </c>
      <c r="K110" s="79" t="s">
        <v>21</v>
      </c>
      <c r="L110" s="79">
        <v>2.2030071996402612E-3</v>
      </c>
      <c r="M110" s="79">
        <v>7.0128879786372882E-3</v>
      </c>
      <c r="N110" s="79">
        <v>9.1884799458107815E-3</v>
      </c>
      <c r="O110" s="79">
        <v>1.072724593183157E-2</v>
      </c>
      <c r="P110" s="55" t="s">
        <v>21</v>
      </c>
      <c r="Q110" s="65" t="s">
        <v>21</v>
      </c>
      <c r="R110" s="99" t="s">
        <v>21</v>
      </c>
      <c r="S110" s="79">
        <v>0</v>
      </c>
      <c r="T110" s="62">
        <v>1.1122538478637284E-2</v>
      </c>
      <c r="V110" s="117">
        <v>1.1108649399999999</v>
      </c>
      <c r="W110" s="60">
        <v>2.8427502000000002</v>
      </c>
      <c r="X110" s="60">
        <v>4.3667209899999992</v>
      </c>
      <c r="Y110" s="60">
        <v>5.6774069799999998</v>
      </c>
      <c r="Z110" s="118">
        <v>7.3112371100000004</v>
      </c>
    </row>
    <row r="111" spans="2:26" x14ac:dyDescent="0.35">
      <c r="B111" s="56" t="s">
        <v>95</v>
      </c>
      <c r="C111" s="66" t="s">
        <v>35</v>
      </c>
      <c r="D111" s="66" t="s">
        <v>43</v>
      </c>
      <c r="E111" s="66" t="s">
        <v>231</v>
      </c>
      <c r="F111" s="73" t="s">
        <v>21</v>
      </c>
      <c r="G111" s="75">
        <v>8.4821611695460163E-3</v>
      </c>
      <c r="H111" s="75">
        <v>1.6360396154044186E-2</v>
      </c>
      <c r="I111" s="75">
        <v>2.0503467162491507E-2</v>
      </c>
      <c r="J111" s="63">
        <v>2.4293243647189555E-2</v>
      </c>
      <c r="K111" s="75" t="s">
        <v>21</v>
      </c>
      <c r="L111" s="75">
        <v>5.5290977695460191E-3</v>
      </c>
      <c r="M111" s="75">
        <v>1.2400572854044188E-2</v>
      </c>
      <c r="N111" s="75">
        <v>1.5628697762491508E-2</v>
      </c>
      <c r="O111" s="75">
        <v>1.8131132047189552E-2</v>
      </c>
      <c r="P111" s="56" t="s">
        <v>21</v>
      </c>
      <c r="Q111" s="66" t="s">
        <v>21</v>
      </c>
      <c r="R111" s="95" t="s">
        <v>21</v>
      </c>
      <c r="S111" s="75">
        <v>0</v>
      </c>
      <c r="T111" s="63">
        <v>1.6360396154044186E-2</v>
      </c>
      <c r="V111" s="115">
        <v>1.1097753100000001</v>
      </c>
      <c r="W111" s="107">
        <v>2.8308240200000001</v>
      </c>
      <c r="X111" s="107">
        <v>4.3255643900000003</v>
      </c>
      <c r="Y111" s="107">
        <v>5.5893111500000003</v>
      </c>
      <c r="Z111" s="116">
        <v>7.1308402199999996</v>
      </c>
    </row>
    <row r="112" spans="2:26" x14ac:dyDescent="0.35">
      <c r="B112" s="54" t="s">
        <v>96</v>
      </c>
      <c r="C112" s="52" t="s">
        <v>85</v>
      </c>
      <c r="D112" s="52" t="s">
        <v>97</v>
      </c>
      <c r="E112" s="52" t="s">
        <v>21</v>
      </c>
      <c r="F112" s="72" t="s">
        <v>21</v>
      </c>
      <c r="G112" s="70">
        <v>5.9173574685803627E-3</v>
      </c>
      <c r="H112" s="70">
        <v>1.1853888921866127E-2</v>
      </c>
      <c r="I112" s="70">
        <v>1.5296654039517611E-2</v>
      </c>
      <c r="J112" s="62">
        <v>1.836550920846856E-2</v>
      </c>
      <c r="K112" s="70" t="s">
        <v>21</v>
      </c>
      <c r="L112" s="70">
        <v>2.8486914685803616E-3</v>
      </c>
      <c r="M112" s="70">
        <v>7.7755967218661303E-3</v>
      </c>
      <c r="N112" s="70">
        <v>1.032539773951761E-2</v>
      </c>
      <c r="O112" s="70">
        <v>1.2106942308468559E-2</v>
      </c>
      <c r="P112" s="54" t="s">
        <v>21</v>
      </c>
      <c r="Q112" s="52" t="s">
        <v>21</v>
      </c>
      <c r="R112" s="93" t="s">
        <v>21</v>
      </c>
      <c r="S112" s="70">
        <v>0</v>
      </c>
      <c r="T112" s="62">
        <v>1.1853888921866127E-2</v>
      </c>
      <c r="V112" s="113">
        <v>1.1098441100000001</v>
      </c>
      <c r="W112" s="71">
        <v>2.83680624</v>
      </c>
      <c r="X112" s="71">
        <v>4.3525870199999996</v>
      </c>
      <c r="Y112" s="71">
        <v>5.6469899799999999</v>
      </c>
      <c r="Z112" s="114">
        <v>7.2457469100000003</v>
      </c>
    </row>
    <row r="113" spans="2:26" x14ac:dyDescent="0.35">
      <c r="B113" s="56" t="s">
        <v>96</v>
      </c>
      <c r="C113" s="66" t="s">
        <v>35</v>
      </c>
      <c r="D113" s="66" t="s">
        <v>97</v>
      </c>
      <c r="E113" s="66" t="s">
        <v>44</v>
      </c>
      <c r="F113" s="73">
        <v>2.2434181387116867E-4</v>
      </c>
      <c r="G113" s="75">
        <v>9.3751444226176355E-3</v>
      </c>
      <c r="H113" s="75">
        <v>1.7092971029063656E-2</v>
      </c>
      <c r="I113" s="75">
        <v>2.1921565244936665E-2</v>
      </c>
      <c r="J113" s="63">
        <v>2.5594562663039062E-2</v>
      </c>
      <c r="K113" s="75" t="s">
        <v>21</v>
      </c>
      <c r="L113" s="75">
        <v>6.4467292226176361E-3</v>
      </c>
      <c r="M113" s="75">
        <v>1.3140340529063658E-2</v>
      </c>
      <c r="N113" s="75">
        <v>1.7047210244936665E-2</v>
      </c>
      <c r="O113" s="75">
        <v>1.9435276063039061E-2</v>
      </c>
      <c r="P113" s="56" t="s">
        <v>21</v>
      </c>
      <c r="Q113" s="66" t="s">
        <v>21</v>
      </c>
      <c r="R113" s="95" t="s">
        <v>21</v>
      </c>
      <c r="S113" s="75">
        <v>0</v>
      </c>
      <c r="T113" s="63">
        <v>1.7092971029063656E-2</v>
      </c>
      <c r="V113" s="115">
        <v>1.10749104</v>
      </c>
      <c r="W113" s="107">
        <v>2.8221062400000001</v>
      </c>
      <c r="X113" s="107">
        <v>4.3099078300000002</v>
      </c>
      <c r="Y113" s="107">
        <v>5.55895983</v>
      </c>
      <c r="Z113" s="116">
        <v>7.0742763599999998</v>
      </c>
    </row>
    <row r="114" spans="2:26" x14ac:dyDescent="0.35">
      <c r="B114" s="54" t="s">
        <v>98</v>
      </c>
      <c r="C114" s="52" t="s">
        <v>85</v>
      </c>
      <c r="D114" s="52" t="s">
        <v>47</v>
      </c>
      <c r="E114" s="52" t="s">
        <v>21</v>
      </c>
      <c r="F114" s="72" t="s">
        <v>21</v>
      </c>
      <c r="G114" s="70">
        <v>6.0424486229791203E-3</v>
      </c>
      <c r="H114" s="70">
        <v>1.2354426167314147E-2</v>
      </c>
      <c r="I114" s="70">
        <v>1.5819935756685315E-2</v>
      </c>
      <c r="J114" s="62">
        <v>1.9029739274925853E-2</v>
      </c>
      <c r="K114" s="70" t="s">
        <v>21</v>
      </c>
      <c r="L114" s="70">
        <v>2.9811158229791205E-3</v>
      </c>
      <c r="M114" s="70">
        <v>8.2946592673141528E-3</v>
      </c>
      <c r="N114" s="70">
        <v>1.0864264656685316E-2</v>
      </c>
      <c r="O114" s="70">
        <v>1.2790932274925854E-2</v>
      </c>
      <c r="P114" s="54" t="s">
        <v>21</v>
      </c>
      <c r="Q114" s="52" t="s">
        <v>21</v>
      </c>
      <c r="R114" s="93" t="s">
        <v>21</v>
      </c>
      <c r="S114" s="70">
        <v>0</v>
      </c>
      <c r="T114" s="62">
        <v>1.2354426167314147E-2</v>
      </c>
      <c r="V114" s="113">
        <v>1.10979911</v>
      </c>
      <c r="W114" s="71">
        <v>2.8361006799999999</v>
      </c>
      <c r="X114" s="71">
        <v>4.3460279599999998</v>
      </c>
      <c r="Y114" s="71">
        <v>5.6321952500000005</v>
      </c>
      <c r="Z114" s="114">
        <v>7.2139005100000002</v>
      </c>
    </row>
    <row r="115" spans="2:26" x14ac:dyDescent="0.35">
      <c r="B115" s="56" t="s">
        <v>98</v>
      </c>
      <c r="C115" s="66" t="s">
        <v>35</v>
      </c>
      <c r="D115" s="66" t="s">
        <v>47</v>
      </c>
      <c r="E115" s="66" t="s">
        <v>460</v>
      </c>
      <c r="F115" s="73" t="s">
        <v>21</v>
      </c>
      <c r="G115" s="75">
        <v>9.1172318650410526E-3</v>
      </c>
      <c r="H115" s="75">
        <v>1.7405328853597437E-2</v>
      </c>
      <c r="I115" s="75">
        <v>2.2606685980408776E-2</v>
      </c>
      <c r="J115" s="63">
        <v>2.6745006973436743E-2</v>
      </c>
      <c r="K115" s="75" t="s">
        <v>21</v>
      </c>
      <c r="L115" s="75">
        <v>6.1828485650410533E-3</v>
      </c>
      <c r="M115" s="75">
        <v>1.3455563053597439E-2</v>
      </c>
      <c r="N115" s="75">
        <v>1.7731989680408778E-2</v>
      </c>
      <c r="O115" s="75">
        <v>2.0584776373436746E-2</v>
      </c>
      <c r="P115" s="56" t="s">
        <v>461</v>
      </c>
      <c r="Q115" s="66" t="s">
        <v>462</v>
      </c>
      <c r="R115" s="95" t="s">
        <v>32</v>
      </c>
      <c r="S115" s="75">
        <v>1.083782E-2</v>
      </c>
      <c r="T115" s="63">
        <v>6.5675088535974372E-3</v>
      </c>
      <c r="V115" s="115">
        <v>1.1087467900000001</v>
      </c>
      <c r="W115" s="107">
        <v>2.8259142700000002</v>
      </c>
      <c r="X115" s="107">
        <v>4.3116275599999998</v>
      </c>
      <c r="Y115" s="107">
        <v>5.5534794600000001</v>
      </c>
      <c r="Z115" s="116">
        <v>7.0483355299999992</v>
      </c>
    </row>
    <row r="116" spans="2:26" x14ac:dyDescent="0.35">
      <c r="B116" s="54" t="s">
        <v>99</v>
      </c>
      <c r="C116" s="52" t="s">
        <v>85</v>
      </c>
      <c r="D116" s="52" t="s">
        <v>69</v>
      </c>
      <c r="E116" s="52" t="s">
        <v>100</v>
      </c>
      <c r="F116" s="72" t="s">
        <v>21</v>
      </c>
      <c r="G116" s="70">
        <v>6.5321485516796011E-3</v>
      </c>
      <c r="H116" s="70">
        <v>1.3152531979773703E-2</v>
      </c>
      <c r="I116" s="70">
        <v>1.6823896842633995E-2</v>
      </c>
      <c r="J116" s="62">
        <v>2.0360633464578219E-2</v>
      </c>
      <c r="K116" s="70" t="s">
        <v>21</v>
      </c>
      <c r="L116" s="70">
        <v>3.4968117516796017E-3</v>
      </c>
      <c r="M116" s="70">
        <v>9.117827579773705E-3</v>
      </c>
      <c r="N116" s="70">
        <v>1.1891331742633994E-2</v>
      </c>
      <c r="O116" s="70">
        <v>1.4151607064578216E-2</v>
      </c>
      <c r="P116" s="54" t="s">
        <v>21</v>
      </c>
      <c r="Q116" s="52" t="s">
        <v>21</v>
      </c>
      <c r="R116" s="93" t="s">
        <v>21</v>
      </c>
      <c r="S116" s="70">
        <v>0</v>
      </c>
      <c r="T116" s="62">
        <v>1.3152531979773703E-2</v>
      </c>
      <c r="V116" s="113">
        <v>1.11020086</v>
      </c>
      <c r="W116" s="71">
        <v>2.8337502199999998</v>
      </c>
      <c r="X116" s="71">
        <v>4.3346171800000004</v>
      </c>
      <c r="Y116" s="71">
        <v>5.6056738699999995</v>
      </c>
      <c r="Z116" s="114">
        <v>7.1538829699999997</v>
      </c>
    </row>
    <row r="117" spans="2:26" x14ac:dyDescent="0.35">
      <c r="B117" s="56" t="s">
        <v>99</v>
      </c>
      <c r="C117" s="66" t="s">
        <v>35</v>
      </c>
      <c r="D117" s="66" t="s">
        <v>69</v>
      </c>
      <c r="E117" s="66" t="s">
        <v>224</v>
      </c>
      <c r="F117" s="73" t="s">
        <v>21</v>
      </c>
      <c r="G117" s="75">
        <v>9.1395144937872919E-3</v>
      </c>
      <c r="H117" s="75">
        <v>1.7523562838497753E-2</v>
      </c>
      <c r="I117" s="75">
        <v>2.2811745448700533E-2</v>
      </c>
      <c r="J117" s="63">
        <v>2.6603204551944603E-2</v>
      </c>
      <c r="K117" s="75" t="s">
        <v>21</v>
      </c>
      <c r="L117" s="75">
        <v>6.2047880937872914E-3</v>
      </c>
      <c r="M117" s="75">
        <v>1.3574459638497757E-2</v>
      </c>
      <c r="N117" s="75">
        <v>1.7936601748700532E-2</v>
      </c>
      <c r="O117" s="75">
        <v>2.0445775751944603E-2</v>
      </c>
      <c r="P117" s="56" t="s">
        <v>463</v>
      </c>
      <c r="Q117" s="66" t="s">
        <v>464</v>
      </c>
      <c r="R117" s="95" t="s">
        <v>32</v>
      </c>
      <c r="S117" s="75">
        <v>1.511385E-2</v>
      </c>
      <c r="T117" s="63">
        <v>2.4097128384977535E-3</v>
      </c>
      <c r="V117" s="115">
        <v>1.1101932000000001</v>
      </c>
      <c r="W117" s="107">
        <v>2.8285038600000001</v>
      </c>
      <c r="X117" s="107">
        <v>4.3133334400000001</v>
      </c>
      <c r="Y117" s="107">
        <v>5.5530078899999999</v>
      </c>
      <c r="Z117" s="116">
        <v>7.0487779799999997</v>
      </c>
    </row>
    <row r="118" spans="2:26" x14ac:dyDescent="0.35">
      <c r="B118" s="54" t="s">
        <v>101</v>
      </c>
      <c r="C118" s="52" t="s">
        <v>85</v>
      </c>
      <c r="D118" s="52" t="s">
        <v>31</v>
      </c>
      <c r="E118" s="52" t="s">
        <v>21</v>
      </c>
      <c r="F118" s="72" t="s">
        <v>21</v>
      </c>
      <c r="G118" s="70">
        <v>5.8878600601573166E-3</v>
      </c>
      <c r="H118" s="70">
        <v>1.2070276743419529E-2</v>
      </c>
      <c r="I118" s="70">
        <v>1.5695611120166889E-2</v>
      </c>
      <c r="J118" s="62">
        <v>1.9051035489952694E-2</v>
      </c>
      <c r="K118" s="70" t="s">
        <v>21</v>
      </c>
      <c r="L118" s="70">
        <v>2.8168850601573169E-3</v>
      </c>
      <c r="M118" s="70">
        <v>8.0004227434195309E-3</v>
      </c>
      <c r="N118" s="70">
        <v>1.0736016320166887E-2</v>
      </c>
      <c r="O118" s="70">
        <v>1.2812201689952694E-2</v>
      </c>
      <c r="P118" s="54" t="s">
        <v>21</v>
      </c>
      <c r="Q118" s="52" t="s">
        <v>21</v>
      </c>
      <c r="R118" s="93" t="s">
        <v>21</v>
      </c>
      <c r="S118" s="70">
        <v>0</v>
      </c>
      <c r="T118" s="62">
        <v>1.2070276743419529E-2</v>
      </c>
      <c r="V118" s="113">
        <v>1.11087</v>
      </c>
      <c r="W118" s="71">
        <v>2.8391046499999999</v>
      </c>
      <c r="X118" s="71">
        <v>4.3522752300000001</v>
      </c>
      <c r="Y118" s="71">
        <v>5.6409474699999995</v>
      </c>
      <c r="Z118" s="114">
        <v>7.2229994899999994</v>
      </c>
    </row>
    <row r="119" spans="2:26" x14ac:dyDescent="0.35">
      <c r="B119" s="56" t="s">
        <v>101</v>
      </c>
      <c r="C119" s="66" t="s">
        <v>35</v>
      </c>
      <c r="D119" s="66" t="s">
        <v>31</v>
      </c>
      <c r="E119" s="66" t="s">
        <v>21</v>
      </c>
      <c r="F119" s="73" t="s">
        <v>21</v>
      </c>
      <c r="G119" s="75">
        <v>8.482211570205931E-3</v>
      </c>
      <c r="H119" s="75">
        <v>1.6360427698208106E-2</v>
      </c>
      <c r="I119" s="75">
        <v>2.0797522790959682E-2</v>
      </c>
      <c r="J119" s="63">
        <v>2.4481001885842346E-2</v>
      </c>
      <c r="K119" s="75" t="s">
        <v>21</v>
      </c>
      <c r="L119" s="75">
        <v>5.5291443702059307E-3</v>
      </c>
      <c r="M119" s="75">
        <v>1.2400599998208103E-2</v>
      </c>
      <c r="N119" s="75">
        <v>1.5923257290959683E-2</v>
      </c>
      <c r="O119" s="75">
        <v>1.832058448584235E-2</v>
      </c>
      <c r="P119" s="56" t="s">
        <v>21</v>
      </c>
      <c r="Q119" s="66" t="s">
        <v>21</v>
      </c>
      <c r="R119" s="95" t="s">
        <v>21</v>
      </c>
      <c r="S119" s="75">
        <v>0</v>
      </c>
      <c r="T119" s="63">
        <v>1.6360427698208106E-2</v>
      </c>
      <c r="V119" s="115">
        <v>1.10977536</v>
      </c>
      <c r="W119" s="107">
        <v>2.8308239799999999</v>
      </c>
      <c r="X119" s="107">
        <v>4.3255642700000001</v>
      </c>
      <c r="Y119" s="107">
        <v>5.5865741099999999</v>
      </c>
      <c r="Z119" s="116">
        <v>7.1236380000000006</v>
      </c>
    </row>
    <row r="120" spans="2:26" x14ac:dyDescent="0.35">
      <c r="B120" s="54" t="s">
        <v>102</v>
      </c>
      <c r="C120" s="52" t="s">
        <v>85</v>
      </c>
      <c r="D120" s="52" t="s">
        <v>69</v>
      </c>
      <c r="E120" s="52" t="s">
        <v>465</v>
      </c>
      <c r="F120" s="72" t="s">
        <v>21</v>
      </c>
      <c r="G120" s="70">
        <v>6.5465700952428794E-3</v>
      </c>
      <c r="H120" s="70">
        <v>1.3194598281628752E-2</v>
      </c>
      <c r="I120" s="70">
        <v>1.6915894539423843E-2</v>
      </c>
      <c r="J120" s="62">
        <v>2.0253492270991512E-2</v>
      </c>
      <c r="K120" s="70" t="s">
        <v>21</v>
      </c>
      <c r="L120" s="70">
        <v>3.511717295242878E-3</v>
      </c>
      <c r="M120" s="70">
        <v>9.1602010816287539E-3</v>
      </c>
      <c r="N120" s="70">
        <v>1.1983913039423841E-2</v>
      </c>
      <c r="O120" s="70">
        <v>1.4042849970991509E-2</v>
      </c>
      <c r="P120" s="54" t="s">
        <v>21</v>
      </c>
      <c r="Q120" s="52" t="s">
        <v>21</v>
      </c>
      <c r="R120" s="93" t="s">
        <v>21</v>
      </c>
      <c r="S120" s="70">
        <v>0</v>
      </c>
      <c r="T120" s="62">
        <v>1.3194598281628752E-2</v>
      </c>
      <c r="V120" s="113">
        <v>1.1092302000000001</v>
      </c>
      <c r="W120" s="71">
        <v>2.8318501499999997</v>
      </c>
      <c r="X120" s="71">
        <v>4.3322761600000002</v>
      </c>
      <c r="Y120" s="71">
        <v>5.6020752700000003</v>
      </c>
      <c r="Z120" s="114">
        <v>7.1517343900000006</v>
      </c>
    </row>
    <row r="121" spans="2:26" x14ac:dyDescent="0.35">
      <c r="B121" s="56" t="s">
        <v>102</v>
      </c>
      <c r="C121" s="66" t="s">
        <v>35</v>
      </c>
      <c r="D121" s="66" t="s">
        <v>69</v>
      </c>
      <c r="E121" s="66" t="s">
        <v>159</v>
      </c>
      <c r="F121" s="73" t="s">
        <v>21</v>
      </c>
      <c r="G121" s="75">
        <v>9.1195139712735487E-3</v>
      </c>
      <c r="H121" s="75">
        <v>1.7513590012938542E-2</v>
      </c>
      <c r="I121" s="75">
        <v>2.241689375154568E-2</v>
      </c>
      <c r="J121" s="63">
        <v>2.6559594318937393E-2</v>
      </c>
      <c r="K121" s="75" t="s">
        <v>21</v>
      </c>
      <c r="L121" s="75">
        <v>6.1844774712735504E-3</v>
      </c>
      <c r="M121" s="75">
        <v>1.3564115612938542E-2</v>
      </c>
      <c r="N121" s="75">
        <v>1.754323365154568E-2</v>
      </c>
      <c r="O121" s="75">
        <v>2.039960831893739E-2</v>
      </c>
      <c r="P121" s="56" t="s">
        <v>21</v>
      </c>
      <c r="Q121" s="66" t="s">
        <v>21</v>
      </c>
      <c r="R121" s="95" t="s">
        <v>21</v>
      </c>
      <c r="S121" s="75">
        <v>0</v>
      </c>
      <c r="T121" s="63">
        <v>1.7513590012938542E-2</v>
      </c>
      <c r="V121" s="113">
        <v>1.1093280999999999</v>
      </c>
      <c r="W121" s="71">
        <v>2.8269916299999998</v>
      </c>
      <c r="X121" s="71">
        <v>4.3119275799999999</v>
      </c>
      <c r="Y121" s="71">
        <v>5.5552852000000001</v>
      </c>
      <c r="Z121" s="114">
        <v>7.0539712300000001</v>
      </c>
    </row>
    <row r="122" spans="2:26" x14ac:dyDescent="0.35">
      <c r="B122" s="55" t="s">
        <v>104</v>
      </c>
      <c r="C122" s="65" t="s">
        <v>85</v>
      </c>
      <c r="D122" s="65" t="s">
        <v>43</v>
      </c>
      <c r="E122" s="64" t="s">
        <v>423</v>
      </c>
      <c r="F122" s="79" t="s">
        <v>21</v>
      </c>
      <c r="G122" s="79">
        <v>5.2015095388236801E-3</v>
      </c>
      <c r="H122" s="79">
        <v>1.1129528342214182E-2</v>
      </c>
      <c r="I122" s="79">
        <v>1.420162796203076E-2</v>
      </c>
      <c r="J122" s="61">
        <v>1.7087979551602062E-2</v>
      </c>
      <c r="K122" s="79" t="s">
        <v>21</v>
      </c>
      <c r="L122" s="79">
        <v>2.0855674388236788E-3</v>
      </c>
      <c r="M122" s="79">
        <v>7.0197880422141808E-3</v>
      </c>
      <c r="N122" s="79">
        <v>9.1929664620307612E-3</v>
      </c>
      <c r="O122" s="79">
        <v>1.078279615160206E-2</v>
      </c>
      <c r="P122" s="55" t="s">
        <v>21</v>
      </c>
      <c r="Q122" s="65" t="s">
        <v>21</v>
      </c>
      <c r="R122" s="99" t="s">
        <v>21</v>
      </c>
      <c r="S122" s="79">
        <v>0</v>
      </c>
      <c r="T122" s="61">
        <v>1.1129528342214182E-2</v>
      </c>
      <c r="V122" s="117">
        <v>1.11083445</v>
      </c>
      <c r="W122" s="60">
        <v>2.8438849099999999</v>
      </c>
      <c r="X122" s="60">
        <v>4.36790842</v>
      </c>
      <c r="Y122" s="60">
        <v>5.6785015100000003</v>
      </c>
      <c r="Z122" s="118">
        <v>7.3111962200000002</v>
      </c>
    </row>
    <row r="123" spans="2:26" x14ac:dyDescent="0.35">
      <c r="B123" s="56" t="s">
        <v>104</v>
      </c>
      <c r="C123" s="66" t="s">
        <v>35</v>
      </c>
      <c r="D123" s="66" t="s">
        <v>43</v>
      </c>
      <c r="E123" s="53" t="s">
        <v>423</v>
      </c>
      <c r="F123" s="75" t="s">
        <v>21</v>
      </c>
      <c r="G123" s="75">
        <v>9.0233240463585204E-3</v>
      </c>
      <c r="H123" s="75">
        <v>1.7227499772724739E-2</v>
      </c>
      <c r="I123" s="75">
        <v>2.1648639306826471E-2</v>
      </c>
      <c r="J123" s="63">
        <v>2.5224723996685964E-2</v>
      </c>
      <c r="K123" s="75" t="s">
        <v>21</v>
      </c>
      <c r="L123" s="75">
        <v>6.0851274463585214E-3</v>
      </c>
      <c r="M123" s="75">
        <v>1.3275554772724737E-2</v>
      </c>
      <c r="N123" s="75">
        <v>1.6776073006826469E-2</v>
      </c>
      <c r="O123" s="75">
        <v>1.9066743696685963E-2</v>
      </c>
      <c r="P123" s="66" t="s">
        <v>21</v>
      </c>
      <c r="Q123" s="66" t="s">
        <v>21</v>
      </c>
      <c r="R123" s="95" t="s">
        <v>21</v>
      </c>
      <c r="S123" s="75">
        <v>0</v>
      </c>
      <c r="T123" s="63">
        <v>1.7227499772724739E-2</v>
      </c>
      <c r="V123" s="115">
        <v>1.1094461899999999</v>
      </c>
      <c r="W123" s="107">
        <v>2.8276731800000001</v>
      </c>
      <c r="X123" s="107">
        <v>4.3149462100000004</v>
      </c>
      <c r="Y123" s="107">
        <v>5.56609949</v>
      </c>
      <c r="Z123" s="116">
        <v>7.0882397700000004</v>
      </c>
    </row>
    <row r="124" spans="2:26" x14ac:dyDescent="0.35">
      <c r="B124" s="54" t="s">
        <v>105</v>
      </c>
      <c r="C124" s="52" t="s">
        <v>85</v>
      </c>
      <c r="D124" s="52" t="s">
        <v>43</v>
      </c>
      <c r="E124" s="52" t="s">
        <v>423</v>
      </c>
      <c r="F124" s="72" t="s">
        <v>21</v>
      </c>
      <c r="G124" s="70">
        <v>5.2516803595804035E-3</v>
      </c>
      <c r="H124" s="70">
        <v>1.1023639148188371E-2</v>
      </c>
      <c r="I124" s="70">
        <v>1.4103114639707164E-2</v>
      </c>
      <c r="J124" s="62">
        <v>1.6890706874594073E-2</v>
      </c>
      <c r="K124" s="70" t="s">
        <v>21</v>
      </c>
      <c r="L124" s="70">
        <v>2.1397222595804038E-3</v>
      </c>
      <c r="M124" s="70">
        <v>6.909212748188372E-3</v>
      </c>
      <c r="N124" s="70">
        <v>9.0903251397071692E-3</v>
      </c>
      <c r="O124" s="70">
        <v>1.0577366574594075E-2</v>
      </c>
      <c r="P124" s="54" t="s">
        <v>21</v>
      </c>
      <c r="Q124" s="52" t="s">
        <v>21</v>
      </c>
      <c r="R124" s="93" t="s">
        <v>21</v>
      </c>
      <c r="S124" s="70">
        <v>0</v>
      </c>
      <c r="T124" s="62">
        <v>1.1023639148188371E-2</v>
      </c>
      <c r="V124" s="113">
        <v>1.1109065600000001</v>
      </c>
      <c r="W124" s="71">
        <v>2.8432054</v>
      </c>
      <c r="X124" s="71">
        <v>4.36831046</v>
      </c>
      <c r="Y124" s="71">
        <v>5.6805222000000004</v>
      </c>
      <c r="Z124" s="114">
        <v>7.3179594200000002</v>
      </c>
    </row>
    <row r="125" spans="2:26" x14ac:dyDescent="0.35">
      <c r="B125" s="56" t="s">
        <v>105</v>
      </c>
      <c r="C125" s="66" t="s">
        <v>35</v>
      </c>
      <c r="D125" s="66" t="s">
        <v>43</v>
      </c>
      <c r="E125" s="66" t="s">
        <v>21</v>
      </c>
      <c r="F125" s="73" t="s">
        <v>21</v>
      </c>
      <c r="G125" s="75">
        <v>8.900057857381731E-3</v>
      </c>
      <c r="H125" s="75">
        <v>1.7032990056979166E-2</v>
      </c>
      <c r="I125" s="75">
        <v>2.1360368337086398E-2</v>
      </c>
      <c r="J125" s="63">
        <v>2.50391847726107E-2</v>
      </c>
      <c r="K125" s="75" t="s">
        <v>21</v>
      </c>
      <c r="L125" s="75">
        <v>5.9590181573817326E-3</v>
      </c>
      <c r="M125" s="75">
        <v>1.3079886656979161E-2</v>
      </c>
      <c r="N125" s="75">
        <v>1.6488029937086396E-2</v>
      </c>
      <c r="O125" s="75">
        <v>1.8880530572610701E-2</v>
      </c>
      <c r="P125" s="56" t="s">
        <v>21</v>
      </c>
      <c r="Q125" s="66" t="s">
        <v>21</v>
      </c>
      <c r="R125" s="95" t="s">
        <v>21</v>
      </c>
      <c r="S125" s="75">
        <v>0</v>
      </c>
      <c r="T125" s="63">
        <v>1.7032990056979166E-2</v>
      </c>
      <c r="V125" s="113">
        <v>1.10951585</v>
      </c>
      <c r="W125" s="71">
        <v>2.8283755799999999</v>
      </c>
      <c r="X125" s="71">
        <v>4.3173095300000002</v>
      </c>
      <c r="Y125" s="71">
        <v>5.57155719</v>
      </c>
      <c r="Z125" s="114">
        <v>7.0978551999999997</v>
      </c>
    </row>
    <row r="126" spans="2:26" x14ac:dyDescent="0.35">
      <c r="B126" s="55" t="s">
        <v>106</v>
      </c>
      <c r="C126" s="65" t="s">
        <v>85</v>
      </c>
      <c r="D126" s="65" t="s">
        <v>62</v>
      </c>
      <c r="E126" s="65" t="s">
        <v>466</v>
      </c>
      <c r="F126" s="74" t="s">
        <v>21</v>
      </c>
      <c r="G126" s="79">
        <v>5.9931338073533399E-3</v>
      </c>
      <c r="H126" s="79">
        <v>1.2260988918896628E-2</v>
      </c>
      <c r="I126" s="79">
        <v>1.5679834132651827E-2</v>
      </c>
      <c r="J126" s="61">
        <v>1.8741121878885453E-2</v>
      </c>
      <c r="K126" s="79" t="s">
        <v>21</v>
      </c>
      <c r="L126" s="79">
        <v>2.9286307073533419E-3</v>
      </c>
      <c r="M126" s="79">
        <v>8.1979101188966331E-3</v>
      </c>
      <c r="N126" s="79">
        <v>1.0720530532651831E-2</v>
      </c>
      <c r="O126" s="79">
        <v>1.2495178878885455E-2</v>
      </c>
      <c r="P126" s="55" t="s">
        <v>467</v>
      </c>
      <c r="Q126" s="65" t="s">
        <v>468</v>
      </c>
      <c r="R126" s="99" t="s">
        <v>32</v>
      </c>
      <c r="S126" s="79">
        <v>1.328993E-2</v>
      </c>
      <c r="T126" s="61">
        <v>-1.0289410811033725E-3</v>
      </c>
      <c r="V126" s="117">
        <v>1.11020516</v>
      </c>
      <c r="W126" s="60">
        <v>2.8371833400000002</v>
      </c>
      <c r="X126" s="60">
        <v>4.3481821499999995</v>
      </c>
      <c r="Y126" s="60">
        <v>5.6364295200000001</v>
      </c>
      <c r="Z126" s="118">
        <v>7.2249169200000001</v>
      </c>
    </row>
    <row r="127" spans="2:26" x14ac:dyDescent="0.35">
      <c r="B127" s="56" t="s">
        <v>106</v>
      </c>
      <c r="C127" s="66" t="s">
        <v>35</v>
      </c>
      <c r="D127" s="66" t="s">
        <v>62</v>
      </c>
      <c r="E127" s="66" t="s">
        <v>469</v>
      </c>
      <c r="F127" s="73" t="s">
        <v>21</v>
      </c>
      <c r="G127" s="75">
        <v>9.2004880419399616E-3</v>
      </c>
      <c r="H127" s="75">
        <v>1.7513927971429942E-2</v>
      </c>
      <c r="I127" s="75">
        <v>2.1832669727457749E-2</v>
      </c>
      <c r="J127" s="63">
        <v>2.5798063256086641E-2</v>
      </c>
      <c r="K127" s="75" t="s">
        <v>21</v>
      </c>
      <c r="L127" s="75">
        <v>6.2673120419399616E-3</v>
      </c>
      <c r="M127" s="75">
        <v>1.3564493471429944E-2</v>
      </c>
      <c r="N127" s="75">
        <v>1.6960990427457748E-2</v>
      </c>
      <c r="O127" s="75">
        <v>1.9639072056086636E-2</v>
      </c>
      <c r="P127" s="66" t="s">
        <v>21</v>
      </c>
      <c r="Q127" s="66" t="s">
        <v>21</v>
      </c>
      <c r="R127" s="95" t="s">
        <v>21</v>
      </c>
      <c r="S127" s="75">
        <v>0</v>
      </c>
      <c r="T127" s="63">
        <v>1.7513927971429942E-2</v>
      </c>
      <c r="V127" s="115">
        <v>1.10946189</v>
      </c>
      <c r="W127" s="107">
        <v>2.8268614400000001</v>
      </c>
      <c r="X127" s="107">
        <v>4.3116473500000003</v>
      </c>
      <c r="Y127" s="107">
        <v>5.5604286900000002</v>
      </c>
      <c r="Z127" s="116">
        <v>7.0734727299999998</v>
      </c>
    </row>
    <row r="128" spans="2:26" x14ac:dyDescent="0.35">
      <c r="B128" s="54" t="s">
        <v>107</v>
      </c>
      <c r="C128" s="52" t="s">
        <v>85</v>
      </c>
      <c r="D128" s="52" t="s">
        <v>62</v>
      </c>
      <c r="E128" s="52" t="s">
        <v>264</v>
      </c>
      <c r="F128" s="72" t="s">
        <v>21</v>
      </c>
      <c r="G128" s="70">
        <v>5.9850603314448546E-3</v>
      </c>
      <c r="H128" s="70">
        <v>1.2256805029364524E-2</v>
      </c>
      <c r="I128" s="70">
        <v>1.5826430120803085E-2</v>
      </c>
      <c r="J128" s="62">
        <v>1.8833144659349446E-2</v>
      </c>
      <c r="K128" s="70" t="s">
        <v>21</v>
      </c>
      <c r="L128" s="70">
        <v>2.9202030314448529E-3</v>
      </c>
      <c r="M128" s="70">
        <v>8.1934153293645277E-3</v>
      </c>
      <c r="N128" s="70">
        <v>1.0870234220803089E-2</v>
      </c>
      <c r="O128" s="70">
        <v>1.2590215759349446E-2</v>
      </c>
      <c r="P128" s="54" t="s">
        <v>21</v>
      </c>
      <c r="Q128" s="52" t="s">
        <v>21</v>
      </c>
      <c r="R128" s="93" t="s">
        <v>21</v>
      </c>
      <c r="S128" s="70">
        <v>0</v>
      </c>
      <c r="T128" s="62">
        <v>1.2256805029364524E-2</v>
      </c>
      <c r="V128" s="113">
        <v>1.10982322</v>
      </c>
      <c r="W128" s="71">
        <v>2.8365166399999997</v>
      </c>
      <c r="X128" s="71">
        <v>4.3475661199999998</v>
      </c>
      <c r="Y128" s="71">
        <v>5.6339777499999997</v>
      </c>
      <c r="Z128" s="114">
        <v>7.2194398300000007</v>
      </c>
    </row>
    <row r="129" spans="2:26" x14ac:dyDescent="0.35">
      <c r="B129" s="54" t="s">
        <v>107</v>
      </c>
      <c r="C129" s="52" t="s">
        <v>35</v>
      </c>
      <c r="D129" s="52" t="s">
        <v>62</v>
      </c>
      <c r="E129" s="52" t="s">
        <v>289</v>
      </c>
      <c r="F129" s="72" t="s">
        <v>21</v>
      </c>
      <c r="G129" s="70">
        <v>8.5963941551980942E-3</v>
      </c>
      <c r="H129" s="70">
        <v>1.6549768059573401E-2</v>
      </c>
      <c r="I129" s="70">
        <v>2.0592404791829427E-2</v>
      </c>
      <c r="J129" s="62">
        <v>2.4579077265195745E-2</v>
      </c>
      <c r="K129" s="70" t="s">
        <v>21</v>
      </c>
      <c r="L129" s="70">
        <v>5.6470057551980942E-3</v>
      </c>
      <c r="M129" s="70">
        <v>1.2592197159573403E-2</v>
      </c>
      <c r="N129" s="70">
        <v>1.5718446391829427E-2</v>
      </c>
      <c r="O129" s="70">
        <v>1.8417236565195741E-2</v>
      </c>
      <c r="P129" s="54" t="s">
        <v>21</v>
      </c>
      <c r="Q129" s="52" t="s">
        <v>21</v>
      </c>
      <c r="R129" s="93" t="s">
        <v>21</v>
      </c>
      <c r="S129" s="70">
        <v>0</v>
      </c>
      <c r="T129" s="62">
        <v>1.6549768059573401E-2</v>
      </c>
      <c r="V129" s="113">
        <v>1.1095606500000001</v>
      </c>
      <c r="W129" s="71">
        <v>2.8298840200000002</v>
      </c>
      <c r="X129" s="71">
        <v>4.3229831500000007</v>
      </c>
      <c r="Y129" s="71">
        <v>5.5854592199999997</v>
      </c>
      <c r="Z129" s="114">
        <v>7.1224736399999999</v>
      </c>
    </row>
    <row r="130" spans="2:26" x14ac:dyDescent="0.35">
      <c r="B130" s="96" t="s">
        <v>83</v>
      </c>
      <c r="C130" s="97"/>
      <c r="D130" s="97"/>
      <c r="E130" s="97"/>
      <c r="F130" s="77"/>
      <c r="G130" s="77"/>
      <c r="H130" s="77"/>
      <c r="I130" s="77"/>
      <c r="J130" s="77"/>
      <c r="K130" s="97"/>
      <c r="L130" s="97"/>
      <c r="M130" s="97"/>
      <c r="N130" s="97"/>
      <c r="O130" s="97"/>
      <c r="P130" s="96"/>
      <c r="Q130" s="97"/>
      <c r="R130" s="100"/>
      <c r="S130" s="97"/>
      <c r="T130" s="98"/>
      <c r="V130" s="119"/>
      <c r="W130" s="108"/>
      <c r="X130" s="108"/>
      <c r="Y130" s="108"/>
      <c r="Z130" s="120"/>
    </row>
    <row r="131" spans="2:26" x14ac:dyDescent="0.35">
      <c r="B131" s="55" t="s">
        <v>108</v>
      </c>
      <c r="C131" s="65" t="s">
        <v>85</v>
      </c>
      <c r="D131" s="65" t="s">
        <v>20</v>
      </c>
      <c r="E131" s="64" t="s">
        <v>58</v>
      </c>
      <c r="F131" s="79" t="s">
        <v>21</v>
      </c>
      <c r="G131" s="79">
        <v>6.0501866871793073E-3</v>
      </c>
      <c r="H131" s="79">
        <v>1.2020367583488178E-2</v>
      </c>
      <c r="I131" s="79">
        <v>1.6379332347351682E-2</v>
      </c>
      <c r="J131" s="61">
        <v>1.9721889001282907E-2</v>
      </c>
      <c r="K131" s="79" t="s">
        <v>21</v>
      </c>
      <c r="L131" s="79">
        <v>2.9890049871793083E-3</v>
      </c>
      <c r="M131" s="79">
        <v>7.9483077834881823E-3</v>
      </c>
      <c r="N131" s="79">
        <v>1.143384364735168E-2</v>
      </c>
      <c r="O131" s="79">
        <v>1.350074340128291E-2</v>
      </c>
      <c r="P131" s="55" t="s">
        <v>470</v>
      </c>
      <c r="Q131" s="65" t="s">
        <v>471</v>
      </c>
      <c r="R131" s="99">
        <v>47580</v>
      </c>
      <c r="S131" s="79">
        <v>9.2825000000000008E-3</v>
      </c>
      <c r="T131" s="61">
        <v>2.7378675834881776E-3</v>
      </c>
      <c r="V131" s="117">
        <v>1.10965242</v>
      </c>
      <c r="W131" s="60">
        <v>2.83609987</v>
      </c>
      <c r="X131" s="60">
        <v>4.3503013799999994</v>
      </c>
      <c r="Y131" s="60">
        <v>5.6291824300000002</v>
      </c>
      <c r="Z131" s="118">
        <v>7.1916715199999999</v>
      </c>
    </row>
    <row r="132" spans="2:26" x14ac:dyDescent="0.35">
      <c r="B132" s="54" t="s">
        <v>109</v>
      </c>
      <c r="C132" s="52" t="s">
        <v>85</v>
      </c>
      <c r="D132" s="52" t="s">
        <v>20</v>
      </c>
      <c r="E132" s="58" t="s">
        <v>54</v>
      </c>
      <c r="F132" s="70">
        <v>7.370646785632342E-4</v>
      </c>
      <c r="G132" s="70">
        <v>1.1838186415992212E-2</v>
      </c>
      <c r="H132" s="70">
        <v>2.1706040663868741E-2</v>
      </c>
      <c r="I132" s="70">
        <v>2.8010114186768367E-2</v>
      </c>
      <c r="J132" s="62">
        <v>2.9496981066153144E-2</v>
      </c>
      <c r="K132" s="70" t="s">
        <v>21</v>
      </c>
      <c r="L132" s="70">
        <v>8.9245532159922102E-3</v>
      </c>
      <c r="M132" s="70">
        <v>1.7692568963868741E-2</v>
      </c>
      <c r="N132" s="70">
        <v>2.2996637986768362E-2</v>
      </c>
      <c r="O132" s="70">
        <v>2.3278186866153145E-2</v>
      </c>
      <c r="P132" s="54" t="s">
        <v>472</v>
      </c>
      <c r="Q132" s="52" t="s">
        <v>473</v>
      </c>
      <c r="R132" s="93" t="s">
        <v>32</v>
      </c>
      <c r="S132" s="70">
        <v>1.3308519999999999E-2</v>
      </c>
      <c r="T132" s="62">
        <v>8.3975206638687416E-3</v>
      </c>
      <c r="V132" s="113">
        <v>1.1038817600000002</v>
      </c>
      <c r="W132" s="71">
        <v>2.7904980900000003</v>
      </c>
      <c r="X132" s="71">
        <v>4.19514297</v>
      </c>
      <c r="Y132" s="71">
        <v>5.3060499499999993</v>
      </c>
      <c r="Z132" s="114">
        <v>6.6276920399999995</v>
      </c>
    </row>
    <row r="133" spans="2:26" x14ac:dyDescent="0.35">
      <c r="B133" s="56" t="s">
        <v>111</v>
      </c>
      <c r="C133" s="66" t="s">
        <v>85</v>
      </c>
      <c r="D133" s="66" t="s">
        <v>20</v>
      </c>
      <c r="E133" s="53" t="s">
        <v>112</v>
      </c>
      <c r="F133" s="75" t="s">
        <v>21</v>
      </c>
      <c r="G133" s="75">
        <v>8.0141074316613155E-3</v>
      </c>
      <c r="H133" s="75">
        <v>1.470180258521451E-2</v>
      </c>
      <c r="I133" s="75">
        <v>1.8423261193880644E-2</v>
      </c>
      <c r="J133" s="63">
        <v>2.1695721556221154E-2</v>
      </c>
      <c r="K133" s="75" t="s">
        <v>21</v>
      </c>
      <c r="L133" s="75">
        <v>5.0367968316613176E-3</v>
      </c>
      <c r="M133" s="75">
        <v>1.0698902985214514E-2</v>
      </c>
      <c r="N133" s="75">
        <v>1.3511783693880642E-2</v>
      </c>
      <c r="O133" s="75">
        <v>1.5509864656221157E-2</v>
      </c>
      <c r="P133" s="56" t="s">
        <v>21</v>
      </c>
      <c r="Q133" s="66" t="s">
        <v>21</v>
      </c>
      <c r="R133" s="95" t="s">
        <v>21</v>
      </c>
      <c r="S133" s="75">
        <v>0</v>
      </c>
      <c r="T133" s="63">
        <v>1.470180258521451E-2</v>
      </c>
      <c r="V133" s="115">
        <v>1.1078831500000001</v>
      </c>
      <c r="W133" s="107">
        <v>2.82051147</v>
      </c>
      <c r="X133" s="107">
        <v>4.3039031200000002</v>
      </c>
      <c r="Y133" s="107">
        <v>5.5497014699999996</v>
      </c>
      <c r="Z133" s="116">
        <v>7.0555308499999994</v>
      </c>
    </row>
    <row r="134" spans="2:26" x14ac:dyDescent="0.35">
      <c r="P134" s="127"/>
      <c r="Q134" s="127"/>
      <c r="R134" s="44"/>
      <c r="S134" s="127"/>
      <c r="T134" s="127"/>
      <c r="V134" s="71"/>
      <c r="W134" s="71"/>
      <c r="X134" s="71"/>
      <c r="Y134" s="71"/>
      <c r="Z134" s="71"/>
    </row>
    <row r="135" spans="2:26" ht="15.5" x14ac:dyDescent="0.35">
      <c r="B135" s="121" t="s">
        <v>113</v>
      </c>
      <c r="R135" s="93"/>
      <c r="S135" s="70"/>
      <c r="T135" s="70"/>
      <c r="V135" s="71"/>
      <c r="W135" s="71"/>
      <c r="X135" s="71"/>
      <c r="Y135" s="71"/>
      <c r="Z135" s="71"/>
    </row>
    <row r="136" spans="2:26" x14ac:dyDescent="0.35">
      <c r="B136" s="84" t="s">
        <v>5</v>
      </c>
      <c r="C136" s="83" t="s">
        <v>6</v>
      </c>
      <c r="D136" s="83" t="s">
        <v>7</v>
      </c>
      <c r="E136" s="83" t="s">
        <v>8</v>
      </c>
      <c r="F136" s="82" t="s">
        <v>9</v>
      </c>
      <c r="G136" s="81" t="s">
        <v>10</v>
      </c>
      <c r="H136" s="81" t="s">
        <v>11</v>
      </c>
      <c r="I136" s="81" t="s">
        <v>12</v>
      </c>
      <c r="J136" s="80" t="s">
        <v>13</v>
      </c>
      <c r="K136" s="57" t="s">
        <v>9</v>
      </c>
      <c r="L136" s="57" t="s">
        <v>10</v>
      </c>
      <c r="M136" s="57" t="s">
        <v>11</v>
      </c>
      <c r="N136" s="57" t="s">
        <v>12</v>
      </c>
      <c r="O136" s="57" t="s">
        <v>13</v>
      </c>
      <c r="P136" s="69" t="s">
        <v>14</v>
      </c>
      <c r="Q136" s="57" t="s">
        <v>15</v>
      </c>
      <c r="R136" s="57" t="s">
        <v>16</v>
      </c>
      <c r="S136" s="57" t="s">
        <v>415</v>
      </c>
      <c r="T136" s="57" t="s">
        <v>18</v>
      </c>
      <c r="V136" s="109" t="s">
        <v>9</v>
      </c>
      <c r="W136" s="105" t="s">
        <v>10</v>
      </c>
      <c r="X136" s="105" t="s">
        <v>11</v>
      </c>
      <c r="Y136" s="105" t="s">
        <v>12</v>
      </c>
      <c r="Z136" s="110" t="s">
        <v>13</v>
      </c>
    </row>
    <row r="137" spans="2:26" x14ac:dyDescent="0.35">
      <c r="B137" s="78" t="s">
        <v>114</v>
      </c>
      <c r="C137" s="9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8"/>
      <c r="Q137" s="77"/>
      <c r="R137" s="94"/>
      <c r="S137" s="77"/>
      <c r="T137" s="76"/>
      <c r="V137" s="111"/>
      <c r="W137" s="106"/>
      <c r="X137" s="106"/>
      <c r="Y137" s="106"/>
      <c r="Z137" s="112"/>
    </row>
    <row r="138" spans="2:26" x14ac:dyDescent="0.35">
      <c r="B138" s="55" t="s">
        <v>317</v>
      </c>
      <c r="C138" s="65" t="s">
        <v>232</v>
      </c>
      <c r="D138" s="65" t="s">
        <v>20</v>
      </c>
      <c r="E138" s="65" t="s">
        <v>21</v>
      </c>
      <c r="F138" s="79">
        <v>2.875089413339792E-4</v>
      </c>
      <c r="G138" s="79">
        <v>1.3423243318328493E-2</v>
      </c>
      <c r="H138" s="79">
        <v>2.7921107811312278E-2</v>
      </c>
      <c r="I138" s="79">
        <v>3.427944643439685E-2</v>
      </c>
      <c r="J138" s="61">
        <v>3.8612552093271399E-2</v>
      </c>
      <c r="K138" s="79" t="s">
        <v>21</v>
      </c>
      <c r="L138" s="79">
        <v>1.050583451832849E-2</v>
      </c>
      <c r="M138" s="79">
        <v>2.3755021011312282E-2</v>
      </c>
      <c r="N138" s="79">
        <v>2.9067620634396846E-2</v>
      </c>
      <c r="O138" s="79">
        <v>3.2127831793271402E-2</v>
      </c>
      <c r="P138" s="55" t="s">
        <v>21</v>
      </c>
      <c r="Q138" s="65" t="s">
        <v>21</v>
      </c>
      <c r="R138" s="99" t="s">
        <v>21</v>
      </c>
      <c r="S138" s="74">
        <v>0</v>
      </c>
      <c r="T138" s="61">
        <v>2.7921107811312278E-2</v>
      </c>
      <c r="V138" s="113">
        <v>1.10527295</v>
      </c>
      <c r="W138" s="71">
        <v>2.7827464699999997</v>
      </c>
      <c r="X138" s="71">
        <v>4.1269246099999997</v>
      </c>
      <c r="Y138" s="71">
        <v>5.1498992700000006</v>
      </c>
      <c r="Z138" s="114">
        <v>6.2716226099999997</v>
      </c>
    </row>
    <row r="139" spans="2:26" x14ac:dyDescent="0.35">
      <c r="B139" s="54" t="s">
        <v>175</v>
      </c>
      <c r="C139" s="52" t="s">
        <v>232</v>
      </c>
      <c r="D139" s="52" t="s">
        <v>43</v>
      </c>
      <c r="E139" s="52" t="s">
        <v>21</v>
      </c>
      <c r="F139" s="70" t="s">
        <v>21</v>
      </c>
      <c r="G139" s="70">
        <v>1.3833531952304041E-2</v>
      </c>
      <c r="H139" s="70">
        <v>2.6443320821401391E-2</v>
      </c>
      <c r="I139" s="70">
        <v>3.4895892385426182E-2</v>
      </c>
      <c r="J139" s="62">
        <v>3.8361403378130758E-2</v>
      </c>
      <c r="K139" s="70" t="s">
        <v>21</v>
      </c>
      <c r="L139" s="70">
        <v>1.0915733552304043E-2</v>
      </c>
      <c r="M139" s="70">
        <v>2.2323190721401397E-2</v>
      </c>
      <c r="N139" s="70">
        <v>2.9652688185426181E-2</v>
      </c>
      <c r="O139" s="70">
        <v>3.1888429978130753E-2</v>
      </c>
      <c r="P139" s="54" t="s">
        <v>21</v>
      </c>
      <c r="Q139" s="52" t="s">
        <v>21</v>
      </c>
      <c r="R139" s="93" t="s">
        <v>21</v>
      </c>
      <c r="S139" s="72">
        <v>0</v>
      </c>
      <c r="T139" s="62">
        <v>2.6443320821401391E-2</v>
      </c>
      <c r="V139" s="113">
        <v>1.10593253</v>
      </c>
      <c r="W139" s="71">
        <v>2.7789666799999999</v>
      </c>
      <c r="X139" s="71">
        <v>4.1348940600000006</v>
      </c>
      <c r="Y139" s="71">
        <v>5.1585521400000003</v>
      </c>
      <c r="Z139" s="114">
        <v>6.2830375999999992</v>
      </c>
    </row>
    <row r="140" spans="2:26" x14ac:dyDescent="0.35">
      <c r="B140" s="54" t="s">
        <v>122</v>
      </c>
      <c r="C140" s="52" t="s">
        <v>232</v>
      </c>
      <c r="D140" s="52" t="s">
        <v>97</v>
      </c>
      <c r="E140" s="52" t="s">
        <v>267</v>
      </c>
      <c r="F140" s="70" t="s">
        <v>21</v>
      </c>
      <c r="G140" s="70">
        <v>1.2922021115813115E-2</v>
      </c>
      <c r="H140" s="70">
        <v>2.4443525786521123E-2</v>
      </c>
      <c r="I140" s="70">
        <v>3.2775731362922597E-2</v>
      </c>
      <c r="J140" s="62">
        <v>3.875809809647314E-2</v>
      </c>
      <c r="K140" s="70" t="s">
        <v>21</v>
      </c>
      <c r="L140" s="70">
        <v>1.0008518515813112E-2</v>
      </c>
      <c r="M140" s="70">
        <v>2.0377268686521122E-2</v>
      </c>
      <c r="N140" s="70">
        <v>2.7615365862922597E-2</v>
      </c>
      <c r="O140" s="70">
        <v>3.2262051696473136E-2</v>
      </c>
      <c r="P140" s="54" t="s">
        <v>21</v>
      </c>
      <c r="Q140" s="52" t="s">
        <v>21</v>
      </c>
      <c r="R140" s="93" t="s">
        <v>21</v>
      </c>
      <c r="S140" s="72">
        <v>0</v>
      </c>
      <c r="T140" s="62">
        <v>2.4443525786521123E-2</v>
      </c>
      <c r="V140" s="113">
        <v>1.10729115</v>
      </c>
      <c r="W140" s="71">
        <v>2.78846857</v>
      </c>
      <c r="X140" s="71">
        <v>4.1652143700000002</v>
      </c>
      <c r="Y140" s="71">
        <v>5.2170367300000002</v>
      </c>
      <c r="Z140" s="114">
        <v>6.3434579600000003</v>
      </c>
    </row>
    <row r="141" spans="2:26" x14ac:dyDescent="0.35">
      <c r="B141" s="54" t="s">
        <v>168</v>
      </c>
      <c r="C141" s="52" t="s">
        <v>232</v>
      </c>
      <c r="D141" s="52" t="s">
        <v>20</v>
      </c>
      <c r="E141" s="52" t="s">
        <v>21</v>
      </c>
      <c r="F141" s="70">
        <v>2.4059515537219666E-3</v>
      </c>
      <c r="G141" s="70">
        <v>1.4154731957968715E-2</v>
      </c>
      <c r="H141" s="70">
        <v>2.4751190781487815E-2</v>
      </c>
      <c r="I141" s="70">
        <v>2.9744830380813478E-2</v>
      </c>
      <c r="J141" s="62">
        <v>3.4204731019972026E-2</v>
      </c>
      <c r="K141" s="70">
        <v>8.6122175372196734E-4</v>
      </c>
      <c r="L141" s="70">
        <v>1.1235591457968715E-2</v>
      </c>
      <c r="M141" s="70">
        <v>2.0672871781487818E-2</v>
      </c>
      <c r="N141" s="70">
        <v>2.4688124680813477E-2</v>
      </c>
      <c r="O141" s="70">
        <v>2.7859855319972027E-2</v>
      </c>
      <c r="P141" s="54" t="s">
        <v>474</v>
      </c>
      <c r="Q141" s="52" t="s">
        <v>475</v>
      </c>
      <c r="R141" s="93">
        <v>47505</v>
      </c>
      <c r="S141" s="72">
        <v>1.9523260000000001E-2</v>
      </c>
      <c r="T141" s="62">
        <v>5.2279307814878141E-3</v>
      </c>
      <c r="V141" s="113">
        <v>1.09957186</v>
      </c>
      <c r="W141" s="71">
        <v>2.7661951500000002</v>
      </c>
      <c r="X141" s="71">
        <v>4.1414903000000001</v>
      </c>
      <c r="Y141" s="71">
        <v>5.2169818399999999</v>
      </c>
      <c r="Z141" s="114">
        <v>6.43635716</v>
      </c>
    </row>
    <row r="142" spans="2:26" x14ac:dyDescent="0.35">
      <c r="B142" s="54" t="s">
        <v>152</v>
      </c>
      <c r="C142" s="52" t="s">
        <v>232</v>
      </c>
      <c r="D142" s="52" t="s">
        <v>20</v>
      </c>
      <c r="E142" s="52" t="s">
        <v>123</v>
      </c>
      <c r="F142" s="70">
        <v>1.6000222362796525E-3</v>
      </c>
      <c r="G142" s="70">
        <v>1.5400320601164245E-2</v>
      </c>
      <c r="H142" s="70">
        <v>2.3391990799767011E-2</v>
      </c>
      <c r="I142" s="70">
        <v>2.8474701831845185E-2</v>
      </c>
      <c r="J142" s="62">
        <v>3.1519742832111224E-2</v>
      </c>
      <c r="K142" s="70">
        <v>3.8292936279652433E-5</v>
      </c>
      <c r="L142" s="70">
        <v>1.2468454801164246E-2</v>
      </c>
      <c r="M142" s="70">
        <v>1.9346440099767014E-2</v>
      </c>
      <c r="N142" s="70">
        <v>2.344715033184518E-2</v>
      </c>
      <c r="O142" s="70">
        <v>2.5244758032111226E-2</v>
      </c>
      <c r="P142" s="54" t="s">
        <v>476</v>
      </c>
      <c r="Q142" s="52" t="s">
        <v>477</v>
      </c>
      <c r="R142" s="93">
        <v>47484</v>
      </c>
      <c r="S142" s="72">
        <v>1.5788740000000002E-2</v>
      </c>
      <c r="T142" s="62">
        <v>7.6032507997670085E-3</v>
      </c>
      <c r="V142" s="113">
        <v>1.10169173</v>
      </c>
      <c r="W142" s="71">
        <v>2.7626255899999999</v>
      </c>
      <c r="X142" s="71">
        <v>4.1448683800000001</v>
      </c>
      <c r="Y142" s="71">
        <v>5.2451125300000001</v>
      </c>
      <c r="Z142" s="114">
        <v>6.5201057899999997</v>
      </c>
    </row>
    <row r="143" spans="2:26" x14ac:dyDescent="0.35">
      <c r="B143" s="54" t="s">
        <v>174</v>
      </c>
      <c r="C143" s="52" t="s">
        <v>232</v>
      </c>
      <c r="D143" s="52" t="s">
        <v>47</v>
      </c>
      <c r="E143" s="52" t="s">
        <v>21</v>
      </c>
      <c r="F143" s="70">
        <v>2.4838513911774832E-3</v>
      </c>
      <c r="G143" s="70">
        <v>1.2967783342563356E-2</v>
      </c>
      <c r="H143" s="70">
        <v>2.2118949870401691E-2</v>
      </c>
      <c r="I143" s="70">
        <v>2.5565243910030962E-2</v>
      </c>
      <c r="J143" s="62">
        <v>2.8600673101427394E-2</v>
      </c>
      <c r="K143" s="70">
        <v>9.367299911774837E-4</v>
      </c>
      <c r="L143" s="70">
        <v>1.0051450042563356E-2</v>
      </c>
      <c r="M143" s="70">
        <v>1.809404967040169E-2</v>
      </c>
      <c r="N143" s="70">
        <v>2.0605974810030958E-2</v>
      </c>
      <c r="O143" s="70">
        <v>2.2381918801427397E-2</v>
      </c>
      <c r="P143" s="54" t="s">
        <v>21</v>
      </c>
      <c r="Q143" s="52" t="s">
        <v>21</v>
      </c>
      <c r="R143" s="93" t="s">
        <v>21</v>
      </c>
      <c r="S143" s="72">
        <v>0</v>
      </c>
      <c r="T143" s="62">
        <v>2.2118949870401691E-2</v>
      </c>
      <c r="V143" s="113">
        <v>1.09948143</v>
      </c>
      <c r="W143" s="71">
        <v>2.77543411</v>
      </c>
      <c r="X143" s="71">
        <v>4.1734535400000006</v>
      </c>
      <c r="Y143" s="71">
        <v>5.3136929200000003</v>
      </c>
      <c r="Z143" s="114">
        <v>6.6559010399999989</v>
      </c>
    </row>
    <row r="144" spans="2:26" x14ac:dyDescent="0.35">
      <c r="B144" s="54" t="s">
        <v>323</v>
      </c>
      <c r="C144" s="52" t="s">
        <v>232</v>
      </c>
      <c r="D144" s="52" t="s">
        <v>69</v>
      </c>
      <c r="E144" s="52" t="s">
        <v>116</v>
      </c>
      <c r="F144" s="70">
        <v>2.2525880803012793E-5</v>
      </c>
      <c r="G144" s="70">
        <v>1.0863993906191466E-2</v>
      </c>
      <c r="H144" s="70">
        <v>2.1722931740553075E-2</v>
      </c>
      <c r="I144" s="70">
        <v>2.7509883149908161E-2</v>
      </c>
      <c r="J144" s="62">
        <v>3.1888106703141787E-2</v>
      </c>
      <c r="K144" s="70" t="s">
        <v>21</v>
      </c>
      <c r="L144" s="70">
        <v>7.9421957061914673E-3</v>
      </c>
      <c r="M144" s="70">
        <v>1.7706616740553075E-2</v>
      </c>
      <c r="N144" s="70">
        <v>2.2508973049908163E-2</v>
      </c>
      <c r="O144" s="70">
        <v>2.5610509303141786E-2</v>
      </c>
      <c r="P144" s="54" t="s">
        <v>377</v>
      </c>
      <c r="Q144" s="52" t="s">
        <v>378</v>
      </c>
      <c r="R144" s="93" t="s">
        <v>32</v>
      </c>
      <c r="S144" s="72">
        <v>1.305073E-2</v>
      </c>
      <c r="T144" s="62">
        <v>8.6722017405530746E-3</v>
      </c>
      <c r="V144" s="113">
        <v>1.1058236699999999</v>
      </c>
      <c r="W144" s="71">
        <v>2.7984692899999999</v>
      </c>
      <c r="X144" s="71">
        <v>4.2052551000000005</v>
      </c>
      <c r="Y144" s="71">
        <v>5.32256734</v>
      </c>
      <c r="Z144" s="114">
        <v>6.5908592000000006</v>
      </c>
    </row>
    <row r="145" spans="2:26" x14ac:dyDescent="0.35">
      <c r="B145" s="54" t="s">
        <v>130</v>
      </c>
      <c r="C145" s="52" t="s">
        <v>232</v>
      </c>
      <c r="D145" s="52" t="s">
        <v>131</v>
      </c>
      <c r="E145" s="52" t="s">
        <v>288</v>
      </c>
      <c r="F145" s="70" t="s">
        <v>21</v>
      </c>
      <c r="G145" s="70">
        <v>1.0416684445435417E-2</v>
      </c>
      <c r="H145" s="70">
        <v>2.0347820339106728E-2</v>
      </c>
      <c r="I145" s="70">
        <v>2.6644125857589757E-2</v>
      </c>
      <c r="J145" s="62">
        <v>3.0754721113364879E-2</v>
      </c>
      <c r="K145" s="70" t="s">
        <v>21</v>
      </c>
      <c r="L145" s="70">
        <v>7.4900165454354177E-3</v>
      </c>
      <c r="M145" s="70">
        <v>1.6350518839106733E-2</v>
      </c>
      <c r="N145" s="70">
        <v>2.1661372857589758E-2</v>
      </c>
      <c r="O145" s="70">
        <v>2.4505106913364886E-2</v>
      </c>
      <c r="P145" s="54" t="s">
        <v>478</v>
      </c>
      <c r="Q145" s="52" t="s">
        <v>479</v>
      </c>
      <c r="R145" s="93">
        <v>47532</v>
      </c>
      <c r="S145" s="72">
        <v>1.28658E-2</v>
      </c>
      <c r="T145" s="62">
        <v>7.4820203391067278E-3</v>
      </c>
      <c r="V145" s="113">
        <v>1.10669415</v>
      </c>
      <c r="W145" s="71">
        <v>2.8028668799999998</v>
      </c>
      <c r="X145" s="71">
        <v>4.2239859800000001</v>
      </c>
      <c r="Y145" s="71">
        <v>5.3551225000000002</v>
      </c>
      <c r="Z145" s="114">
        <v>6.6471054799999996</v>
      </c>
    </row>
    <row r="146" spans="2:26" x14ac:dyDescent="0.35">
      <c r="B146" s="54" t="s">
        <v>171</v>
      </c>
      <c r="C146" s="52" t="s">
        <v>232</v>
      </c>
      <c r="D146" s="52" t="s">
        <v>20</v>
      </c>
      <c r="E146" s="52" t="s">
        <v>21</v>
      </c>
      <c r="F146" s="70">
        <v>7.5566968165217702E-4</v>
      </c>
      <c r="G146" s="70">
        <v>1.0866946644859057E-2</v>
      </c>
      <c r="H146" s="70">
        <v>1.9535968555643202E-2</v>
      </c>
      <c r="I146" s="70">
        <v>2.4235290883065887E-2</v>
      </c>
      <c r="J146" s="62">
        <v>2.8484829205202573E-2</v>
      </c>
      <c r="K146" s="70" t="s">
        <v>21</v>
      </c>
      <c r="L146" s="70">
        <v>7.9441042448590606E-3</v>
      </c>
      <c r="M146" s="70">
        <v>1.5546523055643203E-2</v>
      </c>
      <c r="N146" s="70">
        <v>1.9301078383065887E-2</v>
      </c>
      <c r="O146" s="70">
        <v>2.2272736105202574E-2</v>
      </c>
      <c r="P146" s="54" t="s">
        <v>480</v>
      </c>
      <c r="Q146" s="52" t="s">
        <v>481</v>
      </c>
      <c r="R146" s="93">
        <v>47644</v>
      </c>
      <c r="S146" s="72">
        <v>1.310918E-2</v>
      </c>
      <c r="T146" s="62">
        <v>6.4267885556432026E-3</v>
      </c>
      <c r="V146" s="113">
        <v>1.1039109499999999</v>
      </c>
      <c r="W146" s="71">
        <v>2.7971903199999999</v>
      </c>
      <c r="X146" s="71">
        <v>4.2255205</v>
      </c>
      <c r="Y146" s="71">
        <v>5.38470768</v>
      </c>
      <c r="Z146" s="114">
        <v>6.7315148899999997</v>
      </c>
    </row>
    <row r="147" spans="2:26" x14ac:dyDescent="0.35">
      <c r="B147" s="54" t="s">
        <v>332</v>
      </c>
      <c r="C147" s="52" t="s">
        <v>232</v>
      </c>
      <c r="D147" s="52" t="s">
        <v>20</v>
      </c>
      <c r="E147" s="52" t="s">
        <v>21</v>
      </c>
      <c r="F147" s="70" t="s">
        <v>21</v>
      </c>
      <c r="G147" s="70">
        <v>8.7874783191492483E-3</v>
      </c>
      <c r="H147" s="70">
        <v>1.8235333320168787E-2</v>
      </c>
      <c r="I147" s="70">
        <v>2.2635043135131268E-2</v>
      </c>
      <c r="J147" s="62">
        <v>2.6717155987054059E-2</v>
      </c>
      <c r="K147" s="70" t="s">
        <v>21</v>
      </c>
      <c r="L147" s="70">
        <v>5.8317355191492472E-3</v>
      </c>
      <c r="M147" s="70">
        <v>1.4251663620168784E-2</v>
      </c>
      <c r="N147" s="70">
        <v>1.7722491235131269E-2</v>
      </c>
      <c r="O147" s="70">
        <v>2.0529894687054059E-2</v>
      </c>
      <c r="P147" s="54" t="s">
        <v>21</v>
      </c>
      <c r="Q147" s="52" t="s">
        <v>21</v>
      </c>
      <c r="R147" s="93" t="s">
        <v>21</v>
      </c>
      <c r="S147" s="72">
        <v>0</v>
      </c>
      <c r="T147" s="62">
        <v>1.8235333320168787E-2</v>
      </c>
      <c r="V147" s="113">
        <v>1.1077313199999999</v>
      </c>
      <c r="W147" s="71">
        <v>2.81373373</v>
      </c>
      <c r="X147" s="71">
        <v>4.2601144</v>
      </c>
      <c r="Y147" s="71">
        <v>5.4396447200000004</v>
      </c>
      <c r="Z147" s="114">
        <v>6.8274578899999998</v>
      </c>
    </row>
    <row r="148" spans="2:26" x14ac:dyDescent="0.35">
      <c r="B148" s="54" t="s">
        <v>118</v>
      </c>
      <c r="C148" s="52" t="s">
        <v>232</v>
      </c>
      <c r="D148" s="52" t="s">
        <v>20</v>
      </c>
      <c r="E148" s="52" t="s">
        <v>123</v>
      </c>
      <c r="F148" s="70" t="s">
        <v>21</v>
      </c>
      <c r="G148" s="70">
        <v>9.4425412878029972E-3</v>
      </c>
      <c r="H148" s="70">
        <v>1.8104297377458851E-2</v>
      </c>
      <c r="I148" s="70">
        <v>2.3642804005599892E-2</v>
      </c>
      <c r="J148" s="62">
        <v>2.7150639169238693E-2</v>
      </c>
      <c r="K148" s="70" t="s">
        <v>21</v>
      </c>
      <c r="L148" s="70">
        <v>6.5008017878029987E-3</v>
      </c>
      <c r="M148" s="70">
        <v>1.4122889277458851E-2</v>
      </c>
      <c r="N148" s="70">
        <v>1.8712800305599891E-2</v>
      </c>
      <c r="O148" s="70">
        <v>2.0960891669238688E-2</v>
      </c>
      <c r="P148" s="54" t="s">
        <v>482</v>
      </c>
      <c r="Q148" s="52" t="s">
        <v>483</v>
      </c>
      <c r="R148" s="93">
        <v>47557</v>
      </c>
      <c r="S148" s="72">
        <v>1.202105E-2</v>
      </c>
      <c r="T148" s="62">
        <v>6.0832473774588506E-3</v>
      </c>
      <c r="V148" s="113">
        <v>1.1069597600000001</v>
      </c>
      <c r="W148" s="71">
        <v>2.80949654</v>
      </c>
      <c r="X148" s="71">
        <v>4.2546253899999993</v>
      </c>
      <c r="Y148" s="71">
        <v>5.4311387399999997</v>
      </c>
      <c r="Z148" s="114">
        <v>6.8073491400000004</v>
      </c>
    </row>
    <row r="149" spans="2:26" x14ac:dyDescent="0.35">
      <c r="B149" s="54" t="s">
        <v>318</v>
      </c>
      <c r="C149" s="52" t="s">
        <v>232</v>
      </c>
      <c r="D149" s="52" t="s">
        <v>20</v>
      </c>
      <c r="E149" s="52" t="s">
        <v>316</v>
      </c>
      <c r="F149" s="70" t="s">
        <v>21</v>
      </c>
      <c r="G149" s="70">
        <v>9.9580157033835777E-3</v>
      </c>
      <c r="H149" s="70">
        <v>1.7882249297430916E-2</v>
      </c>
      <c r="I149" s="70">
        <v>2.2188390145744349E-2</v>
      </c>
      <c r="J149" s="62">
        <v>2.5543966140665234E-2</v>
      </c>
      <c r="K149" s="70" t="s">
        <v>21</v>
      </c>
      <c r="L149" s="70">
        <v>7.0255793033835792E-3</v>
      </c>
      <c r="M149" s="70">
        <v>1.3901608197430915E-2</v>
      </c>
      <c r="N149" s="70">
        <v>1.7277168345744352E-2</v>
      </c>
      <c r="O149" s="70">
        <v>1.9365600240665234E-2</v>
      </c>
      <c r="P149" s="54" t="s">
        <v>21</v>
      </c>
      <c r="Q149" s="52" t="s">
        <v>21</v>
      </c>
      <c r="R149" s="93" t="s">
        <v>21</v>
      </c>
      <c r="S149" s="72">
        <v>0</v>
      </c>
      <c r="T149" s="62">
        <v>1.7882249297430916E-2</v>
      </c>
      <c r="V149" s="113">
        <v>1.1067052100000001</v>
      </c>
      <c r="W149" s="71">
        <v>2.8045286999999997</v>
      </c>
      <c r="X149" s="71">
        <v>4.2510274500000005</v>
      </c>
      <c r="Y149" s="71">
        <v>5.4407684099999996</v>
      </c>
      <c r="Z149" s="114">
        <v>6.8533647000000002</v>
      </c>
    </row>
    <row r="150" spans="2:26" x14ac:dyDescent="0.35">
      <c r="B150" s="54" t="s">
        <v>119</v>
      </c>
      <c r="C150" s="52" t="s">
        <v>232</v>
      </c>
      <c r="D150" s="52" t="s">
        <v>120</v>
      </c>
      <c r="E150" s="52" t="s">
        <v>21</v>
      </c>
      <c r="F150" s="70" t="s">
        <v>21</v>
      </c>
      <c r="G150" s="70">
        <v>8.7560728844459541E-3</v>
      </c>
      <c r="H150" s="70">
        <v>1.7300380978038658E-2</v>
      </c>
      <c r="I150" s="70">
        <v>2.3193044028685682E-2</v>
      </c>
      <c r="J150" s="62">
        <v>2.9060393223445554E-2</v>
      </c>
      <c r="K150" s="70" t="s">
        <v>21</v>
      </c>
      <c r="L150" s="70">
        <v>5.7992606844459553E-3</v>
      </c>
      <c r="M150" s="70">
        <v>1.3319977578038654E-2</v>
      </c>
      <c r="N150" s="70">
        <v>1.827022942868568E-2</v>
      </c>
      <c r="O150" s="70">
        <v>2.2836129823445562E-2</v>
      </c>
      <c r="P150" s="54" t="s">
        <v>21</v>
      </c>
      <c r="Q150" s="52" t="s">
        <v>21</v>
      </c>
      <c r="R150" s="93" t="s">
        <v>21</v>
      </c>
      <c r="S150" s="72">
        <v>0</v>
      </c>
      <c r="T150" s="62">
        <v>1.7300380978038658E-2</v>
      </c>
      <c r="V150" s="113">
        <v>1.10924997</v>
      </c>
      <c r="W150" s="71">
        <v>2.8193150500000002</v>
      </c>
      <c r="X150" s="71">
        <v>4.2746374099999995</v>
      </c>
      <c r="Y150" s="71">
        <v>5.4561575299999996</v>
      </c>
      <c r="Z150" s="114">
        <v>6.7998636599999998</v>
      </c>
    </row>
    <row r="151" spans="2:26" x14ac:dyDescent="0.35">
      <c r="B151" s="54" t="s">
        <v>115</v>
      </c>
      <c r="C151" s="52" t="s">
        <v>232</v>
      </c>
      <c r="D151" s="52" t="s">
        <v>31</v>
      </c>
      <c r="E151" s="52" t="s">
        <v>21</v>
      </c>
      <c r="F151" s="70" t="s">
        <v>21</v>
      </c>
      <c r="G151" s="70">
        <v>8.0278329692338307E-3</v>
      </c>
      <c r="H151" s="70">
        <v>1.6984251121929295E-2</v>
      </c>
      <c r="I151" s="70">
        <v>2.2422210301129578E-2</v>
      </c>
      <c r="J151" s="62">
        <v>2.7451719420620219E-2</v>
      </c>
      <c r="K151" s="70" t="s">
        <v>21</v>
      </c>
      <c r="L151" s="70">
        <v>5.05182306923383E-3</v>
      </c>
      <c r="M151" s="70">
        <v>1.3002029621929296E-2</v>
      </c>
      <c r="N151" s="70">
        <v>1.7507091601129579E-2</v>
      </c>
      <c r="O151" s="70">
        <v>2.1252608420620215E-2</v>
      </c>
      <c r="P151" s="54" t="s">
        <v>484</v>
      </c>
      <c r="Q151" s="52" t="s">
        <v>485</v>
      </c>
      <c r="R151" s="93">
        <v>47492</v>
      </c>
      <c r="S151" s="72">
        <v>1.00819E-2</v>
      </c>
      <c r="T151" s="62">
        <v>6.9023511219292958E-3</v>
      </c>
      <c r="V151" s="113">
        <v>1.10824977</v>
      </c>
      <c r="W151" s="71">
        <v>2.8208497499999998</v>
      </c>
      <c r="X151" s="71">
        <v>4.28062115</v>
      </c>
      <c r="Y151" s="71">
        <v>5.4711527799999997</v>
      </c>
      <c r="Z151" s="114">
        <v>6.8465442599999999</v>
      </c>
    </row>
    <row r="152" spans="2:26" x14ac:dyDescent="0.35">
      <c r="B152" s="54" t="s">
        <v>319</v>
      </c>
      <c r="C152" s="52" t="s">
        <v>232</v>
      </c>
      <c r="D152" s="52" t="s">
        <v>97</v>
      </c>
      <c r="E152" s="52" t="s">
        <v>36</v>
      </c>
      <c r="F152" s="70" t="s">
        <v>21</v>
      </c>
      <c r="G152" s="70">
        <v>8.3813298759149238E-3</v>
      </c>
      <c r="H152" s="70">
        <v>1.6869670330737288E-2</v>
      </c>
      <c r="I152" s="70">
        <v>2.233714396055584E-2</v>
      </c>
      <c r="J152" s="62">
        <v>2.8151886331834328E-2</v>
      </c>
      <c r="K152" s="70" t="s">
        <v>21</v>
      </c>
      <c r="L152" s="70">
        <v>5.4154050759149227E-3</v>
      </c>
      <c r="M152" s="70">
        <v>1.2887428830737287E-2</v>
      </c>
      <c r="N152" s="70">
        <v>1.7422625860555839E-2</v>
      </c>
      <c r="O152" s="70">
        <v>2.1939533631834325E-2</v>
      </c>
      <c r="P152" s="54" t="s">
        <v>21</v>
      </c>
      <c r="Q152" s="52" t="s">
        <v>21</v>
      </c>
      <c r="R152" s="93" t="s">
        <v>21</v>
      </c>
      <c r="S152" s="72">
        <v>0</v>
      </c>
      <c r="T152" s="62">
        <v>1.6869670330737288E-2</v>
      </c>
      <c r="V152" s="113">
        <v>1.1084238399999999</v>
      </c>
      <c r="W152" s="71">
        <v>2.81888132</v>
      </c>
      <c r="X152" s="71">
        <v>4.2793475399999998</v>
      </c>
      <c r="Y152" s="71">
        <v>5.4723818499999997</v>
      </c>
      <c r="Z152" s="114">
        <v>6.8380536100000002</v>
      </c>
    </row>
    <row r="153" spans="2:26" x14ac:dyDescent="0.35">
      <c r="B153" s="54" t="s">
        <v>134</v>
      </c>
      <c r="C153" s="52" t="s">
        <v>232</v>
      </c>
      <c r="D153" s="52" t="s">
        <v>43</v>
      </c>
      <c r="E153" s="52" t="s">
        <v>486</v>
      </c>
      <c r="F153" s="70" t="s">
        <v>21</v>
      </c>
      <c r="G153" s="70">
        <v>8.021692261723036E-3</v>
      </c>
      <c r="H153" s="70">
        <v>1.6448671824981338E-2</v>
      </c>
      <c r="I153" s="70">
        <v>2.1713614190017369E-2</v>
      </c>
      <c r="J153" s="62">
        <v>2.7140134549014074E-2</v>
      </c>
      <c r="K153" s="70" t="s">
        <v>21</v>
      </c>
      <c r="L153" s="70">
        <v>5.046059461723036E-3</v>
      </c>
      <c r="M153" s="70">
        <v>1.2465369424981339E-2</v>
      </c>
      <c r="N153" s="70">
        <v>1.6804566390017369E-2</v>
      </c>
      <c r="O153" s="70">
        <v>2.0942112349014066E-2</v>
      </c>
      <c r="P153" s="54" t="s">
        <v>487</v>
      </c>
      <c r="Q153" s="52" t="s">
        <v>488</v>
      </c>
      <c r="R153" s="93" t="s">
        <v>32</v>
      </c>
      <c r="S153" s="72">
        <v>1.2180999999999999E-2</v>
      </c>
      <c r="T153" s="62">
        <v>4.2676718249813391E-3</v>
      </c>
      <c r="V153" s="113">
        <v>1.10848539</v>
      </c>
      <c r="W153" s="71">
        <v>2.8218517599999999</v>
      </c>
      <c r="X153" s="71">
        <v>4.2868592900000007</v>
      </c>
      <c r="Y153" s="71">
        <v>5.4875965399999993</v>
      </c>
      <c r="Z153" s="114">
        <v>6.8731480499999993</v>
      </c>
    </row>
    <row r="154" spans="2:26" x14ac:dyDescent="0.35">
      <c r="B154" s="54" t="s">
        <v>326</v>
      </c>
      <c r="C154" s="52" t="s">
        <v>232</v>
      </c>
      <c r="D154" s="52" t="s">
        <v>255</v>
      </c>
      <c r="E154" s="52" t="s">
        <v>21</v>
      </c>
      <c r="F154" s="70" t="s">
        <v>21</v>
      </c>
      <c r="G154" s="70">
        <v>8.5389264347110489E-3</v>
      </c>
      <c r="H154" s="70">
        <v>1.6370876127198123E-2</v>
      </c>
      <c r="I154" s="70">
        <v>2.0296499446632515E-2</v>
      </c>
      <c r="J154" s="62">
        <v>2.4070567151720859E-2</v>
      </c>
      <c r="K154" s="70" t="s">
        <v>21</v>
      </c>
      <c r="L154" s="70">
        <v>5.5774064347110502E-3</v>
      </c>
      <c r="M154" s="70">
        <v>1.2385985727198123E-2</v>
      </c>
      <c r="N154" s="70">
        <v>1.5393039946632513E-2</v>
      </c>
      <c r="O154" s="70">
        <v>1.7892171351720856E-2</v>
      </c>
      <c r="P154" s="54" t="s">
        <v>21</v>
      </c>
      <c r="Q154" s="52" t="s">
        <v>21</v>
      </c>
      <c r="R154" s="93" t="s">
        <v>21</v>
      </c>
      <c r="S154" s="72">
        <v>0</v>
      </c>
      <c r="T154" s="62">
        <v>1.6370876127198123E-2</v>
      </c>
      <c r="V154" s="113">
        <v>1.10672098</v>
      </c>
      <c r="W154" s="71">
        <v>2.8146317000000001</v>
      </c>
      <c r="X154" s="71">
        <v>4.2791647800000003</v>
      </c>
      <c r="Y154" s="71">
        <v>5.4977402799999995</v>
      </c>
      <c r="Z154" s="114">
        <v>6.9517268500000009</v>
      </c>
    </row>
    <row r="155" spans="2:26" x14ac:dyDescent="0.35">
      <c r="B155" s="54" t="s">
        <v>333</v>
      </c>
      <c r="C155" s="52" t="s">
        <v>232</v>
      </c>
      <c r="D155" s="52" t="s">
        <v>20</v>
      </c>
      <c r="E155" s="52" t="s">
        <v>21</v>
      </c>
      <c r="F155" s="70" t="s">
        <v>21</v>
      </c>
      <c r="G155" s="70">
        <v>8.6058759488254824E-3</v>
      </c>
      <c r="H155" s="70">
        <v>1.6883090917720951E-2</v>
      </c>
      <c r="I155" s="70">
        <v>2.0643592747830595E-2</v>
      </c>
      <c r="J155" s="62">
        <v>2.4065786393956075E-2</v>
      </c>
      <c r="K155" s="70" t="s">
        <v>21</v>
      </c>
      <c r="L155" s="70">
        <v>5.6463575488254827E-3</v>
      </c>
      <c r="M155" s="70">
        <v>1.2901286617720952E-2</v>
      </c>
      <c r="N155" s="70">
        <v>1.5743320747830594E-2</v>
      </c>
      <c r="O155" s="70">
        <v>1.7893897793956077E-2</v>
      </c>
      <c r="P155" s="54" t="s">
        <v>21</v>
      </c>
      <c r="Q155" s="52" t="s">
        <v>21</v>
      </c>
      <c r="R155" s="93" t="s">
        <v>21</v>
      </c>
      <c r="S155" s="72">
        <v>0</v>
      </c>
      <c r="T155" s="62">
        <v>1.6883090917720951E-2</v>
      </c>
      <c r="V155" s="113">
        <v>1.1076880600000001</v>
      </c>
      <c r="W155" s="71">
        <v>2.8172194800000003</v>
      </c>
      <c r="X155" s="71">
        <v>4.2775165400000006</v>
      </c>
      <c r="Y155" s="71">
        <v>5.4883118099999999</v>
      </c>
      <c r="Z155" s="114">
        <v>6.9377571200000006</v>
      </c>
    </row>
    <row r="156" spans="2:26" x14ac:dyDescent="0.35">
      <c r="B156" s="54" t="s">
        <v>126</v>
      </c>
      <c r="C156" s="52" t="s">
        <v>232</v>
      </c>
      <c r="D156" s="52" t="s">
        <v>69</v>
      </c>
      <c r="E156" s="52" t="s">
        <v>133</v>
      </c>
      <c r="F156" s="70" t="s">
        <v>21</v>
      </c>
      <c r="G156" s="70">
        <v>7.9698490371086905E-3</v>
      </c>
      <c r="H156" s="70">
        <v>1.6051914750475117E-2</v>
      </c>
      <c r="I156" s="70">
        <v>2.1317940846719001E-2</v>
      </c>
      <c r="J156" s="62">
        <v>2.6933596791800039E-2</v>
      </c>
      <c r="K156" s="70" t="s">
        <v>21</v>
      </c>
      <c r="L156" s="70">
        <v>4.9906990371086906E-3</v>
      </c>
      <c r="M156" s="70">
        <v>1.2065986950475116E-2</v>
      </c>
      <c r="N156" s="70">
        <v>1.6411562846719002E-2</v>
      </c>
      <c r="O156" s="70">
        <v>2.0738034591800038E-2</v>
      </c>
      <c r="P156" s="54" t="s">
        <v>489</v>
      </c>
      <c r="Q156" s="52" t="s">
        <v>490</v>
      </c>
      <c r="R156" s="93">
        <v>47484</v>
      </c>
      <c r="S156" s="72">
        <v>1.071367E-2</v>
      </c>
      <c r="T156" s="62">
        <v>5.3382447504751167E-3</v>
      </c>
      <c r="V156" s="113">
        <v>1.1100144199999999</v>
      </c>
      <c r="W156" s="71">
        <v>2.8270481800000002</v>
      </c>
      <c r="X156" s="71">
        <v>4.2964674499999997</v>
      </c>
      <c r="Y156" s="71">
        <v>5.5040801500000001</v>
      </c>
      <c r="Z156" s="114">
        <v>6.8981273700000001</v>
      </c>
    </row>
    <row r="157" spans="2:26" x14ac:dyDescent="0.35">
      <c r="B157" s="54" t="s">
        <v>132</v>
      </c>
      <c r="C157" s="52" t="s">
        <v>232</v>
      </c>
      <c r="D157" s="52" t="s">
        <v>20</v>
      </c>
      <c r="E157" s="52" t="s">
        <v>135</v>
      </c>
      <c r="F157" s="70" t="s">
        <v>21</v>
      </c>
      <c r="G157" s="70">
        <v>8.6090433352542135E-3</v>
      </c>
      <c r="H157" s="70">
        <v>1.6385061456688901E-2</v>
      </c>
      <c r="I157" s="70">
        <v>1.9788462693974145E-2</v>
      </c>
      <c r="J157" s="62">
        <v>2.3663105772455097E-2</v>
      </c>
      <c r="K157" s="70" t="s">
        <v>21</v>
      </c>
      <c r="L157" s="70">
        <v>5.648508535254216E-3</v>
      </c>
      <c r="M157" s="70">
        <v>1.2400961856688904E-2</v>
      </c>
      <c r="N157" s="70">
        <v>1.4890241293974146E-2</v>
      </c>
      <c r="O157" s="70">
        <v>1.7486910072455099E-2</v>
      </c>
      <c r="P157" s="54" t="s">
        <v>491</v>
      </c>
      <c r="Q157" s="52" t="s">
        <v>492</v>
      </c>
      <c r="R157" s="93">
        <v>47567</v>
      </c>
      <c r="S157" s="72">
        <v>1.163088E-2</v>
      </c>
      <c r="T157" s="62">
        <v>4.7541814566889017E-3</v>
      </c>
      <c r="V157" s="113">
        <v>1.1086119999999999</v>
      </c>
      <c r="W157" s="71">
        <v>2.8183314800000003</v>
      </c>
      <c r="X157" s="71">
        <v>4.2824359400000001</v>
      </c>
      <c r="Y157" s="71">
        <v>5.5014666999999999</v>
      </c>
      <c r="Z157" s="114">
        <v>6.9642965200000004</v>
      </c>
    </row>
    <row r="158" spans="2:26" x14ac:dyDescent="0.35">
      <c r="B158" s="54" t="s">
        <v>127</v>
      </c>
      <c r="C158" s="52" t="s">
        <v>232</v>
      </c>
      <c r="D158" s="52" t="s">
        <v>62</v>
      </c>
      <c r="E158" s="52" t="s">
        <v>493</v>
      </c>
      <c r="F158" s="70" t="s">
        <v>21</v>
      </c>
      <c r="G158" s="70">
        <v>7.7818487187358114E-3</v>
      </c>
      <c r="H158" s="70">
        <v>1.5799213061619063E-2</v>
      </c>
      <c r="I158" s="70">
        <v>2.0754850201709613E-2</v>
      </c>
      <c r="J158" s="62">
        <v>2.5710898111616844E-2</v>
      </c>
      <c r="K158" s="70" t="s">
        <v>21</v>
      </c>
      <c r="L158" s="70">
        <v>4.7974545187358143E-3</v>
      </c>
      <c r="M158" s="70">
        <v>1.1810642161619065E-2</v>
      </c>
      <c r="N158" s="70">
        <v>1.5850090501709612E-2</v>
      </c>
      <c r="O158" s="70">
        <v>1.9526413811616839E-2</v>
      </c>
      <c r="P158" s="54" t="s">
        <v>494</v>
      </c>
      <c r="Q158" s="52" t="s">
        <v>495</v>
      </c>
      <c r="R158" s="93">
        <v>47635</v>
      </c>
      <c r="S158" s="72">
        <v>1.138671E-2</v>
      </c>
      <c r="T158" s="62">
        <v>4.4125030616190639E-3</v>
      </c>
      <c r="V158" s="113">
        <v>1.1086329400000001</v>
      </c>
      <c r="W158" s="71">
        <v>2.8247916200000001</v>
      </c>
      <c r="X158" s="71">
        <v>4.2970576400000002</v>
      </c>
      <c r="Y158" s="71">
        <v>5.5122304499999997</v>
      </c>
      <c r="Z158" s="114">
        <v>6.9327691400000004</v>
      </c>
    </row>
    <row r="159" spans="2:26" x14ac:dyDescent="0.35">
      <c r="B159" s="54" t="s">
        <v>330</v>
      </c>
      <c r="C159" s="52" t="s">
        <v>232</v>
      </c>
      <c r="D159" s="52" t="s">
        <v>97</v>
      </c>
      <c r="E159" s="52" t="s">
        <v>21</v>
      </c>
      <c r="F159" s="70" t="s">
        <v>21</v>
      </c>
      <c r="G159" s="70">
        <v>7.8833422677366937E-3</v>
      </c>
      <c r="H159" s="70">
        <v>1.5712763785605832E-2</v>
      </c>
      <c r="I159" s="70">
        <v>1.9746819043887927E-2</v>
      </c>
      <c r="J159" s="62">
        <v>2.2842269657456126E-2</v>
      </c>
      <c r="K159" s="70" t="s">
        <v>21</v>
      </c>
      <c r="L159" s="70">
        <v>4.9021911677366945E-3</v>
      </c>
      <c r="M159" s="70">
        <v>1.1722390285605832E-2</v>
      </c>
      <c r="N159" s="70">
        <v>1.4842738343887928E-2</v>
      </c>
      <c r="O159" s="70">
        <v>1.6665967257456126E-2</v>
      </c>
      <c r="P159" s="54" t="s">
        <v>381</v>
      </c>
      <c r="Q159" s="52" t="s">
        <v>382</v>
      </c>
      <c r="R159" s="93">
        <v>47497</v>
      </c>
      <c r="S159" s="72">
        <v>1.0898330000000001E-2</v>
      </c>
      <c r="T159" s="62">
        <v>4.8144337856058303E-3</v>
      </c>
      <c r="V159" s="113">
        <v>1.1072776600000001</v>
      </c>
      <c r="W159" s="71">
        <v>2.8208808699999999</v>
      </c>
      <c r="X159" s="71">
        <v>4.2935138899999998</v>
      </c>
      <c r="Y159" s="71">
        <v>5.5206282500000006</v>
      </c>
      <c r="Z159" s="114">
        <v>7.0009836100000005</v>
      </c>
    </row>
    <row r="160" spans="2:26" x14ac:dyDescent="0.35">
      <c r="B160" s="54" t="s">
        <v>121</v>
      </c>
      <c r="C160" s="52" t="s">
        <v>232</v>
      </c>
      <c r="D160" s="52" t="s">
        <v>69</v>
      </c>
      <c r="E160" s="52" t="s">
        <v>21</v>
      </c>
      <c r="F160" s="70" t="s">
        <v>21</v>
      </c>
      <c r="G160" s="70">
        <v>7.3280773424542218E-3</v>
      </c>
      <c r="H160" s="70">
        <v>1.5580493436492874E-2</v>
      </c>
      <c r="I160" s="70">
        <v>2.1678899518340337E-2</v>
      </c>
      <c r="J160" s="62">
        <v>2.6045743952587089E-2</v>
      </c>
      <c r="K160" s="70" t="s">
        <v>21</v>
      </c>
      <c r="L160" s="70">
        <v>4.3267734424542199E-3</v>
      </c>
      <c r="M160" s="70">
        <v>1.1588426536492873E-2</v>
      </c>
      <c r="N160" s="70">
        <v>1.6766815318340338E-2</v>
      </c>
      <c r="O160" s="70">
        <v>1.9864514552587094E-2</v>
      </c>
      <c r="P160" s="54" t="s">
        <v>21</v>
      </c>
      <c r="Q160" s="52" t="s">
        <v>21</v>
      </c>
      <c r="R160" s="93" t="s">
        <v>21</v>
      </c>
      <c r="S160" s="72">
        <v>0</v>
      </c>
      <c r="T160" s="62">
        <v>1.5580493436492874E-2</v>
      </c>
      <c r="V160" s="113">
        <v>1.1095402399999998</v>
      </c>
      <c r="W160" s="71">
        <v>2.8275874999999999</v>
      </c>
      <c r="X160" s="71">
        <v>4.3032196200000001</v>
      </c>
      <c r="Y160" s="71">
        <v>5.5078185299999998</v>
      </c>
      <c r="Z160" s="114">
        <v>6.9151218200000004</v>
      </c>
    </row>
    <row r="161" spans="2:26" x14ac:dyDescent="0.35">
      <c r="B161" s="54" t="s">
        <v>328</v>
      </c>
      <c r="C161" s="52" t="s">
        <v>232</v>
      </c>
      <c r="D161" s="52" t="s">
        <v>31</v>
      </c>
      <c r="E161" s="52" t="s">
        <v>133</v>
      </c>
      <c r="F161" s="70" t="s">
        <v>21</v>
      </c>
      <c r="G161" s="70">
        <v>8.0025783616014604E-3</v>
      </c>
      <c r="H161" s="70">
        <v>1.5420054462214002E-2</v>
      </c>
      <c r="I161" s="70">
        <v>1.985966344709977E-2</v>
      </c>
      <c r="J161" s="62">
        <v>2.4110684790708083E-2</v>
      </c>
      <c r="K161" s="70" t="s">
        <v>21</v>
      </c>
      <c r="L161" s="70">
        <v>5.0252285616014603E-3</v>
      </c>
      <c r="M161" s="70">
        <v>1.1427451762214004E-2</v>
      </c>
      <c r="N161" s="70">
        <v>1.4954737847099768E-2</v>
      </c>
      <c r="O161" s="70">
        <v>1.7931265090708085E-2</v>
      </c>
      <c r="P161" s="54" t="s">
        <v>21</v>
      </c>
      <c r="Q161" s="52" t="s">
        <v>21</v>
      </c>
      <c r="R161" s="93" t="s">
        <v>21</v>
      </c>
      <c r="S161" s="72">
        <v>0</v>
      </c>
      <c r="T161" s="62">
        <v>1.5420054462214002E-2</v>
      </c>
      <c r="V161" s="113">
        <v>1.1087726900000001</v>
      </c>
      <c r="W161" s="71">
        <v>2.8218308000000003</v>
      </c>
      <c r="X161" s="71">
        <v>4.2970313999999998</v>
      </c>
      <c r="Y161" s="71">
        <v>5.5237421100000006</v>
      </c>
      <c r="Z161" s="114">
        <v>6.9789534199999999</v>
      </c>
    </row>
    <row r="162" spans="2:26" x14ac:dyDescent="0.35">
      <c r="B162" s="54" t="s">
        <v>331</v>
      </c>
      <c r="C162" s="52" t="s">
        <v>232</v>
      </c>
      <c r="D162" s="52" t="s">
        <v>20</v>
      </c>
      <c r="E162" s="52" t="s">
        <v>236</v>
      </c>
      <c r="F162" s="70" t="s">
        <v>21</v>
      </c>
      <c r="G162" s="70">
        <v>7.8226771266670745E-3</v>
      </c>
      <c r="H162" s="70">
        <v>1.5771522758191159E-2</v>
      </c>
      <c r="I162" s="70">
        <v>2.0147834668790002E-2</v>
      </c>
      <c r="J162" s="62">
        <v>2.352867966946575E-2</v>
      </c>
      <c r="K162" s="70" t="s">
        <v>21</v>
      </c>
      <c r="L162" s="70">
        <v>4.8390927266670752E-3</v>
      </c>
      <c r="M162" s="70">
        <v>1.1781972258191156E-2</v>
      </c>
      <c r="N162" s="70">
        <v>1.5245074768790001E-2</v>
      </c>
      <c r="O162" s="70">
        <v>1.7356975269465749E-2</v>
      </c>
      <c r="P162" s="54" t="s">
        <v>21</v>
      </c>
      <c r="Q162" s="52" t="s">
        <v>21</v>
      </c>
      <c r="R162" s="93" t="s">
        <v>21</v>
      </c>
      <c r="S162" s="72">
        <v>0</v>
      </c>
      <c r="T162" s="62">
        <v>1.5771522758191159E-2</v>
      </c>
      <c r="V162" s="113">
        <v>1.10900387</v>
      </c>
      <c r="W162" s="71">
        <v>2.8240329399999999</v>
      </c>
      <c r="X162" s="71">
        <v>4.29633456</v>
      </c>
      <c r="Y162" s="71">
        <v>5.516521</v>
      </c>
      <c r="Z162" s="114">
        <v>6.978445279999999</v>
      </c>
    </row>
    <row r="163" spans="2:26" x14ac:dyDescent="0.35">
      <c r="B163" s="54" t="s">
        <v>331</v>
      </c>
      <c r="C163" s="52" t="s">
        <v>232</v>
      </c>
      <c r="D163" s="52" t="s">
        <v>20</v>
      </c>
      <c r="E163" s="52" t="s">
        <v>21</v>
      </c>
      <c r="F163" s="70" t="s">
        <v>21</v>
      </c>
      <c r="G163" s="70">
        <v>7.8226771266670745E-3</v>
      </c>
      <c r="H163" s="70">
        <v>1.5771522758191159E-2</v>
      </c>
      <c r="I163" s="70">
        <v>2.0147834668790002E-2</v>
      </c>
      <c r="J163" s="62">
        <v>2.352867966946575E-2</v>
      </c>
      <c r="K163" s="70" t="s">
        <v>21</v>
      </c>
      <c r="L163" s="70">
        <v>4.8390927266670752E-3</v>
      </c>
      <c r="M163" s="70">
        <v>1.1781972258191156E-2</v>
      </c>
      <c r="N163" s="70">
        <v>1.5245074768790001E-2</v>
      </c>
      <c r="O163" s="70">
        <v>1.7356975269465749E-2</v>
      </c>
      <c r="P163" s="54" t="s">
        <v>21</v>
      </c>
      <c r="Q163" s="52" t="s">
        <v>21</v>
      </c>
      <c r="R163" s="93" t="s">
        <v>21</v>
      </c>
      <c r="S163" s="72">
        <v>0</v>
      </c>
      <c r="T163" s="62">
        <v>1.5771522758191159E-2</v>
      </c>
      <c r="V163" s="113">
        <v>1.10900387</v>
      </c>
      <c r="W163" s="71">
        <v>2.8240329399999999</v>
      </c>
      <c r="X163" s="71">
        <v>4.29633456</v>
      </c>
      <c r="Y163" s="71">
        <v>5.516521</v>
      </c>
      <c r="Z163" s="114">
        <v>6.978445279999999</v>
      </c>
    </row>
    <row r="164" spans="2:26" x14ac:dyDescent="0.35">
      <c r="B164" s="54" t="s">
        <v>327</v>
      </c>
      <c r="C164" s="52" t="s">
        <v>232</v>
      </c>
      <c r="D164" s="52" t="s">
        <v>43</v>
      </c>
      <c r="E164" s="52" t="s">
        <v>21</v>
      </c>
      <c r="F164" s="70" t="s">
        <v>21</v>
      </c>
      <c r="G164" s="70">
        <v>7.5532758332492629E-3</v>
      </c>
      <c r="H164" s="70">
        <v>1.4871151590828672E-2</v>
      </c>
      <c r="I164" s="70">
        <v>1.9679143180660958E-2</v>
      </c>
      <c r="J164" s="62">
        <v>2.4096524340745103E-2</v>
      </c>
      <c r="K164" s="70" t="s">
        <v>21</v>
      </c>
      <c r="L164" s="70">
        <v>4.5605282332492648E-3</v>
      </c>
      <c r="M164" s="70">
        <v>1.087094259082867E-2</v>
      </c>
      <c r="N164" s="70">
        <v>1.4772377580660965E-2</v>
      </c>
      <c r="O164" s="70">
        <v>1.7916659240745106E-2</v>
      </c>
      <c r="P164" s="54" t="s">
        <v>21</v>
      </c>
      <c r="Q164" s="52" t="s">
        <v>21</v>
      </c>
      <c r="R164" s="93" t="s">
        <v>21</v>
      </c>
      <c r="S164" s="72">
        <v>0</v>
      </c>
      <c r="T164" s="62">
        <v>1.4871151590828672E-2</v>
      </c>
      <c r="V164" s="113">
        <v>1.10904983</v>
      </c>
      <c r="W164" s="71">
        <v>2.8252514</v>
      </c>
      <c r="X164" s="71">
        <v>4.3070885599999995</v>
      </c>
      <c r="Y164" s="71">
        <v>5.5382854099999994</v>
      </c>
      <c r="Z164" s="114">
        <v>6.9962227299999995</v>
      </c>
    </row>
    <row r="165" spans="2:26" x14ac:dyDescent="0.35">
      <c r="B165" s="54" t="s">
        <v>235</v>
      </c>
      <c r="C165" s="52" t="s">
        <v>232</v>
      </c>
      <c r="D165" s="52" t="s">
        <v>31</v>
      </c>
      <c r="E165" s="52" t="s">
        <v>142</v>
      </c>
      <c r="F165" s="70" t="s">
        <v>21</v>
      </c>
      <c r="G165" s="70">
        <v>7.5246166804160929E-3</v>
      </c>
      <c r="H165" s="70">
        <v>1.4743129807857936E-2</v>
      </c>
      <c r="I165" s="70">
        <v>1.979898861145148E-2</v>
      </c>
      <c r="J165" s="62">
        <v>2.4803278564107467E-2</v>
      </c>
      <c r="K165" s="70" t="s">
        <v>21</v>
      </c>
      <c r="L165" s="70">
        <v>4.5301211804160899E-3</v>
      </c>
      <c r="M165" s="70">
        <v>1.0740993007857937E-2</v>
      </c>
      <c r="N165" s="70">
        <v>1.489168951145148E-2</v>
      </c>
      <c r="O165" s="70">
        <v>1.8619855164107465E-2</v>
      </c>
      <c r="P165" s="54" t="s">
        <v>21</v>
      </c>
      <c r="Q165" s="52" t="s">
        <v>21</v>
      </c>
      <c r="R165" s="93" t="s">
        <v>21</v>
      </c>
      <c r="S165" s="72">
        <v>0</v>
      </c>
      <c r="T165" s="62">
        <v>1.4743129807857936E-2</v>
      </c>
      <c r="V165" s="113">
        <v>1.1096469200000001</v>
      </c>
      <c r="W165" s="71">
        <v>2.8268974299999998</v>
      </c>
      <c r="X165" s="71">
        <v>4.3098732000000002</v>
      </c>
      <c r="Y165" s="71">
        <v>5.5392789799999997</v>
      </c>
      <c r="Z165" s="114">
        <v>6.9808445400000005</v>
      </c>
    </row>
    <row r="166" spans="2:26" x14ac:dyDescent="0.35">
      <c r="B166" s="54" t="s">
        <v>240</v>
      </c>
      <c r="C166" s="52" t="s">
        <v>232</v>
      </c>
      <c r="D166" s="52" t="s">
        <v>20</v>
      </c>
      <c r="E166" s="52" t="s">
        <v>21</v>
      </c>
      <c r="F166" s="70" t="s">
        <v>21</v>
      </c>
      <c r="G166" s="70">
        <v>6.9050342425316658E-3</v>
      </c>
      <c r="H166" s="70">
        <v>1.5114093658630734E-2</v>
      </c>
      <c r="I166" s="70">
        <v>1.8969456038083778E-2</v>
      </c>
      <c r="J166" s="62">
        <v>2.2805961330821765E-2</v>
      </c>
      <c r="K166" s="70" t="s">
        <v>21</v>
      </c>
      <c r="L166" s="70">
        <v>3.8861806425316658E-3</v>
      </c>
      <c r="M166" s="70">
        <v>1.1116219758630733E-2</v>
      </c>
      <c r="N166" s="70">
        <v>1.4064809138083782E-2</v>
      </c>
      <c r="O166" s="70">
        <v>1.6629795930821766E-2</v>
      </c>
      <c r="P166" s="54" t="s">
        <v>21</v>
      </c>
      <c r="Q166" s="52" t="s">
        <v>21</v>
      </c>
      <c r="R166" s="93" t="s">
        <v>21</v>
      </c>
      <c r="S166" s="72">
        <v>0</v>
      </c>
      <c r="T166" s="62">
        <v>1.5114093658630734E-2</v>
      </c>
      <c r="V166" s="113">
        <v>1.1101429899999999</v>
      </c>
      <c r="W166" s="71">
        <v>2.83189321</v>
      </c>
      <c r="X166" s="71">
        <v>4.3139838899999994</v>
      </c>
      <c r="Y166" s="71">
        <v>5.5507048000000001</v>
      </c>
      <c r="Z166" s="114">
        <v>7.0334736800000002</v>
      </c>
    </row>
    <row r="167" spans="2:26" x14ac:dyDescent="0.35">
      <c r="B167" s="54" t="s">
        <v>237</v>
      </c>
      <c r="C167" s="52" t="s">
        <v>232</v>
      </c>
      <c r="D167" s="52" t="s">
        <v>43</v>
      </c>
      <c r="E167" s="52" t="s">
        <v>110</v>
      </c>
      <c r="F167" s="70" t="s">
        <v>21</v>
      </c>
      <c r="G167" s="70">
        <v>7.1999576472052866E-3</v>
      </c>
      <c r="H167" s="70">
        <v>1.4549048521069001E-2</v>
      </c>
      <c r="I167" s="70">
        <v>1.9223987318230846E-2</v>
      </c>
      <c r="J167" s="62">
        <v>2.3284545274749938E-2</v>
      </c>
      <c r="K167" s="70" t="s">
        <v>21</v>
      </c>
      <c r="L167" s="70">
        <v>4.1936289472052886E-3</v>
      </c>
      <c r="M167" s="70">
        <v>1.0543839721069001E-2</v>
      </c>
      <c r="N167" s="70">
        <v>1.4316215918230846E-2</v>
      </c>
      <c r="O167" s="70">
        <v>1.7105948074749938E-2</v>
      </c>
      <c r="P167" s="54" t="s">
        <v>21</v>
      </c>
      <c r="Q167" s="52" t="s">
        <v>21</v>
      </c>
      <c r="R167" s="93" t="s">
        <v>21</v>
      </c>
      <c r="S167" s="72">
        <v>0</v>
      </c>
      <c r="T167" s="62">
        <v>1.4549048521069001E-2</v>
      </c>
      <c r="V167" s="113">
        <v>1.1098225499999999</v>
      </c>
      <c r="W167" s="71">
        <v>2.8288491900000001</v>
      </c>
      <c r="X167" s="71">
        <v>4.3145124499999996</v>
      </c>
      <c r="Y167" s="71">
        <v>5.5515012800000001</v>
      </c>
      <c r="Z167" s="114">
        <v>7.0259818999999997</v>
      </c>
    </row>
    <row r="168" spans="2:26" x14ac:dyDescent="0.35">
      <c r="B168" s="54" t="s">
        <v>329</v>
      </c>
      <c r="C168" s="52" t="s">
        <v>232</v>
      </c>
      <c r="D168" s="52" t="s">
        <v>62</v>
      </c>
      <c r="E168" s="52" t="s">
        <v>21</v>
      </c>
      <c r="F168" s="70" t="s">
        <v>21</v>
      </c>
      <c r="G168" s="70">
        <v>7.1087353440554748E-3</v>
      </c>
      <c r="H168" s="70">
        <v>1.439430377015149E-2</v>
      </c>
      <c r="I168" s="70">
        <v>1.8688770364127635E-2</v>
      </c>
      <c r="J168" s="62">
        <v>2.3216030549316681E-2</v>
      </c>
      <c r="K168" s="70" t="s">
        <v>21</v>
      </c>
      <c r="L168" s="70">
        <v>4.0987493440554756E-3</v>
      </c>
      <c r="M168" s="70">
        <v>1.0386086670151491E-2</v>
      </c>
      <c r="N168" s="70">
        <v>1.3778281864127634E-2</v>
      </c>
      <c r="O168" s="70">
        <v>1.7046657749316681E-2</v>
      </c>
      <c r="P168" s="54" t="s">
        <v>21</v>
      </c>
      <c r="Q168" s="52" t="s">
        <v>21</v>
      </c>
      <c r="R168" s="93" t="s">
        <v>21</v>
      </c>
      <c r="S168" s="72">
        <v>0</v>
      </c>
      <c r="T168" s="62">
        <v>1.439430377015149E-2</v>
      </c>
      <c r="V168" s="113">
        <v>1.10924804</v>
      </c>
      <c r="W168" s="71">
        <v>2.8283489400000001</v>
      </c>
      <c r="X168" s="71">
        <v>4.3157316699999999</v>
      </c>
      <c r="Y168" s="71">
        <v>5.5598086000000002</v>
      </c>
      <c r="Z168" s="114">
        <v>7.0166944800000008</v>
      </c>
    </row>
    <row r="169" spans="2:26" x14ac:dyDescent="0.35">
      <c r="B169" s="54" t="s">
        <v>374</v>
      </c>
      <c r="C169" s="52" t="s">
        <v>232</v>
      </c>
      <c r="D169" s="52" t="s">
        <v>20</v>
      </c>
      <c r="E169" s="52" t="s">
        <v>21</v>
      </c>
      <c r="F169" s="70" t="s">
        <v>21</v>
      </c>
      <c r="G169" s="70">
        <v>3.6898417783700569E-3</v>
      </c>
      <c r="H169" s="70">
        <v>8.1976135204501199E-3</v>
      </c>
      <c r="I169" s="70">
        <v>1.0891808793688836E-2</v>
      </c>
      <c r="J169" s="62">
        <v>1.3516422949461985E-2</v>
      </c>
      <c r="K169" s="70" t="s">
        <v>21</v>
      </c>
      <c r="L169" s="70">
        <v>4.3896487837005813E-4</v>
      </c>
      <c r="M169" s="70">
        <v>3.8879606204501212E-3</v>
      </c>
      <c r="N169" s="70">
        <v>5.6796023936888373E-3</v>
      </c>
      <c r="O169" s="70">
        <v>6.9844472494619845E-3</v>
      </c>
      <c r="P169" s="54" t="s">
        <v>21</v>
      </c>
      <c r="Q169" s="52" t="s">
        <v>21</v>
      </c>
      <c r="R169" s="93" t="s">
        <v>21</v>
      </c>
      <c r="S169" s="72">
        <v>0</v>
      </c>
      <c r="T169" s="62">
        <v>8.1976135204501199E-3</v>
      </c>
      <c r="V169" s="113">
        <v>1.11205687</v>
      </c>
      <c r="W169" s="71">
        <v>2.8552602600000001</v>
      </c>
      <c r="X169" s="71">
        <v>4.4126252900000003</v>
      </c>
      <c r="Y169" s="71">
        <v>5.7759426400000002</v>
      </c>
      <c r="Z169" s="114">
        <v>7.5068929000000004</v>
      </c>
    </row>
    <row r="170" spans="2:26" x14ac:dyDescent="0.35">
      <c r="B170" s="54" t="s">
        <v>337</v>
      </c>
      <c r="C170" s="52" t="s">
        <v>232</v>
      </c>
      <c r="D170" s="52" t="s">
        <v>31</v>
      </c>
      <c r="E170" s="52" t="s">
        <v>81</v>
      </c>
      <c r="F170" s="70" t="s">
        <v>21</v>
      </c>
      <c r="G170" s="70">
        <v>6.6157782723715048E-3</v>
      </c>
      <c r="H170" s="70">
        <v>1.334900257387951E-2</v>
      </c>
      <c r="I170" s="70">
        <v>1.7898140438164858E-2</v>
      </c>
      <c r="J170" s="62">
        <v>2.2378508525979904E-2</v>
      </c>
      <c r="K170" s="70" t="s">
        <v>21</v>
      </c>
      <c r="L170" s="70">
        <v>3.5842152723715073E-3</v>
      </c>
      <c r="M170" s="70">
        <v>9.3188489738795163E-3</v>
      </c>
      <c r="N170" s="70">
        <v>1.297868993816486E-2</v>
      </c>
      <c r="O170" s="70">
        <v>1.6190814225979906E-2</v>
      </c>
      <c r="P170" s="54" t="s">
        <v>385</v>
      </c>
      <c r="Q170" s="52" t="s">
        <v>386</v>
      </c>
      <c r="R170" s="93">
        <v>47519</v>
      </c>
      <c r="S170" s="72">
        <v>8.3871299999999996E-3</v>
      </c>
      <c r="T170" s="62">
        <v>4.9618725738795107E-3</v>
      </c>
      <c r="V170" s="113">
        <v>1.1096567900000001</v>
      </c>
      <c r="W170" s="71">
        <v>2.8322123700000001</v>
      </c>
      <c r="X170" s="71">
        <v>4.3309675899999993</v>
      </c>
      <c r="Y170" s="71">
        <v>5.58802325</v>
      </c>
      <c r="Z170" s="114">
        <v>7.0887481899999996</v>
      </c>
    </row>
    <row r="171" spans="2:26" x14ac:dyDescent="0.35">
      <c r="B171" s="54" t="s">
        <v>327</v>
      </c>
      <c r="C171" s="52" t="s">
        <v>232</v>
      </c>
      <c r="D171" s="52" t="s">
        <v>43</v>
      </c>
      <c r="E171" s="52" t="s">
        <v>21</v>
      </c>
      <c r="F171" s="70" t="s">
        <v>21</v>
      </c>
      <c r="G171" s="70">
        <v>7.5532758332492629E-3</v>
      </c>
      <c r="H171" s="70">
        <v>1.4871151590828672E-2</v>
      </c>
      <c r="I171" s="70">
        <v>1.9679143180660958E-2</v>
      </c>
      <c r="J171" s="62">
        <v>2.4096524340745103E-2</v>
      </c>
      <c r="K171" s="70" t="s">
        <v>21</v>
      </c>
      <c r="L171" s="70">
        <v>4.5605282332492648E-3</v>
      </c>
      <c r="M171" s="70">
        <v>1.087094259082867E-2</v>
      </c>
      <c r="N171" s="70">
        <v>1.4772377580660965E-2</v>
      </c>
      <c r="O171" s="70">
        <v>1.7916659240745106E-2</v>
      </c>
      <c r="P171" s="54" t="s">
        <v>21</v>
      </c>
      <c r="Q171" s="52" t="s">
        <v>21</v>
      </c>
      <c r="R171" s="93" t="s">
        <v>21</v>
      </c>
      <c r="S171" s="72">
        <v>0</v>
      </c>
      <c r="T171" s="62">
        <v>1.4871151590828672E-2</v>
      </c>
      <c r="V171" s="113">
        <v>1.10904983</v>
      </c>
      <c r="W171" s="71">
        <v>2.8252514</v>
      </c>
      <c r="X171" s="71">
        <v>4.3070885599999995</v>
      </c>
      <c r="Y171" s="71">
        <v>5.5382854099999994</v>
      </c>
      <c r="Z171" s="114">
        <v>6.9962227299999995</v>
      </c>
    </row>
    <row r="172" spans="2:26" x14ac:dyDescent="0.35">
      <c r="B172" s="54" t="s">
        <v>341</v>
      </c>
      <c r="C172" s="52" t="s">
        <v>232</v>
      </c>
      <c r="D172" s="52" t="s">
        <v>69</v>
      </c>
      <c r="E172" s="52" t="s">
        <v>21</v>
      </c>
      <c r="F172" s="70" t="s">
        <v>21</v>
      </c>
      <c r="G172" s="70">
        <v>6.445864352002781E-3</v>
      </c>
      <c r="H172" s="70">
        <v>1.3012826928532676E-2</v>
      </c>
      <c r="I172" s="70">
        <v>1.6689402810152812E-2</v>
      </c>
      <c r="J172" s="62">
        <v>2.1016953764839381E-2</v>
      </c>
      <c r="K172" s="70" t="s">
        <v>21</v>
      </c>
      <c r="L172" s="70">
        <v>3.40486235200278E-3</v>
      </c>
      <c r="M172" s="70">
        <v>8.9729866285326778E-3</v>
      </c>
      <c r="N172" s="70">
        <v>1.1752970610152812E-2</v>
      </c>
      <c r="O172" s="70">
        <v>1.4812549464839384E-2</v>
      </c>
      <c r="P172" s="54" t="s">
        <v>496</v>
      </c>
      <c r="Q172" s="52" t="s">
        <v>497</v>
      </c>
      <c r="R172" s="93" t="s">
        <v>32</v>
      </c>
      <c r="S172" s="72">
        <v>1.1073139999999999E-2</v>
      </c>
      <c r="T172" s="62">
        <v>1.9396869285326773E-3</v>
      </c>
      <c r="V172" s="113">
        <v>1.1102535899999999</v>
      </c>
      <c r="W172" s="71">
        <v>2.8344326500000001</v>
      </c>
      <c r="X172" s="71">
        <v>4.3369763700000004</v>
      </c>
      <c r="Y172" s="71">
        <v>5.6102301600000004</v>
      </c>
      <c r="Z172" s="114">
        <v>7.14662474</v>
      </c>
    </row>
    <row r="173" spans="2:26" x14ac:dyDescent="0.35">
      <c r="B173" s="54" t="s">
        <v>141</v>
      </c>
      <c r="C173" s="52" t="s">
        <v>232</v>
      </c>
      <c r="D173" s="52" t="s">
        <v>53</v>
      </c>
      <c r="E173" s="52" t="s">
        <v>123</v>
      </c>
      <c r="F173" s="70" t="s">
        <v>21</v>
      </c>
      <c r="G173" s="70">
        <v>6.4822389519641321E-3</v>
      </c>
      <c r="H173" s="70">
        <v>1.3002826186585393E-2</v>
      </c>
      <c r="I173" s="70">
        <v>1.7275667486522619E-2</v>
      </c>
      <c r="J173" s="62">
        <v>2.2068169846504865E-2</v>
      </c>
      <c r="K173" s="70" t="s">
        <v>21</v>
      </c>
      <c r="L173" s="70">
        <v>3.444215051964131E-3</v>
      </c>
      <c r="M173" s="70">
        <v>8.9635778865853957E-3</v>
      </c>
      <c r="N173" s="70">
        <v>1.2348220586522619E-2</v>
      </c>
      <c r="O173" s="70">
        <v>1.5875055846504865E-2</v>
      </c>
      <c r="P173" s="54" t="s">
        <v>498</v>
      </c>
      <c r="Q173" s="52" t="s">
        <v>499</v>
      </c>
      <c r="R173" s="93" t="s">
        <v>32</v>
      </c>
      <c r="S173" s="72">
        <v>1.320006E-2</v>
      </c>
      <c r="T173" s="62">
        <v>-1.9723381341460629E-4</v>
      </c>
      <c r="V173" s="113">
        <v>1.1101928299999999</v>
      </c>
      <c r="W173" s="71">
        <v>2.8335495499999999</v>
      </c>
      <c r="X173" s="71">
        <v>4.3360402699999998</v>
      </c>
      <c r="Y173" s="71">
        <v>5.6019627300000003</v>
      </c>
      <c r="Z173" s="114">
        <v>7.1132073500000006</v>
      </c>
    </row>
    <row r="174" spans="2:26" x14ac:dyDescent="0.35">
      <c r="B174" s="54" t="s">
        <v>137</v>
      </c>
      <c r="C174" s="52" t="s">
        <v>232</v>
      </c>
      <c r="D174" s="52" t="s">
        <v>20</v>
      </c>
      <c r="E174" s="52" t="s">
        <v>21</v>
      </c>
      <c r="F174" s="70" t="s">
        <v>21</v>
      </c>
      <c r="G174" s="70">
        <v>7.3638081652866059E-3</v>
      </c>
      <c r="H174" s="70">
        <v>1.3307224040950432E-2</v>
      </c>
      <c r="I174" s="70">
        <v>1.6453108934508805E-2</v>
      </c>
      <c r="J174" s="62">
        <v>1.9616111467149883E-2</v>
      </c>
      <c r="K174" s="70" t="s">
        <v>21</v>
      </c>
      <c r="L174" s="70">
        <v>4.3644298652866075E-3</v>
      </c>
      <c r="M174" s="70">
        <v>9.2757572409504357E-3</v>
      </c>
      <c r="N174" s="70">
        <v>1.1514332034508806E-2</v>
      </c>
      <c r="O174" s="70">
        <v>1.3400713167149886E-2</v>
      </c>
      <c r="P174" s="54" t="s">
        <v>500</v>
      </c>
      <c r="Q174" s="52" t="s">
        <v>501</v>
      </c>
      <c r="R174" s="93">
        <v>47423</v>
      </c>
      <c r="S174" s="72">
        <v>9.4194099999999996E-3</v>
      </c>
      <c r="T174" s="62">
        <v>3.8878140409504321E-3</v>
      </c>
      <c r="V174" s="113">
        <v>1.1076658799999999</v>
      </c>
      <c r="W174" s="71">
        <v>2.8238933500000001</v>
      </c>
      <c r="X174" s="71">
        <v>4.3226913899999992</v>
      </c>
      <c r="Y174" s="71">
        <v>5.5949219299999999</v>
      </c>
      <c r="Z174" s="114">
        <v>7.1444965599999994</v>
      </c>
    </row>
    <row r="175" spans="2:26" x14ac:dyDescent="0.35">
      <c r="B175" s="54" t="s">
        <v>158</v>
      </c>
      <c r="C175" s="52" t="s">
        <v>232</v>
      </c>
      <c r="D175" s="52" t="s">
        <v>20</v>
      </c>
      <c r="E175" s="52" t="s">
        <v>338</v>
      </c>
      <c r="F175" s="70" t="s">
        <v>21</v>
      </c>
      <c r="G175" s="70">
        <v>6.935921358457036E-3</v>
      </c>
      <c r="H175" s="70">
        <v>1.323940884327943E-2</v>
      </c>
      <c r="I175" s="70">
        <v>1.6395575356993174E-2</v>
      </c>
      <c r="J175" s="62">
        <v>1.9674205203411298E-2</v>
      </c>
      <c r="K175" s="70" t="s">
        <v>21</v>
      </c>
      <c r="L175" s="70">
        <v>3.9184393584570333E-3</v>
      </c>
      <c r="M175" s="70">
        <v>9.2059835432794328E-3</v>
      </c>
      <c r="N175" s="70">
        <v>1.1457403056993172E-2</v>
      </c>
      <c r="O175" s="70">
        <v>1.3452364403411297E-2</v>
      </c>
      <c r="P175" s="54" t="s">
        <v>502</v>
      </c>
      <c r="Q175" s="52" t="s">
        <v>503</v>
      </c>
      <c r="R175" s="93">
        <v>47543</v>
      </c>
      <c r="S175" s="72">
        <v>1.0444370000000001E-2</v>
      </c>
      <c r="T175" s="62">
        <v>2.7950388432794286E-3</v>
      </c>
      <c r="V175" s="113">
        <v>1.1089357500000001</v>
      </c>
      <c r="W175" s="71">
        <v>2.8295176400000002</v>
      </c>
      <c r="X175" s="71">
        <v>4.3296353599999993</v>
      </c>
      <c r="Y175" s="71">
        <v>5.6009175899999999</v>
      </c>
      <c r="Z175" s="114">
        <v>7.1641859099999996</v>
      </c>
    </row>
    <row r="176" spans="2:26" x14ac:dyDescent="0.35">
      <c r="B176" s="54" t="s">
        <v>149</v>
      </c>
      <c r="C176" s="52" t="s">
        <v>232</v>
      </c>
      <c r="D176" s="52" t="s">
        <v>53</v>
      </c>
      <c r="E176" s="52" t="s">
        <v>21</v>
      </c>
      <c r="F176" s="70" t="s">
        <v>21</v>
      </c>
      <c r="G176" s="70">
        <v>6.3736897649226297E-3</v>
      </c>
      <c r="H176" s="70">
        <v>1.2748226168570598E-2</v>
      </c>
      <c r="I176" s="70">
        <v>1.674056314623637E-2</v>
      </c>
      <c r="J176" s="62">
        <v>2.1063759607611792E-2</v>
      </c>
      <c r="K176" s="70" t="s">
        <v>21</v>
      </c>
      <c r="L176" s="70">
        <v>3.3299134649226285E-3</v>
      </c>
      <c r="M176" s="70">
        <v>8.7010839685705971E-3</v>
      </c>
      <c r="N176" s="70">
        <v>1.1803859546236374E-2</v>
      </c>
      <c r="O176" s="70">
        <v>1.4860149107611792E-2</v>
      </c>
      <c r="P176" s="54" t="s">
        <v>504</v>
      </c>
      <c r="Q176" s="52" t="s">
        <v>505</v>
      </c>
      <c r="R176" s="93">
        <v>47498</v>
      </c>
      <c r="S176" s="72">
        <v>7.6183500000000003E-3</v>
      </c>
      <c r="T176" s="62">
        <v>5.1298761685705978E-3</v>
      </c>
      <c r="V176" s="113">
        <v>1.1095187200000001</v>
      </c>
      <c r="W176" s="71">
        <v>2.8334893699999997</v>
      </c>
      <c r="X176" s="71">
        <v>4.3387259599999997</v>
      </c>
      <c r="Y176" s="71">
        <v>5.6121431399999997</v>
      </c>
      <c r="Z176" s="114">
        <v>7.1469359699999995</v>
      </c>
    </row>
    <row r="177" spans="2:26" x14ac:dyDescent="0.35">
      <c r="B177" s="54" t="s">
        <v>150</v>
      </c>
      <c r="C177" s="52" t="s">
        <v>232</v>
      </c>
      <c r="D177" s="52" t="s">
        <v>43</v>
      </c>
      <c r="E177" s="52" t="s">
        <v>21</v>
      </c>
      <c r="F177" s="70" t="s">
        <v>21</v>
      </c>
      <c r="G177" s="70">
        <v>6.2258127552097453E-3</v>
      </c>
      <c r="H177" s="70">
        <v>1.2705822098723439E-2</v>
      </c>
      <c r="I177" s="70">
        <v>1.6895957549784603E-2</v>
      </c>
      <c r="J177" s="62">
        <v>2.1894460031021044E-2</v>
      </c>
      <c r="K177" s="70" t="s">
        <v>21</v>
      </c>
      <c r="L177" s="70">
        <v>3.1737113552097454E-3</v>
      </c>
      <c r="M177" s="70">
        <v>8.6565055987234425E-3</v>
      </c>
      <c r="N177" s="70">
        <v>1.1960921049784605E-2</v>
      </c>
      <c r="O177" s="70">
        <v>1.5696974431021048E-2</v>
      </c>
      <c r="P177" s="54" t="s">
        <v>21</v>
      </c>
      <c r="Q177" s="52" t="s">
        <v>21</v>
      </c>
      <c r="R177" s="93" t="s">
        <v>21</v>
      </c>
      <c r="S177" s="72">
        <v>0</v>
      </c>
      <c r="T177" s="62">
        <v>1.2705822098723439E-2</v>
      </c>
      <c r="V177" s="113">
        <v>1.1094356400000001</v>
      </c>
      <c r="W177" s="71">
        <v>2.8342852199999999</v>
      </c>
      <c r="X177" s="71">
        <v>4.3403628400000001</v>
      </c>
      <c r="Y177" s="71">
        <v>5.6119671799999997</v>
      </c>
      <c r="Z177" s="114">
        <v>7.1292452300000004</v>
      </c>
    </row>
    <row r="178" spans="2:26" x14ac:dyDescent="0.35">
      <c r="B178" s="54" t="s">
        <v>339</v>
      </c>
      <c r="C178" s="52" t="s">
        <v>232</v>
      </c>
      <c r="D178" s="52" t="s">
        <v>69</v>
      </c>
      <c r="E178" s="52" t="s">
        <v>288</v>
      </c>
      <c r="F178" s="70" t="s">
        <v>21</v>
      </c>
      <c r="G178" s="70">
        <v>5.9781990258039111E-3</v>
      </c>
      <c r="H178" s="70">
        <v>1.2514077892866172E-2</v>
      </c>
      <c r="I178" s="70">
        <v>1.6414692049025802E-2</v>
      </c>
      <c r="J178" s="62">
        <v>2.0743346787553695E-2</v>
      </c>
      <c r="K178" s="70" t="s">
        <v>21</v>
      </c>
      <c r="L178" s="70">
        <v>2.9127353258039108E-3</v>
      </c>
      <c r="M178" s="70">
        <v>8.458973692866174E-3</v>
      </c>
      <c r="N178" s="70">
        <v>1.14715871490258E-2</v>
      </c>
      <c r="O178" s="70">
        <v>1.4535069487553693E-2</v>
      </c>
      <c r="P178" s="54" t="s">
        <v>21</v>
      </c>
      <c r="Q178" s="52" t="s">
        <v>21</v>
      </c>
      <c r="R178" s="93" t="s">
        <v>21</v>
      </c>
      <c r="S178" s="72">
        <v>0</v>
      </c>
      <c r="T178" s="62">
        <v>1.2514077892866172E-2</v>
      </c>
      <c r="V178" s="113">
        <v>1.1099459</v>
      </c>
      <c r="W178" s="71">
        <v>2.8367958899999999</v>
      </c>
      <c r="X178" s="71">
        <v>4.34537277</v>
      </c>
      <c r="Y178" s="71">
        <v>5.6235464899999998</v>
      </c>
      <c r="Z178" s="114">
        <v>7.1668325099999999</v>
      </c>
    </row>
    <row r="179" spans="2:26" x14ac:dyDescent="0.35">
      <c r="B179" s="54" t="s">
        <v>367</v>
      </c>
      <c r="C179" s="52" t="s">
        <v>232</v>
      </c>
      <c r="D179" s="52" t="s">
        <v>20</v>
      </c>
      <c r="E179" s="52" t="s">
        <v>21</v>
      </c>
      <c r="F179" s="70" t="s">
        <v>21</v>
      </c>
      <c r="G179" s="70">
        <v>4.8285520426428101E-3</v>
      </c>
      <c r="H179" s="70">
        <v>9.7238068452196805E-3</v>
      </c>
      <c r="I179" s="70">
        <v>1.2540978443151968E-2</v>
      </c>
      <c r="J179" s="62">
        <v>1.5163264695666898E-2</v>
      </c>
      <c r="K179" s="70" t="s">
        <v>21</v>
      </c>
      <c r="L179" s="70">
        <v>1.6847028426428103E-3</v>
      </c>
      <c r="M179" s="70">
        <v>5.5357887452196809E-3</v>
      </c>
      <c r="N179" s="70">
        <v>7.4492644431519697E-3</v>
      </c>
      <c r="O179" s="70">
        <v>8.756333495666898E-3</v>
      </c>
      <c r="P179" s="54" t="s">
        <v>399</v>
      </c>
      <c r="Q179" s="52" t="s">
        <v>400</v>
      </c>
      <c r="R179" s="93">
        <v>47270</v>
      </c>
      <c r="S179" s="72">
        <v>5.4927700000000001E-3</v>
      </c>
      <c r="T179" s="62">
        <v>4.2310368452196804E-3</v>
      </c>
      <c r="V179" s="113">
        <v>1.11050804</v>
      </c>
      <c r="W179" s="71">
        <v>2.8455175800000001</v>
      </c>
      <c r="X179" s="71">
        <v>4.3849049199999994</v>
      </c>
      <c r="Y179" s="71">
        <v>5.7207490299999995</v>
      </c>
      <c r="Z179" s="114">
        <v>7.4042771900000002</v>
      </c>
    </row>
    <row r="180" spans="2:26" x14ac:dyDescent="0.35">
      <c r="B180" s="54" t="s">
        <v>359</v>
      </c>
      <c r="C180" s="52" t="s">
        <v>232</v>
      </c>
      <c r="D180" s="52" t="s">
        <v>20</v>
      </c>
      <c r="E180" s="52" t="s">
        <v>128</v>
      </c>
      <c r="F180" s="70" t="s">
        <v>21</v>
      </c>
      <c r="G180" s="70">
        <v>6.3187200392146843E-3</v>
      </c>
      <c r="H180" s="70">
        <v>1.2826133782972945E-2</v>
      </c>
      <c r="I180" s="70">
        <v>1.5884112832240897E-2</v>
      </c>
      <c r="J180" s="62">
        <v>1.9150102165658489E-2</v>
      </c>
      <c r="K180" s="70" t="s">
        <v>21</v>
      </c>
      <c r="L180" s="70">
        <v>3.2713840392146866E-3</v>
      </c>
      <c r="M180" s="70">
        <v>8.7801515829729476E-3</v>
      </c>
      <c r="N180" s="70">
        <v>1.0932069332240895E-2</v>
      </c>
      <c r="O180" s="70">
        <v>1.2915728065658489E-2</v>
      </c>
      <c r="P180" s="54" t="s">
        <v>21</v>
      </c>
      <c r="Q180" s="52" t="s">
        <v>21</v>
      </c>
      <c r="R180" s="93" t="s">
        <v>21</v>
      </c>
      <c r="S180" s="72">
        <v>0</v>
      </c>
      <c r="T180" s="62">
        <v>1.2826133782972945E-2</v>
      </c>
      <c r="V180" s="113">
        <v>1.10965734</v>
      </c>
      <c r="W180" s="71">
        <v>2.8353259</v>
      </c>
      <c r="X180" s="71">
        <v>4.3418154200000005</v>
      </c>
      <c r="Y180" s="71">
        <v>5.62472818</v>
      </c>
      <c r="Z180" s="114">
        <v>7.20155484</v>
      </c>
    </row>
    <row r="181" spans="2:26" x14ac:dyDescent="0.35">
      <c r="B181" s="54" t="s">
        <v>136</v>
      </c>
      <c r="C181" s="52" t="s">
        <v>232</v>
      </c>
      <c r="D181" s="52" t="s">
        <v>47</v>
      </c>
      <c r="E181" s="52" t="s">
        <v>21</v>
      </c>
      <c r="F181" s="70" t="s">
        <v>21</v>
      </c>
      <c r="G181" s="70">
        <v>5.7927446393359807E-3</v>
      </c>
      <c r="H181" s="70">
        <v>1.2161159835985303E-2</v>
      </c>
      <c r="I181" s="70">
        <v>1.5882957094894398E-2</v>
      </c>
      <c r="J181" s="62">
        <v>1.9832199540298509E-2</v>
      </c>
      <c r="K181" s="70" t="s">
        <v>21</v>
      </c>
      <c r="L181" s="70">
        <v>2.7167311393359842E-3</v>
      </c>
      <c r="M181" s="70">
        <v>8.0944341359853039E-3</v>
      </c>
      <c r="N181" s="70">
        <v>1.0928048694894398E-2</v>
      </c>
      <c r="O181" s="70">
        <v>1.3608733240298508E-2</v>
      </c>
      <c r="P181" s="54" t="s">
        <v>506</v>
      </c>
      <c r="Q181" s="52" t="s">
        <v>507</v>
      </c>
      <c r="R181" s="93">
        <v>47559</v>
      </c>
      <c r="S181" s="72">
        <v>6.71654E-3</v>
      </c>
      <c r="T181" s="62">
        <v>5.4446198359853031E-3</v>
      </c>
      <c r="V181" s="113">
        <v>1.10980543</v>
      </c>
      <c r="W181" s="71">
        <v>2.8382373900000002</v>
      </c>
      <c r="X181" s="71">
        <v>4.3506888400000001</v>
      </c>
      <c r="Y181" s="71">
        <v>5.6366158799999999</v>
      </c>
      <c r="Z181" s="114">
        <v>7.2016776599999996</v>
      </c>
    </row>
    <row r="182" spans="2:26" x14ac:dyDescent="0.35">
      <c r="B182" s="54" t="s">
        <v>238</v>
      </c>
      <c r="C182" s="52" t="s">
        <v>232</v>
      </c>
      <c r="D182" s="52" t="s">
        <v>20</v>
      </c>
      <c r="E182" s="52" t="s">
        <v>21</v>
      </c>
      <c r="F182" s="70" t="s">
        <v>21</v>
      </c>
      <c r="G182" s="70">
        <v>6.4442502670890309E-3</v>
      </c>
      <c r="H182" s="70">
        <v>1.2542519071706053E-2</v>
      </c>
      <c r="I182" s="70">
        <v>1.6721833320978111E-2</v>
      </c>
      <c r="J182" s="62">
        <v>2.0415772187851455E-2</v>
      </c>
      <c r="K182" s="70" t="s">
        <v>21</v>
      </c>
      <c r="L182" s="70">
        <v>3.4030509670890325E-3</v>
      </c>
      <c r="M182" s="70">
        <v>8.4883776717060537E-3</v>
      </c>
      <c r="N182" s="70">
        <v>1.1783705920978106E-2</v>
      </c>
      <c r="O182" s="70">
        <v>1.4207317387851456E-2</v>
      </c>
      <c r="P182" s="54" t="s">
        <v>508</v>
      </c>
      <c r="Q182" s="52" t="s">
        <v>509</v>
      </c>
      <c r="R182" s="93">
        <v>47515</v>
      </c>
      <c r="S182" s="72">
        <v>1.0598929999999999E-2</v>
      </c>
      <c r="T182" s="62">
        <v>1.9435890717060533E-3</v>
      </c>
      <c r="V182" s="113">
        <v>1.1099978500000001</v>
      </c>
      <c r="W182" s="71">
        <v>2.8336331499999998</v>
      </c>
      <c r="X182" s="71">
        <v>4.34092682</v>
      </c>
      <c r="Y182" s="71">
        <v>5.6139954100000002</v>
      </c>
      <c r="Z182" s="114">
        <v>7.1580288300000001</v>
      </c>
    </row>
    <row r="183" spans="2:26" x14ac:dyDescent="0.35">
      <c r="B183" s="54" t="s">
        <v>324</v>
      </c>
      <c r="C183" s="52" t="s">
        <v>232</v>
      </c>
      <c r="D183" s="52" t="s">
        <v>20</v>
      </c>
      <c r="E183" s="52" t="s">
        <v>429</v>
      </c>
      <c r="F183" s="70" t="s">
        <v>21</v>
      </c>
      <c r="G183" s="70">
        <v>5.8622050416919595E-3</v>
      </c>
      <c r="H183" s="70">
        <v>1.2544581536456588E-2</v>
      </c>
      <c r="I183" s="70">
        <v>1.6510269743325822E-2</v>
      </c>
      <c r="J183" s="62">
        <v>1.9982528952949191E-2</v>
      </c>
      <c r="K183" s="70" t="s">
        <v>21</v>
      </c>
      <c r="L183" s="70">
        <v>2.7894605416919583E-3</v>
      </c>
      <c r="M183" s="70">
        <v>8.4906204364565887E-3</v>
      </c>
      <c r="N183" s="70">
        <v>1.1570620943325819E-2</v>
      </c>
      <c r="O183" s="70">
        <v>1.3769123952949189E-2</v>
      </c>
      <c r="P183" s="54" t="s">
        <v>21</v>
      </c>
      <c r="Q183" s="52" t="s">
        <v>21</v>
      </c>
      <c r="R183" s="93" t="s">
        <v>21</v>
      </c>
      <c r="S183" s="72">
        <v>0</v>
      </c>
      <c r="T183" s="62">
        <v>1.2544581536456588E-2</v>
      </c>
      <c r="V183" s="113">
        <v>1.1109518899999999</v>
      </c>
      <c r="W183" s="71">
        <v>2.8400560399999999</v>
      </c>
      <c r="X183" s="71">
        <v>4.3486879700000003</v>
      </c>
      <c r="Y183" s="71">
        <v>5.6240257699999994</v>
      </c>
      <c r="Z183" s="114">
        <v>7.1788166599999998</v>
      </c>
    </row>
    <row r="184" spans="2:26" x14ac:dyDescent="0.35">
      <c r="B184" s="54" t="s">
        <v>155</v>
      </c>
      <c r="C184" s="52" t="s">
        <v>232</v>
      </c>
      <c r="D184" s="52" t="s">
        <v>131</v>
      </c>
      <c r="E184" s="52" t="s">
        <v>75</v>
      </c>
      <c r="F184" s="70" t="s">
        <v>21</v>
      </c>
      <c r="G184" s="70">
        <v>5.6656621325248731E-3</v>
      </c>
      <c r="H184" s="70">
        <v>1.2019649278216478E-2</v>
      </c>
      <c r="I184" s="70">
        <v>1.6044898327802263E-2</v>
      </c>
      <c r="J184" s="62">
        <v>2.0180639228429491E-2</v>
      </c>
      <c r="K184" s="70" t="s">
        <v>21</v>
      </c>
      <c r="L184" s="70">
        <v>2.58133983252487E-3</v>
      </c>
      <c r="M184" s="70">
        <v>7.9471145782164798E-3</v>
      </c>
      <c r="N184" s="70">
        <v>1.1092343027802258E-2</v>
      </c>
      <c r="O184" s="70">
        <v>1.3963263428429488E-2</v>
      </c>
      <c r="P184" s="54" t="s">
        <v>510</v>
      </c>
      <c r="Q184" s="52" t="s">
        <v>511</v>
      </c>
      <c r="R184" s="93">
        <v>47534</v>
      </c>
      <c r="S184" s="72">
        <v>9.4116200000000007E-3</v>
      </c>
      <c r="T184" s="62">
        <v>2.6080292782164772E-3</v>
      </c>
      <c r="V184" s="113">
        <v>1.1101571100000001</v>
      </c>
      <c r="W184" s="71">
        <v>2.8391735699999998</v>
      </c>
      <c r="X184" s="71">
        <v>4.3534101300000003</v>
      </c>
      <c r="Y184" s="71">
        <v>5.6377915400000003</v>
      </c>
      <c r="Z184" s="114">
        <v>7.1945808500000004</v>
      </c>
    </row>
    <row r="185" spans="2:26" x14ac:dyDescent="0.35">
      <c r="B185" s="54" t="s">
        <v>265</v>
      </c>
      <c r="C185" s="52" t="s">
        <v>232</v>
      </c>
      <c r="D185" s="52" t="s">
        <v>31</v>
      </c>
      <c r="E185" s="52" t="s">
        <v>21</v>
      </c>
      <c r="F185" s="70" t="s">
        <v>21</v>
      </c>
      <c r="G185" s="70">
        <v>5.9312273581613754E-3</v>
      </c>
      <c r="H185" s="70">
        <v>1.1963593784530921E-2</v>
      </c>
      <c r="I185" s="70">
        <v>1.5397868260947814E-2</v>
      </c>
      <c r="J185" s="62">
        <v>1.7959035786726963E-2</v>
      </c>
      <c r="K185" s="70" t="s">
        <v>21</v>
      </c>
      <c r="L185" s="70">
        <v>2.8626739581613754E-3</v>
      </c>
      <c r="M185" s="70">
        <v>7.8896111845309265E-3</v>
      </c>
      <c r="N185" s="70">
        <v>1.0429975860947814E-2</v>
      </c>
      <c r="O185" s="70">
        <v>1.1691033686726963E-2</v>
      </c>
      <c r="P185" s="54" t="s">
        <v>512</v>
      </c>
      <c r="Q185" s="52" t="s">
        <v>513</v>
      </c>
      <c r="R185" s="93">
        <v>47679</v>
      </c>
      <c r="S185" s="72">
        <v>1.18455E-2</v>
      </c>
      <c r="T185" s="62">
        <v>1.180937845309208E-4</v>
      </c>
      <c r="V185" s="113">
        <v>1.11045974</v>
      </c>
      <c r="W185" s="71">
        <v>2.8380658100000002</v>
      </c>
      <c r="X185" s="71">
        <v>4.3521669100000002</v>
      </c>
      <c r="Y185" s="71">
        <v>5.6449736599999998</v>
      </c>
      <c r="Z185" s="114">
        <v>7.2510937900000005</v>
      </c>
    </row>
    <row r="186" spans="2:26" x14ac:dyDescent="0.35">
      <c r="B186" s="54" t="s">
        <v>320</v>
      </c>
      <c r="C186" s="52" t="s">
        <v>232</v>
      </c>
      <c r="D186" s="52" t="s">
        <v>69</v>
      </c>
      <c r="E186" s="52" t="s">
        <v>21</v>
      </c>
      <c r="F186" s="70" t="s">
        <v>21</v>
      </c>
      <c r="G186" s="70">
        <v>5.7996160178177096E-3</v>
      </c>
      <c r="H186" s="70">
        <v>1.1967461834133875E-2</v>
      </c>
      <c r="I186" s="70">
        <v>1.6294162534655592E-2</v>
      </c>
      <c r="J186" s="62">
        <v>1.9924016267405812E-2</v>
      </c>
      <c r="K186" s="70" t="s">
        <v>21</v>
      </c>
      <c r="L186" s="70">
        <v>2.7234165178177138E-3</v>
      </c>
      <c r="M186" s="70">
        <v>7.8934423341338773E-3</v>
      </c>
      <c r="N186" s="70">
        <v>1.1346495634655592E-2</v>
      </c>
      <c r="O186" s="70">
        <v>1.3705162067405813E-2</v>
      </c>
      <c r="P186" s="54" t="s">
        <v>21</v>
      </c>
      <c r="Q186" s="52" t="s">
        <v>21</v>
      </c>
      <c r="R186" s="93" t="s">
        <v>21</v>
      </c>
      <c r="S186" s="72">
        <v>0</v>
      </c>
      <c r="T186" s="62">
        <v>1.1967461834133875E-2</v>
      </c>
      <c r="V186" s="113">
        <v>1.11046044</v>
      </c>
      <c r="W186" s="71">
        <v>2.8388960999999999</v>
      </c>
      <c r="X186" s="71">
        <v>4.3532978</v>
      </c>
      <c r="Y186" s="71">
        <v>5.6347500199999994</v>
      </c>
      <c r="Z186" s="114">
        <v>7.1946003499999991</v>
      </c>
    </row>
    <row r="187" spans="2:26" x14ac:dyDescent="0.35">
      <c r="B187" s="54" t="s">
        <v>124</v>
      </c>
      <c r="C187" s="52" t="s">
        <v>232</v>
      </c>
      <c r="D187" s="52" t="s">
        <v>69</v>
      </c>
      <c r="E187" s="52" t="s">
        <v>112</v>
      </c>
      <c r="F187" s="70" t="s">
        <v>21</v>
      </c>
      <c r="G187" s="70">
        <v>5.6079733728323531E-3</v>
      </c>
      <c r="H187" s="70">
        <v>1.1976685467812248E-2</v>
      </c>
      <c r="I187" s="70">
        <v>1.6101160526509898E-2</v>
      </c>
      <c r="J187" s="62">
        <v>2.0330669688513499E-2</v>
      </c>
      <c r="K187" s="70" t="s">
        <v>21</v>
      </c>
      <c r="L187" s="70">
        <v>2.5198735728323542E-3</v>
      </c>
      <c r="M187" s="70">
        <v>7.9026704678122513E-3</v>
      </c>
      <c r="N187" s="70">
        <v>1.1149916926509896E-2</v>
      </c>
      <c r="O187" s="70">
        <v>1.4116207788513496E-2</v>
      </c>
      <c r="P187" s="54" t="s">
        <v>21</v>
      </c>
      <c r="Q187" s="52" t="s">
        <v>21</v>
      </c>
      <c r="R187" s="93" t="s">
        <v>21</v>
      </c>
      <c r="S187" s="72">
        <v>0</v>
      </c>
      <c r="T187" s="62">
        <v>1.1976685467812248E-2</v>
      </c>
      <c r="V187" s="113">
        <v>1.1106653500000001</v>
      </c>
      <c r="W187" s="71">
        <v>2.8404944000000003</v>
      </c>
      <c r="X187" s="71">
        <v>4.35531764</v>
      </c>
      <c r="Y187" s="71">
        <v>5.6391177600000004</v>
      </c>
      <c r="Z187" s="114">
        <v>7.19242574</v>
      </c>
    </row>
    <row r="188" spans="2:26" x14ac:dyDescent="0.35">
      <c r="B188" s="54" t="s">
        <v>241</v>
      </c>
      <c r="C188" s="52" t="s">
        <v>232</v>
      </c>
      <c r="D188" s="52" t="s">
        <v>43</v>
      </c>
      <c r="E188" s="52" t="s">
        <v>243</v>
      </c>
      <c r="F188" s="70" t="s">
        <v>21</v>
      </c>
      <c r="G188" s="70">
        <v>5.723965247234529E-3</v>
      </c>
      <c r="H188" s="70">
        <v>1.1916260536498339E-2</v>
      </c>
      <c r="I188" s="70">
        <v>1.6047718407088858E-2</v>
      </c>
      <c r="J188" s="62">
        <v>2.0182023572099195E-2</v>
      </c>
      <c r="K188" s="70" t="s">
        <v>21</v>
      </c>
      <c r="L188" s="70">
        <v>2.6432460472345272E-3</v>
      </c>
      <c r="M188" s="70">
        <v>7.8401894364983401E-3</v>
      </c>
      <c r="N188" s="70">
        <v>1.1094877807088861E-2</v>
      </c>
      <c r="O188" s="70">
        <v>1.3964715072099195E-2</v>
      </c>
      <c r="P188" s="54" t="s">
        <v>514</v>
      </c>
      <c r="Q188" s="52" t="s">
        <v>515</v>
      </c>
      <c r="R188" s="93" t="s">
        <v>32</v>
      </c>
      <c r="S188" s="72">
        <v>1.0416089999999999E-2</v>
      </c>
      <c r="T188" s="62">
        <v>1.5001705364983391E-3</v>
      </c>
      <c r="V188" s="113">
        <v>1.1101949599999998</v>
      </c>
      <c r="W188" s="71">
        <v>2.8391052000000001</v>
      </c>
      <c r="X188" s="71">
        <v>4.3541865499999997</v>
      </c>
      <c r="Y188" s="71">
        <v>5.63887801</v>
      </c>
      <c r="Z188" s="114">
        <v>7.1955456</v>
      </c>
    </row>
    <row r="189" spans="2:26" x14ac:dyDescent="0.35">
      <c r="B189" s="54" t="s">
        <v>154</v>
      </c>
      <c r="C189" s="52" t="s">
        <v>232</v>
      </c>
      <c r="D189" s="52" t="s">
        <v>43</v>
      </c>
      <c r="E189" s="52" t="s">
        <v>81</v>
      </c>
      <c r="F189" s="70" t="s">
        <v>21</v>
      </c>
      <c r="G189" s="70">
        <v>5.4923363520870214E-3</v>
      </c>
      <c r="H189" s="70">
        <v>1.1922872284552775E-2</v>
      </c>
      <c r="I189" s="70">
        <v>1.5852687653312662E-2</v>
      </c>
      <c r="J189" s="62">
        <v>1.9596834787029973E-2</v>
      </c>
      <c r="K189" s="70" t="s">
        <v>21</v>
      </c>
      <c r="L189" s="70">
        <v>2.397123852087023E-3</v>
      </c>
      <c r="M189" s="70">
        <v>7.846611984552776E-3</v>
      </c>
      <c r="N189" s="70">
        <v>1.089577195331266E-2</v>
      </c>
      <c r="O189" s="70">
        <v>1.3369642587029974E-2</v>
      </c>
      <c r="P189" s="54" t="s">
        <v>516</v>
      </c>
      <c r="Q189" s="52" t="s">
        <v>517</v>
      </c>
      <c r="R189" s="93">
        <v>47536</v>
      </c>
      <c r="S189" s="72">
        <v>6.3702699999999999E-3</v>
      </c>
      <c r="T189" s="62">
        <v>5.5526022845527748E-3</v>
      </c>
      <c r="V189" s="113">
        <v>1.11018824</v>
      </c>
      <c r="W189" s="71">
        <v>2.8403229099999998</v>
      </c>
      <c r="X189" s="71">
        <v>4.3559475700000005</v>
      </c>
      <c r="Y189" s="71">
        <v>5.6430125200000001</v>
      </c>
      <c r="Z189" s="114">
        <v>7.2127056300000003</v>
      </c>
    </row>
    <row r="190" spans="2:26" x14ac:dyDescent="0.35">
      <c r="B190" s="54" t="s">
        <v>334</v>
      </c>
      <c r="C190" s="52" t="s">
        <v>232</v>
      </c>
      <c r="D190" s="52" t="s">
        <v>20</v>
      </c>
      <c r="E190" s="52" t="s">
        <v>253</v>
      </c>
      <c r="F190" s="70" t="s">
        <v>21</v>
      </c>
      <c r="G190" s="70">
        <v>6.5362776532770783E-3</v>
      </c>
      <c r="H190" s="70">
        <v>1.2323563181807315E-2</v>
      </c>
      <c r="I190" s="70">
        <v>1.5825097521434576E-2</v>
      </c>
      <c r="J190" s="62">
        <v>1.9356797943021288E-2</v>
      </c>
      <c r="K190" s="70" t="s">
        <v>21</v>
      </c>
      <c r="L190" s="70">
        <v>3.5001131532770781E-3</v>
      </c>
      <c r="M190" s="70">
        <v>8.2619556818073168E-3</v>
      </c>
      <c r="N190" s="70">
        <v>1.0867511921434574E-2</v>
      </c>
      <c r="O190" s="70">
        <v>1.3120238743021284E-2</v>
      </c>
      <c r="P190" s="54" t="s">
        <v>21</v>
      </c>
      <c r="Q190" s="52" t="s">
        <v>21</v>
      </c>
      <c r="R190" s="93" t="s">
        <v>21</v>
      </c>
      <c r="S190" s="72">
        <v>0</v>
      </c>
      <c r="T190" s="62">
        <v>1.2323563181807315E-2</v>
      </c>
      <c r="V190" s="113">
        <v>1.1076297500000001</v>
      </c>
      <c r="W190" s="71">
        <v>2.8293364800000003</v>
      </c>
      <c r="X190" s="71">
        <v>4.3384876800000001</v>
      </c>
      <c r="Y190" s="71">
        <v>5.6240362800000003</v>
      </c>
      <c r="Z190" s="114">
        <v>7.2008445200000004</v>
      </c>
    </row>
    <row r="191" spans="2:26" x14ac:dyDescent="0.35">
      <c r="B191" s="54" t="s">
        <v>335</v>
      </c>
      <c r="C191" s="52" t="s">
        <v>232</v>
      </c>
      <c r="D191" s="52" t="s">
        <v>20</v>
      </c>
      <c r="E191" s="52" t="s">
        <v>123</v>
      </c>
      <c r="F191" s="70" t="s">
        <v>21</v>
      </c>
      <c r="G191" s="70">
        <v>6.1229835469751581E-3</v>
      </c>
      <c r="H191" s="70">
        <v>1.2359296478920496E-2</v>
      </c>
      <c r="I191" s="70">
        <v>1.6339712140244447E-2</v>
      </c>
      <c r="J191" s="62">
        <v>1.9649471893278078E-2</v>
      </c>
      <c r="K191" s="70" t="s">
        <v>21</v>
      </c>
      <c r="L191" s="70">
        <v>3.0652936469751581E-3</v>
      </c>
      <c r="M191" s="70">
        <v>8.2993018789204974E-3</v>
      </c>
      <c r="N191" s="70">
        <v>1.1395137140244446E-2</v>
      </c>
      <c r="O191" s="70">
        <v>1.3429722193278079E-2</v>
      </c>
      <c r="P191" s="54" t="s">
        <v>383</v>
      </c>
      <c r="Q191" s="52" t="s">
        <v>384</v>
      </c>
      <c r="R191" s="93">
        <v>47624</v>
      </c>
      <c r="S191" s="72">
        <v>1.0409010000000002E-2</v>
      </c>
      <c r="T191" s="62">
        <v>1.9502864789204943E-3</v>
      </c>
      <c r="V191" s="113">
        <v>1.11027476</v>
      </c>
      <c r="W191" s="71">
        <v>2.8371790200000002</v>
      </c>
      <c r="X191" s="71">
        <v>4.3476728600000003</v>
      </c>
      <c r="Y191" s="71">
        <v>5.6264557799999997</v>
      </c>
      <c r="Z191" s="114">
        <v>7.1870423599999995</v>
      </c>
    </row>
    <row r="192" spans="2:26" x14ac:dyDescent="0.35">
      <c r="B192" s="54" t="s">
        <v>144</v>
      </c>
      <c r="C192" s="52" t="s">
        <v>232</v>
      </c>
      <c r="D192" s="52" t="s">
        <v>20</v>
      </c>
      <c r="E192" s="52" t="s">
        <v>249</v>
      </c>
      <c r="F192" s="70" t="s">
        <v>21</v>
      </c>
      <c r="G192" s="70">
        <v>6.7162762753692797E-3</v>
      </c>
      <c r="H192" s="70">
        <v>1.2244065377634025E-2</v>
      </c>
      <c r="I192" s="70">
        <v>1.5769177707517283E-2</v>
      </c>
      <c r="J192" s="62">
        <v>1.9133274421471995E-2</v>
      </c>
      <c r="K192" s="70" t="s">
        <v>21</v>
      </c>
      <c r="L192" s="70">
        <v>3.6895136753692793E-3</v>
      </c>
      <c r="M192" s="70">
        <v>8.1804861776340245E-3</v>
      </c>
      <c r="N192" s="70">
        <v>1.0809841207517287E-2</v>
      </c>
      <c r="O192" s="70">
        <v>1.2894446821471995E-2</v>
      </c>
      <c r="P192" s="54" t="s">
        <v>518</v>
      </c>
      <c r="Q192" s="52" t="s">
        <v>519</v>
      </c>
      <c r="R192" s="93" t="s">
        <v>32</v>
      </c>
      <c r="S192" s="72">
        <v>7.5458299999999999E-3</v>
      </c>
      <c r="T192" s="62">
        <v>4.698235377634025E-3</v>
      </c>
      <c r="V192" s="113">
        <v>1.1075464099999999</v>
      </c>
      <c r="W192" s="71">
        <v>2.8274583200000003</v>
      </c>
      <c r="X192" s="71">
        <v>4.3372486000000006</v>
      </c>
      <c r="Y192" s="71">
        <v>5.6243383500000004</v>
      </c>
      <c r="Z192" s="114">
        <v>7.20151773</v>
      </c>
    </row>
    <row r="193" spans="2:26" x14ac:dyDescent="0.35">
      <c r="B193" s="54" t="s">
        <v>242</v>
      </c>
      <c r="C193" s="52" t="s">
        <v>232</v>
      </c>
      <c r="D193" s="52" t="s">
        <v>43</v>
      </c>
      <c r="E193" s="52" t="s">
        <v>347</v>
      </c>
      <c r="F193" s="70" t="s">
        <v>21</v>
      </c>
      <c r="G193" s="70">
        <v>5.6695057368808654E-3</v>
      </c>
      <c r="H193" s="70">
        <v>1.1814921413139199E-2</v>
      </c>
      <c r="I193" s="70">
        <v>1.6148550288473468E-2</v>
      </c>
      <c r="J193" s="62">
        <v>2.017890444898042E-2</v>
      </c>
      <c r="K193" s="70" t="s">
        <v>21</v>
      </c>
      <c r="L193" s="70">
        <v>2.5854299368808669E-3</v>
      </c>
      <c r="M193" s="70">
        <v>7.7353730131392053E-3</v>
      </c>
      <c r="N193" s="70">
        <v>1.1198043088473466E-2</v>
      </c>
      <c r="O193" s="70">
        <v>1.3962778448980417E-2</v>
      </c>
      <c r="P193" s="54" t="s">
        <v>520</v>
      </c>
      <c r="Q193" s="52" t="s">
        <v>521</v>
      </c>
      <c r="R193" s="93">
        <v>47492</v>
      </c>
      <c r="S193" s="72">
        <v>1.0968500000000001E-2</v>
      </c>
      <c r="T193" s="62">
        <v>8.4642141313919818E-4</v>
      </c>
      <c r="V193" s="113">
        <v>1.1103261600000001</v>
      </c>
      <c r="W193" s="71">
        <v>2.8397841499999998</v>
      </c>
      <c r="X193" s="71">
        <v>4.3554010600000002</v>
      </c>
      <c r="Y193" s="71">
        <v>5.6383617099999999</v>
      </c>
      <c r="Z193" s="114">
        <v>7.1942406700000001</v>
      </c>
    </row>
    <row r="194" spans="2:26" x14ac:dyDescent="0.35">
      <c r="B194" s="54" t="s">
        <v>244</v>
      </c>
      <c r="C194" s="52" t="s">
        <v>232</v>
      </c>
      <c r="D194" s="52" t="s">
        <v>31</v>
      </c>
      <c r="E194" s="52" t="s">
        <v>21</v>
      </c>
      <c r="F194" s="70" t="s">
        <v>21</v>
      </c>
      <c r="G194" s="70">
        <v>5.8625497726798826E-3</v>
      </c>
      <c r="H194" s="70">
        <v>1.1759160145736223E-2</v>
      </c>
      <c r="I194" s="70">
        <v>1.5255524286516364E-2</v>
      </c>
      <c r="J194" s="62">
        <v>1.8924770846253457E-2</v>
      </c>
      <c r="K194" s="70" t="s">
        <v>21</v>
      </c>
      <c r="L194" s="70">
        <v>2.7901529726798834E-3</v>
      </c>
      <c r="M194" s="70">
        <v>7.6773493457362235E-3</v>
      </c>
      <c r="N194" s="70">
        <v>1.0282861486516368E-2</v>
      </c>
      <c r="O194" s="70">
        <v>1.2678759946253457E-2</v>
      </c>
      <c r="P194" s="54" t="s">
        <v>522</v>
      </c>
      <c r="Q194" s="52" t="s">
        <v>523</v>
      </c>
      <c r="R194" s="93">
        <v>47491</v>
      </c>
      <c r="S194" s="72">
        <v>9.5745199999999996E-3</v>
      </c>
      <c r="T194" s="62">
        <v>2.1846401457362233E-3</v>
      </c>
      <c r="V194" s="113">
        <v>1.11027265</v>
      </c>
      <c r="W194" s="71">
        <v>2.8381449600000002</v>
      </c>
      <c r="X194" s="71">
        <v>4.3544089899999996</v>
      </c>
      <c r="Y194" s="71">
        <v>5.6496711400000006</v>
      </c>
      <c r="Z194" s="114">
        <v>7.2376177799999999</v>
      </c>
    </row>
    <row r="195" spans="2:26" x14ac:dyDescent="0.35">
      <c r="B195" s="54" t="s">
        <v>151</v>
      </c>
      <c r="C195" s="52" t="s">
        <v>232</v>
      </c>
      <c r="D195" s="52" t="s">
        <v>47</v>
      </c>
      <c r="E195" s="52" t="s">
        <v>140</v>
      </c>
      <c r="F195" s="70" t="s">
        <v>21</v>
      </c>
      <c r="G195" s="70">
        <v>5.8696915065398177E-3</v>
      </c>
      <c r="H195" s="70">
        <v>1.1701192675102223E-2</v>
      </c>
      <c r="I195" s="70">
        <v>1.545236186853674E-2</v>
      </c>
      <c r="J195" s="62">
        <v>1.9711288716596682E-2</v>
      </c>
      <c r="K195" s="70" t="s">
        <v>21</v>
      </c>
      <c r="L195" s="70">
        <v>2.7980150065398165E-3</v>
      </c>
      <c r="M195" s="70">
        <v>7.617100875102225E-3</v>
      </c>
      <c r="N195" s="70">
        <v>1.0484397868536739E-2</v>
      </c>
      <c r="O195" s="70">
        <v>1.348121381659668E-2</v>
      </c>
      <c r="P195" s="54" t="s">
        <v>524</v>
      </c>
      <c r="Q195" s="52" t="s">
        <v>525</v>
      </c>
      <c r="R195" s="93" t="s">
        <v>32</v>
      </c>
      <c r="S195" s="72">
        <v>7.1522799999999996E-3</v>
      </c>
      <c r="T195" s="62">
        <v>4.5489126751022237E-3</v>
      </c>
      <c r="V195" s="113">
        <v>1.10980367</v>
      </c>
      <c r="W195" s="71">
        <v>2.8372133000000002</v>
      </c>
      <c r="X195" s="71">
        <v>4.3539977399999996</v>
      </c>
      <c r="Y195" s="71">
        <v>5.6469563699999998</v>
      </c>
      <c r="Z195" s="114">
        <v>7.2176601900000001</v>
      </c>
    </row>
    <row r="196" spans="2:26" x14ac:dyDescent="0.35">
      <c r="B196" s="54" t="s">
        <v>145</v>
      </c>
      <c r="C196" s="52" t="s">
        <v>232</v>
      </c>
      <c r="D196" s="52" t="s">
        <v>69</v>
      </c>
      <c r="E196" s="52" t="s">
        <v>342</v>
      </c>
      <c r="F196" s="70" t="s">
        <v>21</v>
      </c>
      <c r="G196" s="70">
        <v>5.6876207554436686E-3</v>
      </c>
      <c r="H196" s="70">
        <v>1.1711282855812879E-2</v>
      </c>
      <c r="I196" s="70">
        <v>1.5458430457310443E-2</v>
      </c>
      <c r="J196" s="62">
        <v>2.0110677307751242E-2</v>
      </c>
      <c r="K196" s="70" t="s">
        <v>21</v>
      </c>
      <c r="L196" s="70">
        <v>2.6048435554436714E-3</v>
      </c>
      <c r="M196" s="70">
        <v>7.6271520558128837E-3</v>
      </c>
      <c r="N196" s="70">
        <v>1.0490728957310441E-2</v>
      </c>
      <c r="O196" s="70">
        <v>1.3887026007751241E-2</v>
      </c>
      <c r="P196" s="54" t="s">
        <v>526</v>
      </c>
      <c r="Q196" s="52" t="s">
        <v>527</v>
      </c>
      <c r="R196" s="93" t="s">
        <v>32</v>
      </c>
      <c r="S196" s="72">
        <v>1.1866330000000001E-2</v>
      </c>
      <c r="T196" s="62">
        <v>-1.5504714418712248E-4</v>
      </c>
      <c r="V196" s="113">
        <v>1.1101113600000001</v>
      </c>
      <c r="W196" s="71">
        <v>2.8386534299999999</v>
      </c>
      <c r="X196" s="71">
        <v>4.3558459000000003</v>
      </c>
      <c r="Y196" s="71">
        <v>5.6486650999999997</v>
      </c>
      <c r="Z196" s="114">
        <v>7.2113565399999997</v>
      </c>
    </row>
    <row r="197" spans="2:26" x14ac:dyDescent="0.35">
      <c r="B197" s="54" t="s">
        <v>239</v>
      </c>
      <c r="C197" s="52" t="s">
        <v>232</v>
      </c>
      <c r="D197" s="52" t="s">
        <v>69</v>
      </c>
      <c r="E197" s="52" t="s">
        <v>123</v>
      </c>
      <c r="F197" s="70" t="s">
        <v>21</v>
      </c>
      <c r="G197" s="70">
        <v>5.4351599484222983E-3</v>
      </c>
      <c r="H197" s="70">
        <v>1.1726848425894873E-2</v>
      </c>
      <c r="I197" s="70">
        <v>1.5715962821820893E-2</v>
      </c>
      <c r="J197" s="62">
        <v>1.9410942753918681E-2</v>
      </c>
      <c r="K197" s="70" t="s">
        <v>21</v>
      </c>
      <c r="L197" s="70">
        <v>2.3360678484222993E-3</v>
      </c>
      <c r="M197" s="70">
        <v>7.6432412258948777E-3</v>
      </c>
      <c r="N197" s="70">
        <v>1.0755365821820888E-2</v>
      </c>
      <c r="O197" s="70">
        <v>1.3179841953918683E-2</v>
      </c>
      <c r="P197" s="54" t="s">
        <v>528</v>
      </c>
      <c r="Q197" s="52" t="s">
        <v>529</v>
      </c>
      <c r="R197" s="93" t="s">
        <v>32</v>
      </c>
      <c r="S197" s="72">
        <v>1.3452299999999999E-2</v>
      </c>
      <c r="T197" s="62">
        <v>-1.7254515741051257E-3</v>
      </c>
      <c r="V197" s="113">
        <v>1.1107116500000001</v>
      </c>
      <c r="W197" s="71">
        <v>2.8416677800000003</v>
      </c>
      <c r="X197" s="71">
        <v>4.3593713699999999</v>
      </c>
      <c r="Y197" s="71">
        <v>5.6487976199999999</v>
      </c>
      <c r="Z197" s="114">
        <v>7.2230949799999999</v>
      </c>
    </row>
    <row r="198" spans="2:26" x14ac:dyDescent="0.35">
      <c r="B198" s="54" t="s">
        <v>340</v>
      </c>
      <c r="C198" s="52" t="s">
        <v>232</v>
      </c>
      <c r="D198" s="52" t="s">
        <v>20</v>
      </c>
      <c r="E198" s="52" t="s">
        <v>243</v>
      </c>
      <c r="F198" s="70" t="s">
        <v>21</v>
      </c>
      <c r="G198" s="70">
        <v>6.1718387379873898E-3</v>
      </c>
      <c r="H198" s="70">
        <v>1.2157241700891863E-2</v>
      </c>
      <c r="I198" s="70">
        <v>1.541581924145391E-2</v>
      </c>
      <c r="J198" s="62">
        <v>1.8725823499291774E-2</v>
      </c>
      <c r="K198" s="70" t="s">
        <v>21</v>
      </c>
      <c r="L198" s="70">
        <v>3.1158702379873908E-3</v>
      </c>
      <c r="M198" s="70">
        <v>8.0895016008918682E-3</v>
      </c>
      <c r="N198" s="70">
        <v>1.0449569341453911E-2</v>
      </c>
      <c r="O198" s="70">
        <v>1.2477689899291773E-2</v>
      </c>
      <c r="P198" s="54" t="s">
        <v>21</v>
      </c>
      <c r="Q198" s="52" t="s">
        <v>21</v>
      </c>
      <c r="R198" s="93" t="s">
        <v>21</v>
      </c>
      <c r="S198" s="72">
        <v>0</v>
      </c>
      <c r="T198" s="62">
        <v>1.2157241700891863E-2</v>
      </c>
      <c r="V198" s="113">
        <v>1.1095658099999999</v>
      </c>
      <c r="W198" s="71">
        <v>2.8358046099999998</v>
      </c>
      <c r="X198" s="71">
        <v>4.3478363899999994</v>
      </c>
      <c r="Y198" s="71">
        <v>5.63747168</v>
      </c>
      <c r="Z198" s="114">
        <v>7.22616207</v>
      </c>
    </row>
    <row r="199" spans="2:26" x14ac:dyDescent="0.35">
      <c r="B199" s="54" t="s">
        <v>176</v>
      </c>
      <c r="C199" s="52" t="s">
        <v>232</v>
      </c>
      <c r="D199" s="52" t="s">
        <v>47</v>
      </c>
      <c r="E199" s="52" t="s">
        <v>21</v>
      </c>
      <c r="F199" s="70" t="s">
        <v>21</v>
      </c>
      <c r="G199" s="70">
        <v>5.2912575610846628E-3</v>
      </c>
      <c r="H199" s="70">
        <v>1.168587945314292E-2</v>
      </c>
      <c r="I199" s="70">
        <v>1.5772864532742237E-2</v>
      </c>
      <c r="J199" s="62">
        <v>2.0239900311871183E-2</v>
      </c>
      <c r="K199" s="70" t="s">
        <v>21</v>
      </c>
      <c r="L199" s="70">
        <v>2.1818395610846619E-3</v>
      </c>
      <c r="M199" s="70">
        <v>7.5995796531429221E-3</v>
      </c>
      <c r="N199" s="70">
        <v>1.0812251232742237E-2</v>
      </c>
      <c r="O199" s="70">
        <v>1.4020865711871182E-2</v>
      </c>
      <c r="P199" s="54" t="s">
        <v>21</v>
      </c>
      <c r="Q199" s="52" t="s">
        <v>21</v>
      </c>
      <c r="R199" s="93" t="s">
        <v>21</v>
      </c>
      <c r="S199" s="72">
        <v>0</v>
      </c>
      <c r="T199" s="62">
        <v>1.168587945314292E-2</v>
      </c>
      <c r="V199" s="113">
        <v>1.1105372299999998</v>
      </c>
      <c r="W199" s="71">
        <v>2.8424875200000002</v>
      </c>
      <c r="X199" s="71">
        <v>4.3611220800000003</v>
      </c>
      <c r="Y199" s="71">
        <v>5.6504501899999999</v>
      </c>
      <c r="Z199" s="114">
        <v>7.2093104800000001</v>
      </c>
    </row>
    <row r="200" spans="2:26" x14ac:dyDescent="0.35">
      <c r="B200" s="54" t="s">
        <v>146</v>
      </c>
      <c r="C200" s="52" t="s">
        <v>232</v>
      </c>
      <c r="D200" s="52" t="s">
        <v>69</v>
      </c>
      <c r="E200" s="52" t="s">
        <v>128</v>
      </c>
      <c r="F200" s="70" t="s">
        <v>21</v>
      </c>
      <c r="G200" s="70">
        <v>5.4695549342015431E-3</v>
      </c>
      <c r="H200" s="70">
        <v>1.162649585998881E-2</v>
      </c>
      <c r="I200" s="70">
        <v>1.5422745345866656E-2</v>
      </c>
      <c r="J200" s="62">
        <v>1.9426621372783833E-2</v>
      </c>
      <c r="K200" s="70" t="s">
        <v>21</v>
      </c>
      <c r="L200" s="70">
        <v>2.3724621342015419E-3</v>
      </c>
      <c r="M200" s="70">
        <v>7.5387704599888111E-3</v>
      </c>
      <c r="N200" s="70">
        <v>1.0454260345866651E-2</v>
      </c>
      <c r="O200" s="70">
        <v>1.3192963772783834E-2</v>
      </c>
      <c r="P200" s="54" t="s">
        <v>530</v>
      </c>
      <c r="Q200" s="52" t="s">
        <v>531</v>
      </c>
      <c r="R200" s="93" t="s">
        <v>32</v>
      </c>
      <c r="S200" s="72">
        <v>9.5737499999999989E-3</v>
      </c>
      <c r="T200" s="62">
        <v>2.052745859988811E-3</v>
      </c>
      <c r="V200" s="113">
        <v>1.11078919</v>
      </c>
      <c r="W200" s="71">
        <v>2.8416038599999998</v>
      </c>
      <c r="X200" s="71">
        <v>4.3602203899999994</v>
      </c>
      <c r="Y200" s="71">
        <v>5.6537143400000005</v>
      </c>
      <c r="Z200" s="114">
        <v>7.23005662</v>
      </c>
    </row>
    <row r="201" spans="2:26" x14ac:dyDescent="0.35">
      <c r="B201" s="54" t="s">
        <v>325</v>
      </c>
      <c r="C201" s="52" t="s">
        <v>232</v>
      </c>
      <c r="D201" s="52" t="s">
        <v>167</v>
      </c>
      <c r="E201" s="52" t="s">
        <v>81</v>
      </c>
      <c r="F201" s="70" t="s">
        <v>21</v>
      </c>
      <c r="G201" s="70">
        <v>5.6171102217591421E-3</v>
      </c>
      <c r="H201" s="70">
        <v>1.204233345324923E-2</v>
      </c>
      <c r="I201" s="70">
        <v>1.6874095777988429E-2</v>
      </c>
      <c r="J201" s="62">
        <v>2.0419257942847737E-2</v>
      </c>
      <c r="K201" s="70" t="s">
        <v>21</v>
      </c>
      <c r="L201" s="70">
        <v>2.5294726217591421E-3</v>
      </c>
      <c r="M201" s="70">
        <v>7.9705522532492312E-3</v>
      </c>
      <c r="N201" s="70">
        <v>1.1937613477988432E-2</v>
      </c>
      <c r="O201" s="70">
        <v>1.4213896342847736E-2</v>
      </c>
      <c r="P201" s="54" t="s">
        <v>379</v>
      </c>
      <c r="Q201" s="52" t="s">
        <v>380</v>
      </c>
      <c r="R201" s="93">
        <v>47588</v>
      </c>
      <c r="S201" s="72">
        <v>1.0245850000000001E-2</v>
      </c>
      <c r="T201" s="62">
        <v>1.7964834532492296E-3</v>
      </c>
      <c r="V201" s="113">
        <v>1.11057535</v>
      </c>
      <c r="W201" s="71">
        <v>2.8406204700000002</v>
      </c>
      <c r="X201" s="71">
        <v>4.3547550800000003</v>
      </c>
      <c r="Y201" s="71">
        <v>5.6270575200000001</v>
      </c>
      <c r="Z201" s="114">
        <v>7.1707994199999998</v>
      </c>
    </row>
    <row r="202" spans="2:26" x14ac:dyDescent="0.35">
      <c r="B202" s="54" t="s">
        <v>354</v>
      </c>
      <c r="C202" s="52" t="s">
        <v>232</v>
      </c>
      <c r="D202" s="52" t="s">
        <v>20</v>
      </c>
      <c r="E202" s="52" t="s">
        <v>21</v>
      </c>
      <c r="F202" s="70" t="s">
        <v>21</v>
      </c>
      <c r="G202" s="70">
        <v>6.1885487856718421E-3</v>
      </c>
      <c r="H202" s="70">
        <v>1.1649146088019313E-2</v>
      </c>
      <c r="I202" s="70">
        <v>1.4914173638308707E-2</v>
      </c>
      <c r="J202" s="62">
        <v>1.8147034999746223E-2</v>
      </c>
      <c r="K202" s="70" t="s">
        <v>21</v>
      </c>
      <c r="L202" s="70">
        <v>3.1331544856718434E-3</v>
      </c>
      <c r="M202" s="70">
        <v>7.5622351880193159E-3</v>
      </c>
      <c r="N202" s="70">
        <v>9.9306546383087085E-3</v>
      </c>
      <c r="O202" s="70">
        <v>1.1877765599746223E-2</v>
      </c>
      <c r="P202" s="54" t="s">
        <v>393</v>
      </c>
      <c r="Q202" s="52" t="s">
        <v>394</v>
      </c>
      <c r="R202" s="93" t="s">
        <v>32</v>
      </c>
      <c r="S202" s="72">
        <v>8.5751200000000003E-3</v>
      </c>
      <c r="T202" s="62">
        <v>3.0740260880193129E-3</v>
      </c>
      <c r="V202" s="113">
        <v>1.1092759699999999</v>
      </c>
      <c r="W202" s="71">
        <v>2.83523097</v>
      </c>
      <c r="X202" s="71">
        <v>4.3520462000000002</v>
      </c>
      <c r="Y202" s="71">
        <v>5.6506400599999997</v>
      </c>
      <c r="Z202" s="114">
        <v>7.2572309599999993</v>
      </c>
    </row>
    <row r="203" spans="2:26" x14ac:dyDescent="0.35">
      <c r="B203" s="54" t="s">
        <v>336</v>
      </c>
      <c r="C203" s="52" t="s">
        <v>232</v>
      </c>
      <c r="D203" s="52" t="s">
        <v>69</v>
      </c>
      <c r="E203" s="52" t="s">
        <v>128</v>
      </c>
      <c r="F203" s="70" t="s">
        <v>21</v>
      </c>
      <c r="G203" s="70">
        <v>5.5296784079992087E-3</v>
      </c>
      <c r="H203" s="70">
        <v>1.1062731783206457E-2</v>
      </c>
      <c r="I203" s="70">
        <v>1.4645235608261652E-2</v>
      </c>
      <c r="J203" s="62">
        <v>1.8724624801181776E-2</v>
      </c>
      <c r="K203" s="70" t="s">
        <v>21</v>
      </c>
      <c r="L203" s="70">
        <v>2.4363914079992091E-3</v>
      </c>
      <c r="M203" s="70">
        <v>6.9505646832064595E-3</v>
      </c>
      <c r="N203" s="70">
        <v>9.6511584082616536E-3</v>
      </c>
      <c r="O203" s="70">
        <v>1.2469253301181782E-2</v>
      </c>
      <c r="P203" s="54" t="s">
        <v>21</v>
      </c>
      <c r="Q203" s="52" t="s">
        <v>21</v>
      </c>
      <c r="R203" s="93" t="s">
        <v>21</v>
      </c>
      <c r="S203" s="72">
        <v>0</v>
      </c>
      <c r="T203" s="62">
        <v>1.1062731783206457E-2</v>
      </c>
      <c r="V203" s="113">
        <v>1.1106677</v>
      </c>
      <c r="W203" s="71">
        <v>2.84099966</v>
      </c>
      <c r="X203" s="71">
        <v>4.3649853099999998</v>
      </c>
      <c r="Y203" s="71">
        <v>5.6702540699999995</v>
      </c>
      <c r="Z203" s="114">
        <v>7.2665860999999996</v>
      </c>
    </row>
    <row r="204" spans="2:26" x14ac:dyDescent="0.35">
      <c r="B204" s="54" t="s">
        <v>348</v>
      </c>
      <c r="C204" s="52" t="s">
        <v>232</v>
      </c>
      <c r="D204" s="52" t="s">
        <v>20</v>
      </c>
      <c r="E204" s="52" t="s">
        <v>532</v>
      </c>
      <c r="F204" s="70" t="s">
        <v>21</v>
      </c>
      <c r="G204" s="70">
        <v>5.3448527076226616E-3</v>
      </c>
      <c r="H204" s="70">
        <v>1.1268249404369473E-2</v>
      </c>
      <c r="I204" s="70">
        <v>1.5041535307468174E-2</v>
      </c>
      <c r="J204" s="62">
        <v>1.8175065451809275E-2</v>
      </c>
      <c r="K204" s="70" t="s">
        <v>21</v>
      </c>
      <c r="L204" s="70">
        <v>2.2391349076226613E-3</v>
      </c>
      <c r="M204" s="70">
        <v>7.1644649043694775E-3</v>
      </c>
      <c r="N204" s="70">
        <v>1.0059760207468179E-2</v>
      </c>
      <c r="O204" s="70">
        <v>1.1911453551809278E-2</v>
      </c>
      <c r="P204" s="54" t="s">
        <v>387</v>
      </c>
      <c r="Q204" s="52" t="s">
        <v>388</v>
      </c>
      <c r="R204" s="93">
        <v>47529</v>
      </c>
      <c r="S204" s="72">
        <v>9.2652199999999994E-3</v>
      </c>
      <c r="T204" s="62">
        <v>2.0030294043694736E-3</v>
      </c>
      <c r="V204" s="113">
        <v>1.1103488500000001</v>
      </c>
      <c r="W204" s="71">
        <v>2.84202559</v>
      </c>
      <c r="X204" s="71">
        <v>4.3650688100000004</v>
      </c>
      <c r="Y204" s="71">
        <v>5.6656005699999996</v>
      </c>
      <c r="Z204" s="114">
        <v>7.2673401299999991</v>
      </c>
    </row>
    <row r="205" spans="2:26" x14ac:dyDescent="0.35">
      <c r="B205" s="54" t="s">
        <v>251</v>
      </c>
      <c r="C205" s="52" t="s">
        <v>232</v>
      </c>
      <c r="D205" s="52" t="s">
        <v>53</v>
      </c>
      <c r="E205" s="52" t="s">
        <v>125</v>
      </c>
      <c r="F205" s="70" t="s">
        <v>21</v>
      </c>
      <c r="G205" s="70">
        <v>5.0241439068294882E-3</v>
      </c>
      <c r="H205" s="70">
        <v>1.0629608034896782E-2</v>
      </c>
      <c r="I205" s="70">
        <v>1.4129088754716652E-2</v>
      </c>
      <c r="J205" s="62">
        <v>1.7815923015920082E-2</v>
      </c>
      <c r="K205" s="70" t="s">
        <v>21</v>
      </c>
      <c r="L205" s="70">
        <v>1.895180706829488E-3</v>
      </c>
      <c r="M205" s="70">
        <v>6.4950600348967838E-3</v>
      </c>
      <c r="N205" s="70">
        <v>9.1151960547166504E-3</v>
      </c>
      <c r="O205" s="70">
        <v>1.1533523915920081E-2</v>
      </c>
      <c r="P205" s="54" t="s">
        <v>533</v>
      </c>
      <c r="Q205" s="52" t="s">
        <v>534</v>
      </c>
      <c r="R205" s="93" t="s">
        <v>32</v>
      </c>
      <c r="S205" s="72">
        <v>1.110913E-2</v>
      </c>
      <c r="T205" s="62">
        <v>-4.7952196510321794E-4</v>
      </c>
      <c r="V205" s="113">
        <v>1.11114176</v>
      </c>
      <c r="W205" s="71">
        <v>2.8454677800000003</v>
      </c>
      <c r="X205" s="71">
        <v>4.3750722</v>
      </c>
      <c r="Y205" s="71">
        <v>5.6882597299999995</v>
      </c>
      <c r="Z205" s="114">
        <v>7.3065584299999999</v>
      </c>
    </row>
    <row r="206" spans="2:26" x14ac:dyDescent="0.35">
      <c r="B206" s="54" t="s">
        <v>143</v>
      </c>
      <c r="C206" s="52" t="s">
        <v>232</v>
      </c>
      <c r="D206" s="52" t="s">
        <v>20</v>
      </c>
      <c r="E206" s="52" t="s">
        <v>57</v>
      </c>
      <c r="F206" s="70" t="s">
        <v>21</v>
      </c>
      <c r="G206" s="70">
        <v>5.3207003056944448E-3</v>
      </c>
      <c r="H206" s="70">
        <v>1.1085579103120571E-2</v>
      </c>
      <c r="I206" s="70">
        <v>1.4532545051109029E-2</v>
      </c>
      <c r="J206" s="62">
        <v>1.820651775054772E-2</v>
      </c>
      <c r="K206" s="70" t="s">
        <v>21</v>
      </c>
      <c r="L206" s="70">
        <v>2.213832905694445E-3</v>
      </c>
      <c r="M206" s="70">
        <v>6.9735972031205688E-3</v>
      </c>
      <c r="N206" s="70">
        <v>9.5352180511090352E-3</v>
      </c>
      <c r="O206" s="70">
        <v>1.1939118350547716E-2</v>
      </c>
      <c r="P206" s="54" t="s">
        <v>535</v>
      </c>
      <c r="Q206" s="52" t="s">
        <v>536</v>
      </c>
      <c r="R206" s="93">
        <v>47498</v>
      </c>
      <c r="S206" s="72">
        <v>9.4635199999999996E-3</v>
      </c>
      <c r="T206" s="62">
        <v>1.6220591031205715E-3</v>
      </c>
      <c r="V206" s="113">
        <v>1.1100543299999999</v>
      </c>
      <c r="W206" s="71">
        <v>2.8415020900000001</v>
      </c>
      <c r="X206" s="71">
        <v>4.3662302400000002</v>
      </c>
      <c r="Y206" s="71">
        <v>5.6711387799999997</v>
      </c>
      <c r="Z206" s="114">
        <v>7.2764339100000006</v>
      </c>
    </row>
    <row r="207" spans="2:26" x14ac:dyDescent="0.35">
      <c r="B207" s="54" t="s">
        <v>257</v>
      </c>
      <c r="C207" s="52" t="s">
        <v>232</v>
      </c>
      <c r="D207" s="52" t="s">
        <v>69</v>
      </c>
      <c r="E207" s="52" t="s">
        <v>21</v>
      </c>
      <c r="F207" s="70" t="s">
        <v>21</v>
      </c>
      <c r="G207" s="70">
        <v>5.0518192005054429E-3</v>
      </c>
      <c r="H207" s="70">
        <v>1.0561062995473195E-2</v>
      </c>
      <c r="I207" s="70">
        <v>1.3831293353713506E-2</v>
      </c>
      <c r="J207" s="62">
        <v>1.7189025165225379E-2</v>
      </c>
      <c r="K207" s="70" t="s">
        <v>21</v>
      </c>
      <c r="L207" s="70">
        <v>1.9247418005054417E-3</v>
      </c>
      <c r="M207" s="70">
        <v>6.4225280954731973E-3</v>
      </c>
      <c r="N207" s="70">
        <v>8.8047743537135025E-3</v>
      </c>
      <c r="O207" s="70">
        <v>1.0882783165225379E-2</v>
      </c>
      <c r="P207" s="54" t="s">
        <v>537</v>
      </c>
      <c r="Q207" s="52" t="s">
        <v>538</v>
      </c>
      <c r="R207" s="93" t="s">
        <v>32</v>
      </c>
      <c r="S207" s="72">
        <v>3.9340799999999995E-3</v>
      </c>
      <c r="T207" s="62">
        <v>6.6269829954731952E-3</v>
      </c>
      <c r="V207" s="113">
        <v>1.11045572</v>
      </c>
      <c r="W207" s="71">
        <v>2.8441756900000001</v>
      </c>
      <c r="X207" s="71">
        <v>4.3742731399999997</v>
      </c>
      <c r="Y207" s="71">
        <v>5.6916914700000003</v>
      </c>
      <c r="Z207" s="114">
        <v>7.3255473000000002</v>
      </c>
    </row>
    <row r="208" spans="2:26" x14ac:dyDescent="0.35">
      <c r="B208" s="54" t="s">
        <v>252</v>
      </c>
      <c r="C208" s="52" t="s">
        <v>232</v>
      </c>
      <c r="D208" s="52" t="s">
        <v>20</v>
      </c>
      <c r="E208" s="52" t="s">
        <v>21</v>
      </c>
      <c r="F208" s="70" t="s">
        <v>21</v>
      </c>
      <c r="G208" s="70">
        <v>6.1542176855932471E-3</v>
      </c>
      <c r="H208" s="70">
        <v>1.0933380802085297E-2</v>
      </c>
      <c r="I208" s="70">
        <v>1.3644916288012721E-2</v>
      </c>
      <c r="J208" s="62">
        <v>1.7461904634995508E-2</v>
      </c>
      <c r="K208" s="70" t="s">
        <v>21</v>
      </c>
      <c r="L208" s="70">
        <v>3.0974122855932469E-3</v>
      </c>
      <c r="M208" s="70">
        <v>6.8154120020852979E-3</v>
      </c>
      <c r="N208" s="70">
        <v>8.6116075880127256E-3</v>
      </c>
      <c r="O208" s="70">
        <v>1.1156653034995509E-2</v>
      </c>
      <c r="P208" s="54" t="s">
        <v>539</v>
      </c>
      <c r="Q208" s="52" t="s">
        <v>540</v>
      </c>
      <c r="R208" s="93">
        <v>47545</v>
      </c>
      <c r="S208" s="72">
        <v>6.8460100000000005E-3</v>
      </c>
      <c r="T208" s="62">
        <v>4.0873708020852965E-3</v>
      </c>
      <c r="V208" s="113">
        <v>1.1097304299999999</v>
      </c>
      <c r="W208" s="71">
        <v>2.8353168599999998</v>
      </c>
      <c r="X208" s="71">
        <v>4.35924683</v>
      </c>
      <c r="Y208" s="71">
        <v>5.6782940699999997</v>
      </c>
      <c r="Z208" s="114">
        <v>7.3139275200000009</v>
      </c>
    </row>
    <row r="209" spans="2:26" x14ac:dyDescent="0.35">
      <c r="B209" s="54" t="s">
        <v>153</v>
      </c>
      <c r="C209" s="52" t="s">
        <v>232</v>
      </c>
      <c r="D209" s="52" t="s">
        <v>20</v>
      </c>
      <c r="E209" s="52" t="s">
        <v>133</v>
      </c>
      <c r="F209" s="70" t="s">
        <v>21</v>
      </c>
      <c r="G209" s="70">
        <v>4.932959103628118E-3</v>
      </c>
      <c r="H209" s="70">
        <v>1.0983444292502403E-2</v>
      </c>
      <c r="I209" s="70">
        <v>1.4735925393420415E-2</v>
      </c>
      <c r="J209" s="62">
        <v>1.7961960265271793E-2</v>
      </c>
      <c r="K209" s="70" t="s">
        <v>21</v>
      </c>
      <c r="L209" s="70">
        <v>1.7971649036281198E-3</v>
      </c>
      <c r="M209" s="70">
        <v>6.8667522925024045E-3</v>
      </c>
      <c r="N209" s="70">
        <v>9.7459058934204097E-3</v>
      </c>
      <c r="O209" s="70">
        <v>1.1691794965271791E-2</v>
      </c>
      <c r="P209" s="54" t="s">
        <v>541</v>
      </c>
      <c r="Q209" s="52" t="s">
        <v>542</v>
      </c>
      <c r="R209" s="93">
        <v>47529</v>
      </c>
      <c r="S209" s="72">
        <v>9.4703800000000005E-3</v>
      </c>
      <c r="T209" s="62">
        <v>1.5130642925024022E-3</v>
      </c>
      <c r="V209" s="113">
        <v>1.1111631399999999</v>
      </c>
      <c r="W209" s="71">
        <v>2.8465147699999997</v>
      </c>
      <c r="X209" s="71">
        <v>4.3724234299999996</v>
      </c>
      <c r="Y209" s="71">
        <v>5.6753057599999996</v>
      </c>
      <c r="Z209" s="114">
        <v>7.2834834500000003</v>
      </c>
    </row>
    <row r="210" spans="2:26" x14ac:dyDescent="0.35">
      <c r="B210" s="54" t="s">
        <v>343</v>
      </c>
      <c r="C210" s="52" t="s">
        <v>232</v>
      </c>
      <c r="D210" s="52" t="s">
        <v>31</v>
      </c>
      <c r="E210" s="52" t="s">
        <v>21</v>
      </c>
      <c r="F210" s="70" t="s">
        <v>21</v>
      </c>
      <c r="G210" s="70">
        <v>4.8469329621180892E-3</v>
      </c>
      <c r="H210" s="70">
        <v>1.0417252503603796E-2</v>
      </c>
      <c r="I210" s="70">
        <v>1.3831055880083759E-2</v>
      </c>
      <c r="J210" s="62">
        <v>1.7326798350250174E-2</v>
      </c>
      <c r="K210" s="70" t="s">
        <v>21</v>
      </c>
      <c r="L210" s="70">
        <v>1.7053107621180889E-3</v>
      </c>
      <c r="M210" s="70">
        <v>6.2710583036037978E-3</v>
      </c>
      <c r="N210" s="70">
        <v>8.8043052800837671E-3</v>
      </c>
      <c r="O210" s="70">
        <v>1.1026079250250176E-2</v>
      </c>
      <c r="P210" s="54" t="s">
        <v>21</v>
      </c>
      <c r="Q210" s="52" t="s">
        <v>21</v>
      </c>
      <c r="R210" s="93" t="s">
        <v>21</v>
      </c>
      <c r="S210" s="72">
        <v>0</v>
      </c>
      <c r="T210" s="62">
        <v>1.0417252503603796E-2</v>
      </c>
      <c r="V210" s="113">
        <v>1.1103497099999999</v>
      </c>
      <c r="W210" s="71">
        <v>2.8447169000000003</v>
      </c>
      <c r="X210" s="71">
        <v>4.3768247900000006</v>
      </c>
      <c r="Y210" s="71">
        <v>5.6944657400000001</v>
      </c>
      <c r="Z210" s="114">
        <v>7.3248783299999998</v>
      </c>
    </row>
    <row r="211" spans="2:26" x14ac:dyDescent="0.35">
      <c r="B211" s="54" t="s">
        <v>357</v>
      </c>
      <c r="C211" s="52" t="s">
        <v>232</v>
      </c>
      <c r="D211" s="52" t="s">
        <v>20</v>
      </c>
      <c r="E211" s="52" t="s">
        <v>21</v>
      </c>
      <c r="F211" s="70" t="s">
        <v>21</v>
      </c>
      <c r="G211" s="70">
        <v>5.2648235124158824E-3</v>
      </c>
      <c r="H211" s="70">
        <v>1.0799380363244994E-2</v>
      </c>
      <c r="I211" s="70">
        <v>1.4082230732081296E-2</v>
      </c>
      <c r="J211" s="62">
        <v>1.7367807468930688E-2</v>
      </c>
      <c r="K211" s="70" t="s">
        <v>21</v>
      </c>
      <c r="L211" s="70">
        <v>2.1538951124158803E-3</v>
      </c>
      <c r="M211" s="70">
        <v>6.6732541632449939E-3</v>
      </c>
      <c r="N211" s="70">
        <v>9.0670731320812957E-3</v>
      </c>
      <c r="O211" s="70">
        <v>1.1071367868930683E-2</v>
      </c>
      <c r="P211" s="54" t="s">
        <v>21</v>
      </c>
      <c r="Q211" s="52" t="s">
        <v>21</v>
      </c>
      <c r="R211" s="93" t="s">
        <v>21</v>
      </c>
      <c r="S211" s="72">
        <v>0</v>
      </c>
      <c r="T211" s="62">
        <v>1.0799380363244994E-2</v>
      </c>
      <c r="V211" s="113">
        <v>1.1103554899999999</v>
      </c>
      <c r="W211" s="71">
        <v>2.8414782299999999</v>
      </c>
      <c r="X211" s="71">
        <v>4.3693259900000001</v>
      </c>
      <c r="Y211" s="71">
        <v>5.6815669300000007</v>
      </c>
      <c r="Z211" s="114">
        <v>7.3070772899999996</v>
      </c>
    </row>
    <row r="212" spans="2:26" x14ac:dyDescent="0.35">
      <c r="B212" s="54" t="s">
        <v>360</v>
      </c>
      <c r="C212" s="52" t="s">
        <v>232</v>
      </c>
      <c r="D212" s="52" t="s">
        <v>20</v>
      </c>
      <c r="E212" s="52" t="s">
        <v>543</v>
      </c>
      <c r="F212" s="70" t="s">
        <v>21</v>
      </c>
      <c r="G212" s="70">
        <v>5.2538003111756697E-3</v>
      </c>
      <c r="H212" s="70">
        <v>1.0801236759256523E-2</v>
      </c>
      <c r="I212" s="70">
        <v>1.4063222184495605E-2</v>
      </c>
      <c r="J212" s="62">
        <v>1.7476008082923725E-2</v>
      </c>
      <c r="K212" s="70" t="s">
        <v>21</v>
      </c>
      <c r="L212" s="70">
        <v>2.1419474111756712E-3</v>
      </c>
      <c r="M212" s="70">
        <v>6.6750953592565245E-3</v>
      </c>
      <c r="N212" s="70">
        <v>9.0475791844956046E-3</v>
      </c>
      <c r="O212" s="70">
        <v>1.1183199382923725E-2</v>
      </c>
      <c r="P212" s="54" t="s">
        <v>21</v>
      </c>
      <c r="Q212" s="52" t="s">
        <v>21</v>
      </c>
      <c r="R212" s="93" t="s">
        <v>21</v>
      </c>
      <c r="S212" s="72">
        <v>0</v>
      </c>
      <c r="T212" s="62">
        <v>1.0801236759256523E-2</v>
      </c>
      <c r="V212" s="113">
        <v>1.110177</v>
      </c>
      <c r="W212" s="71">
        <v>2.8417762099999999</v>
      </c>
      <c r="X212" s="71">
        <v>4.3697678199999999</v>
      </c>
      <c r="Y212" s="71">
        <v>5.6819110200000003</v>
      </c>
      <c r="Z212" s="114">
        <v>7.3051989100000005</v>
      </c>
    </row>
    <row r="213" spans="2:26" x14ac:dyDescent="0.35">
      <c r="B213" s="54" t="s">
        <v>258</v>
      </c>
      <c r="C213" s="52" t="s">
        <v>232</v>
      </c>
      <c r="D213" s="52" t="s">
        <v>31</v>
      </c>
      <c r="E213" s="52" t="s">
        <v>21</v>
      </c>
      <c r="F213" s="70" t="s">
        <v>21</v>
      </c>
      <c r="G213" s="70">
        <v>4.7884456909858125E-3</v>
      </c>
      <c r="H213" s="70">
        <v>1.0327579320345828E-2</v>
      </c>
      <c r="I213" s="70">
        <v>1.3441481788624168E-2</v>
      </c>
      <c r="J213" s="62">
        <v>1.6288716630723864E-2</v>
      </c>
      <c r="K213" s="70" t="s">
        <v>21</v>
      </c>
      <c r="L213" s="70">
        <v>1.6416012909858126E-3</v>
      </c>
      <c r="M213" s="70">
        <v>6.1762023203458302E-3</v>
      </c>
      <c r="N213" s="70">
        <v>8.3978715886241645E-3</v>
      </c>
      <c r="O213" s="70">
        <v>9.9453183307238614E-3</v>
      </c>
      <c r="P213" s="54" t="s">
        <v>544</v>
      </c>
      <c r="Q213" s="52" t="s">
        <v>545</v>
      </c>
      <c r="R213" s="93">
        <v>47517</v>
      </c>
      <c r="S213" s="72">
        <v>8.3921800000000008E-3</v>
      </c>
      <c r="T213" s="62">
        <v>1.9353993203458271E-3</v>
      </c>
      <c r="V213" s="113">
        <v>1.11098462</v>
      </c>
      <c r="W213" s="71">
        <v>2.84629632</v>
      </c>
      <c r="X213" s="71">
        <v>4.3794954600000002</v>
      </c>
      <c r="Y213" s="71">
        <v>5.7024398999999999</v>
      </c>
      <c r="Z213" s="114">
        <v>7.3570736299999995</v>
      </c>
    </row>
    <row r="214" spans="2:26" x14ac:dyDescent="0.35">
      <c r="B214" s="54" t="s">
        <v>344</v>
      </c>
      <c r="C214" s="52" t="s">
        <v>232</v>
      </c>
      <c r="D214" s="52" t="s">
        <v>97</v>
      </c>
      <c r="E214" s="52" t="s">
        <v>225</v>
      </c>
      <c r="F214" s="70" t="s">
        <v>21</v>
      </c>
      <c r="G214" s="70">
        <v>4.9724935221115733E-3</v>
      </c>
      <c r="H214" s="70">
        <v>1.0275832207069424E-2</v>
      </c>
      <c r="I214" s="70">
        <v>1.3795678806358342E-2</v>
      </c>
      <c r="J214" s="62">
        <v>1.7186912047891696E-2</v>
      </c>
      <c r="K214" s="70" t="s">
        <v>21</v>
      </c>
      <c r="L214" s="70">
        <v>1.839705822111572E-3</v>
      </c>
      <c r="M214" s="70">
        <v>6.1221164070694289E-3</v>
      </c>
      <c r="N214" s="70">
        <v>8.7669995063583452E-3</v>
      </c>
      <c r="O214" s="70">
        <v>1.0881275647891694E-2</v>
      </c>
      <c r="P214" s="54" t="s">
        <v>21</v>
      </c>
      <c r="Q214" s="52" t="s">
        <v>21</v>
      </c>
      <c r="R214" s="93" t="s">
        <v>21</v>
      </c>
      <c r="S214" s="72">
        <v>0</v>
      </c>
      <c r="T214" s="62">
        <v>1.0275832207069424E-2</v>
      </c>
      <c r="V214" s="113">
        <v>1.11145585</v>
      </c>
      <c r="W214" s="71">
        <v>2.8460192100000001</v>
      </c>
      <c r="X214" s="71">
        <v>4.3792583799999996</v>
      </c>
      <c r="Y214" s="71">
        <v>5.6979131299999999</v>
      </c>
      <c r="Z214" s="114">
        <v>7.3314428700000001</v>
      </c>
    </row>
    <row r="215" spans="2:26" x14ac:dyDescent="0.35">
      <c r="B215" s="54" t="s">
        <v>353</v>
      </c>
      <c r="C215" s="52" t="s">
        <v>232</v>
      </c>
      <c r="D215" s="52" t="s">
        <v>31</v>
      </c>
      <c r="E215" s="52" t="s">
        <v>546</v>
      </c>
      <c r="F215" s="70" t="s">
        <v>21</v>
      </c>
      <c r="G215" s="70">
        <v>4.7586013277880236E-3</v>
      </c>
      <c r="H215" s="70">
        <v>1.0285307657829645E-2</v>
      </c>
      <c r="I215" s="70">
        <v>1.3650543514155313E-2</v>
      </c>
      <c r="J215" s="62">
        <v>1.7197337936341314E-2</v>
      </c>
      <c r="K215" s="70" t="s">
        <v>21</v>
      </c>
      <c r="L215" s="70">
        <v>1.6090328277880254E-3</v>
      </c>
      <c r="M215" s="70">
        <v>6.1315883578296482E-3</v>
      </c>
      <c r="N215" s="70">
        <v>8.6159831141553126E-3</v>
      </c>
      <c r="O215" s="70">
        <v>1.0891200736341314E-2</v>
      </c>
      <c r="P215" s="54" t="s">
        <v>21</v>
      </c>
      <c r="Q215" s="52" t="s">
        <v>21</v>
      </c>
      <c r="R215" s="93" t="s">
        <v>21</v>
      </c>
      <c r="S215" s="72">
        <v>0</v>
      </c>
      <c r="T215" s="62">
        <v>1.0285307657829645E-2</v>
      </c>
      <c r="V215" s="113">
        <v>1.11155347</v>
      </c>
      <c r="W215" s="71">
        <v>2.8475616499999998</v>
      </c>
      <c r="X215" s="71">
        <v>4.3812870300000002</v>
      </c>
      <c r="Y215" s="71">
        <v>5.7017159099999999</v>
      </c>
      <c r="Z215" s="114">
        <v>7.3361838499999994</v>
      </c>
    </row>
    <row r="216" spans="2:26" x14ac:dyDescent="0.35">
      <c r="B216" s="54" t="s">
        <v>361</v>
      </c>
      <c r="C216" s="52" t="s">
        <v>232</v>
      </c>
      <c r="D216" s="52" t="s">
        <v>304</v>
      </c>
      <c r="E216" s="52" t="s">
        <v>21</v>
      </c>
      <c r="F216" s="70" t="s">
        <v>21</v>
      </c>
      <c r="G216" s="70">
        <v>4.7871426320389397E-3</v>
      </c>
      <c r="H216" s="70">
        <v>1.0230332573140355E-2</v>
      </c>
      <c r="I216" s="70">
        <v>1.3449328253030191E-2</v>
      </c>
      <c r="J216" s="62">
        <v>1.6548174357306867E-2</v>
      </c>
      <c r="K216" s="70" t="s">
        <v>21</v>
      </c>
      <c r="L216" s="70">
        <v>1.6398669320389406E-3</v>
      </c>
      <c r="M216" s="70">
        <v>6.073362373140356E-3</v>
      </c>
      <c r="N216" s="70">
        <v>8.405495853030194E-3</v>
      </c>
      <c r="O216" s="70">
        <v>1.0215517657306866E-2</v>
      </c>
      <c r="P216" s="54" t="s">
        <v>21</v>
      </c>
      <c r="Q216" s="52" t="s">
        <v>21</v>
      </c>
      <c r="R216" s="93" t="s">
        <v>21</v>
      </c>
      <c r="S216" s="72">
        <v>0</v>
      </c>
      <c r="T216" s="62">
        <v>1.0230332573140355E-2</v>
      </c>
      <c r="V216" s="113">
        <v>1.1112559500000001</v>
      </c>
      <c r="W216" s="71">
        <v>2.8468235500000003</v>
      </c>
      <c r="X216" s="71">
        <v>4.3810120700000006</v>
      </c>
      <c r="Y216" s="71">
        <v>5.7042128400000003</v>
      </c>
      <c r="Z216" s="114">
        <v>7.3534950900000009</v>
      </c>
    </row>
    <row r="217" spans="2:26" x14ac:dyDescent="0.35">
      <c r="B217" s="54" t="s">
        <v>346</v>
      </c>
      <c r="C217" s="52" t="s">
        <v>232</v>
      </c>
      <c r="D217" s="52" t="s">
        <v>97</v>
      </c>
      <c r="E217" s="52" t="s">
        <v>21</v>
      </c>
      <c r="F217" s="70" t="s">
        <v>21</v>
      </c>
      <c r="G217" s="70">
        <v>4.7964150006431982E-3</v>
      </c>
      <c r="H217" s="70">
        <v>1.022920667404212E-2</v>
      </c>
      <c r="I217" s="70">
        <v>1.3297541121898394E-2</v>
      </c>
      <c r="J217" s="62">
        <v>1.6961193243175757E-2</v>
      </c>
      <c r="K217" s="70" t="s">
        <v>21</v>
      </c>
      <c r="L217" s="70">
        <v>1.6499570006431969E-3</v>
      </c>
      <c r="M217" s="70">
        <v>6.0722545740421203E-3</v>
      </c>
      <c r="N217" s="70">
        <v>8.246910321898393E-3</v>
      </c>
      <c r="O217" s="70">
        <v>1.0642934843175755E-2</v>
      </c>
      <c r="P217" s="54" t="s">
        <v>21</v>
      </c>
      <c r="Q217" s="52" t="s">
        <v>21</v>
      </c>
      <c r="R217" s="93" t="s">
        <v>21</v>
      </c>
      <c r="S217" s="72">
        <v>0</v>
      </c>
      <c r="T217" s="62">
        <v>1.022920667404212E-2</v>
      </c>
      <c r="V217" s="113">
        <v>1.11123927</v>
      </c>
      <c r="W217" s="71">
        <v>2.8467308</v>
      </c>
      <c r="X217" s="71">
        <v>4.3808988799999993</v>
      </c>
      <c r="Y217" s="71">
        <v>5.7060404299999998</v>
      </c>
      <c r="Z217" s="114">
        <v>7.3482571999999999</v>
      </c>
    </row>
    <row r="218" spans="2:26" x14ac:dyDescent="0.35">
      <c r="B218" s="54" t="s">
        <v>250</v>
      </c>
      <c r="C218" s="52" t="s">
        <v>232</v>
      </c>
      <c r="D218" s="52" t="s">
        <v>43</v>
      </c>
      <c r="E218" s="52" t="s">
        <v>123</v>
      </c>
      <c r="F218" s="70" t="s">
        <v>21</v>
      </c>
      <c r="G218" s="70">
        <v>4.7427263013567833E-3</v>
      </c>
      <c r="H218" s="70">
        <v>1.0175624525252749E-2</v>
      </c>
      <c r="I218" s="70">
        <v>1.3599813415792845E-2</v>
      </c>
      <c r="J218" s="62">
        <v>1.7199034000236979E-2</v>
      </c>
      <c r="K218" s="70" t="s">
        <v>21</v>
      </c>
      <c r="L218" s="70">
        <v>1.5922771013567837E-3</v>
      </c>
      <c r="M218" s="70">
        <v>6.0155898252527498E-3</v>
      </c>
      <c r="N218" s="70">
        <v>8.5623439157928478E-3</v>
      </c>
      <c r="O218" s="70">
        <v>1.089214360023698E-2</v>
      </c>
      <c r="P218" s="54" t="s">
        <v>21</v>
      </c>
      <c r="Q218" s="52" t="s">
        <v>21</v>
      </c>
      <c r="R218" s="93" t="s">
        <v>21</v>
      </c>
      <c r="S218" s="72">
        <v>0</v>
      </c>
      <c r="T218" s="62">
        <v>1.0175624525252749E-2</v>
      </c>
      <c r="V218" s="113">
        <v>1.1110291800000001</v>
      </c>
      <c r="W218" s="71">
        <v>2.8466675600000002</v>
      </c>
      <c r="X218" s="71">
        <v>4.3814798699999997</v>
      </c>
      <c r="Y218" s="71">
        <v>5.7029102800000002</v>
      </c>
      <c r="Z218" s="114">
        <v>7.3376828300000003</v>
      </c>
    </row>
    <row r="219" spans="2:26" x14ac:dyDescent="0.35">
      <c r="B219" s="54" t="s">
        <v>259</v>
      </c>
      <c r="C219" s="52" t="s">
        <v>232</v>
      </c>
      <c r="D219" s="52" t="s">
        <v>31</v>
      </c>
      <c r="E219" s="52" t="s">
        <v>36</v>
      </c>
      <c r="F219" s="70" t="s">
        <v>21</v>
      </c>
      <c r="G219" s="70">
        <v>4.7387459962330968E-3</v>
      </c>
      <c r="H219" s="70">
        <v>1.0128308079491203E-2</v>
      </c>
      <c r="I219" s="70">
        <v>1.3302954504249287E-2</v>
      </c>
      <c r="J219" s="62">
        <v>1.6812271103811539E-2</v>
      </c>
      <c r="K219" s="70" t="s">
        <v>21</v>
      </c>
      <c r="L219" s="70">
        <v>1.5875326962330972E-3</v>
      </c>
      <c r="M219" s="70">
        <v>5.9651301794912039E-3</v>
      </c>
      <c r="N219" s="70">
        <v>8.2517279042492835E-3</v>
      </c>
      <c r="O219" s="70">
        <v>1.0488246203811537E-2</v>
      </c>
      <c r="P219" s="54" t="s">
        <v>547</v>
      </c>
      <c r="Q219" s="52" t="s">
        <v>548</v>
      </c>
      <c r="R219" s="93">
        <v>47660</v>
      </c>
      <c r="S219" s="72">
        <v>8.4855499999999997E-3</v>
      </c>
      <c r="T219" s="62">
        <v>1.6427580794912029E-3</v>
      </c>
      <c r="V219" s="113">
        <v>1.1110506200000001</v>
      </c>
      <c r="W219" s="71">
        <v>2.8467481600000002</v>
      </c>
      <c r="X219" s="71">
        <v>4.3820745299999997</v>
      </c>
      <c r="Y219" s="71">
        <v>5.7074959700000001</v>
      </c>
      <c r="Z219" s="114">
        <v>7.3526159999999994</v>
      </c>
    </row>
    <row r="220" spans="2:26" x14ac:dyDescent="0.35">
      <c r="B220" s="54" t="s">
        <v>248</v>
      </c>
      <c r="C220" s="52" t="s">
        <v>232</v>
      </c>
      <c r="D220" s="52" t="s">
        <v>97</v>
      </c>
      <c r="E220" s="52" t="s">
        <v>159</v>
      </c>
      <c r="F220" s="70" t="s">
        <v>21</v>
      </c>
      <c r="G220" s="70">
        <v>4.7551023462104195E-3</v>
      </c>
      <c r="H220" s="70">
        <v>1.0125461383099603E-2</v>
      </c>
      <c r="I220" s="70">
        <v>1.3250707198956428E-2</v>
      </c>
      <c r="J220" s="62">
        <v>1.6762884931896017E-2</v>
      </c>
      <c r="K220" s="70" t="s">
        <v>21</v>
      </c>
      <c r="L220" s="70">
        <v>1.6053727462104189E-3</v>
      </c>
      <c r="M220" s="70">
        <v>5.9622349830996029E-3</v>
      </c>
      <c r="N220" s="70">
        <v>8.1970939989564305E-3</v>
      </c>
      <c r="O220" s="70">
        <v>1.0436456431896019E-2</v>
      </c>
      <c r="P220" s="54" t="s">
        <v>549</v>
      </c>
      <c r="Q220" s="52" t="s">
        <v>550</v>
      </c>
      <c r="R220" s="93">
        <v>47551</v>
      </c>
      <c r="S220" s="72">
        <v>6.7133600000000007E-3</v>
      </c>
      <c r="T220" s="62">
        <v>3.4121013830996022E-3</v>
      </c>
      <c r="V220" s="113">
        <v>1.11094944</v>
      </c>
      <c r="W220" s="71">
        <v>2.8464493699999998</v>
      </c>
      <c r="X220" s="71">
        <v>4.3817456200000002</v>
      </c>
      <c r="Y220" s="71">
        <v>5.7078381</v>
      </c>
      <c r="Z220" s="114">
        <v>7.3543955800000003</v>
      </c>
    </row>
    <row r="221" spans="2:26" x14ac:dyDescent="0.35">
      <c r="B221" s="54" t="s">
        <v>245</v>
      </c>
      <c r="C221" s="52" t="s">
        <v>232</v>
      </c>
      <c r="D221" s="52" t="s">
        <v>20</v>
      </c>
      <c r="E221" s="52" t="s">
        <v>21</v>
      </c>
      <c r="F221" s="70" t="s">
        <v>21</v>
      </c>
      <c r="G221" s="70">
        <v>5.2345401566464538E-3</v>
      </c>
      <c r="H221" s="70">
        <v>1.0472812114152973E-2</v>
      </c>
      <c r="I221" s="70">
        <v>1.3688671361827415E-2</v>
      </c>
      <c r="J221" s="62">
        <v>1.6984067270116272E-2</v>
      </c>
      <c r="K221" s="70" t="s">
        <v>21</v>
      </c>
      <c r="L221" s="70">
        <v>2.1209957566464513E-3</v>
      </c>
      <c r="M221" s="70">
        <v>6.3298329141529761E-3</v>
      </c>
      <c r="N221" s="70">
        <v>8.6557372618274158E-3</v>
      </c>
      <c r="O221" s="70">
        <v>1.066975197011627E-2</v>
      </c>
      <c r="P221" s="54" t="s">
        <v>246</v>
      </c>
      <c r="Q221" s="52" t="s">
        <v>247</v>
      </c>
      <c r="R221" s="93">
        <v>47543</v>
      </c>
      <c r="S221" s="72">
        <v>7.7051800000000007E-3</v>
      </c>
      <c r="T221" s="62">
        <v>2.7676321141529726E-3</v>
      </c>
      <c r="V221" s="113">
        <v>1.1103061399999998</v>
      </c>
      <c r="W221" s="71">
        <v>2.8425903300000002</v>
      </c>
      <c r="X221" s="71">
        <v>4.3733309900000004</v>
      </c>
      <c r="Y221" s="71">
        <v>5.6919853200000006</v>
      </c>
      <c r="Z221" s="114">
        <v>7.3289133800000004</v>
      </c>
    </row>
    <row r="222" spans="2:26" x14ac:dyDescent="0.35">
      <c r="B222" s="54" t="s">
        <v>350</v>
      </c>
      <c r="C222" s="52" t="s">
        <v>232</v>
      </c>
      <c r="D222" s="52" t="s">
        <v>20</v>
      </c>
      <c r="E222" s="52" t="s">
        <v>21</v>
      </c>
      <c r="F222" s="70" t="s">
        <v>21</v>
      </c>
      <c r="G222" s="70">
        <v>4.8444909705505643E-3</v>
      </c>
      <c r="H222" s="70">
        <v>1.0407747371901159E-2</v>
      </c>
      <c r="I222" s="70">
        <v>1.3626383960755589E-2</v>
      </c>
      <c r="J222" s="62">
        <v>1.6537327911523736E-2</v>
      </c>
      <c r="K222" s="70" t="s">
        <v>21</v>
      </c>
      <c r="L222" s="70">
        <v>1.7024104705505635E-3</v>
      </c>
      <c r="M222" s="70">
        <v>6.2612106719011577E-3</v>
      </c>
      <c r="N222" s="70">
        <v>8.5919472607555933E-3</v>
      </c>
      <c r="O222" s="70">
        <v>1.0207448011523736E-2</v>
      </c>
      <c r="P222" s="54" t="s">
        <v>391</v>
      </c>
      <c r="Q222" s="52" t="s">
        <v>392</v>
      </c>
      <c r="R222" s="93">
        <v>47802</v>
      </c>
      <c r="S222" s="72">
        <v>8.9392099999999995E-3</v>
      </c>
      <c r="T222" s="62">
        <v>1.4685373719011598E-3</v>
      </c>
      <c r="V222" s="113">
        <v>1.1109600000000002</v>
      </c>
      <c r="W222" s="71">
        <v>2.8459255700000003</v>
      </c>
      <c r="X222" s="71">
        <v>4.3781193199999997</v>
      </c>
      <c r="Y222" s="71">
        <v>5.6974660300000002</v>
      </c>
      <c r="Z222" s="114">
        <v>7.3437116799999993</v>
      </c>
    </row>
    <row r="223" spans="2:26" x14ac:dyDescent="0.35">
      <c r="B223" s="54" t="s">
        <v>254</v>
      </c>
      <c r="C223" s="52" t="s">
        <v>232</v>
      </c>
      <c r="D223" s="52" t="s">
        <v>255</v>
      </c>
      <c r="E223" s="52" t="s">
        <v>103</v>
      </c>
      <c r="F223" s="70" t="s">
        <v>21</v>
      </c>
      <c r="G223" s="70">
        <v>4.4081949251524536E-3</v>
      </c>
      <c r="H223" s="70">
        <v>9.7307018641171888E-3</v>
      </c>
      <c r="I223" s="70">
        <v>1.3076026091118083E-2</v>
      </c>
      <c r="J223" s="62">
        <v>1.6584950220257251E-2</v>
      </c>
      <c r="K223" s="70" t="s">
        <v>21</v>
      </c>
      <c r="L223" s="70">
        <v>1.2290426251524533E-3</v>
      </c>
      <c r="M223" s="70">
        <v>5.5423326641171888E-3</v>
      </c>
      <c r="N223" s="70">
        <v>8.011939391118085E-3</v>
      </c>
      <c r="O223" s="70">
        <v>1.0250257820257253E-2</v>
      </c>
      <c r="P223" s="54" t="s">
        <v>551</v>
      </c>
      <c r="Q223" s="52" t="s">
        <v>552</v>
      </c>
      <c r="R223" s="93" t="s">
        <v>32</v>
      </c>
      <c r="S223" s="72">
        <v>7.0854399999999993E-3</v>
      </c>
      <c r="T223" s="62">
        <v>2.6452618641171896E-3</v>
      </c>
      <c r="V223" s="113">
        <v>1.1110842299999999</v>
      </c>
      <c r="W223" s="71">
        <v>2.8489069999999996</v>
      </c>
      <c r="X223" s="71">
        <v>4.3890362500000002</v>
      </c>
      <c r="Y223" s="71">
        <v>5.7186652999999996</v>
      </c>
      <c r="Z223" s="114">
        <v>7.3699531199999999</v>
      </c>
    </row>
    <row r="224" spans="2:26" x14ac:dyDescent="0.35">
      <c r="B224" s="54" t="s">
        <v>156</v>
      </c>
      <c r="C224" s="52" t="s">
        <v>232</v>
      </c>
      <c r="D224" s="52" t="s">
        <v>31</v>
      </c>
      <c r="E224" s="52" t="s">
        <v>553</v>
      </c>
      <c r="F224" s="70" t="s">
        <v>21</v>
      </c>
      <c r="G224" s="70">
        <v>4.3029954820886143E-3</v>
      </c>
      <c r="H224" s="70">
        <v>9.6945751210400603E-3</v>
      </c>
      <c r="I224" s="70">
        <v>1.2936798640167684E-2</v>
      </c>
      <c r="J224" s="62">
        <v>1.6447679533736499E-2</v>
      </c>
      <c r="K224" s="70" t="s">
        <v>21</v>
      </c>
      <c r="L224" s="70">
        <v>1.113700382088616E-3</v>
      </c>
      <c r="M224" s="70">
        <v>5.503462521040059E-3</v>
      </c>
      <c r="N224" s="70">
        <v>7.8656906401676878E-3</v>
      </c>
      <c r="O224" s="70">
        <v>1.0106449233736502E-2</v>
      </c>
      <c r="P224" s="54" t="s">
        <v>21</v>
      </c>
      <c r="Q224" s="52" t="s">
        <v>21</v>
      </c>
      <c r="R224" s="93" t="s">
        <v>21</v>
      </c>
      <c r="S224" s="72">
        <v>0</v>
      </c>
      <c r="T224" s="62">
        <v>9.6945751210400603E-3</v>
      </c>
      <c r="V224" s="113">
        <v>1.1117322000000001</v>
      </c>
      <c r="W224" s="71">
        <v>2.8508116100000001</v>
      </c>
      <c r="X224" s="71">
        <v>4.3916397699999994</v>
      </c>
      <c r="Y224" s="71">
        <v>5.7231976400000004</v>
      </c>
      <c r="Z224" s="114">
        <v>7.3784403999999997</v>
      </c>
    </row>
    <row r="225" spans="2:26" x14ac:dyDescent="0.35">
      <c r="B225" s="54" t="s">
        <v>148</v>
      </c>
      <c r="C225" s="52" t="s">
        <v>232</v>
      </c>
      <c r="D225" s="52" t="s">
        <v>97</v>
      </c>
      <c r="E225" s="52" t="s">
        <v>345</v>
      </c>
      <c r="F225" s="70" t="s">
        <v>21</v>
      </c>
      <c r="G225" s="70">
        <v>4.4590116539234108E-3</v>
      </c>
      <c r="H225" s="70">
        <v>9.6377546291084911E-3</v>
      </c>
      <c r="I225" s="70">
        <v>1.2986122591654046E-2</v>
      </c>
      <c r="J225" s="62">
        <v>1.6596710247868636E-2</v>
      </c>
      <c r="K225" s="70" t="s">
        <v>21</v>
      </c>
      <c r="L225" s="70">
        <v>1.2838284539234105E-3</v>
      </c>
      <c r="M225" s="70">
        <v>5.4436197291084908E-3</v>
      </c>
      <c r="N225" s="70">
        <v>7.9174410916540462E-3</v>
      </c>
      <c r="O225" s="70">
        <v>1.0261959747868638E-2</v>
      </c>
      <c r="P225" s="54" t="s">
        <v>554</v>
      </c>
      <c r="Q225" s="52" t="s">
        <v>555</v>
      </c>
      <c r="R225" s="93" t="s">
        <v>32</v>
      </c>
      <c r="S225" s="72">
        <v>1.0655330000000001E-2</v>
      </c>
      <c r="T225" s="62">
        <v>-1.0175753708915099E-3</v>
      </c>
      <c r="V225" s="113">
        <v>1.1119213399999999</v>
      </c>
      <c r="W225" s="71">
        <v>2.8501685499999998</v>
      </c>
      <c r="X225" s="71">
        <v>4.3911243500000001</v>
      </c>
      <c r="Y225" s="71">
        <v>5.7222672299999999</v>
      </c>
      <c r="Z225" s="114">
        <v>7.3740655799999999</v>
      </c>
    </row>
    <row r="226" spans="2:26" x14ac:dyDescent="0.35">
      <c r="B226" s="54" t="s">
        <v>352</v>
      </c>
      <c r="C226" s="52" t="s">
        <v>232</v>
      </c>
      <c r="D226" s="52" t="s">
        <v>20</v>
      </c>
      <c r="E226" s="52" t="s">
        <v>21</v>
      </c>
      <c r="F226" s="70" t="s">
        <v>21</v>
      </c>
      <c r="G226" s="70">
        <v>4.7510429839319711E-3</v>
      </c>
      <c r="H226" s="70">
        <v>1.0119217020722531E-2</v>
      </c>
      <c r="I226" s="70">
        <v>1.3652455579440777E-2</v>
      </c>
      <c r="J226" s="62">
        <v>1.6913560079883375E-2</v>
      </c>
      <c r="K226" s="70" t="s">
        <v>21</v>
      </c>
      <c r="L226" s="70">
        <v>1.5998631839319703E-3</v>
      </c>
      <c r="M226" s="70">
        <v>5.9548576207225333E-3</v>
      </c>
      <c r="N226" s="70">
        <v>8.6169374794407803E-3</v>
      </c>
      <c r="O226" s="70">
        <v>1.0598390879883379E-2</v>
      </c>
      <c r="P226" s="54" t="s">
        <v>21</v>
      </c>
      <c r="Q226" s="52" t="s">
        <v>21</v>
      </c>
      <c r="R226" s="93" t="s">
        <v>21</v>
      </c>
      <c r="S226" s="72">
        <v>0</v>
      </c>
      <c r="T226" s="62">
        <v>1.0119217020722531E-2</v>
      </c>
      <c r="V226" s="113">
        <v>1.1112998699999999</v>
      </c>
      <c r="W226" s="71">
        <v>2.84785318</v>
      </c>
      <c r="X226" s="71">
        <v>4.3838076900000003</v>
      </c>
      <c r="Y226" s="71">
        <v>5.7036068200000001</v>
      </c>
      <c r="Z226" s="114">
        <v>7.3413239800000003</v>
      </c>
    </row>
    <row r="227" spans="2:26" x14ac:dyDescent="0.35">
      <c r="B227" s="54" t="s">
        <v>373</v>
      </c>
      <c r="C227" s="52" t="s">
        <v>232</v>
      </c>
      <c r="D227" s="52" t="s">
        <v>69</v>
      </c>
      <c r="E227" s="52" t="s">
        <v>21</v>
      </c>
      <c r="F227" s="70" t="s">
        <v>21</v>
      </c>
      <c r="G227" s="70">
        <v>4.3700991034150774E-3</v>
      </c>
      <c r="H227" s="70">
        <v>9.5856603552830644E-3</v>
      </c>
      <c r="I227" s="70">
        <v>1.2482734270361496E-2</v>
      </c>
      <c r="J227" s="62">
        <v>1.5348697828433693E-2</v>
      </c>
      <c r="K227" s="70" t="s">
        <v>21</v>
      </c>
      <c r="L227" s="70">
        <v>1.1872549034150758E-3</v>
      </c>
      <c r="M227" s="70">
        <v>5.3878344552830641E-3</v>
      </c>
      <c r="N227" s="70">
        <v>7.3871367703614984E-3</v>
      </c>
      <c r="O227" s="70">
        <v>8.9514092284336891E-3</v>
      </c>
      <c r="P227" s="54" t="s">
        <v>21</v>
      </c>
      <c r="Q227" s="52" t="s">
        <v>21</v>
      </c>
      <c r="R227" s="93" t="s">
        <v>21</v>
      </c>
      <c r="S227" s="72">
        <v>0</v>
      </c>
      <c r="T227" s="62">
        <v>9.5856603552830644E-3</v>
      </c>
      <c r="V227" s="113">
        <v>1.1116487799999999</v>
      </c>
      <c r="W227" s="71">
        <v>2.8502156200000002</v>
      </c>
      <c r="X227" s="71">
        <v>4.3919057600000002</v>
      </c>
      <c r="Y227" s="71">
        <v>5.7296632799999996</v>
      </c>
      <c r="Z227" s="114">
        <v>7.4111463500000001</v>
      </c>
    </row>
    <row r="228" spans="2:26" x14ac:dyDescent="0.35">
      <c r="B228" s="54" t="s">
        <v>374</v>
      </c>
      <c r="C228" s="52" t="s">
        <v>232</v>
      </c>
      <c r="D228" s="52" t="s">
        <v>20</v>
      </c>
      <c r="E228" s="52" t="s">
        <v>556</v>
      </c>
      <c r="F228" s="70" t="s">
        <v>21</v>
      </c>
      <c r="G228" s="70">
        <v>3.6898417783700569E-3</v>
      </c>
      <c r="H228" s="70">
        <v>8.1976135204501199E-3</v>
      </c>
      <c r="I228" s="70">
        <v>1.0891808793688836E-2</v>
      </c>
      <c r="J228" s="62">
        <v>1.3516422949461985E-2</v>
      </c>
      <c r="K228" s="70" t="s">
        <v>21</v>
      </c>
      <c r="L228" s="70">
        <v>4.3896487837005813E-4</v>
      </c>
      <c r="M228" s="70">
        <v>3.8879606204501212E-3</v>
      </c>
      <c r="N228" s="70">
        <v>5.6796023936888373E-3</v>
      </c>
      <c r="O228" s="70">
        <v>6.9844472494619845E-3</v>
      </c>
      <c r="P228" s="54" t="s">
        <v>21</v>
      </c>
      <c r="Q228" s="52" t="s">
        <v>21</v>
      </c>
      <c r="R228" s="93" t="s">
        <v>21</v>
      </c>
      <c r="S228" s="72">
        <v>0</v>
      </c>
      <c r="T228" s="62">
        <v>8.1976135204501199E-3</v>
      </c>
      <c r="V228" s="113">
        <v>1.11205687</v>
      </c>
      <c r="W228" s="71">
        <v>2.8552602600000001</v>
      </c>
      <c r="X228" s="71">
        <v>4.4126252900000003</v>
      </c>
      <c r="Y228" s="71">
        <v>5.7759426400000002</v>
      </c>
      <c r="Z228" s="114">
        <v>7.5068929000000004</v>
      </c>
    </row>
    <row r="229" spans="2:26" x14ac:dyDescent="0.35">
      <c r="B229" s="54" t="s">
        <v>157</v>
      </c>
      <c r="C229" s="52" t="s">
        <v>232</v>
      </c>
      <c r="D229" s="52" t="s">
        <v>31</v>
      </c>
      <c r="E229" s="52" t="s">
        <v>21</v>
      </c>
      <c r="F229" s="70" t="s">
        <v>21</v>
      </c>
      <c r="G229" s="70">
        <v>4.4506542108413072E-3</v>
      </c>
      <c r="H229" s="70">
        <v>9.5232461603735157E-3</v>
      </c>
      <c r="I229" s="70">
        <v>1.2629885334584479E-2</v>
      </c>
      <c r="J229" s="62">
        <v>1.5849642420969066E-2</v>
      </c>
      <c r="K229" s="70" t="s">
        <v>21</v>
      </c>
      <c r="L229" s="70">
        <v>1.2750470108413067E-3</v>
      </c>
      <c r="M229" s="70">
        <v>5.3209390603735154E-3</v>
      </c>
      <c r="N229" s="70">
        <v>7.5412889345844777E-3</v>
      </c>
      <c r="O229" s="70">
        <v>9.4777650209690641E-3</v>
      </c>
      <c r="P229" s="54" t="s">
        <v>21</v>
      </c>
      <c r="Q229" s="52" t="s">
        <v>21</v>
      </c>
      <c r="R229" s="93" t="s">
        <v>21</v>
      </c>
      <c r="S229" s="72">
        <v>0</v>
      </c>
      <c r="T229" s="62">
        <v>9.5232461603735157E-3</v>
      </c>
      <c r="V229" s="113">
        <v>1.11081213</v>
      </c>
      <c r="W229" s="71">
        <v>2.8481355000000002</v>
      </c>
      <c r="X229" s="71">
        <v>4.39021565</v>
      </c>
      <c r="Y229" s="71">
        <v>5.7263251899999998</v>
      </c>
      <c r="Z229" s="114">
        <v>7.3963323299999999</v>
      </c>
    </row>
    <row r="230" spans="2:26" x14ac:dyDescent="0.35">
      <c r="B230" s="54" t="s">
        <v>260</v>
      </c>
      <c r="C230" s="52" t="s">
        <v>232</v>
      </c>
      <c r="D230" s="52" t="s">
        <v>43</v>
      </c>
      <c r="E230" s="52" t="s">
        <v>21</v>
      </c>
      <c r="F230" s="70" t="s">
        <v>21</v>
      </c>
      <c r="G230" s="70">
        <v>4.6463261995401163E-3</v>
      </c>
      <c r="H230" s="70">
        <v>9.4648855174712318E-3</v>
      </c>
      <c r="I230" s="70">
        <v>1.2324307326442435E-2</v>
      </c>
      <c r="J230" s="62">
        <v>1.555786839257124E-2</v>
      </c>
      <c r="K230" s="70" t="s">
        <v>21</v>
      </c>
      <c r="L230" s="70">
        <v>1.4876859995401159E-3</v>
      </c>
      <c r="M230" s="70">
        <v>5.259616017471231E-3</v>
      </c>
      <c r="N230" s="70">
        <v>7.2187925264424356E-3</v>
      </c>
      <c r="O230" s="70">
        <v>9.1687604925712388E-3</v>
      </c>
      <c r="P230" s="54" t="s">
        <v>21</v>
      </c>
      <c r="Q230" s="52" t="s">
        <v>21</v>
      </c>
      <c r="R230" s="93" t="s">
        <v>21</v>
      </c>
      <c r="S230" s="72">
        <v>0</v>
      </c>
      <c r="T230" s="62">
        <v>9.4648855174712318E-3</v>
      </c>
      <c r="V230" s="113">
        <v>1.1111262099999999</v>
      </c>
      <c r="W230" s="71">
        <v>2.8474711699999999</v>
      </c>
      <c r="X230" s="71">
        <v>4.3895762500000002</v>
      </c>
      <c r="Y230" s="71">
        <v>5.7298326900000003</v>
      </c>
      <c r="Z230" s="114">
        <v>7.4084412700000009</v>
      </c>
    </row>
    <row r="231" spans="2:26" x14ac:dyDescent="0.35">
      <c r="B231" s="54" t="s">
        <v>322</v>
      </c>
      <c r="C231" s="52" t="s">
        <v>232</v>
      </c>
      <c r="D231" s="52" t="s">
        <v>31</v>
      </c>
      <c r="E231" s="52" t="s">
        <v>256</v>
      </c>
      <c r="F231" s="70" t="s">
        <v>21</v>
      </c>
      <c r="G231" s="70">
        <v>4.1556571406041291E-3</v>
      </c>
      <c r="H231" s="70">
        <v>9.3978110601352118E-3</v>
      </c>
      <c r="I231" s="70">
        <v>1.3560114313810502E-2</v>
      </c>
      <c r="J231" s="62">
        <v>1.7036494928059781E-2</v>
      </c>
      <c r="K231" s="70" t="s">
        <v>21</v>
      </c>
      <c r="L231" s="70">
        <v>9.5231054060412879E-4</v>
      </c>
      <c r="M231" s="70">
        <v>5.1862993601352108E-3</v>
      </c>
      <c r="N231" s="70">
        <v>8.5166105138104985E-3</v>
      </c>
      <c r="O231" s="70">
        <v>1.0724167028059776E-2</v>
      </c>
      <c r="P231" s="54" t="s">
        <v>21</v>
      </c>
      <c r="Q231" s="52" t="s">
        <v>21</v>
      </c>
      <c r="R231" s="93" t="s">
        <v>21</v>
      </c>
      <c r="S231" s="72">
        <v>0</v>
      </c>
      <c r="T231" s="62">
        <v>9.3978110601352118E-3</v>
      </c>
      <c r="V231" s="113">
        <v>1.11206052</v>
      </c>
      <c r="W231" s="71">
        <v>2.8523730600000001</v>
      </c>
      <c r="X231" s="71">
        <v>4.3965575399999999</v>
      </c>
      <c r="Y231" s="71">
        <v>5.7211292</v>
      </c>
      <c r="Z231" s="114">
        <v>7.3588836500000001</v>
      </c>
    </row>
    <row r="232" spans="2:26" x14ac:dyDescent="0.35">
      <c r="B232" s="54" t="s">
        <v>365</v>
      </c>
      <c r="C232" s="52" t="s">
        <v>232</v>
      </c>
      <c r="D232" s="52" t="s">
        <v>69</v>
      </c>
      <c r="E232" s="52" t="s">
        <v>21</v>
      </c>
      <c r="F232" s="70" t="s">
        <v>21</v>
      </c>
      <c r="G232" s="70">
        <v>4.2847555681684388E-3</v>
      </c>
      <c r="H232" s="70">
        <v>9.3238422505509937E-3</v>
      </c>
      <c r="I232" s="70">
        <v>1.233904456273162E-2</v>
      </c>
      <c r="J232" s="62">
        <v>1.536125116960876E-2</v>
      </c>
      <c r="K232" s="70" t="s">
        <v>21</v>
      </c>
      <c r="L232" s="70">
        <v>1.0944570681684375E-3</v>
      </c>
      <c r="M232" s="70">
        <v>5.1075300505509947E-3</v>
      </c>
      <c r="N232" s="70">
        <v>7.2332768627316208E-3</v>
      </c>
      <c r="O232" s="70">
        <v>8.9624349696087596E-3</v>
      </c>
      <c r="P232" s="54" t="s">
        <v>21</v>
      </c>
      <c r="Q232" s="52" t="s">
        <v>21</v>
      </c>
      <c r="R232" s="93" t="s">
        <v>21</v>
      </c>
      <c r="S232" s="72">
        <v>0</v>
      </c>
      <c r="T232" s="62">
        <v>9.3238422505509937E-3</v>
      </c>
      <c r="V232" s="113">
        <v>1.1109365499999999</v>
      </c>
      <c r="W232" s="71">
        <v>2.8494148500000001</v>
      </c>
      <c r="X232" s="71">
        <v>4.3938962900000007</v>
      </c>
      <c r="Y232" s="71">
        <v>5.7343932999999998</v>
      </c>
      <c r="Z232" s="114">
        <v>7.4166993799999998</v>
      </c>
    </row>
    <row r="233" spans="2:26" x14ac:dyDescent="0.35">
      <c r="B233" s="54" t="s">
        <v>374</v>
      </c>
      <c r="C233" s="52" t="s">
        <v>232</v>
      </c>
      <c r="D233" s="52" t="s">
        <v>20</v>
      </c>
      <c r="E233" s="52" t="s">
        <v>249</v>
      </c>
      <c r="F233" s="70" t="s">
        <v>21</v>
      </c>
      <c r="G233" s="70">
        <v>3.6898417783700569E-3</v>
      </c>
      <c r="H233" s="70">
        <v>8.1976135204501199E-3</v>
      </c>
      <c r="I233" s="70">
        <v>1.0891808793688836E-2</v>
      </c>
      <c r="J233" s="62">
        <v>1.3516422949461985E-2</v>
      </c>
      <c r="K233" s="70" t="s">
        <v>21</v>
      </c>
      <c r="L233" s="70">
        <v>4.3896487837005813E-4</v>
      </c>
      <c r="M233" s="70">
        <v>3.8879606204501212E-3</v>
      </c>
      <c r="N233" s="70">
        <v>5.6796023936888373E-3</v>
      </c>
      <c r="O233" s="70">
        <v>6.9844472494619845E-3</v>
      </c>
      <c r="P233" s="54" t="s">
        <v>21</v>
      </c>
      <c r="Q233" s="52" t="s">
        <v>21</v>
      </c>
      <c r="R233" s="93" t="s">
        <v>21</v>
      </c>
      <c r="S233" s="72">
        <v>0</v>
      </c>
      <c r="T233" s="62">
        <v>8.1976135204501199E-3</v>
      </c>
      <c r="V233" s="113">
        <v>1.11205687</v>
      </c>
      <c r="W233" s="71">
        <v>2.8552602600000001</v>
      </c>
      <c r="X233" s="71">
        <v>4.4126252900000003</v>
      </c>
      <c r="Y233" s="71">
        <v>5.7759426400000002</v>
      </c>
      <c r="Z233" s="114">
        <v>7.5068929000000004</v>
      </c>
    </row>
    <row r="234" spans="2:26" x14ac:dyDescent="0.35">
      <c r="B234" s="54" t="s">
        <v>357</v>
      </c>
      <c r="C234" s="52" t="s">
        <v>232</v>
      </c>
      <c r="D234" s="52" t="s">
        <v>20</v>
      </c>
      <c r="E234" s="52" t="s">
        <v>58</v>
      </c>
      <c r="F234" s="70" t="s">
        <v>21</v>
      </c>
      <c r="G234" s="70">
        <v>5.2648235124158824E-3</v>
      </c>
      <c r="H234" s="70">
        <v>1.0799380363244994E-2</v>
      </c>
      <c r="I234" s="70">
        <v>1.4082230732081296E-2</v>
      </c>
      <c r="J234" s="62">
        <v>1.7367807468930688E-2</v>
      </c>
      <c r="K234" s="70" t="s">
        <v>21</v>
      </c>
      <c r="L234" s="70">
        <v>2.1538951124158803E-3</v>
      </c>
      <c r="M234" s="70">
        <v>6.6732541632449939E-3</v>
      </c>
      <c r="N234" s="70">
        <v>9.0670731320812957E-3</v>
      </c>
      <c r="O234" s="70">
        <v>1.1071367868930683E-2</v>
      </c>
      <c r="P234" s="54" t="s">
        <v>21</v>
      </c>
      <c r="Q234" s="52" t="s">
        <v>21</v>
      </c>
      <c r="R234" s="93" t="s">
        <v>21</v>
      </c>
      <c r="S234" s="72">
        <v>0</v>
      </c>
      <c r="T234" s="62">
        <v>1.0799380363244994E-2</v>
      </c>
      <c r="V234" s="113">
        <v>1.1103554899999999</v>
      </c>
      <c r="W234" s="71">
        <v>2.8414782299999999</v>
      </c>
      <c r="X234" s="71">
        <v>4.3693259900000001</v>
      </c>
      <c r="Y234" s="71">
        <v>5.6815669300000007</v>
      </c>
      <c r="Z234" s="114">
        <v>7.3070772899999996</v>
      </c>
    </row>
    <row r="235" spans="2:26" x14ac:dyDescent="0.35">
      <c r="B235" s="54" t="s">
        <v>261</v>
      </c>
      <c r="C235" s="52" t="s">
        <v>232</v>
      </c>
      <c r="D235" s="52" t="s">
        <v>62</v>
      </c>
      <c r="E235" s="52" t="s">
        <v>128</v>
      </c>
      <c r="F235" s="70" t="s">
        <v>21</v>
      </c>
      <c r="G235" s="70">
        <v>4.3783958387766143E-3</v>
      </c>
      <c r="H235" s="70">
        <v>9.2162014628079172E-3</v>
      </c>
      <c r="I235" s="70">
        <v>1.2188803535871252E-2</v>
      </c>
      <c r="J235" s="62">
        <v>1.5165255541795581E-2</v>
      </c>
      <c r="K235" s="70" t="s">
        <v>21</v>
      </c>
      <c r="L235" s="70">
        <v>1.1967142387766133E-3</v>
      </c>
      <c r="M235" s="70">
        <v>4.9925308628079174E-3</v>
      </c>
      <c r="N235" s="70">
        <v>7.0736311358712521E-3</v>
      </c>
      <c r="O235" s="70">
        <v>8.7541243417955817E-3</v>
      </c>
      <c r="P235" s="54" t="s">
        <v>557</v>
      </c>
      <c r="Q235" s="52" t="s">
        <v>558</v>
      </c>
      <c r="R235" s="93">
        <v>47649</v>
      </c>
      <c r="S235" s="72">
        <v>5.9622799999999995E-3</v>
      </c>
      <c r="T235" s="62">
        <v>3.2539214628079178E-3</v>
      </c>
      <c r="V235" s="113">
        <v>1.11091016</v>
      </c>
      <c r="W235" s="71">
        <v>2.8487660899999998</v>
      </c>
      <c r="X235" s="71">
        <v>4.3940467999999999</v>
      </c>
      <c r="Y235" s="71">
        <v>5.7368666800000003</v>
      </c>
      <c r="Z235" s="114">
        <v>7.4244581899999993</v>
      </c>
    </row>
    <row r="236" spans="2:26" x14ac:dyDescent="0.35">
      <c r="B236" s="54" t="s">
        <v>370</v>
      </c>
      <c r="C236" s="52" t="s">
        <v>232</v>
      </c>
      <c r="D236" s="52" t="s">
        <v>69</v>
      </c>
      <c r="E236" s="52" t="s">
        <v>21</v>
      </c>
      <c r="F236" s="70" t="s">
        <v>21</v>
      </c>
      <c r="G236" s="70">
        <v>4.334141039609201E-3</v>
      </c>
      <c r="H236" s="70">
        <v>9.1806809593046219E-3</v>
      </c>
      <c r="I236" s="70">
        <v>1.2403799997798282E-2</v>
      </c>
      <c r="J236" s="62">
        <v>1.5674145605220558E-2</v>
      </c>
      <c r="K236" s="70" t="s">
        <v>21</v>
      </c>
      <c r="L236" s="70">
        <v>1.1478517396092004E-3</v>
      </c>
      <c r="M236" s="70">
        <v>4.9544633593046226E-3</v>
      </c>
      <c r="N236" s="70">
        <v>7.3014123977982789E-3</v>
      </c>
      <c r="O236" s="70">
        <v>9.2923551052205601E-3</v>
      </c>
      <c r="P236" s="54" t="s">
        <v>401</v>
      </c>
      <c r="Q236" s="52" t="s">
        <v>402</v>
      </c>
      <c r="R236" s="93">
        <v>47802</v>
      </c>
      <c r="S236" s="72">
        <v>9.659029999999999E-3</v>
      </c>
      <c r="T236" s="62">
        <v>-4.7834904069537706E-4</v>
      </c>
      <c r="V236" s="113">
        <v>1.11193129</v>
      </c>
      <c r="W236" s="71">
        <v>2.8509798600000003</v>
      </c>
      <c r="X236" s="71">
        <v>4.3967885100000004</v>
      </c>
      <c r="Y236" s="71">
        <v>5.7369897099999996</v>
      </c>
      <c r="Z236" s="114">
        <v>7.4122909999999997</v>
      </c>
    </row>
    <row r="237" spans="2:26" x14ac:dyDescent="0.35">
      <c r="B237" s="54" t="s">
        <v>263</v>
      </c>
      <c r="C237" s="52" t="s">
        <v>232</v>
      </c>
      <c r="D237" s="52" t="s">
        <v>31</v>
      </c>
      <c r="E237" s="52" t="s">
        <v>21</v>
      </c>
      <c r="F237" s="70" t="s">
        <v>21</v>
      </c>
      <c r="G237" s="70">
        <v>4.0574374236190952E-3</v>
      </c>
      <c r="H237" s="70">
        <v>9.1852694242065807E-3</v>
      </c>
      <c r="I237" s="70">
        <v>1.2305008764737922E-2</v>
      </c>
      <c r="J237" s="62">
        <v>1.5014442320736626E-2</v>
      </c>
      <c r="K237" s="70" t="s">
        <v>21</v>
      </c>
      <c r="L237" s="70">
        <v>8.4523312361909492E-4</v>
      </c>
      <c r="M237" s="70">
        <v>4.9583559242065822E-3</v>
      </c>
      <c r="N237" s="70">
        <v>7.1965773647379196E-3</v>
      </c>
      <c r="O237" s="70">
        <v>8.5968801207366285E-3</v>
      </c>
      <c r="P237" s="54" t="s">
        <v>21</v>
      </c>
      <c r="Q237" s="52" t="s">
        <v>21</v>
      </c>
      <c r="R237" s="93" t="s">
        <v>21</v>
      </c>
      <c r="S237" s="72">
        <v>0</v>
      </c>
      <c r="T237" s="62">
        <v>9.1852694242065807E-3</v>
      </c>
      <c r="V237" s="113">
        <v>1.11138801</v>
      </c>
      <c r="W237" s="71">
        <v>2.8517160699999997</v>
      </c>
      <c r="X237" s="71">
        <v>4.3982125099999996</v>
      </c>
      <c r="Y237" s="71">
        <v>5.7396067999999998</v>
      </c>
      <c r="Z237" s="114">
        <v>7.4291663999999997</v>
      </c>
    </row>
    <row r="238" spans="2:26" x14ac:dyDescent="0.35">
      <c r="B238" s="54" t="s">
        <v>376</v>
      </c>
      <c r="C238" s="52" t="s">
        <v>232</v>
      </c>
      <c r="D238" s="52" t="s">
        <v>20</v>
      </c>
      <c r="E238" s="52" t="s">
        <v>21</v>
      </c>
      <c r="F238" s="70" t="s">
        <v>21</v>
      </c>
      <c r="G238" s="70">
        <v>4.1125301600972147E-3</v>
      </c>
      <c r="H238" s="70">
        <v>9.6211556836511818E-3</v>
      </c>
      <c r="I238" s="70">
        <v>1.2560703316589032E-2</v>
      </c>
      <c r="J238" s="62">
        <v>1.5550984700130568E-2</v>
      </c>
      <c r="K238" s="70" t="s">
        <v>21</v>
      </c>
      <c r="L238" s="70">
        <v>9.0503416009721531E-4</v>
      </c>
      <c r="M238" s="70">
        <v>5.4243437836511785E-3</v>
      </c>
      <c r="N238" s="70">
        <v>7.4704543165890315E-3</v>
      </c>
      <c r="O238" s="70">
        <v>9.1667853001305682E-3</v>
      </c>
      <c r="P238" s="54" t="s">
        <v>405</v>
      </c>
      <c r="Q238" s="52" t="s">
        <v>406</v>
      </c>
      <c r="R238" s="93">
        <v>47825</v>
      </c>
      <c r="S238" s="72">
        <v>9.4031900000000005E-3</v>
      </c>
      <c r="T238" s="62">
        <v>2.1796568365118132E-4</v>
      </c>
      <c r="V238" s="113">
        <v>1.11163254</v>
      </c>
      <c r="W238" s="71">
        <v>2.85203155</v>
      </c>
      <c r="X238" s="71">
        <v>4.3942620899999998</v>
      </c>
      <c r="Y238" s="71">
        <v>5.7286718200000006</v>
      </c>
      <c r="Z238" s="114">
        <v>7.40337289</v>
      </c>
    </row>
    <row r="239" spans="2:26" x14ac:dyDescent="0.35">
      <c r="B239" s="54" t="s">
        <v>362</v>
      </c>
      <c r="C239" s="52" t="s">
        <v>232</v>
      </c>
      <c r="D239" s="52" t="s">
        <v>20</v>
      </c>
      <c r="E239" s="52" t="s">
        <v>21</v>
      </c>
      <c r="F239" s="70" t="s">
        <v>21</v>
      </c>
      <c r="G239" s="70">
        <v>4.5620199887680801E-3</v>
      </c>
      <c r="H239" s="70">
        <v>9.5046719345200092E-3</v>
      </c>
      <c r="I239" s="70">
        <v>1.2211531949518449E-2</v>
      </c>
      <c r="J239" s="62">
        <v>1.4938623591950372E-2</v>
      </c>
      <c r="K239" s="70" t="s">
        <v>21</v>
      </c>
      <c r="L239" s="70">
        <v>1.3954359887680822E-3</v>
      </c>
      <c r="M239" s="70">
        <v>5.3012715345200087E-3</v>
      </c>
      <c r="N239" s="70">
        <v>7.1008399495184529E-3</v>
      </c>
      <c r="O239" s="70">
        <v>8.5211773919503676E-3</v>
      </c>
      <c r="P239" s="54" t="s">
        <v>21</v>
      </c>
      <c r="Q239" s="52" t="s">
        <v>21</v>
      </c>
      <c r="R239" s="93" t="s">
        <v>21</v>
      </c>
      <c r="S239" s="72">
        <v>0</v>
      </c>
      <c r="T239" s="62">
        <v>9.5046719345200092E-3</v>
      </c>
      <c r="V239" s="113">
        <v>1.11159363</v>
      </c>
      <c r="W239" s="71">
        <v>2.8490968200000002</v>
      </c>
      <c r="X239" s="71">
        <v>4.3914989100000001</v>
      </c>
      <c r="Y239" s="71">
        <v>5.7307460199999998</v>
      </c>
      <c r="Z239" s="114">
        <v>7.4150382200000005</v>
      </c>
    </row>
    <row r="240" spans="2:26" x14ac:dyDescent="0.35">
      <c r="B240" s="54" t="s">
        <v>363</v>
      </c>
      <c r="C240" s="52" t="s">
        <v>232</v>
      </c>
      <c r="D240" s="52" t="s">
        <v>20</v>
      </c>
      <c r="E240" s="52" t="s">
        <v>21</v>
      </c>
      <c r="F240" s="70" t="s">
        <v>21</v>
      </c>
      <c r="G240" s="70">
        <v>4.3922018571821916E-3</v>
      </c>
      <c r="H240" s="70">
        <v>9.4828268376315195E-3</v>
      </c>
      <c r="I240" s="70">
        <v>1.2701646670944639E-2</v>
      </c>
      <c r="J240" s="62">
        <v>1.6044440700040106E-2</v>
      </c>
      <c r="K240" s="70" t="s">
        <v>21</v>
      </c>
      <c r="L240" s="70">
        <v>1.2109792571821927E-3</v>
      </c>
      <c r="M240" s="70">
        <v>5.2774697376315226E-3</v>
      </c>
      <c r="N240" s="70">
        <v>7.6163887709446362E-3</v>
      </c>
      <c r="O240" s="70">
        <v>9.6838402000401086E-3</v>
      </c>
      <c r="P240" s="54" t="s">
        <v>21</v>
      </c>
      <c r="Q240" s="52" t="s">
        <v>21</v>
      </c>
      <c r="R240" s="93" t="s">
        <v>21</v>
      </c>
      <c r="S240" s="72">
        <v>0</v>
      </c>
      <c r="T240" s="62">
        <v>9.4828268376315195E-3</v>
      </c>
      <c r="V240" s="113">
        <v>1.1116802100000001</v>
      </c>
      <c r="W240" s="71">
        <v>2.8503157200000002</v>
      </c>
      <c r="X240" s="71">
        <v>4.3936556900000001</v>
      </c>
      <c r="Y240" s="71">
        <v>5.7298380099999999</v>
      </c>
      <c r="Z240" s="114">
        <v>7.3934865500000004</v>
      </c>
    </row>
    <row r="241" spans="2:26" x14ac:dyDescent="0.35">
      <c r="B241" s="54" t="s">
        <v>366</v>
      </c>
      <c r="C241" s="52" t="s">
        <v>232</v>
      </c>
      <c r="D241" s="52" t="s">
        <v>20</v>
      </c>
      <c r="E241" s="52" t="s">
        <v>264</v>
      </c>
      <c r="F241" s="70" t="s">
        <v>21</v>
      </c>
      <c r="G241" s="70">
        <v>4.4378434487627591E-3</v>
      </c>
      <c r="H241" s="70">
        <v>9.4630424369602818E-3</v>
      </c>
      <c r="I241" s="70">
        <v>1.2682643496460574E-2</v>
      </c>
      <c r="J241" s="62">
        <v>1.6200942398708673E-2</v>
      </c>
      <c r="K241" s="70" t="s">
        <v>21</v>
      </c>
      <c r="L241" s="70">
        <v>1.2604141487627596E-3</v>
      </c>
      <c r="M241" s="70">
        <v>5.256462136960279E-3</v>
      </c>
      <c r="N241" s="70">
        <v>7.5973384964605761E-3</v>
      </c>
      <c r="O241" s="70">
        <v>9.8480846987086743E-3</v>
      </c>
      <c r="P241" s="54" t="s">
        <v>397</v>
      </c>
      <c r="Q241" s="52" t="s">
        <v>398</v>
      </c>
      <c r="R241" s="93">
        <v>47710</v>
      </c>
      <c r="S241" s="72">
        <v>1.010899E-2</v>
      </c>
      <c r="T241" s="62">
        <v>-6.4594756303971816E-4</v>
      </c>
      <c r="V241" s="113">
        <v>1.1115125100000001</v>
      </c>
      <c r="W241" s="71">
        <v>2.8500954900000002</v>
      </c>
      <c r="X241" s="71">
        <v>4.3932516100000001</v>
      </c>
      <c r="Y241" s="71">
        <v>5.7279436099999996</v>
      </c>
      <c r="Z241" s="114">
        <v>7.3874734799999997</v>
      </c>
    </row>
    <row r="242" spans="2:26" x14ac:dyDescent="0.35">
      <c r="B242" s="54" t="s">
        <v>364</v>
      </c>
      <c r="C242" s="52" t="s">
        <v>232</v>
      </c>
      <c r="D242" s="52" t="s">
        <v>20</v>
      </c>
      <c r="E242" s="52" t="s">
        <v>112</v>
      </c>
      <c r="F242" s="70" t="s">
        <v>21</v>
      </c>
      <c r="G242" s="70">
        <v>4.1202825958321452E-3</v>
      </c>
      <c r="H242" s="70">
        <v>9.4724897187733435E-3</v>
      </c>
      <c r="I242" s="70">
        <v>1.2548844076728493E-2</v>
      </c>
      <c r="J242" s="62">
        <v>1.5645658438076963E-2</v>
      </c>
      <c r="K242" s="70" t="s">
        <v>21</v>
      </c>
      <c r="L242" s="70">
        <v>9.1405719583214718E-4</v>
      </c>
      <c r="M242" s="70">
        <v>5.2651638187733441E-3</v>
      </c>
      <c r="N242" s="70">
        <v>7.4559664767284931E-3</v>
      </c>
      <c r="O242" s="70">
        <v>9.2657864380769651E-3</v>
      </c>
      <c r="P242" s="54" t="s">
        <v>395</v>
      </c>
      <c r="Q242" s="52" t="s">
        <v>396</v>
      </c>
      <c r="R242" s="93">
        <v>47708</v>
      </c>
      <c r="S242" s="72">
        <v>7.3634900000000003E-3</v>
      </c>
      <c r="T242" s="62">
        <v>2.1089997187733432E-3</v>
      </c>
      <c r="V242" s="113">
        <v>1.1114313500000002</v>
      </c>
      <c r="W242" s="71">
        <v>2.85115827</v>
      </c>
      <c r="X242" s="71">
        <v>4.3957344699999998</v>
      </c>
      <c r="Y242" s="71">
        <v>5.7319831600000004</v>
      </c>
      <c r="Z242" s="114">
        <v>7.4038067900000009</v>
      </c>
    </row>
    <row r="243" spans="2:26" x14ac:dyDescent="0.35">
      <c r="B243" s="54" t="s">
        <v>355</v>
      </c>
      <c r="C243" s="52" t="s">
        <v>232</v>
      </c>
      <c r="D243" s="52" t="s">
        <v>20</v>
      </c>
      <c r="E243" s="52" t="s">
        <v>21</v>
      </c>
      <c r="F243" s="70" t="s">
        <v>21</v>
      </c>
      <c r="G243" s="70">
        <v>4.0983720680951418E-3</v>
      </c>
      <c r="H243" s="70">
        <v>9.455602424014024E-3</v>
      </c>
      <c r="I243" s="70">
        <v>1.3067866918036949E-2</v>
      </c>
      <c r="J243" s="62">
        <v>1.6619268900969649E-2</v>
      </c>
      <c r="K243" s="70" t="s">
        <v>21</v>
      </c>
      <c r="L243" s="70">
        <v>8.8979976809514102E-4</v>
      </c>
      <c r="M243" s="70">
        <v>5.247625024014024E-3</v>
      </c>
      <c r="N243" s="70">
        <v>8.0026995180369487E-3</v>
      </c>
      <c r="O243" s="70">
        <v>1.0288128300969649E-2</v>
      </c>
      <c r="P243" s="54" t="s">
        <v>21</v>
      </c>
      <c r="Q243" s="52" t="s">
        <v>21</v>
      </c>
      <c r="R243" s="93" t="s">
        <v>21</v>
      </c>
      <c r="S243" s="72">
        <v>0</v>
      </c>
      <c r="T243" s="62">
        <v>9.455602424014024E-3</v>
      </c>
      <c r="V243" s="113">
        <v>1.11192811</v>
      </c>
      <c r="W243" s="71">
        <v>2.8526688199999999</v>
      </c>
      <c r="X243" s="71">
        <v>4.3972369200000001</v>
      </c>
      <c r="Y243" s="71">
        <v>5.7265629300000001</v>
      </c>
      <c r="Z243" s="114">
        <v>7.3750543900000007</v>
      </c>
    </row>
    <row r="244" spans="2:26" x14ac:dyDescent="0.35">
      <c r="B244" s="54" t="s">
        <v>358</v>
      </c>
      <c r="C244" s="52" t="s">
        <v>232</v>
      </c>
      <c r="D244" s="52" t="s">
        <v>20</v>
      </c>
      <c r="E244" s="52" t="s">
        <v>21</v>
      </c>
      <c r="F244" s="70" t="s">
        <v>21</v>
      </c>
      <c r="G244" s="70">
        <v>4.2824106872735041E-3</v>
      </c>
      <c r="H244" s="70">
        <v>9.3975674042493466E-3</v>
      </c>
      <c r="I244" s="70">
        <v>1.3116330105199536E-2</v>
      </c>
      <c r="J244" s="62">
        <v>1.6729932993661521E-2</v>
      </c>
      <c r="K244" s="70" t="s">
        <v>21</v>
      </c>
      <c r="L244" s="70">
        <v>1.0908493872735024E-3</v>
      </c>
      <c r="M244" s="70">
        <v>5.186063904249345E-3</v>
      </c>
      <c r="N244" s="70">
        <v>8.0518321051995349E-3</v>
      </c>
      <c r="O244" s="70">
        <v>1.0402514693661519E-2</v>
      </c>
      <c r="P244" s="54" t="s">
        <v>21</v>
      </c>
      <c r="Q244" s="52" t="s">
        <v>21</v>
      </c>
      <c r="R244" s="93" t="s">
        <v>21</v>
      </c>
      <c r="S244" s="72">
        <v>0</v>
      </c>
      <c r="T244" s="62">
        <v>9.3975674042493466E-3</v>
      </c>
      <c r="V244" s="113">
        <v>1.1115839599999999</v>
      </c>
      <c r="W244" s="71">
        <v>2.8511841599999999</v>
      </c>
      <c r="X244" s="71">
        <v>4.3952329399999996</v>
      </c>
      <c r="Y244" s="71">
        <v>5.7258969899999999</v>
      </c>
      <c r="Z244" s="114">
        <v>7.3715720999999998</v>
      </c>
    </row>
    <row r="245" spans="2:26" x14ac:dyDescent="0.35">
      <c r="B245" s="54" t="s">
        <v>262</v>
      </c>
      <c r="C245" s="52" t="s">
        <v>232</v>
      </c>
      <c r="D245" s="52" t="s">
        <v>97</v>
      </c>
      <c r="E245" s="52" t="s">
        <v>21</v>
      </c>
      <c r="F245" s="70" t="s">
        <v>21</v>
      </c>
      <c r="G245" s="70">
        <v>4.1382024763748446E-3</v>
      </c>
      <c r="H245" s="70">
        <v>8.8280008827768906E-3</v>
      </c>
      <c r="I245" s="70">
        <v>1.1715443619338697E-2</v>
      </c>
      <c r="J245" s="62">
        <v>1.4338437800047328E-2</v>
      </c>
      <c r="K245" s="70" t="s">
        <v>21</v>
      </c>
      <c r="L245" s="70">
        <v>9.3349107637484682E-4</v>
      </c>
      <c r="M245" s="70">
        <v>4.5739612827768918E-3</v>
      </c>
      <c r="N245" s="70">
        <v>6.5680088193386978E-3</v>
      </c>
      <c r="O245" s="70">
        <v>7.8730750000473304E-3</v>
      </c>
      <c r="P245" s="54" t="s">
        <v>559</v>
      </c>
      <c r="Q245" s="52" t="s">
        <v>560</v>
      </c>
      <c r="R245" s="93">
        <v>47648</v>
      </c>
      <c r="S245" s="72">
        <v>6.3792700000000003E-3</v>
      </c>
      <c r="T245" s="62">
        <v>2.4487308827768903E-3</v>
      </c>
      <c r="V245" s="113">
        <v>1.1116952899999999</v>
      </c>
      <c r="W245" s="71">
        <v>2.8517897300000001</v>
      </c>
      <c r="X245" s="71">
        <v>4.4016352000000003</v>
      </c>
      <c r="Y245" s="71">
        <v>5.7519379599999994</v>
      </c>
      <c r="Z245" s="114">
        <v>7.4604390800000004</v>
      </c>
    </row>
    <row r="246" spans="2:26" x14ac:dyDescent="0.35">
      <c r="B246" s="54" t="s">
        <v>371</v>
      </c>
      <c r="C246" s="52" t="s">
        <v>232</v>
      </c>
      <c r="D246" s="52" t="s">
        <v>31</v>
      </c>
      <c r="E246" s="52" t="s">
        <v>289</v>
      </c>
      <c r="F246" s="70" t="s">
        <v>21</v>
      </c>
      <c r="G246" s="70">
        <v>3.9251421148471591E-3</v>
      </c>
      <c r="H246" s="70">
        <v>8.730823055467218E-3</v>
      </c>
      <c r="I246" s="70">
        <v>1.1621906613931896E-2</v>
      </c>
      <c r="J246" s="62">
        <v>1.4555030771384696E-2</v>
      </c>
      <c r="K246" s="70" t="s">
        <v>21</v>
      </c>
      <c r="L246" s="70">
        <v>6.9954061484715823E-4</v>
      </c>
      <c r="M246" s="70">
        <v>4.4683185554672189E-3</v>
      </c>
      <c r="N246" s="70">
        <v>6.4674807139318939E-3</v>
      </c>
      <c r="O246" s="70">
        <v>8.1026555713846933E-3</v>
      </c>
      <c r="P246" s="54" t="s">
        <v>21</v>
      </c>
      <c r="Q246" s="52" t="s">
        <v>21</v>
      </c>
      <c r="R246" s="93" t="s">
        <v>21</v>
      </c>
      <c r="S246" s="72">
        <v>0</v>
      </c>
      <c r="T246" s="62">
        <v>8.730823055467218E-3</v>
      </c>
      <c r="V246" s="113">
        <v>1.1115282200000001</v>
      </c>
      <c r="W246" s="71">
        <v>2.8528263799999998</v>
      </c>
      <c r="X246" s="71">
        <v>4.4042000799999999</v>
      </c>
      <c r="Y246" s="71">
        <v>5.7560057699999998</v>
      </c>
      <c r="Z246" s="114">
        <v>7.4607445800000001</v>
      </c>
    </row>
    <row r="247" spans="2:26" x14ac:dyDescent="0.35">
      <c r="B247" s="54" t="s">
        <v>147</v>
      </c>
      <c r="C247" s="52" t="s">
        <v>232</v>
      </c>
      <c r="D247" s="52" t="s">
        <v>20</v>
      </c>
      <c r="E247" s="52" t="s">
        <v>21</v>
      </c>
      <c r="F247" s="70" t="s">
        <v>21</v>
      </c>
      <c r="G247" s="70">
        <v>3.5491460888648092E-3</v>
      </c>
      <c r="H247" s="70">
        <v>8.7373711796385443E-3</v>
      </c>
      <c r="I247" s="70">
        <v>1.2234225516695512E-2</v>
      </c>
      <c r="J247" s="62">
        <v>1.561783073492793E-2</v>
      </c>
      <c r="K247" s="70" t="s">
        <v>21</v>
      </c>
      <c r="L247" s="70">
        <v>2.8209278886480969E-4</v>
      </c>
      <c r="M247" s="70">
        <v>4.4738389796385447E-3</v>
      </c>
      <c r="N247" s="70">
        <v>7.1194682166955178E-3</v>
      </c>
      <c r="O247" s="70">
        <v>9.2342429349279304E-3</v>
      </c>
      <c r="P247" s="54" t="s">
        <v>561</v>
      </c>
      <c r="Q247" s="52" t="s">
        <v>562</v>
      </c>
      <c r="R247" s="93">
        <v>47515</v>
      </c>
      <c r="S247" s="72">
        <v>9.1439099999999999E-3</v>
      </c>
      <c r="T247" s="62">
        <v>-4.0653882036145554E-4</v>
      </c>
      <c r="V247" s="113">
        <v>1.1122782600000001</v>
      </c>
      <c r="W247" s="71">
        <v>2.8568941400000001</v>
      </c>
      <c r="X247" s="71">
        <v>4.4095700199999994</v>
      </c>
      <c r="Y247" s="71">
        <v>5.7522674299999998</v>
      </c>
      <c r="Z247" s="114">
        <v>7.4270886599999999</v>
      </c>
    </row>
    <row r="248" spans="2:26" x14ac:dyDescent="0.35">
      <c r="B248" s="54" t="s">
        <v>372</v>
      </c>
      <c r="C248" s="52" t="s">
        <v>232</v>
      </c>
      <c r="D248" s="52" t="s">
        <v>20</v>
      </c>
      <c r="E248" s="52" t="s">
        <v>21</v>
      </c>
      <c r="F248" s="70" t="s">
        <v>21</v>
      </c>
      <c r="G248" s="70">
        <v>3.9796858825055783E-3</v>
      </c>
      <c r="H248" s="70">
        <v>8.7020493707468741E-3</v>
      </c>
      <c r="I248" s="70">
        <v>1.1420550311378824E-2</v>
      </c>
      <c r="J248" s="62">
        <v>1.4404594317314761E-2</v>
      </c>
      <c r="K248" s="70" t="s">
        <v>21</v>
      </c>
      <c r="L248" s="70">
        <v>7.5934498250558157E-4</v>
      </c>
      <c r="M248" s="70">
        <v>4.4370245707468746E-3</v>
      </c>
      <c r="N248" s="70">
        <v>6.2520690113788248E-3</v>
      </c>
      <c r="O248" s="70">
        <v>7.9417222173147652E-3</v>
      </c>
      <c r="P248" s="54" t="s">
        <v>21</v>
      </c>
      <c r="Q248" s="52" t="s">
        <v>21</v>
      </c>
      <c r="R248" s="93" t="s">
        <v>21</v>
      </c>
      <c r="S248" s="72">
        <v>0</v>
      </c>
      <c r="T248" s="62">
        <v>8.7020493707468741E-3</v>
      </c>
      <c r="V248" s="113">
        <v>1.11166447</v>
      </c>
      <c r="W248" s="71">
        <v>2.85278316</v>
      </c>
      <c r="X248" s="71">
        <v>4.40462051</v>
      </c>
      <c r="Y248" s="71">
        <v>5.7585688599999996</v>
      </c>
      <c r="Z248" s="114">
        <v>7.4662056300000001</v>
      </c>
    </row>
    <row r="249" spans="2:26" x14ac:dyDescent="0.35">
      <c r="B249" s="54" t="s">
        <v>369</v>
      </c>
      <c r="C249" s="52" t="s">
        <v>232</v>
      </c>
      <c r="D249" s="52" t="s">
        <v>20</v>
      </c>
      <c r="E249" s="52" t="s">
        <v>256</v>
      </c>
      <c r="F249" s="70" t="s">
        <v>21</v>
      </c>
      <c r="G249" s="70">
        <v>3.8013718339859671E-3</v>
      </c>
      <c r="H249" s="70">
        <v>8.7067377047070332E-3</v>
      </c>
      <c r="I249" s="70">
        <v>1.1732823063399766E-2</v>
      </c>
      <c r="J249" s="62">
        <v>1.458430660252124E-2</v>
      </c>
      <c r="K249" s="70" t="s">
        <v>21</v>
      </c>
      <c r="L249" s="70">
        <v>5.6202273398596675E-4</v>
      </c>
      <c r="M249" s="70">
        <v>4.4414938047070331E-3</v>
      </c>
      <c r="N249" s="70">
        <v>6.5859494633997654E-3</v>
      </c>
      <c r="O249" s="70">
        <v>8.1360739025212389E-3</v>
      </c>
      <c r="P249" s="54" t="s">
        <v>21</v>
      </c>
      <c r="Q249" s="52" t="s">
        <v>21</v>
      </c>
      <c r="R249" s="93" t="s">
        <v>21</v>
      </c>
      <c r="S249" s="72">
        <v>0</v>
      </c>
      <c r="T249" s="62">
        <v>8.7067377047070332E-3</v>
      </c>
      <c r="V249" s="113">
        <v>1.11229512</v>
      </c>
      <c r="W249" s="71">
        <v>2.8552483999999998</v>
      </c>
      <c r="X249" s="71">
        <v>4.4075838000000003</v>
      </c>
      <c r="Y249" s="71">
        <v>5.7575178899999999</v>
      </c>
      <c r="Z249" s="114">
        <v>7.4597442300000001</v>
      </c>
    </row>
    <row r="250" spans="2:26" x14ac:dyDescent="0.35">
      <c r="B250" s="54" t="s">
        <v>368</v>
      </c>
      <c r="C250" s="52" t="s">
        <v>232</v>
      </c>
      <c r="D250" s="52" t="s">
        <v>20</v>
      </c>
      <c r="E250" s="52" t="s">
        <v>292</v>
      </c>
      <c r="F250" s="70" t="s">
        <v>21</v>
      </c>
      <c r="G250" s="70">
        <v>3.7514427994878165E-3</v>
      </c>
      <c r="H250" s="70">
        <v>8.5953445880287832E-3</v>
      </c>
      <c r="I250" s="70">
        <v>1.1885165451161609E-2</v>
      </c>
      <c r="J250" s="62">
        <v>1.5026207976073878E-2</v>
      </c>
      <c r="K250" s="70" t="s">
        <v>21</v>
      </c>
      <c r="L250" s="70">
        <v>5.0669149948781578E-4</v>
      </c>
      <c r="M250" s="70">
        <v>4.3202894880287838E-3</v>
      </c>
      <c r="N250" s="70">
        <v>6.7479521511616108E-3</v>
      </c>
      <c r="O250" s="70">
        <v>8.6121303760738795E-3</v>
      </c>
      <c r="P250" s="54" t="s">
        <v>21</v>
      </c>
      <c r="Q250" s="52" t="s">
        <v>21</v>
      </c>
      <c r="R250" s="93" t="s">
        <v>21</v>
      </c>
      <c r="S250" s="72">
        <v>0</v>
      </c>
      <c r="T250" s="62">
        <v>8.5953445880287832E-3</v>
      </c>
      <c r="V250" s="113">
        <v>1.11222778</v>
      </c>
      <c r="W250" s="71">
        <v>2.8555041400000003</v>
      </c>
      <c r="X250" s="71">
        <v>4.4095263099999995</v>
      </c>
      <c r="Y250" s="71">
        <v>5.75694062</v>
      </c>
      <c r="Z250" s="114">
        <v>7.4395425400000006</v>
      </c>
    </row>
    <row r="251" spans="2:26" x14ac:dyDescent="0.35">
      <c r="B251" s="54" t="s">
        <v>266</v>
      </c>
      <c r="C251" s="52" t="s">
        <v>232</v>
      </c>
      <c r="D251" s="52" t="s">
        <v>20</v>
      </c>
      <c r="E251" s="52" t="s">
        <v>21</v>
      </c>
      <c r="F251" s="70" t="s">
        <v>21</v>
      </c>
      <c r="G251" s="70">
        <v>3.8678449198934358E-3</v>
      </c>
      <c r="H251" s="70">
        <v>8.286938568873841E-3</v>
      </c>
      <c r="I251" s="70">
        <v>1.0954120662340718E-2</v>
      </c>
      <c r="J251" s="62">
        <v>1.3579491326067745E-2</v>
      </c>
      <c r="K251" s="70" t="s">
        <v>21</v>
      </c>
      <c r="L251" s="70">
        <v>6.3583501989343582E-4</v>
      </c>
      <c r="M251" s="70">
        <v>3.985209468873839E-3</v>
      </c>
      <c r="N251" s="70">
        <v>5.747381762340722E-3</v>
      </c>
      <c r="O251" s="70">
        <v>7.0525360260677416E-3</v>
      </c>
      <c r="P251" s="54" t="s">
        <v>563</v>
      </c>
      <c r="Q251" s="52" t="s">
        <v>564</v>
      </c>
      <c r="R251" s="93" t="s">
        <v>32</v>
      </c>
      <c r="S251" s="72">
        <v>6.0146900000000005E-3</v>
      </c>
      <c r="T251" s="62">
        <v>2.2722485688738405E-3</v>
      </c>
      <c r="V251" s="113">
        <v>1.1114435600000001</v>
      </c>
      <c r="W251" s="71">
        <v>2.8531493399999999</v>
      </c>
      <c r="X251" s="71">
        <v>4.4097824899999996</v>
      </c>
      <c r="Y251" s="71">
        <v>5.77127488</v>
      </c>
      <c r="Z251" s="114">
        <v>7.5004727199999994</v>
      </c>
    </row>
    <row r="252" spans="2:26" x14ac:dyDescent="0.35">
      <c r="B252" s="54" t="s">
        <v>349</v>
      </c>
      <c r="C252" s="52" t="s">
        <v>232</v>
      </c>
      <c r="D252" s="52" t="s">
        <v>20</v>
      </c>
      <c r="E252" s="52" t="s">
        <v>316</v>
      </c>
      <c r="F252" s="70" t="s">
        <v>21</v>
      </c>
      <c r="G252" s="70">
        <v>7.7907956036028202E-3</v>
      </c>
      <c r="H252" s="70">
        <v>1.571484102868206E-2</v>
      </c>
      <c r="I252" s="70">
        <v>1.9045971992881838E-2</v>
      </c>
      <c r="J252" s="62">
        <v>2.2399634823798604E-2</v>
      </c>
      <c r="K252" s="70" t="s">
        <v>21</v>
      </c>
      <c r="L252" s="70">
        <v>4.8062383036028208E-3</v>
      </c>
      <c r="M252" s="70">
        <v>1.1723786428682059E-2</v>
      </c>
      <c r="N252" s="70">
        <v>1.4142807992881838E-2</v>
      </c>
      <c r="O252" s="70">
        <v>1.6219162423798606E-2</v>
      </c>
      <c r="P252" s="54" t="s">
        <v>389</v>
      </c>
      <c r="Q252" s="52" t="s">
        <v>390</v>
      </c>
      <c r="R252" s="93">
        <v>47507</v>
      </c>
      <c r="S252" s="72">
        <v>1.398889E-2</v>
      </c>
      <c r="T252" s="62">
        <v>1.7259510286820601E-3</v>
      </c>
      <c r="V252" s="113">
        <v>1.10819454</v>
      </c>
      <c r="W252" s="71">
        <v>2.8233013000000002</v>
      </c>
      <c r="X252" s="71">
        <v>4.29797809</v>
      </c>
      <c r="Y252" s="71">
        <v>5.5314484799999999</v>
      </c>
      <c r="Z252" s="114">
        <v>7.0255311099999993</v>
      </c>
    </row>
    <row r="253" spans="2:26" x14ac:dyDescent="0.35">
      <c r="B253" s="54" t="s">
        <v>375</v>
      </c>
      <c r="C253" s="52" t="s">
        <v>232</v>
      </c>
      <c r="D253" s="52" t="s">
        <v>20</v>
      </c>
      <c r="E253" s="52" t="s">
        <v>264</v>
      </c>
      <c r="F253" s="70" t="s">
        <v>21</v>
      </c>
      <c r="G253" s="70">
        <v>3.7319424082069745E-3</v>
      </c>
      <c r="H253" s="70">
        <v>8.189175413838904E-3</v>
      </c>
      <c r="I253" s="70">
        <v>1.0824754766857292E-2</v>
      </c>
      <c r="J253" s="62">
        <v>1.3560981417905956E-2</v>
      </c>
      <c r="K253" s="70" t="s">
        <v>21</v>
      </c>
      <c r="L253" s="70">
        <v>4.8526990820697575E-4</v>
      </c>
      <c r="M253" s="70">
        <v>3.8787604138389069E-3</v>
      </c>
      <c r="N253" s="70">
        <v>5.6075381668572941E-3</v>
      </c>
      <c r="O253" s="70">
        <v>7.0389566179059598E-3</v>
      </c>
      <c r="P253" s="54" t="s">
        <v>403</v>
      </c>
      <c r="Q253" s="52" t="s">
        <v>404</v>
      </c>
      <c r="R253" s="93">
        <v>47515</v>
      </c>
      <c r="S253" s="72">
        <v>8.4672899999999988E-3</v>
      </c>
      <c r="T253" s="62">
        <v>-2.781145861610948E-4</v>
      </c>
      <c r="V253" s="113">
        <v>1.1122905699999999</v>
      </c>
      <c r="W253" s="71">
        <v>2.85547548</v>
      </c>
      <c r="X253" s="71">
        <v>4.4128477799999999</v>
      </c>
      <c r="Y253" s="71">
        <v>5.7764099</v>
      </c>
      <c r="Z253" s="114">
        <v>7.49716497</v>
      </c>
    </row>
    <row r="254" spans="2:26" x14ac:dyDescent="0.35">
      <c r="B254" s="78" t="s">
        <v>160</v>
      </c>
      <c r="C254" s="135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8"/>
      <c r="Q254" s="77"/>
      <c r="R254" s="94"/>
      <c r="S254" s="77"/>
      <c r="T254" s="76"/>
      <c r="V254" s="119"/>
      <c r="W254" s="108"/>
      <c r="X254" s="108"/>
      <c r="Y254" s="108"/>
      <c r="Z254" s="120"/>
    </row>
    <row r="255" spans="2:26" x14ac:dyDescent="0.35">
      <c r="B255" s="55" t="s">
        <v>162</v>
      </c>
      <c r="C255" s="52" t="s">
        <v>232</v>
      </c>
      <c r="D255" s="65" t="s">
        <v>20</v>
      </c>
      <c r="E255" s="65" t="s">
        <v>290</v>
      </c>
      <c r="F255" s="79">
        <v>5.0487194200035364E-3</v>
      </c>
      <c r="G255" s="79">
        <v>2.5906381885807708E-2</v>
      </c>
      <c r="H255" s="79">
        <v>4.4374659442498542E-2</v>
      </c>
      <c r="I255" s="79">
        <v>5.5187657439709006E-2</v>
      </c>
      <c r="J255" s="61">
        <v>5.9609686507444207E-2</v>
      </c>
      <c r="K255" s="79">
        <v>3.4959676200035381E-3</v>
      </c>
      <c r="L255" s="79">
        <v>2.2690683085807708E-2</v>
      </c>
      <c r="M255" s="79">
        <v>3.9417317842498543E-2</v>
      </c>
      <c r="N255" s="79">
        <v>4.8740855239709016E-2</v>
      </c>
      <c r="O255" s="79">
        <v>5.1858351107444203E-2</v>
      </c>
      <c r="P255" s="55" t="s">
        <v>21</v>
      </c>
      <c r="Q255" s="65" t="s">
        <v>21</v>
      </c>
      <c r="R255" s="99" t="s">
        <v>21</v>
      </c>
      <c r="S255" s="74">
        <v>0</v>
      </c>
      <c r="T255" s="61">
        <v>4.4374659442498542E-2</v>
      </c>
      <c r="V255" s="117">
        <v>1.0930043999999999</v>
      </c>
      <c r="W255" s="60">
        <v>2.6838700200000001</v>
      </c>
      <c r="X255" s="60">
        <v>3.8594037900000004</v>
      </c>
      <c r="Y255" s="60">
        <v>4.63952732</v>
      </c>
      <c r="Z255" s="118">
        <v>5.3921830100000001</v>
      </c>
    </row>
    <row r="256" spans="2:26" x14ac:dyDescent="0.35">
      <c r="B256" s="54" t="s">
        <v>166</v>
      </c>
      <c r="C256" s="52" t="s">
        <v>232</v>
      </c>
      <c r="D256" s="52" t="s">
        <v>167</v>
      </c>
      <c r="E256" s="52" t="s">
        <v>234</v>
      </c>
      <c r="F256" s="70">
        <v>1.1804745479154555E-2</v>
      </c>
      <c r="G256" s="70">
        <v>2.6715147564547695E-2</v>
      </c>
      <c r="H256" s="70">
        <v>3.1928997445080147E-2</v>
      </c>
      <c r="I256" s="70">
        <v>3.4062420348527023E-2</v>
      </c>
      <c r="J256" s="62">
        <v>3.6131454042291351E-2</v>
      </c>
      <c r="K256" s="70">
        <v>1.0015215379154556E-2</v>
      </c>
      <c r="L256" s="70">
        <v>2.3419800864547698E-2</v>
      </c>
      <c r="M256" s="70">
        <v>2.757047124508015E-2</v>
      </c>
      <c r="N256" s="70">
        <v>2.8798704948527022E-2</v>
      </c>
      <c r="O256" s="70">
        <v>2.9651274542291349E-2</v>
      </c>
      <c r="P256" s="54" t="s">
        <v>21</v>
      </c>
      <c r="Q256" s="52" t="s">
        <v>21</v>
      </c>
      <c r="R256" s="93" t="s">
        <v>21</v>
      </c>
      <c r="S256" s="72">
        <v>0</v>
      </c>
      <c r="T256" s="62">
        <v>3.1928997445080147E-2</v>
      </c>
      <c r="V256" s="113">
        <v>1.0785706500000001</v>
      </c>
      <c r="W256" s="71">
        <v>2.6460543400000001</v>
      </c>
      <c r="X256" s="71">
        <v>3.92613199</v>
      </c>
      <c r="Y256" s="71">
        <v>4.9564406099999996</v>
      </c>
      <c r="Z256" s="114">
        <v>6.1439939600000004</v>
      </c>
    </row>
    <row r="257" spans="2:26" x14ac:dyDescent="0.35">
      <c r="B257" s="54" t="s">
        <v>165</v>
      </c>
      <c r="C257" s="52" t="s">
        <v>232</v>
      </c>
      <c r="D257" s="52" t="s">
        <v>97</v>
      </c>
      <c r="E257" s="52" t="s">
        <v>565</v>
      </c>
      <c r="F257" s="70">
        <v>1.1566016380933231E-3</v>
      </c>
      <c r="G257" s="70">
        <v>1.7152692979597945E-2</v>
      </c>
      <c r="H257" s="70">
        <v>3.0273198230321943E-2</v>
      </c>
      <c r="I257" s="70">
        <v>3.4714934619088048E-2</v>
      </c>
      <c r="J257" s="62">
        <v>3.8469713879332304E-2</v>
      </c>
      <c r="K257" s="70" t="s">
        <v>21</v>
      </c>
      <c r="L257" s="70">
        <v>1.4201292179597948E-2</v>
      </c>
      <c r="M257" s="70">
        <v>2.6032813530321941E-2</v>
      </c>
      <c r="N257" s="70">
        <v>2.9488759419088045E-2</v>
      </c>
      <c r="O257" s="70">
        <v>3.1981483679332304E-2</v>
      </c>
      <c r="P257" s="54" t="s">
        <v>21</v>
      </c>
      <c r="Q257" s="52" t="s">
        <v>21</v>
      </c>
      <c r="R257" s="93" t="s">
        <v>21</v>
      </c>
      <c r="S257" s="72">
        <v>0</v>
      </c>
      <c r="T257" s="62">
        <v>3.0273198230321943E-2</v>
      </c>
      <c r="V257" s="113">
        <v>1.10263497</v>
      </c>
      <c r="W257" s="71">
        <v>2.7522974499999999</v>
      </c>
      <c r="X257" s="71">
        <v>4.0657109400000007</v>
      </c>
      <c r="Y257" s="71">
        <v>5.0819189200000006</v>
      </c>
      <c r="Z257" s="114">
        <v>6.21088475</v>
      </c>
    </row>
    <row r="258" spans="2:26" x14ac:dyDescent="0.35">
      <c r="B258" s="54" t="s">
        <v>233</v>
      </c>
      <c r="C258" s="52" t="s">
        <v>232</v>
      </c>
      <c r="D258" s="52" t="s">
        <v>43</v>
      </c>
      <c r="E258" s="52" t="s">
        <v>116</v>
      </c>
      <c r="F258" s="70">
        <v>5.1891427801289275E-4</v>
      </c>
      <c r="G258" s="70">
        <v>1.3155159664469611E-2</v>
      </c>
      <c r="H258" s="70">
        <v>2.6145211078912545E-2</v>
      </c>
      <c r="I258" s="70">
        <v>3.3178468224728391E-2</v>
      </c>
      <c r="J258" s="62">
        <v>3.7469053404755412E-2</v>
      </c>
      <c r="K258" s="70" t="s">
        <v>21</v>
      </c>
      <c r="L258" s="70">
        <v>1.0240820264469612E-2</v>
      </c>
      <c r="M258" s="70">
        <v>2.2032717178912552E-2</v>
      </c>
      <c r="N258" s="70">
        <v>2.8002280324728398E-2</v>
      </c>
      <c r="O258" s="70">
        <v>3.1022798104755417E-2</v>
      </c>
      <c r="P258" s="54" t="s">
        <v>21</v>
      </c>
      <c r="Q258" s="52" t="s">
        <v>21</v>
      </c>
      <c r="R258" s="93" t="s">
        <v>21</v>
      </c>
      <c r="S258" s="72">
        <v>0</v>
      </c>
      <c r="T258" s="62">
        <v>2.6145211078912545E-2</v>
      </c>
      <c r="V258" s="113">
        <v>1.1044844200000001</v>
      </c>
      <c r="W258" s="71">
        <v>2.7843307099999999</v>
      </c>
      <c r="X258" s="71">
        <v>4.1434636499999993</v>
      </c>
      <c r="Y258" s="71">
        <v>5.1847677799999996</v>
      </c>
      <c r="Z258" s="114">
        <v>6.3295884600000001</v>
      </c>
    </row>
    <row r="259" spans="2:26" x14ac:dyDescent="0.35">
      <c r="B259" s="54" t="s">
        <v>161</v>
      </c>
      <c r="C259" s="52" t="s">
        <v>232</v>
      </c>
      <c r="D259" s="52" t="s">
        <v>97</v>
      </c>
      <c r="E259" s="52" t="s">
        <v>566</v>
      </c>
      <c r="F259" s="70" t="s">
        <v>21</v>
      </c>
      <c r="G259" s="70">
        <v>1.2293090501219926E-2</v>
      </c>
      <c r="H259" s="70">
        <v>2.2528850291020672E-2</v>
      </c>
      <c r="I259" s="70">
        <v>2.8334282328198079E-2</v>
      </c>
      <c r="J259" s="62">
        <v>3.2854019841797803E-2</v>
      </c>
      <c r="K259" s="70" t="s">
        <v>21</v>
      </c>
      <c r="L259" s="70">
        <v>9.3785876012199253E-3</v>
      </c>
      <c r="M259" s="70">
        <v>1.8499482191020673E-2</v>
      </c>
      <c r="N259" s="70">
        <v>2.3312119028198078E-2</v>
      </c>
      <c r="O259" s="70">
        <v>2.6551093741797805E-2</v>
      </c>
      <c r="P259" s="54" t="s">
        <v>567</v>
      </c>
      <c r="Q259" s="52" t="s">
        <v>568</v>
      </c>
      <c r="R259" s="93">
        <v>47542</v>
      </c>
      <c r="S259" s="72">
        <v>1.2790429999999998E-2</v>
      </c>
      <c r="T259" s="62">
        <v>9.7384202910206739E-3</v>
      </c>
      <c r="V259" s="113">
        <v>1.10640056</v>
      </c>
      <c r="W259" s="71">
        <v>2.7868099699999997</v>
      </c>
      <c r="X259" s="71">
        <v>4.18339018</v>
      </c>
      <c r="Y259" s="71">
        <v>5.2910431999999998</v>
      </c>
      <c r="Z259" s="114">
        <v>6.5375485600000003</v>
      </c>
    </row>
    <row r="260" spans="2:26" x14ac:dyDescent="0.35">
      <c r="B260" s="54" t="s">
        <v>173</v>
      </c>
      <c r="C260" s="52" t="s">
        <v>232</v>
      </c>
      <c r="D260" s="52" t="s">
        <v>43</v>
      </c>
      <c r="E260" s="52" t="s">
        <v>569</v>
      </c>
      <c r="F260" s="70">
        <v>3.3115257829238421E-3</v>
      </c>
      <c r="G260" s="70">
        <v>1.2335943383996026E-2</v>
      </c>
      <c r="H260" s="70">
        <v>2.0007040969297726E-2</v>
      </c>
      <c r="I260" s="70">
        <v>2.5446513102228147E-2</v>
      </c>
      <c r="J260" s="62">
        <v>3.0936719662836877E-2</v>
      </c>
      <c r="K260" s="70">
        <v>1.7651434829238427E-3</v>
      </c>
      <c r="L260" s="70">
        <v>9.4169675839960252E-3</v>
      </c>
      <c r="M260" s="70">
        <v>1.6008506969297728E-2</v>
      </c>
      <c r="N260" s="70">
        <v>2.0481053902228145E-2</v>
      </c>
      <c r="O260" s="70">
        <v>2.4663744562836876E-2</v>
      </c>
      <c r="P260" s="54" t="s">
        <v>21</v>
      </c>
      <c r="Q260" s="52" t="s">
        <v>21</v>
      </c>
      <c r="R260" s="93" t="s">
        <v>21</v>
      </c>
      <c r="S260" s="72">
        <v>0</v>
      </c>
      <c r="T260" s="62">
        <v>2.0007040969297726E-2</v>
      </c>
      <c r="V260" s="113">
        <v>1.09753268</v>
      </c>
      <c r="W260" s="71">
        <v>2.77566997</v>
      </c>
      <c r="X260" s="71">
        <v>4.1956803199999992</v>
      </c>
      <c r="Y260" s="71">
        <v>5.3416744700000001</v>
      </c>
      <c r="Z260" s="114">
        <v>6.6370096800000002</v>
      </c>
    </row>
    <row r="261" spans="2:26" x14ac:dyDescent="0.35">
      <c r="B261" s="54" t="s">
        <v>172</v>
      </c>
      <c r="C261" s="52" t="s">
        <v>232</v>
      </c>
      <c r="D261" s="52" t="s">
        <v>43</v>
      </c>
      <c r="E261" s="52" t="s">
        <v>140</v>
      </c>
      <c r="F261" s="70">
        <v>1.9326941740950565E-4</v>
      </c>
      <c r="G261" s="70">
        <v>1.0484128647577754E-2</v>
      </c>
      <c r="H261" s="70">
        <v>2.0093046331016745E-2</v>
      </c>
      <c r="I261" s="70">
        <v>2.5839890056479995E-2</v>
      </c>
      <c r="J261" s="62">
        <v>2.9879522114603679E-2</v>
      </c>
      <c r="K261" s="70" t="s">
        <v>21</v>
      </c>
      <c r="L261" s="70">
        <v>7.5586642475777531E-3</v>
      </c>
      <c r="M261" s="70">
        <v>1.6098871231016745E-2</v>
      </c>
      <c r="N261" s="70">
        <v>2.0874899356479994E-2</v>
      </c>
      <c r="O261" s="70">
        <v>2.3646273214603677E-2</v>
      </c>
      <c r="P261" s="54" t="s">
        <v>570</v>
      </c>
      <c r="Q261" s="52" t="s">
        <v>571</v>
      </c>
      <c r="R261" s="93">
        <v>47535</v>
      </c>
      <c r="S261" s="72">
        <v>9.3175099999999993E-3</v>
      </c>
      <c r="T261" s="62">
        <v>1.0775536331016746E-2</v>
      </c>
      <c r="V261" s="113">
        <v>1.10535746</v>
      </c>
      <c r="W261" s="71">
        <v>2.8012271500000003</v>
      </c>
      <c r="X261" s="71">
        <v>4.22457481</v>
      </c>
      <c r="Y261" s="71">
        <v>5.3659586199999998</v>
      </c>
      <c r="Z261" s="114">
        <v>6.6787359199999994</v>
      </c>
    </row>
    <row r="262" spans="2:26" x14ac:dyDescent="0.35">
      <c r="B262" s="54" t="s">
        <v>170</v>
      </c>
      <c r="C262" s="52" t="s">
        <v>232</v>
      </c>
      <c r="D262" s="52" t="s">
        <v>31</v>
      </c>
      <c r="E262" s="52" t="s">
        <v>572</v>
      </c>
      <c r="F262" s="70" t="s">
        <v>21</v>
      </c>
      <c r="G262" s="70">
        <v>9.5890762666036751E-3</v>
      </c>
      <c r="H262" s="70">
        <v>1.9942981808922632E-2</v>
      </c>
      <c r="I262" s="70">
        <v>2.7172114397560086E-2</v>
      </c>
      <c r="J262" s="62">
        <v>3.2889731186226741E-2</v>
      </c>
      <c r="K262" s="70" t="s">
        <v>21</v>
      </c>
      <c r="L262" s="70">
        <v>6.6499601666036787E-3</v>
      </c>
      <c r="M262" s="70">
        <v>1.594996420892263E-2</v>
      </c>
      <c r="N262" s="70">
        <v>2.2176908797560093E-2</v>
      </c>
      <c r="O262" s="70">
        <v>2.6585552086226736E-2</v>
      </c>
      <c r="P262" s="54" t="s">
        <v>573</v>
      </c>
      <c r="Q262" s="52" t="s">
        <v>574</v>
      </c>
      <c r="R262" s="93">
        <v>47664</v>
      </c>
      <c r="S262" s="72">
        <v>1.1841340000000001E-2</v>
      </c>
      <c r="T262" s="62">
        <v>8.1016418089226317E-3</v>
      </c>
      <c r="V262" s="113">
        <v>1.10757598</v>
      </c>
      <c r="W262" s="71">
        <v>2.8111219199999997</v>
      </c>
      <c r="X262" s="71">
        <v>4.2380865600000002</v>
      </c>
      <c r="Y262" s="71">
        <v>5.3635838700000003</v>
      </c>
      <c r="Z262" s="114">
        <v>6.6126834800000003</v>
      </c>
    </row>
    <row r="263" spans="2:26" x14ac:dyDescent="0.35">
      <c r="B263" s="54" t="s">
        <v>129</v>
      </c>
      <c r="C263" s="52" t="s">
        <v>232</v>
      </c>
      <c r="D263" s="52" t="s">
        <v>62</v>
      </c>
      <c r="E263" s="52" t="s">
        <v>286</v>
      </c>
      <c r="F263" s="70">
        <v>5.4776596756842856E-4</v>
      </c>
      <c r="G263" s="70">
        <v>1.107142390674214E-2</v>
      </c>
      <c r="H263" s="70">
        <v>1.9100013366209548E-2</v>
      </c>
      <c r="I263" s="70">
        <v>2.4040581852684952E-2</v>
      </c>
      <c r="J263" s="62">
        <v>2.7845957974579547E-2</v>
      </c>
      <c r="K263" s="70" t="s">
        <v>21</v>
      </c>
      <c r="L263" s="70">
        <v>8.1521769067421437E-3</v>
      </c>
      <c r="M263" s="70">
        <v>1.5115066066209548E-2</v>
      </c>
      <c r="N263" s="70">
        <v>1.9105842952684953E-2</v>
      </c>
      <c r="O263" s="70">
        <v>2.1641085774579551E-2</v>
      </c>
      <c r="P263" s="54" t="s">
        <v>21</v>
      </c>
      <c r="Q263" s="52" t="s">
        <v>21</v>
      </c>
      <c r="R263" s="93" t="s">
        <v>21</v>
      </c>
      <c r="S263" s="72">
        <v>0</v>
      </c>
      <c r="T263" s="62">
        <v>1.9100013366209548E-2</v>
      </c>
      <c r="V263" s="113">
        <v>1.10441934</v>
      </c>
      <c r="W263" s="71">
        <v>2.7945652299999999</v>
      </c>
      <c r="X263" s="71">
        <v>4.2261539399999997</v>
      </c>
      <c r="Y263" s="71">
        <v>5.3921968700000003</v>
      </c>
      <c r="Z263" s="114">
        <v>6.7535491000000007</v>
      </c>
    </row>
    <row r="264" spans="2:26" x14ac:dyDescent="0.35">
      <c r="B264" s="54" t="s">
        <v>407</v>
      </c>
      <c r="C264" s="52" t="s">
        <v>232</v>
      </c>
      <c r="D264" s="52" t="s">
        <v>20</v>
      </c>
      <c r="E264" s="52" t="s">
        <v>48</v>
      </c>
      <c r="F264" s="70" t="s">
        <v>21</v>
      </c>
      <c r="G264" s="70">
        <v>9.4554305682909914E-3</v>
      </c>
      <c r="H264" s="70">
        <v>1.768907266424808E-2</v>
      </c>
      <c r="I264" s="70">
        <v>2.3423889785165679E-2</v>
      </c>
      <c r="J264" s="62">
        <v>2.6448291528876657E-2</v>
      </c>
      <c r="K264" s="70" t="s">
        <v>21</v>
      </c>
      <c r="L264" s="70">
        <v>6.5118309682909914E-3</v>
      </c>
      <c r="M264" s="70">
        <v>1.3706430964248079E-2</v>
      </c>
      <c r="N264" s="70">
        <v>1.8496034585165681E-2</v>
      </c>
      <c r="O264" s="70">
        <v>2.0267674528876661E-2</v>
      </c>
      <c r="P264" s="54" t="s">
        <v>409</v>
      </c>
      <c r="Q264" s="52" t="s">
        <v>410</v>
      </c>
      <c r="R264" s="93">
        <v>47771</v>
      </c>
      <c r="S264" s="72">
        <v>1.3968309999999999E-2</v>
      </c>
      <c r="T264" s="62">
        <v>3.7207626642480809E-3</v>
      </c>
      <c r="V264" s="113">
        <v>1.10798793</v>
      </c>
      <c r="W264" s="71">
        <v>2.8110558299999999</v>
      </c>
      <c r="X264" s="71">
        <v>4.2616371399999995</v>
      </c>
      <c r="Y264" s="71">
        <v>5.4381796900000001</v>
      </c>
      <c r="Z264" s="114">
        <v>6.8279380099999996</v>
      </c>
    </row>
    <row r="265" spans="2:26" x14ac:dyDescent="0.35">
      <c r="B265" s="54" t="s">
        <v>163</v>
      </c>
      <c r="C265" s="52" t="s">
        <v>232</v>
      </c>
      <c r="D265" s="52" t="s">
        <v>47</v>
      </c>
      <c r="E265" s="52" t="s">
        <v>575</v>
      </c>
      <c r="F265" s="70" t="s">
        <v>21</v>
      </c>
      <c r="G265" s="70">
        <v>8.5376419204500186E-3</v>
      </c>
      <c r="H265" s="70">
        <v>1.6474848482113044E-2</v>
      </c>
      <c r="I265" s="70">
        <v>2.2230009044372674E-2</v>
      </c>
      <c r="J265" s="62">
        <v>2.7359801838744084E-2</v>
      </c>
      <c r="K265" s="70" t="s">
        <v>21</v>
      </c>
      <c r="L265" s="70">
        <v>5.5761581204500175E-3</v>
      </c>
      <c r="M265" s="70">
        <v>1.2491336782113043E-2</v>
      </c>
      <c r="N265" s="70">
        <v>1.7314351544372674E-2</v>
      </c>
      <c r="O265" s="70">
        <v>2.1159311438744086E-2</v>
      </c>
      <c r="P265" s="54" t="s">
        <v>21</v>
      </c>
      <c r="Q265" s="52" t="s">
        <v>21</v>
      </c>
      <c r="R265" s="93" t="s">
        <v>21</v>
      </c>
      <c r="S265" s="72">
        <v>0</v>
      </c>
      <c r="T265" s="62">
        <v>1.6474848482113044E-2</v>
      </c>
      <c r="V265" s="113">
        <v>1.1072442999999998</v>
      </c>
      <c r="W265" s="71">
        <v>2.81676635</v>
      </c>
      <c r="X265" s="71">
        <v>4.2802269700000002</v>
      </c>
      <c r="Y265" s="71">
        <v>5.4748388400000003</v>
      </c>
      <c r="Z265" s="114">
        <v>6.8530578699999998</v>
      </c>
    </row>
    <row r="266" spans="2:26" x14ac:dyDescent="0.35">
      <c r="B266" s="54" t="s">
        <v>164</v>
      </c>
      <c r="C266" s="52" t="s">
        <v>232</v>
      </c>
      <c r="D266" s="52" t="s">
        <v>43</v>
      </c>
      <c r="E266" s="52" t="s">
        <v>291</v>
      </c>
      <c r="F266" s="70" t="s">
        <v>21</v>
      </c>
      <c r="G266" s="70">
        <v>8.1537422114240261E-3</v>
      </c>
      <c r="H266" s="70">
        <v>1.5827671232477941E-2</v>
      </c>
      <c r="I266" s="70">
        <v>1.9360554695557322E-2</v>
      </c>
      <c r="J266" s="62">
        <v>2.1979636555856042E-2</v>
      </c>
      <c r="K266" s="70" t="s">
        <v>21</v>
      </c>
      <c r="L266" s="70">
        <v>5.1795965114240254E-3</v>
      </c>
      <c r="M266" s="70">
        <v>1.1837748632477938E-2</v>
      </c>
      <c r="N266" s="70">
        <v>1.4456989795557323E-2</v>
      </c>
      <c r="O266" s="70">
        <v>1.5797751555856041E-2</v>
      </c>
      <c r="P266" s="54" t="s">
        <v>21</v>
      </c>
      <c r="Q266" s="52" t="s">
        <v>21</v>
      </c>
      <c r="R266" s="93" t="s">
        <v>21</v>
      </c>
      <c r="S266" s="72">
        <v>0</v>
      </c>
      <c r="T266" s="62">
        <v>1.5827671232477941E-2</v>
      </c>
      <c r="V266" s="113">
        <v>1.1084106999999999</v>
      </c>
      <c r="W266" s="71">
        <v>2.8212301200000001</v>
      </c>
      <c r="X266" s="71">
        <v>4.2927914700000001</v>
      </c>
      <c r="Y266" s="71">
        <v>5.5231743600000005</v>
      </c>
      <c r="Z266" s="114">
        <v>7.0253188499999997</v>
      </c>
    </row>
    <row r="267" spans="2:26" x14ac:dyDescent="0.35">
      <c r="B267" s="54" t="s">
        <v>168</v>
      </c>
      <c r="C267" s="52" t="s">
        <v>232</v>
      </c>
      <c r="D267" s="52" t="s">
        <v>20</v>
      </c>
      <c r="E267" s="52" t="s">
        <v>408</v>
      </c>
      <c r="F267" s="70">
        <v>2.4059515537219666E-3</v>
      </c>
      <c r="G267" s="70">
        <v>1.4154731957968715E-2</v>
      </c>
      <c r="H267" s="70">
        <v>2.4751190781487815E-2</v>
      </c>
      <c r="I267" s="70">
        <v>2.9744830380813478E-2</v>
      </c>
      <c r="J267" s="62">
        <v>3.4204731019972026E-2</v>
      </c>
      <c r="K267" s="70">
        <v>8.6122175372196734E-4</v>
      </c>
      <c r="L267" s="70">
        <v>1.1235591457968715E-2</v>
      </c>
      <c r="M267" s="70">
        <v>2.0672871781487818E-2</v>
      </c>
      <c r="N267" s="70">
        <v>2.4688124680813477E-2</v>
      </c>
      <c r="O267" s="70">
        <v>2.7859855319972027E-2</v>
      </c>
      <c r="P267" s="54" t="s">
        <v>474</v>
      </c>
      <c r="Q267" s="52" t="s">
        <v>475</v>
      </c>
      <c r="R267" s="93">
        <v>47505</v>
      </c>
      <c r="S267" s="72">
        <v>1.9523260000000001E-2</v>
      </c>
      <c r="T267" s="62">
        <v>5.2279307814878141E-3</v>
      </c>
      <c r="V267" s="113">
        <v>1.09957186</v>
      </c>
      <c r="W267" s="71">
        <v>2.7661951500000002</v>
      </c>
      <c r="X267" s="71">
        <v>4.1414903000000001</v>
      </c>
      <c r="Y267" s="71">
        <v>5.2169818399999999</v>
      </c>
      <c r="Z267" s="114">
        <v>6.43635716</v>
      </c>
    </row>
    <row r="268" spans="2:26" x14ac:dyDescent="0.35">
      <c r="B268" s="54" t="s">
        <v>168</v>
      </c>
      <c r="C268" s="52" t="s">
        <v>232</v>
      </c>
      <c r="D268" s="52" t="s">
        <v>20</v>
      </c>
      <c r="E268" s="52" t="s">
        <v>576</v>
      </c>
      <c r="F268" s="70">
        <v>2.4059515537219666E-3</v>
      </c>
      <c r="G268" s="70">
        <v>1.4154731957968715E-2</v>
      </c>
      <c r="H268" s="70">
        <v>2.4751190781487815E-2</v>
      </c>
      <c r="I268" s="70">
        <v>2.9744830380813478E-2</v>
      </c>
      <c r="J268" s="62">
        <v>3.4204731019972026E-2</v>
      </c>
      <c r="K268" s="70">
        <v>8.6122175372196734E-4</v>
      </c>
      <c r="L268" s="70">
        <v>1.1235591457968715E-2</v>
      </c>
      <c r="M268" s="70">
        <v>2.0672871781487818E-2</v>
      </c>
      <c r="N268" s="70">
        <v>2.4688124680813477E-2</v>
      </c>
      <c r="O268" s="70">
        <v>2.7859855319972027E-2</v>
      </c>
      <c r="P268" s="54" t="s">
        <v>474</v>
      </c>
      <c r="Q268" s="52" t="s">
        <v>475</v>
      </c>
      <c r="R268" s="93">
        <v>47505</v>
      </c>
      <c r="S268" s="72">
        <v>1.9523260000000001E-2</v>
      </c>
      <c r="T268" s="62">
        <v>5.2279307814878141E-3</v>
      </c>
      <c r="V268" s="113">
        <v>1.09957186</v>
      </c>
      <c r="W268" s="71">
        <v>2.7661951500000002</v>
      </c>
      <c r="X268" s="71">
        <v>4.1414903000000001</v>
      </c>
      <c r="Y268" s="71">
        <v>5.2169818399999999</v>
      </c>
      <c r="Z268" s="114">
        <v>6.43635716</v>
      </c>
    </row>
    <row r="269" spans="2:26" x14ac:dyDescent="0.35">
      <c r="B269" s="54" t="s">
        <v>117</v>
      </c>
      <c r="C269" s="52" t="s">
        <v>232</v>
      </c>
      <c r="D269" s="52" t="s">
        <v>31</v>
      </c>
      <c r="E269" s="52" t="s">
        <v>123</v>
      </c>
      <c r="F269" s="70" t="s">
        <v>21</v>
      </c>
      <c r="G269" s="70">
        <v>8.1359709634323141E-3</v>
      </c>
      <c r="H269" s="70">
        <v>1.3006674267291827E-2</v>
      </c>
      <c r="I269" s="70">
        <v>1.6704123324059246E-2</v>
      </c>
      <c r="J269" s="62">
        <v>1.9556974193052173E-2</v>
      </c>
      <c r="K269" s="70" t="s">
        <v>21</v>
      </c>
      <c r="L269" s="70">
        <v>5.1622242634323124E-3</v>
      </c>
      <c r="M269" s="70">
        <v>8.9694630672918253E-3</v>
      </c>
      <c r="N269" s="70">
        <v>1.1767414124059244E-2</v>
      </c>
      <c r="O269" s="70">
        <v>1.3331913693052172E-2</v>
      </c>
      <c r="P269" s="54" t="s">
        <v>21</v>
      </c>
      <c r="Q269" s="52" t="s">
        <v>21</v>
      </c>
      <c r="R269" s="93" t="s">
        <v>21</v>
      </c>
      <c r="S269" s="72">
        <v>0</v>
      </c>
      <c r="T269" s="62">
        <v>1.3006674267291827E-2</v>
      </c>
      <c r="V269" s="113">
        <v>1.10972848</v>
      </c>
      <c r="W269" s="71">
        <v>2.82342476</v>
      </c>
      <c r="X269" s="71">
        <v>4.3240381000000001</v>
      </c>
      <c r="Y269" s="71">
        <v>5.5974635500000005</v>
      </c>
      <c r="Z269" s="114">
        <v>7.1628876400000001</v>
      </c>
    </row>
    <row r="270" spans="2:26" x14ac:dyDescent="0.35">
      <c r="B270" s="54" t="s">
        <v>138</v>
      </c>
      <c r="C270" s="52" t="s">
        <v>232</v>
      </c>
      <c r="D270" s="52" t="s">
        <v>139</v>
      </c>
      <c r="E270" s="52" t="s">
        <v>159</v>
      </c>
      <c r="F270" s="70" t="s">
        <v>21</v>
      </c>
      <c r="G270" s="70">
        <v>6.3964258170799001E-3</v>
      </c>
      <c r="H270" s="70">
        <v>1.2089464097415417E-2</v>
      </c>
      <c r="I270" s="70">
        <v>1.6265071908844107E-2</v>
      </c>
      <c r="J270" s="62">
        <v>2.081605163178225E-2</v>
      </c>
      <c r="K270" s="70" t="s">
        <v>21</v>
      </c>
      <c r="L270" s="70">
        <v>3.3548605170799009E-3</v>
      </c>
      <c r="M270" s="70">
        <v>8.0206997974154211E-3</v>
      </c>
      <c r="N270" s="70">
        <v>1.1315657308844106E-2</v>
      </c>
      <c r="O270" s="70">
        <v>1.4604088131782253E-2</v>
      </c>
      <c r="P270" s="54" t="s">
        <v>21</v>
      </c>
      <c r="Q270" s="52" t="s">
        <v>21</v>
      </c>
      <c r="R270" s="93" t="s">
        <v>21</v>
      </c>
      <c r="S270" s="72">
        <v>0</v>
      </c>
      <c r="T270" s="62">
        <v>1.2089464097415417E-2</v>
      </c>
      <c r="V270" s="113">
        <v>1.1076598799999999</v>
      </c>
      <c r="W270" s="71">
        <v>2.8298714199999999</v>
      </c>
      <c r="X270" s="71">
        <v>4.3414526000000002</v>
      </c>
      <c r="Y270" s="71">
        <v>5.6234118899999999</v>
      </c>
      <c r="Z270" s="114">
        <v>7.1677576000000007</v>
      </c>
    </row>
    <row r="271" spans="2:26" x14ac:dyDescent="0.35">
      <c r="B271" s="56" t="s">
        <v>169</v>
      </c>
      <c r="C271" s="66" t="s">
        <v>232</v>
      </c>
      <c r="D271" s="66" t="s">
        <v>69</v>
      </c>
      <c r="E271" s="66" t="s">
        <v>110</v>
      </c>
      <c r="F271" s="75" t="s">
        <v>21</v>
      </c>
      <c r="G271" s="75">
        <v>5.1485382513340502E-3</v>
      </c>
      <c r="H271" s="75">
        <v>1.0925337388303672E-2</v>
      </c>
      <c r="I271" s="75">
        <v>1.4210105464407385E-2</v>
      </c>
      <c r="J271" s="63">
        <v>1.8352947412268665E-2</v>
      </c>
      <c r="K271" s="75" t="s">
        <v>21</v>
      </c>
      <c r="L271" s="75">
        <v>2.0290061513340498E-3</v>
      </c>
      <c r="M271" s="75">
        <v>6.805649788303671E-3</v>
      </c>
      <c r="N271" s="75">
        <v>9.2003808644073835E-3</v>
      </c>
      <c r="O271" s="75">
        <v>1.208541991226867E-2</v>
      </c>
      <c r="P271" s="56" t="s">
        <v>21</v>
      </c>
      <c r="Q271" s="66" t="s">
        <v>21</v>
      </c>
      <c r="R271" s="95" t="s">
        <v>21</v>
      </c>
      <c r="S271" s="73">
        <v>0</v>
      </c>
      <c r="T271" s="63">
        <v>1.0925337388303672E-2</v>
      </c>
      <c r="V271" s="115">
        <v>1.11071914</v>
      </c>
      <c r="W271" s="107">
        <v>2.8435161199999999</v>
      </c>
      <c r="X271" s="107">
        <v>4.3698779200000004</v>
      </c>
      <c r="Y271" s="107">
        <v>5.6810595899999994</v>
      </c>
      <c r="Z271" s="116">
        <v>7.2881801199999998</v>
      </c>
    </row>
    <row r="272" spans="2:26" x14ac:dyDescent="0.35">
      <c r="P272" s="127"/>
      <c r="Q272" s="127"/>
      <c r="R272" s="44"/>
      <c r="S272" s="127"/>
      <c r="T272" s="127"/>
      <c r="V272" s="71"/>
      <c r="W272" s="71"/>
      <c r="X272" s="71"/>
      <c r="Y272" s="71"/>
      <c r="Z272" s="71"/>
    </row>
    <row r="273" spans="2:26" ht="15.5" x14ac:dyDescent="0.35">
      <c r="B273" s="121" t="s">
        <v>177</v>
      </c>
      <c r="R273" s="93"/>
      <c r="S273" s="70"/>
      <c r="T273" s="70"/>
      <c r="V273" s="71"/>
      <c r="W273" s="71"/>
      <c r="X273" s="71"/>
      <c r="Y273" s="71"/>
      <c r="Z273" s="71"/>
    </row>
    <row r="274" spans="2:26" x14ac:dyDescent="0.35">
      <c r="B274" s="84" t="s">
        <v>5</v>
      </c>
      <c r="C274" s="83" t="s">
        <v>6</v>
      </c>
      <c r="D274" s="83" t="s">
        <v>7</v>
      </c>
      <c r="E274" s="83" t="s">
        <v>8</v>
      </c>
      <c r="F274" s="82" t="s">
        <v>9</v>
      </c>
      <c r="G274" s="81" t="s">
        <v>10</v>
      </c>
      <c r="H274" s="81" t="s">
        <v>11</v>
      </c>
      <c r="I274" s="81" t="s">
        <v>12</v>
      </c>
      <c r="J274" s="80" t="s">
        <v>13</v>
      </c>
      <c r="K274" s="57" t="s">
        <v>9</v>
      </c>
      <c r="L274" s="57" t="s">
        <v>10</v>
      </c>
      <c r="M274" s="57" t="s">
        <v>11</v>
      </c>
      <c r="N274" s="57" t="s">
        <v>12</v>
      </c>
      <c r="O274" s="57" t="s">
        <v>13</v>
      </c>
      <c r="P274" s="69" t="s">
        <v>14</v>
      </c>
      <c r="Q274" s="57" t="s">
        <v>15</v>
      </c>
      <c r="R274" s="57" t="s">
        <v>16</v>
      </c>
      <c r="S274" s="57" t="s">
        <v>415</v>
      </c>
      <c r="T274" s="57" t="s">
        <v>18</v>
      </c>
      <c r="V274" s="105" t="s">
        <v>9</v>
      </c>
      <c r="W274" s="105" t="s">
        <v>10</v>
      </c>
      <c r="X274" s="105" t="s">
        <v>11</v>
      </c>
      <c r="Y274" s="105" t="s">
        <v>12</v>
      </c>
      <c r="Z274" s="110" t="s">
        <v>13</v>
      </c>
    </row>
    <row r="275" spans="2:26" x14ac:dyDescent="0.35">
      <c r="B275" s="55" t="s">
        <v>178</v>
      </c>
      <c r="C275" s="52" t="s">
        <v>232</v>
      </c>
      <c r="D275" s="65" t="s">
        <v>47</v>
      </c>
      <c r="E275" s="65" t="s">
        <v>577</v>
      </c>
      <c r="F275" s="79"/>
      <c r="G275" s="79"/>
      <c r="H275" s="79"/>
      <c r="I275" s="79"/>
      <c r="J275" s="61"/>
      <c r="K275" s="79"/>
      <c r="L275" s="79"/>
      <c r="M275" s="79"/>
      <c r="N275" s="79"/>
      <c r="O275" s="79"/>
      <c r="P275" s="55" t="s">
        <v>578</v>
      </c>
      <c r="Q275" s="65" t="s">
        <v>579</v>
      </c>
      <c r="R275" s="99" t="s">
        <v>32</v>
      </c>
      <c r="S275" s="74">
        <v>6.2020799999999996E-3</v>
      </c>
      <c r="T275" s="62">
        <v>-6.2020799999999996E-3</v>
      </c>
      <c r="V275" s="71">
        <v>1.1114097700000001</v>
      </c>
      <c r="W275" s="71">
        <v>2.8492216699999999</v>
      </c>
      <c r="X275" s="71">
        <v>4.3888681099999998</v>
      </c>
      <c r="Y275" s="71">
        <v>5.71817581</v>
      </c>
      <c r="Z275" s="114">
        <v>7.3689944899999995</v>
      </c>
    </row>
    <row r="276" spans="2:26" x14ac:dyDescent="0.35">
      <c r="B276" s="54" t="s">
        <v>269</v>
      </c>
      <c r="C276" s="52" t="s">
        <v>232</v>
      </c>
      <c r="D276" s="52" t="s">
        <v>20</v>
      </c>
      <c r="E276" s="52" t="s">
        <v>580</v>
      </c>
      <c r="F276" s="70" t="s">
        <v>21</v>
      </c>
      <c r="G276" s="70">
        <v>6.4842861001199606E-3</v>
      </c>
      <c r="H276" s="70">
        <v>1.0256982103449028E-2</v>
      </c>
      <c r="I276" s="70">
        <v>1.32414165817894E-2</v>
      </c>
      <c r="J276" s="62">
        <v>1.5465775232606761E-2</v>
      </c>
      <c r="K276" s="70" t="s">
        <v>21</v>
      </c>
      <c r="L276" s="70">
        <v>3.3884188001199605E-3</v>
      </c>
      <c r="M276" s="70">
        <v>6.0761303034490262E-3</v>
      </c>
      <c r="N276" s="70">
        <v>8.1369108817894026E-3</v>
      </c>
      <c r="O276" s="70">
        <v>9.0120506326067662E-3</v>
      </c>
      <c r="P276" s="54" t="s">
        <v>581</v>
      </c>
      <c r="Q276" s="52" t="s">
        <v>582</v>
      </c>
      <c r="R276" s="93" t="s">
        <v>32</v>
      </c>
      <c r="S276" s="72">
        <v>4.1417700000000003E-3</v>
      </c>
      <c r="T276" s="62">
        <v>6.1152121034490281E-3</v>
      </c>
      <c r="V276" s="71">
        <v>1.11010122</v>
      </c>
      <c r="W276" s="71">
        <v>2.8393299999999999</v>
      </c>
      <c r="X276" s="71">
        <v>4.3758233000000004</v>
      </c>
      <c r="Y276" s="71">
        <v>5.7151946699999998</v>
      </c>
      <c r="Z276" s="114">
        <v>7.4170029299999998</v>
      </c>
    </row>
    <row r="277" spans="2:26" x14ac:dyDescent="0.35">
      <c r="B277" s="54" t="s">
        <v>180</v>
      </c>
      <c r="C277" s="52" t="s">
        <v>232</v>
      </c>
      <c r="D277" s="52" t="s">
        <v>69</v>
      </c>
      <c r="E277" s="52" t="s">
        <v>270</v>
      </c>
      <c r="F277" s="70" t="s">
        <v>21</v>
      </c>
      <c r="G277" s="70">
        <v>4.3400435227796148E-3</v>
      </c>
      <c r="H277" s="70">
        <v>8.440981084191234E-3</v>
      </c>
      <c r="I277" s="70">
        <v>1.1593825016181562E-2</v>
      </c>
      <c r="J277" s="62">
        <v>1.44910095315301E-2</v>
      </c>
      <c r="K277" s="70" t="s">
        <v>21</v>
      </c>
      <c r="L277" s="70">
        <v>1.0573654227796136E-3</v>
      </c>
      <c r="M277" s="70">
        <v>4.1182595841912318E-3</v>
      </c>
      <c r="N277" s="70">
        <v>6.3737479161815628E-3</v>
      </c>
      <c r="O277" s="70">
        <v>7.9622164315301044E-3</v>
      </c>
      <c r="P277" s="54" t="s">
        <v>583</v>
      </c>
      <c r="Q277" s="52" t="s">
        <v>584</v>
      </c>
      <c r="R277" s="93" t="s">
        <v>32</v>
      </c>
      <c r="S277" s="72">
        <v>3.3538499999999998E-3</v>
      </c>
      <c r="T277" s="62">
        <v>5.0871310841912338E-3</v>
      </c>
      <c r="V277" s="71">
        <v>1.11228467</v>
      </c>
      <c r="W277" s="71">
        <v>2.8575374399999998</v>
      </c>
      <c r="X277" s="71">
        <v>4.4169640299999999</v>
      </c>
      <c r="Y277" s="71">
        <v>5.7817171600000004</v>
      </c>
      <c r="Z277" s="114">
        <v>7.5135918100000003</v>
      </c>
    </row>
    <row r="278" spans="2:26" x14ac:dyDescent="0.35">
      <c r="B278" s="54" t="s">
        <v>181</v>
      </c>
      <c r="C278" s="52" t="s">
        <v>232</v>
      </c>
      <c r="D278" s="52" t="s">
        <v>182</v>
      </c>
      <c r="E278" s="52" t="s">
        <v>321</v>
      </c>
      <c r="F278" s="70" t="s">
        <v>21</v>
      </c>
      <c r="G278" s="70">
        <v>5.2819132361231333E-3</v>
      </c>
      <c r="H278" s="70">
        <v>9.9645397630579655E-3</v>
      </c>
      <c r="I278" s="70">
        <v>1.431461990798711E-2</v>
      </c>
      <c r="J278" s="62">
        <v>1.8622600926907564E-2</v>
      </c>
      <c r="K278" s="70" t="s">
        <v>21</v>
      </c>
      <c r="L278" s="70">
        <v>2.0941139361231329E-3</v>
      </c>
      <c r="M278" s="70">
        <v>5.762844263057963E-3</v>
      </c>
      <c r="N278" s="70">
        <v>9.2617725079871087E-3</v>
      </c>
      <c r="O278" s="70">
        <v>1.2320651426907563E-2</v>
      </c>
      <c r="P278" s="54" t="s">
        <v>585</v>
      </c>
      <c r="Q278" s="52" t="s">
        <v>586</v>
      </c>
      <c r="R278" s="93" t="s">
        <v>32</v>
      </c>
      <c r="S278" s="72">
        <v>9.4413199999999996E-3</v>
      </c>
      <c r="T278" s="62">
        <v>5.2321976305796589E-4</v>
      </c>
      <c r="V278" s="71">
        <v>1.1122799799999998</v>
      </c>
      <c r="W278" s="71">
        <v>2.8517285600000002</v>
      </c>
      <c r="X278" s="71">
        <v>4.3941512899999999</v>
      </c>
      <c r="Y278" s="71">
        <v>5.7212750899999998</v>
      </c>
      <c r="Z278" s="114">
        <v>7.3538683899999997</v>
      </c>
    </row>
    <row r="279" spans="2:26" x14ac:dyDescent="0.35">
      <c r="B279" s="54" t="s">
        <v>183</v>
      </c>
      <c r="C279" s="52" t="s">
        <v>232</v>
      </c>
      <c r="D279" s="52" t="s">
        <v>53</v>
      </c>
      <c r="E279" s="52" t="s">
        <v>179</v>
      </c>
      <c r="F279" s="70" t="s">
        <v>21</v>
      </c>
      <c r="G279" s="70">
        <v>4.301965808440676E-3</v>
      </c>
      <c r="H279" s="70">
        <v>8.3423446920421855E-3</v>
      </c>
      <c r="I279" s="70">
        <v>1.1718020466037496E-2</v>
      </c>
      <c r="J279" s="62">
        <v>1.4721330023796764E-2</v>
      </c>
      <c r="K279" s="70" t="s">
        <v>21</v>
      </c>
      <c r="L279" s="70">
        <v>1.0145944084406751E-3</v>
      </c>
      <c r="M279" s="70">
        <v>4.0103490920421845E-3</v>
      </c>
      <c r="N279" s="70">
        <v>6.5069009660374969E-3</v>
      </c>
      <c r="O279" s="70">
        <v>8.2100225237967672E-3</v>
      </c>
      <c r="P279" s="54" t="s">
        <v>587</v>
      </c>
      <c r="Q279" s="52" t="s">
        <v>588</v>
      </c>
      <c r="R279" s="93" t="s">
        <v>32</v>
      </c>
      <c r="S279" s="72">
        <v>4.0076800000000004E-3</v>
      </c>
      <c r="T279" s="62">
        <v>4.3346646920421851E-3</v>
      </c>
      <c r="V279" s="71">
        <v>1.1127002699999999</v>
      </c>
      <c r="W279" s="71">
        <v>2.8585598299999999</v>
      </c>
      <c r="X279" s="71">
        <v>4.4190616299999999</v>
      </c>
      <c r="Y279" s="71">
        <v>5.7826425400000003</v>
      </c>
      <c r="Z279" s="114">
        <v>7.5089634500000004</v>
      </c>
    </row>
    <row r="280" spans="2:26" x14ac:dyDescent="0.35">
      <c r="B280" s="54" t="s">
        <v>184</v>
      </c>
      <c r="C280" s="52" t="s">
        <v>232</v>
      </c>
      <c r="D280" s="52" t="s">
        <v>31</v>
      </c>
      <c r="E280" s="52" t="s">
        <v>589</v>
      </c>
      <c r="F280" s="70" t="s">
        <v>21</v>
      </c>
      <c r="G280" s="70">
        <v>4.9800795054102667E-3</v>
      </c>
      <c r="H280" s="70">
        <v>9.4964490691331546E-3</v>
      </c>
      <c r="I280" s="70">
        <v>1.3154596694600909E-2</v>
      </c>
      <c r="J280" s="62">
        <v>1.6595085708251477E-2</v>
      </c>
      <c r="K280" s="70" t="s">
        <v>21</v>
      </c>
      <c r="L280" s="70">
        <v>1.7645891054102643E-3</v>
      </c>
      <c r="M280" s="70">
        <v>5.2616699691331531E-3</v>
      </c>
      <c r="N280" s="70">
        <v>8.0423806946009098E-3</v>
      </c>
      <c r="O280" s="70">
        <v>1.0204249708251473E-2</v>
      </c>
      <c r="P280" s="54" t="s">
        <v>590</v>
      </c>
      <c r="Q280" s="52" t="s">
        <v>591</v>
      </c>
      <c r="R280" s="93" t="s">
        <v>32</v>
      </c>
      <c r="S280" s="72">
        <v>5.4230400000000005E-3</v>
      </c>
      <c r="T280" s="62">
        <v>4.0734090691331541E-3</v>
      </c>
      <c r="V280" s="71">
        <v>1.1119377699999999</v>
      </c>
      <c r="W280" s="71">
        <v>2.8529412500000002</v>
      </c>
      <c r="X280" s="71">
        <v>4.4005935000000003</v>
      </c>
      <c r="Y280" s="71">
        <v>5.7430981599999997</v>
      </c>
      <c r="Z280" s="114">
        <v>7.4227827100000008</v>
      </c>
    </row>
    <row r="281" spans="2:26" x14ac:dyDescent="0.35">
      <c r="B281" s="56" t="s">
        <v>185</v>
      </c>
      <c r="C281" s="66" t="s">
        <v>232</v>
      </c>
      <c r="D281" s="66" t="s">
        <v>139</v>
      </c>
      <c r="E281" s="66" t="s">
        <v>592</v>
      </c>
      <c r="F281" s="75" t="s">
        <v>21</v>
      </c>
      <c r="G281" s="75">
        <v>4.3007352842493402E-3</v>
      </c>
      <c r="H281" s="75">
        <v>8.1828446813544814E-3</v>
      </c>
      <c r="I281" s="75">
        <v>1.2007882459780322E-2</v>
      </c>
      <c r="J281" s="63">
        <v>1.505376621390488E-2</v>
      </c>
      <c r="K281" s="75" t="s">
        <v>21</v>
      </c>
      <c r="L281" s="75">
        <v>1.0130797842493417E-3</v>
      </c>
      <c r="M281" s="75">
        <v>3.8355392813544794E-3</v>
      </c>
      <c r="N281" s="75">
        <v>6.8169351597803249E-3</v>
      </c>
      <c r="O281" s="75">
        <v>8.5671670139048813E-3</v>
      </c>
      <c r="P281" s="56" t="s">
        <v>593</v>
      </c>
      <c r="Q281" s="66" t="s">
        <v>594</v>
      </c>
      <c r="R281" s="95" t="s">
        <v>32</v>
      </c>
      <c r="S281" s="73">
        <v>2.8143299999999999E-3</v>
      </c>
      <c r="T281" s="63">
        <v>5.3685146813544811E-3</v>
      </c>
      <c r="V281" s="107">
        <v>1.1128335499999999</v>
      </c>
      <c r="W281" s="107">
        <v>2.8588218200000002</v>
      </c>
      <c r="X281" s="107">
        <v>4.4208728700000002</v>
      </c>
      <c r="Y281" s="107">
        <v>5.7814701500000005</v>
      </c>
      <c r="Z281" s="116">
        <v>7.49888713</v>
      </c>
    </row>
    <row r="282" spans="2:26" x14ac:dyDescent="0.35">
      <c r="V282" s="71"/>
      <c r="W282" s="71"/>
      <c r="X282" s="71"/>
      <c r="Y282" s="71"/>
      <c r="Z282" s="71"/>
    </row>
    <row r="283" spans="2:26" ht="15.5" x14ac:dyDescent="0.35">
      <c r="B283" s="121" t="s">
        <v>186</v>
      </c>
      <c r="R283" s="93"/>
      <c r="S283" s="70"/>
      <c r="T283" s="70"/>
      <c r="V283" s="71"/>
      <c r="W283" s="71"/>
      <c r="X283" s="71"/>
      <c r="Y283" s="71"/>
      <c r="Z283" s="71"/>
    </row>
    <row r="284" spans="2:26" x14ac:dyDescent="0.35">
      <c r="B284" s="84" t="s">
        <v>5</v>
      </c>
      <c r="C284" s="83" t="s">
        <v>6</v>
      </c>
      <c r="D284" s="83" t="s">
        <v>7</v>
      </c>
      <c r="E284" s="83" t="s">
        <v>8</v>
      </c>
      <c r="F284" s="82" t="s">
        <v>9</v>
      </c>
      <c r="G284" s="81" t="s">
        <v>10</v>
      </c>
      <c r="H284" s="81" t="s">
        <v>11</v>
      </c>
      <c r="I284" s="81" t="s">
        <v>12</v>
      </c>
      <c r="J284" s="80" t="s">
        <v>13</v>
      </c>
      <c r="K284" s="57" t="s">
        <v>9</v>
      </c>
      <c r="L284" s="57" t="s">
        <v>10</v>
      </c>
      <c r="M284" s="57" t="s">
        <v>11</v>
      </c>
      <c r="N284" s="57" t="s">
        <v>12</v>
      </c>
      <c r="O284" s="57" t="s">
        <v>13</v>
      </c>
      <c r="P284" s="69" t="s">
        <v>14</v>
      </c>
      <c r="Q284" s="57" t="s">
        <v>15</v>
      </c>
      <c r="R284" s="57" t="s">
        <v>16</v>
      </c>
      <c r="S284" s="57" t="s">
        <v>415</v>
      </c>
      <c r="T284" s="57" t="s">
        <v>18</v>
      </c>
      <c r="V284" s="105" t="s">
        <v>9</v>
      </c>
      <c r="W284" s="105" t="s">
        <v>10</v>
      </c>
      <c r="X284" s="105" t="s">
        <v>11</v>
      </c>
      <c r="Y284" s="105" t="s">
        <v>12</v>
      </c>
      <c r="Z284" s="110" t="s">
        <v>13</v>
      </c>
    </row>
    <row r="285" spans="2:26" x14ac:dyDescent="0.35">
      <c r="B285" s="56" t="s">
        <v>296</v>
      </c>
      <c r="C285" s="66"/>
      <c r="D285" s="68"/>
      <c r="E285" s="68"/>
      <c r="F285" s="102" t="s">
        <v>21</v>
      </c>
      <c r="G285" s="102"/>
      <c r="H285" s="102">
        <v>1.7816521231702274E-2</v>
      </c>
      <c r="I285" s="102" t="s">
        <v>21</v>
      </c>
      <c r="J285" s="103" t="s">
        <v>21</v>
      </c>
      <c r="K285" s="79" t="s">
        <v>21</v>
      </c>
      <c r="L285" s="79"/>
      <c r="M285" s="79">
        <v>1.3862347731702274E-2</v>
      </c>
      <c r="N285" s="79" t="s">
        <v>21</v>
      </c>
      <c r="O285" s="79" t="s">
        <v>21</v>
      </c>
      <c r="P285" s="55"/>
      <c r="Q285" s="68"/>
      <c r="R285" s="104"/>
      <c r="S285" s="74"/>
      <c r="T285" s="61"/>
      <c r="V285" s="71">
        <v>1.09573436</v>
      </c>
      <c r="W285" s="71">
        <v>2.7788944600000001</v>
      </c>
      <c r="X285" s="71">
        <v>4.2532734200000002</v>
      </c>
      <c r="Y285" s="71">
        <v>5.5261558400000004</v>
      </c>
      <c r="Z285" s="114">
        <v>7.1251554199999996</v>
      </c>
    </row>
    <row r="286" spans="2:26" x14ac:dyDescent="0.35">
      <c r="B286" s="54" t="s">
        <v>187</v>
      </c>
      <c r="C286" s="52" t="s">
        <v>232</v>
      </c>
      <c r="D286" s="65" t="s">
        <v>188</v>
      </c>
      <c r="E286" s="65" t="s">
        <v>271</v>
      </c>
      <c r="F286" s="79" t="s">
        <v>21</v>
      </c>
      <c r="G286" s="79">
        <v>4.8207365534276621E-3</v>
      </c>
      <c r="H286" s="79">
        <v>1.0004930165019948E-2</v>
      </c>
      <c r="I286" s="79" t="s">
        <v>21</v>
      </c>
      <c r="J286" s="61" t="s">
        <v>21</v>
      </c>
      <c r="K286" s="79" t="s">
        <v>21</v>
      </c>
      <c r="L286" s="79">
        <v>1.5487615534276623E-3</v>
      </c>
      <c r="M286" s="79">
        <v>5.7352909650199464E-3</v>
      </c>
      <c r="N286" s="79" t="s">
        <v>21</v>
      </c>
      <c r="O286" s="79" t="s">
        <v>21</v>
      </c>
      <c r="P286" s="55" t="s">
        <v>21</v>
      </c>
      <c r="Q286" s="65" t="s">
        <v>21</v>
      </c>
      <c r="R286" s="99" t="s">
        <v>21</v>
      </c>
      <c r="S286" s="74">
        <v>0</v>
      </c>
      <c r="T286" s="62">
        <v>1.0004930165019948E-2</v>
      </c>
      <c r="V286" s="71">
        <v>1.11254407</v>
      </c>
      <c r="W286" s="71">
        <v>2.85917763</v>
      </c>
      <c r="X286" s="71">
        <v>4.4188470899999999</v>
      </c>
      <c r="Y286" s="71">
        <v>5.7781956799999996</v>
      </c>
      <c r="Z286" s="114">
        <v>7.4975491699999992</v>
      </c>
    </row>
    <row r="287" spans="2:26" x14ac:dyDescent="0.35">
      <c r="B287" s="54" t="s">
        <v>189</v>
      </c>
      <c r="C287" s="52" t="s">
        <v>232</v>
      </c>
      <c r="D287" s="52" t="s">
        <v>190</v>
      </c>
      <c r="E287" s="52" t="s">
        <v>595</v>
      </c>
      <c r="F287" s="70" t="s">
        <v>21</v>
      </c>
      <c r="G287" s="70">
        <v>7.632361741888952E-3</v>
      </c>
      <c r="H287" s="70">
        <v>1.3710868844335753E-2</v>
      </c>
      <c r="I287" s="70" t="s">
        <v>21</v>
      </c>
      <c r="J287" s="62" t="s">
        <v>21</v>
      </c>
      <c r="K287" s="70" t="s">
        <v>21</v>
      </c>
      <c r="L287" s="70">
        <v>4.5999341418889519E-3</v>
      </c>
      <c r="M287" s="70">
        <v>9.6659804443357585E-3</v>
      </c>
      <c r="N287" s="70" t="s">
        <v>21</v>
      </c>
      <c r="O287" s="70" t="s">
        <v>21</v>
      </c>
      <c r="P287" s="54" t="s">
        <v>596</v>
      </c>
      <c r="Q287" s="52" t="s">
        <v>597</v>
      </c>
      <c r="R287" s="93" t="s">
        <v>32</v>
      </c>
      <c r="S287" s="72">
        <v>1.1007389999999999E-2</v>
      </c>
      <c r="T287" s="62">
        <v>2.7034788443357546E-3</v>
      </c>
      <c r="V287" s="71">
        <v>1.10811047</v>
      </c>
      <c r="W287" s="71">
        <v>2.8359082999999998</v>
      </c>
      <c r="X287" s="71">
        <v>4.35789589</v>
      </c>
      <c r="Y287" s="71">
        <v>5.6665717899999999</v>
      </c>
      <c r="Z287" s="114">
        <v>7.2882079700000002</v>
      </c>
    </row>
    <row r="288" spans="2:26" x14ac:dyDescent="0.35">
      <c r="B288" s="54" t="s">
        <v>192</v>
      </c>
      <c r="C288" s="52" t="s">
        <v>232</v>
      </c>
      <c r="D288" s="52" t="s">
        <v>193</v>
      </c>
      <c r="E288" s="52" t="s">
        <v>292</v>
      </c>
      <c r="F288" s="70" t="s">
        <v>21</v>
      </c>
      <c r="G288" s="70">
        <v>4.8650698055592162E-3</v>
      </c>
      <c r="H288" s="70">
        <v>1.0039535238473904E-2</v>
      </c>
      <c r="I288" s="70" t="s">
        <v>21</v>
      </c>
      <c r="J288" s="62" t="s">
        <v>21</v>
      </c>
      <c r="K288" s="70" t="s">
        <v>21</v>
      </c>
      <c r="L288" s="70">
        <v>1.5989716055592159E-3</v>
      </c>
      <c r="M288" s="70">
        <v>5.773101438473904E-3</v>
      </c>
      <c r="N288" s="70" t="s">
        <v>21</v>
      </c>
      <c r="O288" s="70" t="s">
        <v>21</v>
      </c>
      <c r="P288" s="54" t="s">
        <v>598</v>
      </c>
      <c r="Q288" s="52" t="s">
        <v>599</v>
      </c>
      <c r="R288" s="93" t="s">
        <v>32</v>
      </c>
      <c r="S288" s="72">
        <v>9.1379100000000008E-3</v>
      </c>
      <c r="T288" s="62">
        <v>9.0162523847390347E-4</v>
      </c>
      <c r="V288" s="71">
        <v>1.11221467</v>
      </c>
      <c r="W288" s="71">
        <v>2.8583820800000002</v>
      </c>
      <c r="X288" s="71">
        <v>4.4177867900000001</v>
      </c>
      <c r="Y288" s="71">
        <v>5.7780746199999999</v>
      </c>
      <c r="Z288" s="114">
        <v>7.4853094699999998</v>
      </c>
    </row>
    <row r="289" spans="2:26" x14ac:dyDescent="0.35">
      <c r="B289" s="54" t="s">
        <v>194</v>
      </c>
      <c r="C289" s="52" t="s">
        <v>232</v>
      </c>
      <c r="D289" s="52" t="s">
        <v>195</v>
      </c>
      <c r="E289" s="52" t="s">
        <v>600</v>
      </c>
      <c r="F289" s="70" t="s">
        <v>21</v>
      </c>
      <c r="G289" s="70">
        <v>1.0832977560564751E-2</v>
      </c>
      <c r="H289" s="70">
        <v>2.0394352255407686E-2</v>
      </c>
      <c r="I289" s="70" t="s">
        <v>21</v>
      </c>
      <c r="J289" s="62" t="s">
        <v>21</v>
      </c>
      <c r="K289" s="70" t="s">
        <v>21</v>
      </c>
      <c r="L289" s="70">
        <v>7.9137329605647507E-3</v>
      </c>
      <c r="M289" s="70">
        <v>1.6436906755407685E-2</v>
      </c>
      <c r="N289" s="70" t="s">
        <v>21</v>
      </c>
      <c r="O289" s="70" t="s">
        <v>21</v>
      </c>
      <c r="P289" s="54" t="s">
        <v>601</v>
      </c>
      <c r="Q289" s="52" t="s">
        <v>602</v>
      </c>
      <c r="R289" s="93" t="s">
        <v>32</v>
      </c>
      <c r="S289" s="72">
        <v>1.7951809999999999E-2</v>
      </c>
      <c r="T289" s="62">
        <v>2.442542255407687E-3</v>
      </c>
      <c r="V289" s="71">
        <v>1.1081657899999999</v>
      </c>
      <c r="W289" s="71">
        <v>2.81998536</v>
      </c>
      <c r="X289" s="71">
        <v>4.27755785</v>
      </c>
      <c r="Y289" s="71">
        <v>5.4688975299999996</v>
      </c>
      <c r="Z289" s="114">
        <v>6.83161635</v>
      </c>
    </row>
    <row r="290" spans="2:26" x14ac:dyDescent="0.35">
      <c r="B290" s="54" t="s">
        <v>196</v>
      </c>
      <c r="C290" s="52" t="s">
        <v>232</v>
      </c>
      <c r="D290" s="52" t="s">
        <v>197</v>
      </c>
      <c r="E290" s="52" t="s">
        <v>55</v>
      </c>
      <c r="F290" s="70" t="s">
        <v>21</v>
      </c>
      <c r="G290" s="70">
        <v>9.6933809007196843E-3</v>
      </c>
      <c r="H290" s="70">
        <v>1.6904904492610048E-2</v>
      </c>
      <c r="I290" s="70" t="s">
        <v>21</v>
      </c>
      <c r="J290" s="62" t="s">
        <v>21</v>
      </c>
      <c r="K290" s="70" t="s">
        <v>21</v>
      </c>
      <c r="L290" s="70">
        <v>6.746804200719686E-3</v>
      </c>
      <c r="M290" s="70">
        <v>1.2937305392610048E-2</v>
      </c>
      <c r="N290" s="70" t="s">
        <v>21</v>
      </c>
      <c r="O290" s="70" t="s">
        <v>21</v>
      </c>
      <c r="P290" s="54" t="s">
        <v>603</v>
      </c>
      <c r="Q290" s="52" t="s">
        <v>604</v>
      </c>
      <c r="R290" s="93">
        <v>47586</v>
      </c>
      <c r="S290" s="72">
        <v>1.4191870000000001E-2</v>
      </c>
      <c r="T290" s="62">
        <v>2.7130344926100478E-3</v>
      </c>
      <c r="V290" s="71">
        <v>1.1076774899999999</v>
      </c>
      <c r="W290" s="71">
        <v>2.8240909299999997</v>
      </c>
      <c r="X290" s="71">
        <v>4.3146340099999998</v>
      </c>
      <c r="Y290" s="71">
        <v>5.5626989</v>
      </c>
      <c r="Z290" s="114">
        <v>7.0479586299999992</v>
      </c>
    </row>
    <row r="291" spans="2:26" x14ac:dyDescent="0.35">
      <c r="B291" s="54" t="s">
        <v>198</v>
      </c>
      <c r="C291" s="52" t="s">
        <v>232</v>
      </c>
      <c r="D291" s="52" t="s">
        <v>199</v>
      </c>
      <c r="E291" s="52" t="s">
        <v>293</v>
      </c>
      <c r="F291" s="70" t="s">
        <v>21</v>
      </c>
      <c r="G291" s="70">
        <v>1.1643801906050371E-2</v>
      </c>
      <c r="H291" s="70">
        <v>2.0057853505650543E-2</v>
      </c>
      <c r="I291" s="70" t="s">
        <v>21</v>
      </c>
      <c r="J291" s="62" t="s">
        <v>21</v>
      </c>
      <c r="K291" s="70" t="s">
        <v>21</v>
      </c>
      <c r="L291" s="70">
        <v>8.73885730605037E-3</v>
      </c>
      <c r="M291" s="70">
        <v>1.6105445205650545E-2</v>
      </c>
      <c r="N291" s="70" t="s">
        <v>21</v>
      </c>
      <c r="O291" s="70" t="s">
        <v>21</v>
      </c>
      <c r="P291" s="54" t="s">
        <v>605</v>
      </c>
      <c r="Q291" s="52" t="s">
        <v>606</v>
      </c>
      <c r="R291" s="93" t="s">
        <v>32</v>
      </c>
      <c r="S291" s="72">
        <v>1.423198E-2</v>
      </c>
      <c r="T291" s="62">
        <v>5.8258735056505428E-3</v>
      </c>
      <c r="V291" s="71">
        <v>1.10626643</v>
      </c>
      <c r="W291" s="71">
        <v>2.8112674699999998</v>
      </c>
      <c r="X291" s="71">
        <v>4.2715588599999998</v>
      </c>
      <c r="Y291" s="71">
        <v>5.4701874699999999</v>
      </c>
      <c r="Z291" s="114">
        <v>6.8561725899999999</v>
      </c>
    </row>
    <row r="292" spans="2:26" x14ac:dyDescent="0.35">
      <c r="B292" s="54" t="s">
        <v>200</v>
      </c>
      <c r="C292" s="52" t="s">
        <v>232</v>
      </c>
      <c r="D292" s="52" t="s">
        <v>201</v>
      </c>
      <c r="E292" s="52" t="s">
        <v>179</v>
      </c>
      <c r="F292" s="70" t="s">
        <v>21</v>
      </c>
      <c r="G292" s="70">
        <v>8.48923294771654E-3</v>
      </c>
      <c r="H292" s="70">
        <v>1.4954507138502084E-2</v>
      </c>
      <c r="I292" s="70" t="s">
        <v>21</v>
      </c>
      <c r="J292" s="62" t="s">
        <v>21</v>
      </c>
      <c r="K292" s="70" t="s">
        <v>21</v>
      </c>
      <c r="L292" s="70">
        <v>5.506952447716539E-3</v>
      </c>
      <c r="M292" s="70">
        <v>1.0954492138502088E-2</v>
      </c>
      <c r="N292" s="70" t="s">
        <v>21</v>
      </c>
      <c r="O292" s="70" t="s">
        <v>21</v>
      </c>
      <c r="P292" s="54" t="s">
        <v>607</v>
      </c>
      <c r="Q292" s="52" t="s">
        <v>608</v>
      </c>
      <c r="R292" s="93" t="s">
        <v>32</v>
      </c>
      <c r="S292" s="72">
        <v>-3.2065410000000003E-2</v>
      </c>
      <c r="T292" s="62">
        <v>4.7019917138502086E-2</v>
      </c>
      <c r="V292" s="71">
        <v>1.1081578300000001</v>
      </c>
      <c r="W292" s="71">
        <v>2.8305225100000002</v>
      </c>
      <c r="X292" s="71">
        <v>4.3380130399999999</v>
      </c>
      <c r="Y292" s="71">
        <v>5.6178019699999995</v>
      </c>
      <c r="Z292" s="114">
        <v>7.18134579</v>
      </c>
    </row>
    <row r="293" spans="2:26" x14ac:dyDescent="0.35">
      <c r="B293" s="54" t="s">
        <v>202</v>
      </c>
      <c r="C293" s="52" t="s">
        <v>232</v>
      </c>
      <c r="D293" s="52" t="s">
        <v>203</v>
      </c>
      <c r="E293" s="52" t="s">
        <v>609</v>
      </c>
      <c r="F293" s="70" t="s">
        <v>21</v>
      </c>
      <c r="G293" s="70">
        <v>1.7749178649560698E-2</v>
      </c>
      <c r="H293" s="70">
        <v>2.815116222930461E-2</v>
      </c>
      <c r="I293" s="70" t="s">
        <v>21</v>
      </c>
      <c r="J293" s="62" t="s">
        <v>21</v>
      </c>
      <c r="K293" s="70" t="s">
        <v>21</v>
      </c>
      <c r="L293" s="70">
        <v>1.4834018649560698E-2</v>
      </c>
      <c r="M293" s="70">
        <v>2.4072254229304611E-2</v>
      </c>
      <c r="N293" s="70" t="s">
        <v>21</v>
      </c>
      <c r="O293" s="70" t="s">
        <v>21</v>
      </c>
      <c r="P293" s="54" t="s">
        <v>21</v>
      </c>
      <c r="Q293" s="52" t="s">
        <v>21</v>
      </c>
      <c r="R293" s="93" t="s">
        <v>21</v>
      </c>
      <c r="S293" s="72">
        <v>0</v>
      </c>
      <c r="T293" s="62">
        <v>2.815116222930461E-2</v>
      </c>
      <c r="V293" s="71">
        <v>1.09973973</v>
      </c>
      <c r="W293" s="71">
        <v>2.7642694200000002</v>
      </c>
      <c r="X293" s="71">
        <v>4.1468868800000003</v>
      </c>
      <c r="Y293" s="71">
        <v>5.2358322199999998</v>
      </c>
      <c r="Z293" s="114">
        <v>6.4418228900000001</v>
      </c>
    </row>
    <row r="294" spans="2:26" x14ac:dyDescent="0.35">
      <c r="B294" s="54" t="s">
        <v>204</v>
      </c>
      <c r="C294" s="52" t="s">
        <v>232</v>
      </c>
      <c r="D294" s="52" t="s">
        <v>205</v>
      </c>
      <c r="E294" s="52" t="s">
        <v>191</v>
      </c>
      <c r="F294" s="70" t="s">
        <v>21</v>
      </c>
      <c r="G294" s="70">
        <v>7.2793417387241122E-3</v>
      </c>
      <c r="H294" s="70">
        <v>1.2901877951648941E-2</v>
      </c>
      <c r="I294" s="70" t="s">
        <v>21</v>
      </c>
      <c r="J294" s="62" t="s">
        <v>21</v>
      </c>
      <c r="K294" s="70" t="s">
        <v>21</v>
      </c>
      <c r="L294" s="70">
        <v>4.2269163387241128E-3</v>
      </c>
      <c r="M294" s="70">
        <v>8.8250464516489418E-3</v>
      </c>
      <c r="N294" s="70" t="s">
        <v>21</v>
      </c>
      <c r="O294" s="70" t="s">
        <v>21</v>
      </c>
      <c r="P294" s="54" t="s">
        <v>610</v>
      </c>
      <c r="Q294" s="52" t="s">
        <v>611</v>
      </c>
      <c r="R294" s="93" t="s">
        <v>32</v>
      </c>
      <c r="S294" s="72">
        <v>7.67039E-3</v>
      </c>
      <c r="T294" s="62">
        <v>5.231487951648941E-3</v>
      </c>
      <c r="V294" s="71">
        <v>1.1094098300000002</v>
      </c>
      <c r="W294" s="71">
        <v>2.8399845399999997</v>
      </c>
      <c r="X294" s="71">
        <v>4.3695280800000003</v>
      </c>
      <c r="Y294" s="71">
        <v>5.68512138</v>
      </c>
      <c r="Z294" s="114">
        <v>7.3205148600000003</v>
      </c>
    </row>
    <row r="295" spans="2:26" x14ac:dyDescent="0.35">
      <c r="B295" s="54" t="s">
        <v>206</v>
      </c>
      <c r="C295" s="52" t="s">
        <v>232</v>
      </c>
      <c r="D295" s="52" t="s">
        <v>207</v>
      </c>
      <c r="E295" s="52" t="s">
        <v>179</v>
      </c>
      <c r="F295" s="70" t="s">
        <v>21</v>
      </c>
      <c r="G295" s="70">
        <v>1.0981718552788663E-2</v>
      </c>
      <c r="H295" s="70">
        <v>1.884459513514735E-2</v>
      </c>
      <c r="I295" s="70" t="s">
        <v>21</v>
      </c>
      <c r="J295" s="62" t="s">
        <v>21</v>
      </c>
      <c r="K295" s="70" t="s">
        <v>21</v>
      </c>
      <c r="L295" s="70">
        <v>8.0676213527886668E-3</v>
      </c>
      <c r="M295" s="70">
        <v>1.4891603435147347E-2</v>
      </c>
      <c r="N295" s="70" t="s">
        <v>21</v>
      </c>
      <c r="O295" s="70" t="s">
        <v>21</v>
      </c>
      <c r="P295" s="54" t="s">
        <v>21</v>
      </c>
      <c r="Q295" s="52" t="s">
        <v>21</v>
      </c>
      <c r="R295" s="93" t="s">
        <v>21</v>
      </c>
      <c r="S295" s="72">
        <v>0</v>
      </c>
      <c r="T295" s="62">
        <v>1.884459513514735E-2</v>
      </c>
      <c r="V295" s="71">
        <v>1.1061139100000001</v>
      </c>
      <c r="W295" s="71">
        <v>2.8136448599999997</v>
      </c>
      <c r="X295" s="71">
        <v>4.2847900799999996</v>
      </c>
      <c r="Y295" s="71">
        <v>5.5039446999999999</v>
      </c>
      <c r="Z295" s="114">
        <v>6.9335231100000003</v>
      </c>
    </row>
    <row r="296" spans="2:26" x14ac:dyDescent="0.35">
      <c r="B296" s="54" t="s">
        <v>411</v>
      </c>
      <c r="C296" s="52" t="s">
        <v>232</v>
      </c>
      <c r="D296" s="52" t="s">
        <v>411</v>
      </c>
      <c r="E296" s="52" t="s">
        <v>612</v>
      </c>
      <c r="F296" s="70" t="s">
        <v>21</v>
      </c>
      <c r="G296" s="70">
        <v>3.314614802591314E-2</v>
      </c>
      <c r="H296" s="70">
        <v>4.2717386870429613E-2</v>
      </c>
      <c r="I296" s="70" t="s">
        <v>21</v>
      </c>
      <c r="J296" s="62" t="s">
        <v>21</v>
      </c>
      <c r="K296" s="70" t="s">
        <v>21</v>
      </c>
      <c r="L296" s="70">
        <v>2.974061002591314E-2</v>
      </c>
      <c r="M296" s="70">
        <v>3.8018164270429616E-2</v>
      </c>
      <c r="N296" s="70" t="s">
        <v>21</v>
      </c>
      <c r="O296" s="70" t="s">
        <v>21</v>
      </c>
      <c r="P296" s="54" t="s">
        <v>613</v>
      </c>
      <c r="Q296" s="52" t="s">
        <v>614</v>
      </c>
      <c r="R296" s="93" t="s">
        <v>32</v>
      </c>
      <c r="S296" s="72">
        <v>3.6169550000000002E-2</v>
      </c>
      <c r="T296" s="62">
        <v>6.5478368704296117E-3</v>
      </c>
      <c r="V296" s="71">
        <v>1.06842679</v>
      </c>
      <c r="W296" s="71">
        <v>2.6276051900000001</v>
      </c>
      <c r="X296" s="71">
        <v>3.8657377899999998</v>
      </c>
      <c r="Y296" s="71">
        <v>4.8178316600000004</v>
      </c>
      <c r="Z296" s="114">
        <v>5.8501526399999992</v>
      </c>
    </row>
    <row r="297" spans="2:26" x14ac:dyDescent="0.35">
      <c r="B297" s="54" t="s">
        <v>208</v>
      </c>
      <c r="C297" s="52" t="s">
        <v>232</v>
      </c>
      <c r="D297" s="52" t="s">
        <v>208</v>
      </c>
      <c r="E297" s="52" t="s">
        <v>615</v>
      </c>
      <c r="F297" s="70" t="s">
        <v>21</v>
      </c>
      <c r="G297" s="70">
        <v>8.792689491676416E-3</v>
      </c>
      <c r="H297" s="70">
        <v>1.4641838535739351E-2</v>
      </c>
      <c r="I297" s="70" t="s">
        <v>21</v>
      </c>
      <c r="J297" s="62" t="s">
        <v>21</v>
      </c>
      <c r="K297" s="70" t="s">
        <v>21</v>
      </c>
      <c r="L297" s="70">
        <v>5.8157334916764149E-3</v>
      </c>
      <c r="M297" s="70">
        <v>1.0630119335739357E-2</v>
      </c>
      <c r="N297" s="70" t="s">
        <v>21</v>
      </c>
      <c r="O297" s="70" t="s">
        <v>21</v>
      </c>
      <c r="P297" s="54" t="s">
        <v>616</v>
      </c>
      <c r="Q297" s="52" t="s">
        <v>617</v>
      </c>
      <c r="R297" s="93" t="s">
        <v>32</v>
      </c>
      <c r="S297" s="72">
        <v>1.2032830000000001E-2</v>
      </c>
      <c r="T297" s="62">
        <v>2.6090085357393499E-3</v>
      </c>
      <c r="V297" s="71">
        <v>1.10820049</v>
      </c>
      <c r="W297" s="71">
        <v>2.8298670399999999</v>
      </c>
      <c r="X297" s="71">
        <v>4.3406847099999997</v>
      </c>
      <c r="Y297" s="71">
        <v>5.6358699999999997</v>
      </c>
      <c r="Z297" s="114">
        <v>7.2407372499999996</v>
      </c>
    </row>
    <row r="298" spans="2:26" x14ac:dyDescent="0.35">
      <c r="B298" s="54" t="s">
        <v>209</v>
      </c>
      <c r="C298" s="52" t="s">
        <v>232</v>
      </c>
      <c r="D298" s="52" t="s">
        <v>209</v>
      </c>
      <c r="E298" s="52" t="s">
        <v>618</v>
      </c>
      <c r="F298" s="70" t="s">
        <v>21</v>
      </c>
      <c r="G298" s="70">
        <v>1.5263581374394078E-2</v>
      </c>
      <c r="H298" s="70">
        <v>2.3824983316515325E-2</v>
      </c>
      <c r="I298" s="70" t="s">
        <v>21</v>
      </c>
      <c r="J298" s="62" t="s">
        <v>21</v>
      </c>
      <c r="K298" s="70" t="s">
        <v>21</v>
      </c>
      <c r="L298" s="70">
        <v>1.2353973174394078E-2</v>
      </c>
      <c r="M298" s="70">
        <v>1.9801701516515325E-2</v>
      </c>
      <c r="N298" s="70" t="s">
        <v>21</v>
      </c>
      <c r="O298" s="70" t="s">
        <v>21</v>
      </c>
      <c r="P298" s="54" t="s">
        <v>619</v>
      </c>
      <c r="Q298" s="52" t="s">
        <v>620</v>
      </c>
      <c r="R298" s="93" t="s">
        <v>32</v>
      </c>
      <c r="S298" s="72">
        <v>3.343322E-2</v>
      </c>
      <c r="T298" s="62">
        <v>-9.6082366834846743E-3</v>
      </c>
      <c r="V298" s="71">
        <v>1.09895232</v>
      </c>
      <c r="W298" s="71">
        <v>2.7677831300000002</v>
      </c>
      <c r="X298" s="71">
        <v>4.1708521999999997</v>
      </c>
      <c r="Y298" s="71">
        <v>5.3121286400000001</v>
      </c>
      <c r="Z298" s="114">
        <v>6.6469019899999999</v>
      </c>
    </row>
    <row r="299" spans="2:26" x14ac:dyDescent="0.35">
      <c r="B299" s="54" t="s">
        <v>210</v>
      </c>
      <c r="C299" s="52" t="s">
        <v>232</v>
      </c>
      <c r="D299" s="52" t="s">
        <v>210</v>
      </c>
      <c r="E299" s="52" t="s">
        <v>572</v>
      </c>
      <c r="F299" s="70" t="s">
        <v>21</v>
      </c>
      <c r="G299" s="70">
        <v>2.547726114075281E-2</v>
      </c>
      <c r="H299" s="70">
        <v>3.7088160610844301E-2</v>
      </c>
      <c r="I299" s="70" t="s">
        <v>21</v>
      </c>
      <c r="J299" s="62" t="s">
        <v>21</v>
      </c>
      <c r="K299" s="70" t="s">
        <v>21</v>
      </c>
      <c r="L299" s="70">
        <v>2.2375329340752811E-2</v>
      </c>
      <c r="M299" s="70">
        <v>3.2685084210844303E-2</v>
      </c>
      <c r="N299" s="70" t="s">
        <v>21</v>
      </c>
      <c r="O299" s="70" t="s">
        <v>21</v>
      </c>
      <c r="P299" s="54" t="s">
        <v>621</v>
      </c>
      <c r="Q299" s="52" t="s">
        <v>622</v>
      </c>
      <c r="R299" s="93" t="s">
        <v>32</v>
      </c>
      <c r="S299" s="72">
        <v>2.8718689999999998E-2</v>
      </c>
      <c r="T299" s="62">
        <v>8.3694706108443026E-3</v>
      </c>
      <c r="V299" s="71">
        <v>1.08746984</v>
      </c>
      <c r="W299" s="71">
        <v>2.7031565999999998</v>
      </c>
      <c r="X299" s="71">
        <v>4.0011619099999995</v>
      </c>
      <c r="Y299" s="71">
        <v>5.01009072</v>
      </c>
      <c r="Z299" s="114">
        <v>6.12122206</v>
      </c>
    </row>
    <row r="300" spans="2:26" x14ac:dyDescent="0.35">
      <c r="B300" s="54" t="s">
        <v>211</v>
      </c>
      <c r="C300" s="52" t="s">
        <v>232</v>
      </c>
      <c r="D300" s="52" t="s">
        <v>211</v>
      </c>
      <c r="E300" s="52" t="s">
        <v>623</v>
      </c>
      <c r="F300" s="70" t="s">
        <v>21</v>
      </c>
      <c r="G300" s="70">
        <v>2.3048862778134251E-2</v>
      </c>
      <c r="H300" s="70">
        <v>3.3330304708470614E-2</v>
      </c>
      <c r="I300" s="70" t="s">
        <v>21</v>
      </c>
      <c r="J300" s="62" t="s">
        <v>21</v>
      </c>
      <c r="K300" s="70" t="s">
        <v>21</v>
      </c>
      <c r="L300" s="70">
        <v>2.001097017813425E-2</v>
      </c>
      <c r="M300" s="70">
        <v>2.9070460208470612E-2</v>
      </c>
      <c r="N300" s="70" t="s">
        <v>21</v>
      </c>
      <c r="O300" s="70" t="s">
        <v>21</v>
      </c>
      <c r="P300" s="54" t="s">
        <v>624</v>
      </c>
      <c r="Q300" s="52" t="s">
        <v>625</v>
      </c>
      <c r="R300" s="93" t="s">
        <v>32</v>
      </c>
      <c r="S300" s="72">
        <v>2.540806E-2</v>
      </c>
      <c r="T300" s="62">
        <v>7.9222447084706139E-3</v>
      </c>
      <c r="V300" s="71">
        <v>1.09206202</v>
      </c>
      <c r="W300" s="71">
        <v>2.72063173</v>
      </c>
      <c r="X300" s="71">
        <v>4.0490385199999999</v>
      </c>
      <c r="Y300" s="71">
        <v>5.0897024599999998</v>
      </c>
      <c r="Z300" s="114">
        <v>6.2400305400000002</v>
      </c>
    </row>
    <row r="301" spans="2:26" x14ac:dyDescent="0.35">
      <c r="B301" s="54" t="s">
        <v>272</v>
      </c>
      <c r="C301" s="52" t="s">
        <v>232</v>
      </c>
      <c r="D301" s="52" t="s">
        <v>272</v>
      </c>
      <c r="E301" s="52" t="s">
        <v>286</v>
      </c>
      <c r="F301" s="70" t="s">
        <v>21</v>
      </c>
      <c r="G301" s="70">
        <v>7.1355117999832452E-3</v>
      </c>
      <c r="H301" s="70">
        <v>1.4185912688976669E-2</v>
      </c>
      <c r="I301" s="70" t="s">
        <v>21</v>
      </c>
      <c r="J301" s="62" t="s">
        <v>21</v>
      </c>
      <c r="K301" s="70" t="s">
        <v>21</v>
      </c>
      <c r="L301" s="70">
        <v>4.0747434999832445E-3</v>
      </c>
      <c r="M301" s="70">
        <v>1.0158058688976672E-2</v>
      </c>
      <c r="N301" s="70" t="s">
        <v>21</v>
      </c>
      <c r="O301" s="70" t="s">
        <v>21</v>
      </c>
      <c r="P301" s="54" t="s">
        <v>21</v>
      </c>
      <c r="Q301" s="52" t="s">
        <v>21</v>
      </c>
      <c r="R301" s="93" t="s">
        <v>21</v>
      </c>
      <c r="S301" s="72">
        <v>0</v>
      </c>
      <c r="T301" s="62">
        <v>1.4185912688976669E-2</v>
      </c>
      <c r="V301" s="71">
        <v>1.11026471</v>
      </c>
      <c r="W301" s="71">
        <v>2.8427046300000001</v>
      </c>
      <c r="X301" s="71">
        <v>4.3625165200000007</v>
      </c>
      <c r="Y301" s="71">
        <v>5.6462589400000001</v>
      </c>
      <c r="Z301" s="114">
        <v>7.2263678299999992</v>
      </c>
    </row>
    <row r="302" spans="2:26" x14ac:dyDescent="0.35">
      <c r="B302" s="54" t="s">
        <v>273</v>
      </c>
      <c r="C302" s="52" t="s">
        <v>232</v>
      </c>
      <c r="D302" s="52" t="s">
        <v>273</v>
      </c>
      <c r="E302" s="52" t="s">
        <v>274</v>
      </c>
      <c r="F302" s="70" t="s">
        <v>21</v>
      </c>
      <c r="G302" s="70">
        <v>1.0600795322951672E-2</v>
      </c>
      <c r="H302" s="70">
        <v>1.7723548418429436E-2</v>
      </c>
      <c r="I302" s="70" t="s">
        <v>21</v>
      </c>
      <c r="J302" s="62" t="s">
        <v>21</v>
      </c>
      <c r="K302" s="70" t="s">
        <v>21</v>
      </c>
      <c r="L302" s="70">
        <v>7.6746562229516764E-3</v>
      </c>
      <c r="M302" s="70">
        <v>1.3763975718429432E-2</v>
      </c>
      <c r="N302" s="70" t="s">
        <v>21</v>
      </c>
      <c r="O302" s="70" t="s">
        <v>21</v>
      </c>
      <c r="P302" s="54" t="s">
        <v>626</v>
      </c>
      <c r="Q302" s="52" t="s">
        <v>627</v>
      </c>
      <c r="R302" s="93" t="s">
        <v>32</v>
      </c>
      <c r="S302" s="72">
        <v>1.5018689999999999E-2</v>
      </c>
      <c r="T302" s="62">
        <v>2.7048584184294362E-3</v>
      </c>
      <c r="V302" s="71">
        <v>1.1085607200000001</v>
      </c>
      <c r="W302" s="71">
        <v>2.8214269700000001</v>
      </c>
      <c r="X302" s="71">
        <v>4.3028212699999999</v>
      </c>
      <c r="Y302" s="71">
        <v>5.5460887400000001</v>
      </c>
      <c r="Z302" s="114">
        <v>7.0504722199999996</v>
      </c>
    </row>
    <row r="303" spans="2:26" x14ac:dyDescent="0.35">
      <c r="B303" s="137" t="s">
        <v>277</v>
      </c>
      <c r="C303" s="138" t="s">
        <v>232</v>
      </c>
      <c r="D303" s="138" t="s">
        <v>277</v>
      </c>
      <c r="E303" s="138" t="s">
        <v>278</v>
      </c>
      <c r="F303" s="140" t="s">
        <v>21</v>
      </c>
      <c r="G303" s="140">
        <v>7.2519634968280164E-3</v>
      </c>
      <c r="H303" s="140">
        <v>1.3177037570463963E-2</v>
      </c>
      <c r="I303" s="140" t="s">
        <v>21</v>
      </c>
      <c r="J303" s="141" t="s">
        <v>21</v>
      </c>
      <c r="K303" s="140" t="s">
        <v>21</v>
      </c>
      <c r="L303" s="140">
        <v>4.1979638968280171E-3</v>
      </c>
      <c r="M303" s="140">
        <v>9.1128202704639678E-3</v>
      </c>
      <c r="N303" s="140" t="s">
        <v>21</v>
      </c>
      <c r="O303" s="140" t="s">
        <v>21</v>
      </c>
      <c r="P303" s="137" t="s">
        <v>628</v>
      </c>
      <c r="Q303" s="138" t="s">
        <v>629</v>
      </c>
      <c r="R303" s="142" t="s">
        <v>32</v>
      </c>
      <c r="S303" s="139">
        <v>6.6814500000000002E-3</v>
      </c>
      <c r="T303" s="141">
        <v>6.4955875704639631E-3</v>
      </c>
      <c r="V303" s="144">
        <v>1.11038065</v>
      </c>
      <c r="W303" s="144">
        <v>2.8416580800000002</v>
      </c>
      <c r="X303" s="144">
        <v>4.3683934299999994</v>
      </c>
      <c r="Y303" s="144">
        <v>5.6811392099999996</v>
      </c>
      <c r="Z303" s="145">
        <v>7.3120042999999999</v>
      </c>
    </row>
    <row r="304" spans="2:26" x14ac:dyDescent="0.35">
      <c r="B304" s="137" t="s">
        <v>279</v>
      </c>
      <c r="C304" s="138" t="s">
        <v>232</v>
      </c>
      <c r="D304" s="138" t="s">
        <v>279</v>
      </c>
      <c r="E304" s="138" t="s">
        <v>48</v>
      </c>
      <c r="F304" s="140" t="s">
        <v>21</v>
      </c>
      <c r="G304" s="140">
        <v>1.3938923200035196E-2</v>
      </c>
      <c r="H304" s="140">
        <v>2.2242573899082973E-2</v>
      </c>
      <c r="I304" s="140" t="s">
        <v>21</v>
      </c>
      <c r="J304" s="141" t="s">
        <v>21</v>
      </c>
      <c r="K304" s="140" t="s">
        <v>21</v>
      </c>
      <c r="L304" s="140">
        <v>1.1051620000035194E-2</v>
      </c>
      <c r="M304" s="140">
        <v>1.8275375499082973E-2</v>
      </c>
      <c r="N304" s="140" t="s">
        <v>21</v>
      </c>
      <c r="O304" s="140" t="s">
        <v>21</v>
      </c>
      <c r="P304" s="137" t="s">
        <v>630</v>
      </c>
      <c r="Q304" s="138" t="s">
        <v>631</v>
      </c>
      <c r="R304" s="142" t="s">
        <v>32</v>
      </c>
      <c r="S304" s="139">
        <v>1.7873239999999999E-2</v>
      </c>
      <c r="T304" s="141">
        <v>4.3693338990829743E-3</v>
      </c>
      <c r="V304" s="144">
        <v>1.1036777899999999</v>
      </c>
      <c r="W304" s="144">
        <v>2.7919774099999999</v>
      </c>
      <c r="X304" s="144">
        <v>4.2283059200000004</v>
      </c>
      <c r="Y304" s="144">
        <v>5.4073851099999999</v>
      </c>
      <c r="Z304" s="145">
        <v>6.7696739199999998</v>
      </c>
    </row>
    <row r="305" spans="2:26" x14ac:dyDescent="0.35">
      <c r="B305" s="146" t="s">
        <v>275</v>
      </c>
      <c r="C305" s="147" t="s">
        <v>232</v>
      </c>
      <c r="D305" s="147" t="s">
        <v>276</v>
      </c>
      <c r="E305" s="147" t="s">
        <v>123</v>
      </c>
      <c r="F305" s="149" t="s">
        <v>21</v>
      </c>
      <c r="G305" s="149">
        <v>1.0407360518546521E-2</v>
      </c>
      <c r="H305" s="149">
        <v>1.6575336740540767E-2</v>
      </c>
      <c r="I305" s="149" t="s">
        <v>21</v>
      </c>
      <c r="J305" s="150" t="s">
        <v>21</v>
      </c>
      <c r="K305" s="149" t="s">
        <v>21</v>
      </c>
      <c r="L305" s="149">
        <v>7.4649180185465177E-3</v>
      </c>
      <c r="M305" s="149">
        <v>1.2585285840540767E-2</v>
      </c>
      <c r="N305" s="149" t="s">
        <v>21</v>
      </c>
      <c r="O305" s="149" t="s">
        <v>21</v>
      </c>
      <c r="P305" s="146" t="s">
        <v>632</v>
      </c>
      <c r="Q305" s="147" t="s">
        <v>633</v>
      </c>
      <c r="R305" s="151" t="s">
        <v>32</v>
      </c>
      <c r="S305" s="148">
        <v>1.1508570000000001E-2</v>
      </c>
      <c r="T305" s="150">
        <v>5.0667667405407662E-3</v>
      </c>
      <c r="V305" s="153">
        <v>1.1044839799999999</v>
      </c>
      <c r="W305" s="153">
        <v>2.8058260900000001</v>
      </c>
      <c r="X305" s="153">
        <v>4.2770026400000001</v>
      </c>
      <c r="Y305" s="153">
        <v>5.51327181</v>
      </c>
      <c r="Z305" s="154">
        <v>6.9817553199999995</v>
      </c>
    </row>
    <row r="306" spans="2:26" x14ac:dyDescent="0.35">
      <c r="B306" s="54" t="s">
        <v>212</v>
      </c>
      <c r="C306" s="52" t="s">
        <v>232</v>
      </c>
      <c r="D306" s="52" t="s">
        <v>199</v>
      </c>
      <c r="E306" s="52" t="s">
        <v>293</v>
      </c>
      <c r="F306" s="70" t="s">
        <v>21</v>
      </c>
      <c r="G306" s="70">
        <v>1.1070564353994377E-2</v>
      </c>
      <c r="H306" s="70">
        <v>2.0308767601406579E-2</v>
      </c>
      <c r="I306" s="70" t="s">
        <v>21</v>
      </c>
      <c r="J306" s="62" t="s">
        <v>21</v>
      </c>
      <c r="K306" s="70" t="s">
        <v>21</v>
      </c>
      <c r="L306" s="70">
        <v>8.1643943539943756E-3</v>
      </c>
      <c r="M306" s="70">
        <v>1.6351426701406581E-2</v>
      </c>
      <c r="N306" s="70" t="s">
        <v>21</v>
      </c>
      <c r="O306" s="70" t="s">
        <v>21</v>
      </c>
      <c r="P306" s="54" t="s">
        <v>634</v>
      </c>
      <c r="Q306" s="52" t="s">
        <v>635</v>
      </c>
      <c r="R306" s="93" t="s">
        <v>32</v>
      </c>
      <c r="S306" s="72">
        <v>1.546616E-2</v>
      </c>
      <c r="T306" s="62">
        <v>4.8426076014065796E-3</v>
      </c>
      <c r="V306" s="71">
        <v>1.1077070200000001</v>
      </c>
      <c r="W306" s="71">
        <v>2.8135609700000002</v>
      </c>
      <c r="X306" s="71">
        <v>4.2664761699999998</v>
      </c>
      <c r="Y306" s="71">
        <v>5.4524312900000007</v>
      </c>
      <c r="Z306" s="114">
        <v>6.823554549999999</v>
      </c>
    </row>
    <row r="307" spans="2:26" x14ac:dyDescent="0.35">
      <c r="B307" s="54" t="s">
        <v>213</v>
      </c>
      <c r="C307" s="52" t="s">
        <v>232</v>
      </c>
      <c r="D307" s="52" t="s">
        <v>197</v>
      </c>
      <c r="E307" s="52" t="s">
        <v>636</v>
      </c>
      <c r="F307" s="70" t="s">
        <v>21</v>
      </c>
      <c r="G307" s="70">
        <v>2.5599519317768677E-2</v>
      </c>
      <c r="H307" s="70">
        <v>3.4686676153584513E-2</v>
      </c>
      <c r="I307" s="70" t="s">
        <v>21</v>
      </c>
      <c r="J307" s="62" t="s">
        <v>21</v>
      </c>
      <c r="K307" s="70" t="s">
        <v>21</v>
      </c>
      <c r="L307" s="70">
        <v>2.2483582017768674E-2</v>
      </c>
      <c r="M307" s="70">
        <v>3.036285765358452E-2</v>
      </c>
      <c r="N307" s="70" t="s">
        <v>21</v>
      </c>
      <c r="O307" s="70" t="s">
        <v>21</v>
      </c>
      <c r="P307" s="54" t="s">
        <v>21</v>
      </c>
      <c r="Q307" s="52" t="s">
        <v>21</v>
      </c>
      <c r="R307" s="93" t="s">
        <v>21</v>
      </c>
      <c r="S307" s="72">
        <v>0</v>
      </c>
      <c r="T307" s="62">
        <v>3.4686676153584513E-2</v>
      </c>
      <c r="V307" s="71">
        <v>1.0819724500000001</v>
      </c>
      <c r="W307" s="71">
        <v>2.68740187</v>
      </c>
      <c r="X307" s="71">
        <v>3.9999037899999998</v>
      </c>
      <c r="Y307" s="71">
        <v>5.0197931100000002</v>
      </c>
      <c r="Z307" s="114">
        <v>6.1446861300000002</v>
      </c>
    </row>
    <row r="308" spans="2:26" x14ac:dyDescent="0.35">
      <c r="B308" s="54" t="s">
        <v>280</v>
      </c>
      <c r="C308" s="52" t="s">
        <v>232</v>
      </c>
      <c r="D308" s="52" t="s">
        <v>199</v>
      </c>
      <c r="E308" s="52" t="s">
        <v>133</v>
      </c>
      <c r="F308" s="70" t="s">
        <v>21</v>
      </c>
      <c r="G308" s="70"/>
      <c r="H308" s="70">
        <v>1.0572590095414185E-2</v>
      </c>
      <c r="I308" s="70" t="s">
        <v>21</v>
      </c>
      <c r="J308" s="62" t="s">
        <v>21</v>
      </c>
      <c r="K308" s="70" t="s">
        <v>21</v>
      </c>
      <c r="L308" s="70"/>
      <c r="M308" s="70">
        <v>6.5206350954141873E-3</v>
      </c>
      <c r="N308" s="70" t="s">
        <v>21</v>
      </c>
      <c r="O308" s="70" t="s">
        <v>21</v>
      </c>
      <c r="P308" s="54" t="s">
        <v>294</v>
      </c>
      <c r="Q308" s="52" t="s">
        <v>295</v>
      </c>
      <c r="R308" s="93">
        <v>47581</v>
      </c>
      <c r="S308" s="72">
        <v>1.3005640000000001E-2</v>
      </c>
      <c r="T308" s="62">
        <v>-2.4330499045858156E-3</v>
      </c>
      <c r="V308" s="71">
        <v>1.10812504</v>
      </c>
      <c r="W308" s="71">
        <v>2.8364326799999997</v>
      </c>
      <c r="X308" s="71">
        <v>4.3599992700000003</v>
      </c>
      <c r="Y308" s="71">
        <v>5.6676335799999995</v>
      </c>
      <c r="Z308" s="114">
        <v>7.2675980400000011</v>
      </c>
    </row>
    <row r="309" spans="2:26" x14ac:dyDescent="0.35">
      <c r="B309" s="54" t="s">
        <v>281</v>
      </c>
      <c r="C309" s="52" t="s">
        <v>232</v>
      </c>
      <c r="D309" s="52" t="s">
        <v>195</v>
      </c>
      <c r="E309" s="52" t="s">
        <v>637</v>
      </c>
      <c r="F309" s="70" t="s">
        <v>21</v>
      </c>
      <c r="G309" s="70"/>
      <c r="H309" s="70">
        <v>3.5804448484815031E-2</v>
      </c>
      <c r="I309" s="70" t="s">
        <v>21</v>
      </c>
      <c r="J309" s="62" t="s">
        <v>21</v>
      </c>
      <c r="K309" s="70" t="s">
        <v>21</v>
      </c>
      <c r="L309" s="70"/>
      <c r="M309" s="70">
        <v>3.1423282084815034E-2</v>
      </c>
      <c r="N309" s="70" t="s">
        <v>21</v>
      </c>
      <c r="O309" s="70" t="s">
        <v>21</v>
      </c>
      <c r="P309" s="54" t="s">
        <v>21</v>
      </c>
      <c r="Q309" s="52" t="s">
        <v>21</v>
      </c>
      <c r="R309" s="93" t="s">
        <v>21</v>
      </c>
      <c r="S309" s="72">
        <v>0</v>
      </c>
      <c r="T309" s="62">
        <v>3.5804448484815031E-2</v>
      </c>
      <c r="V309" s="71">
        <v>1.0779897199999999</v>
      </c>
      <c r="W309" s="71">
        <v>2.6574630899999998</v>
      </c>
      <c r="X309" s="71">
        <v>3.9487366399999999</v>
      </c>
      <c r="Y309" s="71">
        <v>4.9900968400000005</v>
      </c>
      <c r="Z309" s="114">
        <v>6.1964512899999997</v>
      </c>
    </row>
    <row r="310" spans="2:26" x14ac:dyDescent="0.35">
      <c r="B310" s="54" t="s">
        <v>282</v>
      </c>
      <c r="C310" s="52" t="s">
        <v>232</v>
      </c>
      <c r="D310" s="52" t="s">
        <v>195</v>
      </c>
      <c r="E310" s="52" t="s">
        <v>638</v>
      </c>
      <c r="F310" s="70" t="s">
        <v>21</v>
      </c>
      <c r="G310" s="70"/>
      <c r="H310" s="70">
        <v>3.8535602760760797E-2</v>
      </c>
      <c r="I310" s="70" t="s">
        <v>21</v>
      </c>
      <c r="J310" s="62" t="s">
        <v>21</v>
      </c>
      <c r="K310" s="70" t="s">
        <v>21</v>
      </c>
      <c r="L310" s="70"/>
      <c r="M310" s="70">
        <v>3.4261579560760792E-2</v>
      </c>
      <c r="N310" s="70" t="s">
        <v>21</v>
      </c>
      <c r="O310" s="70" t="s">
        <v>21</v>
      </c>
      <c r="P310" s="54" t="s">
        <v>21</v>
      </c>
      <c r="Q310" s="52" t="s">
        <v>21</v>
      </c>
      <c r="R310" s="93" t="s">
        <v>21</v>
      </c>
      <c r="S310" s="72">
        <v>0</v>
      </c>
      <c r="T310" s="62">
        <v>3.8535602760760797E-2</v>
      </c>
      <c r="V310" s="71">
        <v>1.08388112</v>
      </c>
      <c r="W310" s="71">
        <v>2.6985210400000001</v>
      </c>
      <c r="X310" s="71">
        <v>4.01912498</v>
      </c>
      <c r="Y310" s="71">
        <v>5.0556612200000002</v>
      </c>
      <c r="Z310" s="114">
        <v>6.1816211399999998</v>
      </c>
    </row>
    <row r="311" spans="2:26" x14ac:dyDescent="0.35">
      <c r="B311" s="56" t="s">
        <v>283</v>
      </c>
      <c r="C311" s="52" t="s">
        <v>232</v>
      </c>
      <c r="D311" s="66" t="s">
        <v>195</v>
      </c>
      <c r="E311" s="66" t="s">
        <v>268</v>
      </c>
      <c r="F311" s="75" t="s">
        <v>21</v>
      </c>
      <c r="G311" s="75"/>
      <c r="H311" s="75">
        <v>4.2470934276734609E-2</v>
      </c>
      <c r="I311" s="75" t="s">
        <v>21</v>
      </c>
      <c r="J311" s="63" t="s">
        <v>21</v>
      </c>
      <c r="K311" s="75" t="s">
        <v>21</v>
      </c>
      <c r="L311" s="75"/>
      <c r="M311" s="75">
        <v>3.7536350676734609E-2</v>
      </c>
      <c r="N311" s="75" t="s">
        <v>21</v>
      </c>
      <c r="O311" s="75" t="s">
        <v>21</v>
      </c>
      <c r="P311" s="56" t="s">
        <v>639</v>
      </c>
      <c r="Q311" s="66" t="s">
        <v>640</v>
      </c>
      <c r="R311" s="95">
        <v>47560</v>
      </c>
      <c r="S311" s="73">
        <v>3.746041E-2</v>
      </c>
      <c r="T311" s="63">
        <v>5.0105242767346098E-3</v>
      </c>
      <c r="V311" s="107">
        <v>1.0726093299999999</v>
      </c>
      <c r="W311" s="107">
        <v>2.60756663</v>
      </c>
      <c r="X311" s="107">
        <v>3.81070742</v>
      </c>
      <c r="Y311" s="107">
        <v>4.7373408800000005</v>
      </c>
      <c r="Z311" s="116">
        <v>5.6963576199999997</v>
      </c>
    </row>
    <row r="312" spans="2:26" x14ac:dyDescent="0.35"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V312" s="65"/>
      <c r="W312" s="65"/>
      <c r="X312" s="65"/>
      <c r="Y312" s="65"/>
      <c r="Z312" s="65"/>
    </row>
    <row r="313" spans="2:26" ht="15.5" x14ac:dyDescent="0.35">
      <c r="B313" s="121" t="s">
        <v>284</v>
      </c>
    </row>
    <row r="314" spans="2:26" x14ac:dyDescent="0.35">
      <c r="B314" s="84" t="s">
        <v>5</v>
      </c>
      <c r="C314" s="83" t="s">
        <v>6</v>
      </c>
      <c r="D314" s="83" t="s">
        <v>7</v>
      </c>
      <c r="E314" s="83" t="s">
        <v>8</v>
      </c>
      <c r="F314" s="82" t="s">
        <v>9</v>
      </c>
      <c r="G314" s="81" t="s">
        <v>10</v>
      </c>
      <c r="H314" s="81" t="s">
        <v>11</v>
      </c>
      <c r="I314" s="81" t="s">
        <v>12</v>
      </c>
      <c r="J314" s="80" t="s">
        <v>13</v>
      </c>
      <c r="K314" s="81" t="s">
        <v>9</v>
      </c>
      <c r="L314" s="81" t="s">
        <v>10</v>
      </c>
      <c r="M314" s="81" t="s">
        <v>11</v>
      </c>
      <c r="N314" s="81" t="s">
        <v>12</v>
      </c>
      <c r="O314" s="81" t="s">
        <v>13</v>
      </c>
      <c r="P314" s="82" t="s">
        <v>14</v>
      </c>
      <c r="Q314" s="81" t="s">
        <v>15</v>
      </c>
      <c r="R314" s="81" t="s">
        <v>16</v>
      </c>
      <c r="S314" s="81" t="s">
        <v>415</v>
      </c>
      <c r="T314" s="80" t="s">
        <v>18</v>
      </c>
      <c r="V314" s="105" t="s">
        <v>9</v>
      </c>
      <c r="W314" s="105" t="s">
        <v>10</v>
      </c>
      <c r="X314" s="105" t="s">
        <v>11</v>
      </c>
      <c r="Y314" s="105" t="s">
        <v>12</v>
      </c>
      <c r="Z314" s="110" t="s">
        <v>13</v>
      </c>
    </row>
    <row r="315" spans="2:26" x14ac:dyDescent="0.35">
      <c r="B315" s="54" t="s">
        <v>641</v>
      </c>
      <c r="C315" s="52" t="s">
        <v>232</v>
      </c>
      <c r="D315" s="52" t="s">
        <v>642</v>
      </c>
      <c r="E315" s="52" t="s">
        <v>643</v>
      </c>
      <c r="F315" s="70" t="s">
        <v>21</v>
      </c>
      <c r="G315" s="70">
        <v>6.8921439343822451E-3</v>
      </c>
      <c r="H315" s="70">
        <v>1.3566980606038063E-2</v>
      </c>
      <c r="I315" s="70">
        <v>1.6408397063595301E-2</v>
      </c>
      <c r="J315" s="62">
        <v>1.905760909390853E-2</v>
      </c>
      <c r="K315" s="70" t="s">
        <v>21</v>
      </c>
      <c r="L315" s="70">
        <v>3.8742383343822466E-3</v>
      </c>
      <c r="M315" s="70">
        <v>9.5426252060380658E-3</v>
      </c>
      <c r="N315" s="70">
        <v>1.1470166263595299E-2</v>
      </c>
      <c r="O315" s="70">
        <v>1.2823271093908533E-2</v>
      </c>
      <c r="P315" s="54" t="s">
        <v>644</v>
      </c>
      <c r="Q315" s="52" t="s">
        <v>645</v>
      </c>
      <c r="R315" s="93">
        <v>47545</v>
      </c>
      <c r="S315" s="72">
        <v>6.5849500000000009E-3</v>
      </c>
      <c r="T315" s="62">
        <v>6.9820306060380619E-3</v>
      </c>
      <c r="V315" s="71">
        <v>1.1083273500000002</v>
      </c>
      <c r="W315" s="71">
        <v>2.82809227</v>
      </c>
      <c r="X315" s="71">
        <v>4.3239869899999999</v>
      </c>
      <c r="Y315" s="71">
        <v>5.5984151000000004</v>
      </c>
      <c r="Z315" s="114">
        <v>7.17569576</v>
      </c>
    </row>
    <row r="316" spans="2:26" x14ac:dyDescent="0.35">
      <c r="B316" s="54" t="s">
        <v>646</v>
      </c>
      <c r="C316" s="52" t="e">
        <v>#N/A</v>
      </c>
      <c r="D316" s="52" t="s">
        <v>647</v>
      </c>
      <c r="E316" s="52" t="s">
        <v>264</v>
      </c>
      <c r="F316" s="70" t="s">
        <v>21</v>
      </c>
      <c r="G316" s="70">
        <v>7.4342898447265675E-3</v>
      </c>
      <c r="H316" s="70">
        <v>1.3813355976904345E-2</v>
      </c>
      <c r="I316" s="70">
        <v>1.6502734658367945E-2</v>
      </c>
      <c r="J316" s="62">
        <v>1.9216034243370303E-2</v>
      </c>
      <c r="K316" s="70" t="s">
        <v>21</v>
      </c>
      <c r="L316" s="70">
        <v>4.4395694447265698E-3</v>
      </c>
      <c r="M316" s="70">
        <v>9.795534476904344E-3</v>
      </c>
      <c r="N316" s="70">
        <v>1.1566397058367945E-2</v>
      </c>
      <c r="O316" s="70">
        <v>1.2983646443370302E-2</v>
      </c>
      <c r="P316" s="54" t="s">
        <v>21</v>
      </c>
      <c r="Q316" s="52" t="s">
        <v>21</v>
      </c>
      <c r="R316" s="93" t="s">
        <v>21</v>
      </c>
      <c r="S316" s="72">
        <v>0</v>
      </c>
      <c r="T316" s="62">
        <v>1.3813355976904345E-2</v>
      </c>
      <c r="V316" s="71">
        <v>1.1067097099999998</v>
      </c>
      <c r="W316" s="71">
        <v>2.8213653999999999</v>
      </c>
      <c r="X316" s="71">
        <v>4.3131523999999999</v>
      </c>
      <c r="Y316" s="71">
        <v>5.58631688</v>
      </c>
      <c r="Z316" s="114">
        <v>7.1600765499999994</v>
      </c>
    </row>
    <row r="317" spans="2:26" x14ac:dyDescent="0.35">
      <c r="B317" s="54" t="s">
        <v>287</v>
      </c>
      <c r="C317" s="52" t="s">
        <v>232</v>
      </c>
      <c r="D317" s="52" t="s">
        <v>285</v>
      </c>
      <c r="E317" s="52" t="s">
        <v>179</v>
      </c>
      <c r="F317" s="70" t="s">
        <v>21</v>
      </c>
      <c r="G317" s="70">
        <v>5.6314253384127187E-3</v>
      </c>
      <c r="H317" s="70">
        <v>1.151984624411433E-2</v>
      </c>
      <c r="I317" s="70">
        <v>1.4813876634858522E-2</v>
      </c>
      <c r="J317" s="62">
        <v>1.7868917556643642E-2</v>
      </c>
      <c r="K317" s="70" t="s">
        <v>21</v>
      </c>
      <c r="L317" s="70">
        <v>2.5440588384127174E-3</v>
      </c>
      <c r="M317" s="70">
        <v>7.4266898441143316E-3</v>
      </c>
      <c r="N317" s="70">
        <v>9.8282796348585187E-3</v>
      </c>
      <c r="O317" s="70">
        <v>1.1596368756643643E-2</v>
      </c>
      <c r="P317" s="54" t="s">
        <v>648</v>
      </c>
      <c r="Q317" s="52" t="s">
        <v>649</v>
      </c>
      <c r="R317" s="93" t="s">
        <v>32</v>
      </c>
      <c r="S317" s="72">
        <v>7.4395599999999996E-3</v>
      </c>
      <c r="T317" s="62">
        <v>4.0802862441143301E-3</v>
      </c>
      <c r="V317" s="71">
        <v>1.11029924</v>
      </c>
      <c r="W317" s="71">
        <v>2.8406027899999997</v>
      </c>
      <c r="X317" s="71">
        <v>4.3614993000000002</v>
      </c>
      <c r="Y317" s="71">
        <v>5.6606207700000004</v>
      </c>
      <c r="Z317" s="114">
        <v>7.2689027200000007</v>
      </c>
    </row>
    <row r="318" spans="2:26" x14ac:dyDescent="0.35">
      <c r="B318" s="54" t="s">
        <v>650</v>
      </c>
      <c r="C318" s="52" t="s">
        <v>232</v>
      </c>
      <c r="D318" s="52" t="s">
        <v>642</v>
      </c>
      <c r="E318" s="52" t="s">
        <v>651</v>
      </c>
      <c r="F318" s="70" t="s">
        <v>21</v>
      </c>
      <c r="G318" s="70">
        <v>8.6371209562397418E-3</v>
      </c>
      <c r="H318" s="70">
        <v>1.5141290891203897E-2</v>
      </c>
      <c r="I318" s="70">
        <v>1.8803095213884843E-2</v>
      </c>
      <c r="J318" s="62">
        <v>2.2743799812676949E-2</v>
      </c>
      <c r="K318" s="70" t="s">
        <v>21</v>
      </c>
      <c r="L318" s="70">
        <v>5.6783526562397433E-3</v>
      </c>
      <c r="M318" s="70">
        <v>1.1146683291203897E-2</v>
      </c>
      <c r="N318" s="70">
        <v>1.3895209413884842E-2</v>
      </c>
      <c r="O318" s="70">
        <v>1.655952201267695E-2</v>
      </c>
      <c r="P318" s="54" t="s">
        <v>652</v>
      </c>
      <c r="Q318" s="52" t="s">
        <v>653</v>
      </c>
      <c r="R318" s="93">
        <v>47651</v>
      </c>
      <c r="S318" s="72">
        <v>8.3463200000000008E-3</v>
      </c>
      <c r="T318" s="62">
        <v>6.7949708912038963E-3</v>
      </c>
      <c r="V318" s="71">
        <v>1.1072332600000001</v>
      </c>
      <c r="W318" s="71">
        <v>2.8157626000000002</v>
      </c>
      <c r="X318" s="71">
        <v>4.29199222</v>
      </c>
      <c r="Y318" s="71">
        <v>5.5328509200000004</v>
      </c>
      <c r="Z318" s="114">
        <v>7.0206038199999998</v>
      </c>
    </row>
    <row r="319" spans="2:26" x14ac:dyDescent="0.35">
      <c r="B319" s="54" t="s">
        <v>654</v>
      </c>
      <c r="C319" s="52" t="s">
        <v>232</v>
      </c>
      <c r="D319" s="52" t="s">
        <v>642</v>
      </c>
      <c r="E319" s="52" t="s">
        <v>643</v>
      </c>
      <c r="F319" s="70" t="s">
        <v>21</v>
      </c>
      <c r="G319" s="70">
        <v>8.8282632140325827E-3</v>
      </c>
      <c r="H319" s="70">
        <v>1.5520003609749866E-2</v>
      </c>
      <c r="I319" s="70">
        <v>1.8446515666036542E-2</v>
      </c>
      <c r="J319" s="62">
        <v>2.1726104329013458E-2</v>
      </c>
      <c r="K319" s="70" t="s">
        <v>21</v>
      </c>
      <c r="L319" s="70">
        <v>5.8757537140325831E-3</v>
      </c>
      <c r="M319" s="70">
        <v>1.1530309109749868E-2</v>
      </c>
      <c r="N319" s="70">
        <v>1.3538483166036543E-2</v>
      </c>
      <c r="O319" s="70">
        <v>1.5534565929013458E-2</v>
      </c>
      <c r="P319" s="54" t="s">
        <v>655</v>
      </c>
      <c r="Q319" s="52" t="s">
        <v>656</v>
      </c>
      <c r="R319" s="93">
        <v>47599</v>
      </c>
      <c r="S319" s="72">
        <v>7.4036199999999996E-3</v>
      </c>
      <c r="T319" s="62">
        <v>8.1163836097498665E-3</v>
      </c>
      <c r="V319" s="71">
        <v>1.1059953500000002</v>
      </c>
      <c r="W319" s="71">
        <v>2.8113589700000001</v>
      </c>
      <c r="X319" s="71">
        <v>4.2832809300000001</v>
      </c>
      <c r="Y319" s="71">
        <v>5.5273437100000002</v>
      </c>
      <c r="Z319" s="114">
        <v>7.0401392100000004</v>
      </c>
    </row>
    <row r="320" spans="2:26" x14ac:dyDescent="0.35">
      <c r="B320" s="56" t="s">
        <v>657</v>
      </c>
      <c r="C320" s="66" t="s">
        <v>232</v>
      </c>
      <c r="D320" s="66" t="s">
        <v>642</v>
      </c>
      <c r="E320" s="66" t="s">
        <v>658</v>
      </c>
      <c r="F320" s="75">
        <v>9.5218534903795948E-5</v>
      </c>
      <c r="G320" s="75">
        <v>9.5540253163460456E-3</v>
      </c>
      <c r="H320" s="75">
        <v>1.5886467179720525E-2</v>
      </c>
      <c r="I320" s="75">
        <v>1.901564811916661E-2</v>
      </c>
      <c r="J320" s="63">
        <v>2.2128986753139832E-2</v>
      </c>
      <c r="K320" s="75" t="s">
        <v>21</v>
      </c>
      <c r="L320" s="75">
        <v>6.6174120163460474E-3</v>
      </c>
      <c r="M320" s="75">
        <v>1.1901916379720524E-2</v>
      </c>
      <c r="N320" s="75">
        <v>1.411139801916661E-2</v>
      </c>
      <c r="O320" s="75">
        <v>1.5942462553139834E-2</v>
      </c>
      <c r="P320" s="56" t="s">
        <v>659</v>
      </c>
      <c r="Q320" s="66" t="s">
        <v>660</v>
      </c>
      <c r="R320" s="95">
        <v>47490</v>
      </c>
      <c r="S320" s="73">
        <v>7.80373E-3</v>
      </c>
      <c r="T320" s="63">
        <v>8.0827371797205245E-3</v>
      </c>
      <c r="V320" s="107">
        <v>1.10547708</v>
      </c>
      <c r="W320" s="107">
        <v>2.8057642199999999</v>
      </c>
      <c r="X320" s="107">
        <v>4.2718241499999996</v>
      </c>
      <c r="Y320" s="107">
        <v>5.5079770699999999</v>
      </c>
      <c r="Z320" s="116">
        <v>7.0085922900000002</v>
      </c>
    </row>
  </sheetData>
  <mergeCells count="6">
    <mergeCell ref="V14:Z14"/>
    <mergeCell ref="F3:J3"/>
    <mergeCell ref="K3:O3"/>
    <mergeCell ref="F4:J4"/>
    <mergeCell ref="K4:O4"/>
    <mergeCell ref="V5:Z5"/>
  </mergeCells>
  <conditionalFormatting sqref="F26">
    <cfRule type="colorScale" priority="34">
      <colorScale>
        <cfvo type="min"/>
        <cfvo type="max"/>
        <color rgb="FFFFEF9C"/>
        <color rgb="FF63BE7B"/>
      </colorScale>
    </cfRule>
  </conditionalFormatting>
  <conditionalFormatting sqref="F7:J12">
    <cfRule type="colorScale" priority="38">
      <colorScale>
        <cfvo type="min"/>
        <cfvo type="max"/>
        <color rgb="FFFFEF9C"/>
        <color rgb="FF63BE7B"/>
      </colorScale>
    </cfRule>
  </conditionalFormatting>
  <conditionalFormatting sqref="F16:J21">
    <cfRule type="colorScale" priority="25">
      <colorScale>
        <cfvo type="min"/>
        <cfvo type="max"/>
        <color rgb="FFFFEF9C"/>
        <color rgb="FF63BE7B"/>
      </colorScale>
    </cfRule>
  </conditionalFormatting>
  <conditionalFormatting sqref="F26:J105">
    <cfRule type="colorScale" priority="62">
      <colorScale>
        <cfvo type="min"/>
        <cfvo type="max"/>
        <color rgb="FFFFEF9C"/>
        <color rgb="FF63BE7B"/>
      </colorScale>
    </cfRule>
  </conditionalFormatting>
  <conditionalFormatting sqref="F40:J48">
    <cfRule type="cellIs" dxfId="4" priority="36" operator="lessThan">
      <formula>0</formula>
    </cfRule>
  </conditionalFormatting>
  <conditionalFormatting sqref="F46:J46">
    <cfRule type="colorScale" priority="35">
      <colorScale>
        <cfvo type="min"/>
        <cfvo type="max"/>
        <color rgb="FFFFEF9C"/>
        <color rgb="FF63BE7B"/>
      </colorScale>
    </cfRule>
  </conditionalFormatting>
  <conditionalFormatting sqref="F50:J55 F57:J60 F62:J66 F68:J70 F72:J73 F75:J93 F110:J129 F131:J133 F138:J253 F255:J271 F315:J320">
    <cfRule type="cellIs" dxfId="3" priority="39" operator="lessThan">
      <formula>0</formula>
    </cfRule>
  </conditionalFormatting>
  <conditionalFormatting sqref="F57:J60 F47:J48 F27:J34 G26:J26 F36:J38 F40:J45 F50:J55 F75:J93 F62:J66 F68:J70 F95:J105 F72:J73">
    <cfRule type="colorScale" priority="41">
      <colorScale>
        <cfvo type="min"/>
        <cfvo type="max"/>
        <color rgb="FFFFEF9C"/>
        <color rgb="FF63BE7B"/>
      </colorScale>
    </cfRule>
  </conditionalFormatting>
  <conditionalFormatting sqref="F57:J60 F50:J55 F26:J34 F36:J38 F40:J48 F75:J93 F62:J66 F68:J70 F95:J105 F72:J73">
    <cfRule type="colorScale" priority="42">
      <colorScale>
        <cfvo type="min"/>
        <cfvo type="max"/>
        <color rgb="FFFFEF9C"/>
        <color rgb="FF63BE7B"/>
      </colorScale>
    </cfRule>
  </conditionalFormatting>
  <conditionalFormatting sqref="F110:J129">
    <cfRule type="colorScale" priority="40">
      <colorScale>
        <cfvo type="min"/>
        <cfvo type="max"/>
        <color rgb="FFFFEF9C"/>
        <color rgb="FF63BE7B"/>
      </colorScale>
    </cfRule>
  </conditionalFormatting>
  <conditionalFormatting sqref="F131:J133 F110:J129">
    <cfRule type="colorScale" priority="44">
      <colorScale>
        <cfvo type="min"/>
        <cfvo type="max"/>
        <color rgb="FFFFEF9C"/>
        <color rgb="FF63BE7B"/>
      </colorScale>
    </cfRule>
  </conditionalFormatting>
  <conditionalFormatting sqref="F131:J133">
    <cfRule type="colorScale" priority="43">
      <colorScale>
        <cfvo type="min"/>
        <cfvo type="max"/>
        <color rgb="FFFFEF9C"/>
        <color rgb="FF63BE7B"/>
      </colorScale>
    </cfRule>
  </conditionalFormatting>
  <conditionalFormatting sqref="F138:J253">
    <cfRule type="colorScale" priority="60">
      <colorScale>
        <cfvo type="min"/>
        <cfvo type="max"/>
        <color rgb="FFFFEF9C"/>
        <color rgb="FF63BE7B"/>
      </colorScale>
    </cfRule>
  </conditionalFormatting>
  <conditionalFormatting sqref="F255:J271">
    <cfRule type="colorScale" priority="64">
      <colorScale>
        <cfvo type="min"/>
        <cfvo type="max"/>
        <color rgb="FFFFEF9C"/>
        <color rgb="FF63BE7B"/>
      </colorScale>
    </cfRule>
  </conditionalFormatting>
  <conditionalFormatting sqref="F275:J281">
    <cfRule type="cellIs" dxfId="2" priority="32" operator="lessThan">
      <formula>0</formula>
    </cfRule>
    <cfRule type="colorScale" priority="33">
      <colorScale>
        <cfvo type="min"/>
        <cfvo type="max"/>
        <color rgb="FFFFEF9C"/>
        <color rgb="FF63BE7B"/>
      </colorScale>
    </cfRule>
  </conditionalFormatting>
  <conditionalFormatting sqref="F285:J294">
    <cfRule type="colorScale" priority="45">
      <colorScale>
        <cfvo type="min"/>
        <cfvo type="max"/>
        <color rgb="FFFFEF9C"/>
        <color rgb="FF63BE7B"/>
      </colorScale>
    </cfRule>
  </conditionalFormatting>
  <conditionalFormatting sqref="F285:J311">
    <cfRule type="cellIs" dxfId="1" priority="22" operator="lessThan">
      <formula>0</formula>
    </cfRule>
  </conditionalFormatting>
  <conditionalFormatting sqref="F295:J298">
    <cfRule type="colorScale" priority="46">
      <colorScale>
        <cfvo type="min"/>
        <cfvo type="max"/>
        <color rgb="FFFFEF9C"/>
        <color rgb="FF63BE7B"/>
      </colorScale>
    </cfRule>
  </conditionalFormatting>
  <conditionalFormatting sqref="F299:J305">
    <cfRule type="colorScale" priority="31">
      <colorScale>
        <cfvo type="min"/>
        <cfvo type="max"/>
        <color rgb="FFFFEF9C"/>
        <color rgb="FF63BE7B"/>
      </colorScale>
    </cfRule>
  </conditionalFormatting>
  <conditionalFormatting sqref="F306:J306">
    <cfRule type="colorScale" priority="23">
      <colorScale>
        <cfvo type="min"/>
        <cfvo type="max"/>
        <color rgb="FFFFEF9C"/>
        <color rgb="FF63BE7B"/>
      </colorScale>
    </cfRule>
  </conditionalFormatting>
  <conditionalFormatting sqref="F307:J310">
    <cfRule type="colorScale" priority="29">
      <colorScale>
        <cfvo type="min"/>
        <cfvo type="max"/>
        <color rgb="FFFFEF9C"/>
        <color rgb="FF63BE7B"/>
      </colorScale>
    </cfRule>
  </conditionalFormatting>
  <conditionalFormatting sqref="F311:J311">
    <cfRule type="colorScale" priority="27">
      <colorScale>
        <cfvo type="min"/>
        <cfvo type="max"/>
        <color rgb="FFFFEF9C"/>
        <color rgb="FF63BE7B"/>
      </colorScale>
    </cfRule>
  </conditionalFormatting>
  <conditionalFormatting sqref="F315:J320">
    <cfRule type="colorScale" priority="48">
      <colorScale>
        <cfvo type="min"/>
        <cfvo type="max"/>
        <color rgb="FFFFEF9C"/>
        <color rgb="FF63BE7B"/>
      </colorScale>
    </cfRule>
  </conditionalFormatting>
  <conditionalFormatting sqref="G285:H311">
    <cfRule type="colorScale" priority="47">
      <colorScale>
        <cfvo type="min"/>
        <cfvo type="max"/>
        <color rgb="FFFFEF9C"/>
        <color rgb="FF63BE7B"/>
      </colorScale>
    </cfRule>
  </conditionalFormatting>
  <conditionalFormatting sqref="G315:H320">
    <cfRule type="colorScale" priority="49">
      <colorScale>
        <cfvo type="min"/>
        <cfvo type="max"/>
        <color rgb="FFFFEF9C"/>
        <color rgb="FF63BE7B"/>
      </colorScale>
    </cfRule>
  </conditionalFormatting>
  <conditionalFormatting sqref="G26:J26 F27:J34 F36:J38 F95:J107">
    <cfRule type="cellIs" dxfId="0" priority="37" operator="lessThan">
      <formula>0</formula>
    </cfRule>
  </conditionalFormatting>
  <conditionalFormatting sqref="K7:O12">
    <cfRule type="colorScale" priority="56">
      <colorScale>
        <cfvo type="min"/>
        <cfvo type="max"/>
        <color theme="0"/>
        <color theme="8" tint="0.39997558519241921"/>
      </colorScale>
    </cfRule>
  </conditionalFormatting>
  <conditionalFormatting sqref="K16:O21">
    <cfRule type="colorScale" priority="50">
      <colorScale>
        <cfvo type="min"/>
        <cfvo type="max"/>
        <color theme="0"/>
        <color theme="8" tint="0.39997558519241921"/>
      </colorScale>
    </cfRule>
  </conditionalFormatting>
  <conditionalFormatting sqref="K26:O105">
    <cfRule type="colorScale" priority="61">
      <colorScale>
        <cfvo type="min"/>
        <cfvo type="max"/>
        <color theme="0"/>
        <color theme="8" tint="0.39997558519241921"/>
      </colorScale>
    </cfRule>
  </conditionalFormatting>
  <conditionalFormatting sqref="K110:O133">
    <cfRule type="colorScale" priority="55">
      <colorScale>
        <cfvo type="min"/>
        <cfvo type="max"/>
        <color theme="0"/>
        <color theme="8" tint="0.39997558519241921"/>
      </colorScale>
    </cfRule>
  </conditionalFormatting>
  <conditionalFormatting sqref="K138:O253">
    <cfRule type="colorScale" priority="59">
      <colorScale>
        <cfvo type="min"/>
        <cfvo type="max"/>
        <color theme="0"/>
        <color theme="8" tint="0.39997558519241921"/>
      </colorScale>
    </cfRule>
  </conditionalFormatting>
  <conditionalFormatting sqref="K255:O271">
    <cfRule type="colorScale" priority="63">
      <colorScale>
        <cfvo type="min"/>
        <cfvo type="max"/>
        <color theme="0"/>
        <color theme="8" tint="0.39997558519241921"/>
      </colorScale>
    </cfRule>
  </conditionalFormatting>
  <conditionalFormatting sqref="K275:O281">
    <cfRule type="colorScale" priority="54">
      <colorScale>
        <cfvo type="min"/>
        <cfvo type="max"/>
        <color theme="0"/>
        <color theme="8" tint="0.39997558519241921"/>
      </colorScale>
    </cfRule>
  </conditionalFormatting>
  <conditionalFormatting sqref="K285:O298">
    <cfRule type="colorScale" priority="57">
      <colorScale>
        <cfvo type="min"/>
        <cfvo type="max"/>
        <color theme="0"/>
        <color theme="8" tint="0.39997558519241921"/>
      </colorScale>
    </cfRule>
  </conditionalFormatting>
  <conditionalFormatting sqref="K299:O305">
    <cfRule type="colorScale" priority="53">
      <colorScale>
        <cfvo type="min"/>
        <cfvo type="max"/>
        <color theme="0"/>
        <color theme="8" tint="0.39997558519241921"/>
      </colorScale>
    </cfRule>
  </conditionalFormatting>
  <conditionalFormatting sqref="K306:O306">
    <cfRule type="colorScale" priority="24">
      <colorScale>
        <cfvo type="min"/>
        <cfvo type="max"/>
        <color theme="0"/>
        <color theme="8" tint="0.39997558519241921"/>
      </colorScale>
    </cfRule>
  </conditionalFormatting>
  <conditionalFormatting sqref="K307:O310">
    <cfRule type="colorScale" priority="52">
      <colorScale>
        <cfvo type="min"/>
        <cfvo type="max"/>
        <color theme="0"/>
        <color theme="8" tint="0.39997558519241921"/>
      </colorScale>
    </cfRule>
  </conditionalFormatting>
  <conditionalFormatting sqref="K311:O311">
    <cfRule type="colorScale" priority="51">
      <colorScale>
        <cfvo type="min"/>
        <cfvo type="max"/>
        <color theme="0"/>
        <color theme="8" tint="0.39997558519241921"/>
      </colorScale>
    </cfRule>
  </conditionalFormatting>
  <conditionalFormatting sqref="K315:O320">
    <cfRule type="colorScale" priority="58">
      <colorScale>
        <cfvo type="min"/>
        <cfvo type="max"/>
        <color theme="0"/>
        <color theme="8" tint="0.39997558519241921"/>
      </colorScale>
    </cfRule>
  </conditionalFormatting>
  <conditionalFormatting sqref="T26:T105">
    <cfRule type="colorScale" priority="19">
      <colorScale>
        <cfvo type="min"/>
        <cfvo type="num" val="0"/>
        <cfvo type="max"/>
        <color theme="5" tint="0.39997558519241921"/>
        <color theme="0"/>
        <color rgb="FF06D053"/>
      </colorScale>
    </cfRule>
  </conditionalFormatting>
  <conditionalFormatting sqref="T109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10:T133">
    <cfRule type="colorScale" priority="4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11:T129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0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1:T133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4:T135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7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8:T271">
    <cfRule type="colorScale" priority="21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139:T253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54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55:T271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7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73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75:T281">
    <cfRule type="colorScale" priority="3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283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85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86:T311">
    <cfRule type="colorScale" priority="2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conditionalFormatting sqref="T315:T320">
    <cfRule type="colorScale" priority="17">
      <colorScale>
        <cfvo type="min"/>
        <cfvo type="num" val="0"/>
        <cfvo type="max"/>
        <color theme="5" tint="0.59999389629810485"/>
        <color theme="0"/>
        <color rgb="FF06D053"/>
      </colorScale>
    </cfRule>
  </conditionalFormatting>
  <pageMargins left="0.7" right="0.7" top="0.75" bottom="0.75" header="0.3" footer="0.3"/>
  <pageSetup orientation="portrait" r:id="rId1"/>
  <headerFooter>
    <oddFooter>&amp;C&amp;1#&amp;"Calibri"&amp;10&amp;K000000 For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EUR Run</vt:lpstr>
      <vt:lpstr>USD Run</vt:lpstr>
      <vt:lpstr>GBP Run</vt:lpstr>
      <vt:lpstr>CHF Run</vt:lpstr>
      <vt:lpstr>USD Payoff</vt:lpstr>
      <vt:lpstr>EUR Payoff</vt:lpstr>
      <vt:lpstr>GBP Payoff</vt:lpstr>
      <vt:lpstr>CHF Payoff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Venkatesh-Atul-A Pai</dc:creator>
  <cp:lastModifiedBy>Yasmin-A Yazdani</cp:lastModifiedBy>
  <dcterms:created xsi:type="dcterms:W3CDTF">2023-01-31T18:16:41Z</dcterms:created>
  <dcterms:modified xsi:type="dcterms:W3CDTF">2026-04-07T09:18:37Z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2024-10-30T18:14:39Z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63b9e55e-ab31-415d-a18e-d99163251c40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